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315" windowHeight="11880" activeTab="1"/>
  </bookViews>
  <sheets>
    <sheet name="Curve" sheetId="2" r:id="rId1"/>
    <sheet name="Example" sheetId="1" r:id="rId2"/>
    <sheet name="Chart" sheetId="3" r:id="rId3"/>
  </sheets>
  <definedNames>
    <definedName name="BusinessDays">Example!$C$10</definedName>
    <definedName name="Calendar">Example!$C$13</definedName>
    <definedName name="Compounding">Chart!$C$4</definedName>
    <definedName name="CurveID">Example!$C$3</definedName>
    <definedName name="CurveName">Example!$C$4</definedName>
    <definedName name="Daycount">Example!$C$11</definedName>
    <definedName name="ExpiryDate">Example!$C$9</definedName>
    <definedName name="Interpolation">Example!$C$14</definedName>
    <definedName name="Interpolation2">Chart!$C$3</definedName>
    <definedName name="PeriodicityInDays">Chart!$C$2</definedName>
    <definedName name="SlidingRule">Example!$C$12</definedName>
    <definedName name="SpotLag">Example!$C$6</definedName>
    <definedName name="Spread">Example!$C$15</definedName>
    <definedName name="Term">Example!$C$8</definedName>
    <definedName name="TradeDate">Example!$C$5</definedName>
    <definedName name="ValueDate">Example!$C$7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C8" i="2" l="1"/>
  <c r="C5" i="1"/>
  <c r="D32" i="2"/>
  <c r="C7" i="1"/>
  <c r="C9" i="1"/>
  <c r="C19" i="1"/>
  <c r="C18" i="1"/>
  <c r="C21" i="1"/>
  <c r="C20" i="1"/>
  <c r="E32" i="2"/>
  <c r="B7" i="3" l="1"/>
  <c r="D33" i="2"/>
  <c r="C7" i="3"/>
  <c r="E33" i="2"/>
  <c r="B8" i="3" l="1"/>
  <c r="B9" i="3" s="1"/>
  <c r="B10" i="3" s="1"/>
  <c r="B11" i="3" s="1"/>
  <c r="B12" i="3" s="1"/>
  <c r="D34" i="2"/>
  <c r="C8" i="3"/>
  <c r="E34" i="2"/>
  <c r="D35" i="2" l="1"/>
  <c r="C9" i="3"/>
  <c r="E35" i="2"/>
  <c r="D36" i="2" l="1"/>
  <c r="C10" i="3"/>
  <c r="E36" i="2"/>
  <c r="D37" i="2" l="1"/>
  <c r="C11" i="3"/>
  <c r="E37" i="2"/>
  <c r="D38" i="2" l="1"/>
  <c r="C12" i="3"/>
  <c r="E38" i="2"/>
  <c r="D39" i="2" l="1"/>
  <c r="B13" i="3"/>
  <c r="C13" i="3"/>
  <c r="E39" i="2"/>
  <c r="D40" i="2" l="1"/>
  <c r="B14" i="3"/>
  <c r="C14" i="3"/>
  <c r="E40" i="2"/>
  <c r="D41" i="2" l="1"/>
  <c r="B15" i="3"/>
  <c r="C15" i="3"/>
  <c r="E41" i="2"/>
  <c r="D42" i="2" l="1"/>
  <c r="B16" i="3"/>
  <c r="C16" i="3"/>
  <c r="E42" i="2"/>
  <c r="D43" i="2" l="1"/>
  <c r="B17" i="3"/>
  <c r="C17" i="3"/>
  <c r="E43" i="2"/>
  <c r="B4" i="2" s="1"/>
  <c r="B18" i="3" l="1"/>
  <c r="C18" i="3"/>
  <c r="B19" i="3" l="1"/>
  <c r="C19" i="3"/>
  <c r="B20" i="3" l="1"/>
  <c r="C20" i="3"/>
  <c r="B21" i="3" l="1"/>
  <c r="C21" i="3"/>
  <c r="B22" i="3" l="1"/>
  <c r="C22" i="3"/>
  <c r="B23" i="3" l="1"/>
  <c r="C23" i="3"/>
  <c r="B24" i="3" l="1"/>
  <c r="C24" i="3"/>
  <c r="B25" i="3" l="1"/>
  <c r="C25" i="3"/>
  <c r="B26" i="3" l="1"/>
  <c r="C26" i="3"/>
  <c r="B27" i="3" l="1"/>
  <c r="C27" i="3"/>
  <c r="B28" i="3" l="1"/>
  <c r="C28" i="3"/>
  <c r="B29" i="3" l="1"/>
  <c r="C29" i="3"/>
  <c r="B30" i="3" l="1"/>
  <c r="C30" i="3"/>
  <c r="B31" i="3" l="1"/>
  <c r="C31" i="3"/>
  <c r="B32" i="3" l="1"/>
  <c r="C32" i="3"/>
  <c r="B33" i="3" l="1"/>
  <c r="C33" i="3"/>
  <c r="B34" i="3" l="1"/>
  <c r="C34" i="3"/>
  <c r="B35" i="3" l="1"/>
  <c r="C35" i="3"/>
  <c r="B36" i="3" l="1"/>
  <c r="C36" i="3"/>
  <c r="B37" i="3" l="1"/>
  <c r="C37" i="3"/>
  <c r="B38" i="3" l="1"/>
  <c r="C38" i="3"/>
  <c r="B39" i="3" l="1"/>
  <c r="C39" i="3"/>
  <c r="B40" i="3" l="1"/>
  <c r="C40" i="3"/>
  <c r="B41" i="3" l="1"/>
  <c r="C41" i="3"/>
  <c r="B42" i="3" l="1"/>
  <c r="C42" i="3"/>
  <c r="B43" i="3" l="1"/>
  <c r="C43" i="3"/>
  <c r="B44" i="3" l="1"/>
  <c r="B45" i="3" s="1"/>
  <c r="C45" i="3"/>
  <c r="C44" i="3"/>
  <c r="B46" i="3" l="1"/>
  <c r="C46" i="3"/>
  <c r="B47" i="3" l="1"/>
  <c r="C47" i="3"/>
  <c r="B48" i="3" l="1"/>
  <c r="C48" i="3"/>
  <c r="B49" i="3" l="1"/>
  <c r="C49" i="3"/>
  <c r="B50" i="3" l="1"/>
  <c r="C50" i="3"/>
  <c r="B51" i="3" l="1"/>
  <c r="C51" i="3"/>
  <c r="B52" i="3" l="1"/>
  <c r="C52" i="3"/>
  <c r="B53" i="3" l="1"/>
  <c r="C53" i="3"/>
  <c r="B54" i="3" l="1"/>
  <c r="C54" i="3"/>
  <c r="B55" i="3" l="1"/>
  <c r="C55" i="3"/>
  <c r="B56" i="3" l="1"/>
  <c r="C56" i="3"/>
  <c r="B57" i="3" l="1"/>
  <c r="C57" i="3"/>
  <c r="B58" i="3" l="1"/>
  <c r="C58" i="3"/>
  <c r="B59" i="3" l="1"/>
  <c r="C59" i="3"/>
  <c r="B60" i="3" l="1"/>
  <c r="C60" i="3"/>
  <c r="B61" i="3" l="1"/>
  <c r="C61" i="3"/>
  <c r="B62" i="3" l="1"/>
  <c r="C62" i="3"/>
  <c r="B63" i="3" l="1"/>
  <c r="C63" i="3"/>
  <c r="B64" i="3" l="1"/>
  <c r="C64" i="3"/>
  <c r="B65" i="3" l="1"/>
  <c r="C65" i="3"/>
  <c r="B66" i="3" l="1"/>
  <c r="C66" i="3"/>
  <c r="B67" i="3" l="1"/>
  <c r="C67" i="3"/>
  <c r="B68" i="3" l="1"/>
  <c r="C68" i="3"/>
  <c r="B69" i="3" l="1"/>
  <c r="C69" i="3"/>
  <c r="B70" i="3" l="1"/>
  <c r="C70" i="3"/>
  <c r="B71" i="3" l="1"/>
  <c r="C71" i="3"/>
  <c r="B72" i="3" l="1"/>
  <c r="C72" i="3"/>
  <c r="B73" i="3" l="1"/>
  <c r="C73" i="3"/>
  <c r="B74" i="3" l="1"/>
  <c r="C74" i="3"/>
  <c r="B75" i="3" l="1"/>
  <c r="C75" i="3"/>
  <c r="B76" i="3" l="1"/>
  <c r="C76" i="3"/>
  <c r="B77" i="3" l="1"/>
  <c r="C77" i="3"/>
  <c r="B78" i="3" l="1"/>
  <c r="C78" i="3"/>
  <c r="B79" i="3" l="1"/>
  <c r="C79" i="3"/>
  <c r="B80" i="3" l="1"/>
  <c r="C80" i="3"/>
  <c r="B81" i="3" l="1"/>
  <c r="C81" i="3"/>
  <c r="B82" i="3" l="1"/>
  <c r="C82" i="3"/>
  <c r="B83" i="3" l="1"/>
  <c r="C83" i="3"/>
  <c r="B84" i="3" l="1"/>
  <c r="C84" i="3"/>
  <c r="B85" i="3" l="1"/>
  <c r="C85" i="3"/>
  <c r="B86" i="3" l="1"/>
  <c r="C86" i="3"/>
  <c r="B87" i="3" l="1"/>
  <c r="C87" i="3"/>
  <c r="B88" i="3" l="1"/>
  <c r="C88" i="3"/>
  <c r="B89" i="3" l="1"/>
  <c r="C89" i="3"/>
  <c r="B90" i="3" l="1"/>
  <c r="C90" i="3"/>
  <c r="B91" i="3" l="1"/>
  <c r="C91" i="3"/>
  <c r="B92" i="3" l="1"/>
  <c r="C92" i="3"/>
  <c r="B93" i="3" l="1"/>
  <c r="C93" i="3"/>
  <c r="B94" i="3" l="1"/>
  <c r="C94" i="3"/>
  <c r="B95" i="3" l="1"/>
  <c r="C95" i="3"/>
  <c r="B96" i="3" l="1"/>
  <c r="C96" i="3"/>
  <c r="B97" i="3" l="1"/>
  <c r="C97" i="3"/>
  <c r="B98" i="3" l="1"/>
  <c r="C98" i="3"/>
  <c r="B99" i="3" l="1"/>
  <c r="C99" i="3"/>
  <c r="B100" i="3" l="1"/>
  <c r="C100" i="3"/>
  <c r="B101" i="3" l="1"/>
  <c r="C101" i="3"/>
  <c r="B102" i="3" l="1"/>
  <c r="C102" i="3"/>
  <c r="B103" i="3" l="1"/>
  <c r="C103" i="3"/>
  <c r="B104" i="3" l="1"/>
  <c r="C104" i="3"/>
  <c r="B105" i="3" l="1"/>
  <c r="C105" i="3"/>
  <c r="B106" i="3" l="1"/>
  <c r="C106" i="3"/>
  <c r="B107" i="3" l="1"/>
  <c r="C107" i="3"/>
  <c r="B108" i="3" l="1"/>
  <c r="C108" i="3"/>
  <c r="B109" i="3" l="1"/>
  <c r="C109" i="3"/>
  <c r="B110" i="3" l="1"/>
  <c r="C110" i="3"/>
  <c r="B111" i="3" l="1"/>
  <c r="C111" i="3"/>
  <c r="B112" i="3" l="1"/>
  <c r="C112" i="3"/>
  <c r="B113" i="3" l="1"/>
  <c r="C113" i="3"/>
  <c r="B114" i="3" l="1"/>
  <c r="C114" i="3"/>
  <c r="B115" i="3" l="1"/>
  <c r="C115" i="3"/>
  <c r="B116" i="3" l="1"/>
  <c r="C116" i="3"/>
  <c r="B117" i="3" l="1"/>
  <c r="C117" i="3"/>
  <c r="B118" i="3" l="1"/>
  <c r="C118" i="3"/>
  <c r="B119" i="3" l="1"/>
  <c r="C119" i="3"/>
  <c r="B120" i="3" l="1"/>
  <c r="C120" i="3"/>
  <c r="B121" i="3" l="1"/>
  <c r="C121" i="3"/>
  <c r="B122" i="3" l="1"/>
  <c r="C122" i="3"/>
  <c r="B123" i="3" l="1"/>
  <c r="C123" i="3"/>
  <c r="B124" i="3" l="1"/>
  <c r="C124" i="3"/>
  <c r="B125" i="3" l="1"/>
  <c r="C125" i="3"/>
  <c r="B126" i="3" l="1"/>
  <c r="C126" i="3"/>
  <c r="B127" i="3" l="1"/>
  <c r="C127" i="3"/>
  <c r="B128" i="3" l="1"/>
  <c r="C128" i="3"/>
  <c r="B129" i="3" l="1"/>
  <c r="C129" i="3"/>
  <c r="B130" i="3" l="1"/>
  <c r="C130" i="3"/>
  <c r="B131" i="3" l="1"/>
  <c r="C131" i="3"/>
  <c r="B132" i="3" l="1"/>
  <c r="C132" i="3"/>
  <c r="B133" i="3" l="1"/>
  <c r="C133" i="3"/>
  <c r="B134" i="3" l="1"/>
  <c r="C134" i="3"/>
  <c r="B135" i="3" l="1"/>
  <c r="C135" i="3"/>
  <c r="B136" i="3" l="1"/>
  <c r="C136" i="3"/>
  <c r="B137" i="3" l="1"/>
  <c r="C137" i="3"/>
  <c r="B138" i="3" l="1"/>
  <c r="C138" i="3"/>
  <c r="B139" i="3" l="1"/>
  <c r="C139" i="3"/>
  <c r="B140" i="3" l="1"/>
  <c r="C140" i="3"/>
  <c r="B141" i="3" l="1"/>
  <c r="C141" i="3"/>
  <c r="B142" i="3" l="1"/>
  <c r="C142" i="3"/>
  <c r="B143" i="3" l="1"/>
  <c r="C143" i="3"/>
  <c r="B144" i="3" l="1"/>
  <c r="C144" i="3"/>
  <c r="B145" i="3" l="1"/>
  <c r="C145" i="3"/>
  <c r="B146" i="3" l="1"/>
  <c r="C146" i="3"/>
</calcChain>
</file>

<file path=xl/sharedStrings.xml><?xml version="1.0" encoding="utf-8"?>
<sst xmlns="http://schemas.openxmlformats.org/spreadsheetml/2006/main" count="132" uniqueCount="121">
  <si>
    <t>CurveID</t>
    <phoneticPr fontId="5"/>
  </si>
  <si>
    <t>TradeDate</t>
    <phoneticPr fontId="5"/>
  </si>
  <si>
    <t>ValueDate</t>
    <phoneticPr fontId="5"/>
  </si>
  <si>
    <t>ExpiryDate</t>
    <phoneticPr fontId="5"/>
  </si>
  <si>
    <t>ACT/365</t>
  </si>
  <si>
    <t>MOD_FOLLOWING</t>
  </si>
  <si>
    <t>mirCompound3</t>
  </si>
  <si>
    <t>Term</t>
  </si>
  <si>
    <t>JPY_Curve</t>
    <phoneticPr fontId="4"/>
  </si>
  <si>
    <t>1Y</t>
    <phoneticPr fontId="5"/>
  </si>
  <si>
    <t>Term</t>
    <phoneticPr fontId="5"/>
  </si>
  <si>
    <t>Business_Days</t>
  </si>
  <si>
    <t>Flat Compounding</t>
    <phoneticPr fontId="5"/>
  </si>
  <si>
    <t>Frequency</t>
    <phoneticPr fontId="5"/>
  </si>
  <si>
    <t>DayCount</t>
    <phoneticPr fontId="5"/>
  </si>
  <si>
    <t>SlidingRule</t>
    <phoneticPr fontId="5"/>
  </si>
  <si>
    <t>Calendar</t>
    <phoneticPr fontId="5"/>
  </si>
  <si>
    <t>SpotLag</t>
    <phoneticPr fontId="5"/>
  </si>
  <si>
    <t>2D</t>
    <phoneticPr fontId="5"/>
  </si>
  <si>
    <t>SIMPLE</t>
    <phoneticPr fontId="5"/>
  </si>
  <si>
    <t>FLAT</t>
    <phoneticPr fontId="5"/>
  </si>
  <si>
    <t>AVERAGE</t>
    <phoneticPr fontId="5"/>
  </si>
  <si>
    <t>NORMAL</t>
    <phoneticPr fontId="5"/>
  </si>
  <si>
    <t>Spread</t>
    <phoneticPr fontId="5"/>
  </si>
  <si>
    <t>Interpolation</t>
    <phoneticPr fontId="5"/>
  </si>
  <si>
    <t>Spline</t>
    <phoneticPr fontId="5"/>
  </si>
  <si>
    <t>2Y</t>
  </si>
  <si>
    <t>JPYOIS</t>
    <phoneticPr fontId="4"/>
  </si>
  <si>
    <t>CurveName</t>
    <phoneticPr fontId="5"/>
  </si>
  <si>
    <t>TKB</t>
    <phoneticPr fontId="4"/>
  </si>
  <si>
    <t>CurveID</t>
    <phoneticPr fontId="8"/>
  </si>
  <si>
    <t>Rate</t>
  </si>
  <si>
    <t>StartDate</t>
  </si>
  <si>
    <t>EndDate</t>
  </si>
  <si>
    <t>1M</t>
  </si>
  <si>
    <t>BOJ01</t>
  </si>
  <si>
    <t>BOJ02</t>
  </si>
  <si>
    <t>BOJ03</t>
  </si>
  <si>
    <t>BOJ04</t>
  </si>
  <si>
    <t>BOJ05</t>
  </si>
  <si>
    <t>BOJ06</t>
  </si>
  <si>
    <t>BOJ07</t>
  </si>
  <si>
    <t>BOJ08</t>
  </si>
  <si>
    <t>BOJ09</t>
  </si>
  <si>
    <t>BOJ10</t>
  </si>
  <si>
    <t>BOJ11</t>
  </si>
  <si>
    <t>BOJ12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</si>
  <si>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</si>
  <si>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</si>
  <si>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</si>
  <si>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</si>
  <si>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</si>
  <si>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</si>
  <si>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</si>
  <si>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</si>
  <si>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</si>
  <si>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</si>
  <si>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18M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</si>
  <si>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</si>
  <si>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</si>
  <si>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</si>
  <si>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</si>
  <si>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</si>
  <si>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</si>
  <si>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</si>
  <si>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</si>
  <si>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</si>
  <si>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</si>
  <si>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</si>
  <si>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</si>
  <si>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</si>
  <si>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</si>
  <si>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</si>
  <si>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60Y</t>
  </si>
  <si>
    <t>YieldCommonData</t>
    <phoneticPr fontId="8"/>
  </si>
  <si>
    <t>AsOfDate</t>
    <phoneticPr fontId="8"/>
  </si>
  <si>
    <t>Currency</t>
    <phoneticPr fontId="8"/>
  </si>
  <si>
    <t>JPY</t>
    <phoneticPr fontId="8"/>
  </si>
  <si>
    <t>interpolation</t>
    <phoneticPr fontId="8"/>
  </si>
  <si>
    <t>fn_splineinterpolation</t>
    <phoneticPr fontId="8"/>
  </si>
  <si>
    <t>yieldgen.interpolation</t>
    <phoneticPr fontId="8"/>
  </si>
  <si>
    <t>future.interpolation</t>
    <phoneticPr fontId="8"/>
  </si>
  <si>
    <t>basis.interpolation</t>
    <phoneticPr fontId="8"/>
  </si>
  <si>
    <t>fn_linearinterpolation</t>
    <phoneticPr fontId="8"/>
  </si>
  <si>
    <t>basisfunction</t>
    <phoneticPr fontId="8"/>
  </si>
  <si>
    <t>fn_basisfunc2</t>
    <phoneticPr fontId="8"/>
  </si>
  <si>
    <t>daycount</t>
    <phoneticPr fontId="8"/>
  </si>
  <si>
    <t>act/365_isda</t>
    <phoneticPr fontId="8"/>
  </si>
  <si>
    <t>frequency</t>
    <phoneticPr fontId="8"/>
  </si>
  <si>
    <t>continuous</t>
    <phoneticPr fontId="8"/>
  </si>
  <si>
    <t>slidingrule</t>
    <phoneticPr fontId="8"/>
  </si>
  <si>
    <t>no_change</t>
    <phoneticPr fontId="8"/>
  </si>
  <si>
    <t>isspotuse</t>
    <phoneticPr fontId="8"/>
  </si>
  <si>
    <t>false</t>
    <phoneticPr fontId="8"/>
  </si>
  <si>
    <t>isswaptenoradjust</t>
    <phoneticPr fontId="8"/>
  </si>
  <si>
    <t>OIS</t>
    <phoneticPr fontId="8"/>
  </si>
  <si>
    <t>calendar</t>
    <phoneticPr fontId="8"/>
  </si>
  <si>
    <t>TKB</t>
    <phoneticPr fontId="8"/>
  </si>
  <si>
    <t>ACT/365</t>
    <phoneticPr fontId="8"/>
  </si>
  <si>
    <t>Annual</t>
    <phoneticPr fontId="8"/>
  </si>
  <si>
    <t>generatemethod</t>
    <phoneticPr fontId="8"/>
  </si>
  <si>
    <t>dailycompounding</t>
    <phoneticPr fontId="8"/>
  </si>
  <si>
    <t>resetlag</t>
    <phoneticPr fontId="8"/>
  </si>
  <si>
    <t>2d</t>
    <phoneticPr fontId="8"/>
  </si>
  <si>
    <t>MOD_FOLLOWING</t>
    <phoneticPr fontId="8"/>
  </si>
  <si>
    <t>JPYOIS</t>
    <phoneticPr fontId="8"/>
  </si>
  <si>
    <t>MarketData</t>
    <phoneticPr fontId="8"/>
  </si>
  <si>
    <t>Periodicity in Days</t>
  </si>
  <si>
    <t>Interpolation</t>
  </si>
  <si>
    <t>Compounding</t>
  </si>
  <si>
    <t>Normal</t>
  </si>
  <si>
    <t>Expiry Date</t>
  </si>
  <si>
    <t>Step</t>
  </si>
  <si>
    <t>mirSetUpOISCurve</t>
  </si>
  <si>
    <t>Compounding Type</t>
  </si>
  <si>
    <t>Geometric Averaging ( for SONIA, EONIA )</t>
  </si>
  <si>
    <t>Arithmetic Averaging ( FED Funds )</t>
  </si>
  <si>
    <t>Compounding but simple interest applied to spread</t>
  </si>
  <si>
    <t>Comment on Compounding Types</t>
  </si>
  <si>
    <t>Parameters</t>
  </si>
  <si>
    <t>fn_splineinterpolation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</si>
</sst>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%"/>
    <numFmt numFmtId="165" formatCode="0.0"/>
    <numFmt numFmtId="166" formatCode="0.000000000000000%"/>
    <numFmt numFmtId="167" formatCode="0.0000%"/>
  </numFmts>
  <fonts count="1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Geneva"/>
      <family val="2"/>
    </font>
    <font>
      <sz val="11"/>
      <name val="Times New Roman"/>
      <family val="1"/>
    </font>
    <font>
      <sz val="6"/>
      <name val="ＭＳ Ｐ明朝"/>
      <family val="1"/>
      <charset val="128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1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6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  <xf numFmtId="0" fontId="7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9" fillId="0" borderId="0" xfId="0" quotePrefix="1" applyFont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>
      <alignment vertical="center"/>
    </xf>
    <xf numFmtId="0" fontId="10" fillId="3" borderId="1" xfId="3" applyFont="1" applyFill="1" applyBorder="1">
      <alignment vertical="center"/>
    </xf>
    <xf numFmtId="0" fontId="10" fillId="3" borderId="2" xfId="3" applyFont="1" applyFill="1" applyBorder="1">
      <alignment vertical="center"/>
    </xf>
    <xf numFmtId="0" fontId="10" fillId="4" borderId="2" xfId="4" applyFont="1" applyFill="1" applyBorder="1"/>
    <xf numFmtId="0" fontId="10" fillId="4" borderId="2" xfId="3" applyFont="1" applyFill="1" applyBorder="1">
      <alignment vertical="center"/>
    </xf>
    <xf numFmtId="0" fontId="10" fillId="3" borderId="3" xfId="3" applyFont="1" applyFill="1" applyBorder="1">
      <alignment vertical="center"/>
    </xf>
    <xf numFmtId="38" fontId="10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8" fontId="10" fillId="5" borderId="1" xfId="1" applyFont="1" applyFill="1" applyBorder="1" applyAlignment="1">
      <alignment horizontal="center" vertical="center"/>
    </xf>
    <xf numFmtId="166" fontId="11" fillId="3" borderId="1" xfId="2" applyNumberFormat="1" applyFont="1" applyFill="1" applyBorder="1" applyAlignment="1">
      <alignment horizontal="center" vertical="center"/>
    </xf>
    <xf numFmtId="38" fontId="10" fillId="5" borderId="2" xfId="1" applyFont="1" applyFill="1" applyBorder="1" applyAlignment="1">
      <alignment horizontal="center" vertical="center"/>
    </xf>
    <xf numFmtId="166" fontId="11" fillId="3" borderId="2" xfId="2" applyNumberFormat="1" applyFont="1" applyFill="1" applyBorder="1" applyAlignment="1">
      <alignment horizontal="center" vertical="center"/>
    </xf>
    <xf numFmtId="38" fontId="10" fillId="5" borderId="3" xfId="1" applyFont="1" applyFill="1" applyBorder="1" applyAlignment="1">
      <alignment horizontal="center" vertical="center"/>
    </xf>
    <xf numFmtId="166" fontId="11" fillId="3" borderId="3" xfId="2" applyNumberFormat="1" applyFont="1" applyFill="1" applyBorder="1" applyAlignment="1">
      <alignment horizontal="center" vertical="center"/>
    </xf>
    <xf numFmtId="38" fontId="12" fillId="0" borderId="0" xfId="1" applyFont="1" applyFill="1" applyBorder="1" applyAlignment="1">
      <alignment horizontal="left" vertical="center"/>
    </xf>
    <xf numFmtId="166" fontId="10" fillId="5" borderId="4" xfId="2" applyNumberFormat="1" applyFont="1" applyFill="1" applyBorder="1" applyAlignment="1">
      <alignment horizontal="left" vertical="center"/>
    </xf>
    <xf numFmtId="166" fontId="10" fillId="5" borderId="6" xfId="2" applyNumberFormat="1" applyFont="1" applyFill="1" applyBorder="1" applyAlignment="1">
      <alignment horizontal="left" vertical="center"/>
    </xf>
    <xf numFmtId="166" fontId="10" fillId="5" borderId="8" xfId="2" applyNumberFormat="1" applyFont="1" applyFill="1" applyBorder="1" applyAlignment="1">
      <alignment horizontal="left" vertical="center"/>
    </xf>
    <xf numFmtId="38" fontId="10" fillId="0" borderId="0" xfId="1" applyFont="1" applyFill="1" applyBorder="1" applyAlignment="1">
      <alignment horizontal="left" vertical="center"/>
    </xf>
    <xf numFmtId="15" fontId="10" fillId="5" borderId="2" xfId="3" applyNumberFormat="1" applyFont="1" applyFill="1" applyBorder="1" applyAlignment="1">
      <alignment horizontal="center" vertical="center"/>
    </xf>
    <xf numFmtId="165" fontId="10" fillId="5" borderId="3" xfId="1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0" fillId="0" borderId="0" xfId="5" applyFont="1" applyFill="1" applyAlignment="1">
      <alignment vertical="center"/>
    </xf>
    <xf numFmtId="0" fontId="10" fillId="3" borderId="4" xfId="5" applyFont="1" applyFill="1" applyBorder="1" applyAlignment="1">
      <alignment vertical="center"/>
    </xf>
    <xf numFmtId="0" fontId="10" fillId="3" borderId="5" xfId="5" applyFont="1" applyFill="1" applyBorder="1" applyAlignment="1">
      <alignment horizontal="center" vertical="center"/>
    </xf>
    <xf numFmtId="0" fontId="11" fillId="3" borderId="8" xfId="5" quotePrefix="1" applyFont="1" applyFill="1" applyBorder="1" applyAlignment="1" applyProtection="1">
      <alignment vertical="center"/>
      <protection locked="0"/>
    </xf>
    <xf numFmtId="0" fontId="12" fillId="3" borderId="9" xfId="5" applyFont="1" applyFill="1" applyBorder="1" applyAlignment="1">
      <alignment horizontal="center" vertical="center"/>
    </xf>
    <xf numFmtId="0" fontId="10" fillId="0" borderId="0" xfId="5" applyFont="1" applyFill="1" applyBorder="1" applyAlignment="1">
      <alignment vertical="center"/>
    </xf>
    <xf numFmtId="0" fontId="10" fillId="0" borderId="0" xfId="5" applyFont="1" applyFill="1" applyBorder="1" applyAlignment="1">
      <alignment horizontal="center" vertical="center"/>
    </xf>
    <xf numFmtId="0" fontId="10" fillId="0" borderId="1" xfId="5" applyFont="1" applyFill="1" applyBorder="1" applyAlignment="1">
      <alignment vertical="center"/>
    </xf>
    <xf numFmtId="14" fontId="10" fillId="0" borderId="1" xfId="5" applyNumberFormat="1" applyFont="1" applyFill="1" applyBorder="1" applyAlignment="1">
      <alignment horizontal="center" vertical="center"/>
    </xf>
    <xf numFmtId="14" fontId="10" fillId="0" borderId="0" xfId="5" applyNumberFormat="1" applyFont="1" applyFill="1" applyBorder="1" applyAlignment="1">
      <alignment horizontal="center" vertical="center"/>
    </xf>
    <xf numFmtId="0" fontId="10" fillId="0" borderId="2" xfId="5" applyFont="1" applyFill="1" applyBorder="1" applyAlignment="1">
      <alignment vertical="center"/>
    </xf>
    <xf numFmtId="15" fontId="10" fillId="0" borderId="2" xfId="5" applyNumberFormat="1" applyFont="1" applyFill="1" applyBorder="1" applyAlignment="1">
      <alignment horizontal="center" vertical="center"/>
    </xf>
    <xf numFmtId="14" fontId="10" fillId="0" borderId="2" xfId="5" applyNumberFormat="1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vertical="center"/>
    </xf>
    <xf numFmtId="14" fontId="10" fillId="0" borderId="3" xfId="5" applyNumberFormat="1" applyFont="1" applyFill="1" applyBorder="1" applyAlignment="1">
      <alignment horizontal="center" vertical="center"/>
    </xf>
    <xf numFmtId="164" fontId="10" fillId="0" borderId="2" xfId="5" applyNumberFormat="1" applyFont="1" applyFill="1" applyBorder="1" applyAlignment="1">
      <alignment horizontal="center" vertical="center"/>
    </xf>
    <xf numFmtId="164" fontId="10" fillId="0" borderId="3" xfId="5" applyNumberFormat="1" applyFont="1" applyFill="1" applyBorder="1" applyAlignment="1">
      <alignment horizontal="center" vertical="center"/>
    </xf>
    <xf numFmtId="15" fontId="10" fillId="0" borderId="3" xfId="5" applyNumberFormat="1" applyFont="1" applyFill="1" applyBorder="1" applyAlignment="1">
      <alignment horizontal="center" vertical="center"/>
    </xf>
    <xf numFmtId="0" fontId="12" fillId="2" borderId="0" xfId="5" applyFont="1" applyFill="1" applyAlignment="1">
      <alignment vertical="center"/>
    </xf>
    <xf numFmtId="0" fontId="12" fillId="0" borderId="0" xfId="5" applyFont="1" applyFill="1" applyBorder="1" applyAlignment="1">
      <alignment vertical="center"/>
    </xf>
    <xf numFmtId="0" fontId="10" fillId="0" borderId="1" xfId="5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/>
    </xf>
    <xf numFmtId="15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</cellXfs>
  <cellStyles count="6">
    <cellStyle name="Comma [0]" xfId="1" builtinId="6"/>
    <cellStyle name="Normal" xfId="0" builtinId="0"/>
    <cellStyle name="Percent" xfId="2" builtinId="5"/>
    <cellStyle name="標準_DegitalOption_test" xfId="4"/>
    <cellStyle name="標準_Input_OutPut20060417" xfId="5"/>
    <cellStyle name="標準_VanillaSheetSample" xfId="3"/>
  </cellStyles>
  <dxfs count="0"/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Chart!$B$7:$B$146</c:f>
              <c:numCache>
                <c:formatCode>d\-mmm\-yy</c:formatCode>
                <c:ptCount val="140"/>
                <c:pt idx="0">
                  <c:v>42250</c:v>
                </c:pt>
                <c:pt idx="1">
                  <c:v>42260</c:v>
                </c:pt>
                <c:pt idx="2">
                  <c:v>42270</c:v>
                </c:pt>
                <c:pt idx="3">
                  <c:v>42280</c:v>
                </c:pt>
                <c:pt idx="4">
                  <c:v>42290</c:v>
                </c:pt>
                <c:pt idx="5">
                  <c:v>42300</c:v>
                </c:pt>
                <c:pt idx="6">
                  <c:v>42310</c:v>
                </c:pt>
                <c:pt idx="7">
                  <c:v>42320</c:v>
                </c:pt>
                <c:pt idx="8">
                  <c:v>42330</c:v>
                </c:pt>
                <c:pt idx="9">
                  <c:v>42340</c:v>
                </c:pt>
                <c:pt idx="10">
                  <c:v>42350</c:v>
                </c:pt>
                <c:pt idx="11">
                  <c:v>42360</c:v>
                </c:pt>
                <c:pt idx="12">
                  <c:v>42370</c:v>
                </c:pt>
                <c:pt idx="13">
                  <c:v>42380</c:v>
                </c:pt>
                <c:pt idx="14">
                  <c:v>42390</c:v>
                </c:pt>
                <c:pt idx="15">
                  <c:v>42400</c:v>
                </c:pt>
                <c:pt idx="16">
                  <c:v>42410</c:v>
                </c:pt>
                <c:pt idx="17">
                  <c:v>42420</c:v>
                </c:pt>
                <c:pt idx="18">
                  <c:v>42430</c:v>
                </c:pt>
                <c:pt idx="19">
                  <c:v>42440</c:v>
                </c:pt>
                <c:pt idx="20">
                  <c:v>42450</c:v>
                </c:pt>
                <c:pt idx="21">
                  <c:v>42460</c:v>
                </c:pt>
                <c:pt idx="22">
                  <c:v>42470</c:v>
                </c:pt>
                <c:pt idx="23">
                  <c:v>42480</c:v>
                </c:pt>
                <c:pt idx="24">
                  <c:v>42490</c:v>
                </c:pt>
                <c:pt idx="25">
                  <c:v>42500</c:v>
                </c:pt>
                <c:pt idx="26">
                  <c:v>42510</c:v>
                </c:pt>
                <c:pt idx="27">
                  <c:v>42520</c:v>
                </c:pt>
                <c:pt idx="28">
                  <c:v>42530</c:v>
                </c:pt>
                <c:pt idx="29">
                  <c:v>42540</c:v>
                </c:pt>
                <c:pt idx="30">
                  <c:v>42550</c:v>
                </c:pt>
                <c:pt idx="31">
                  <c:v>42560</c:v>
                </c:pt>
                <c:pt idx="32">
                  <c:v>42570</c:v>
                </c:pt>
                <c:pt idx="33">
                  <c:v>42580</c:v>
                </c:pt>
                <c:pt idx="34">
                  <c:v>42590</c:v>
                </c:pt>
                <c:pt idx="35">
                  <c:v>42600</c:v>
                </c:pt>
                <c:pt idx="36">
                  <c:v>42610</c:v>
                </c:pt>
                <c:pt idx="37">
                  <c:v>42620</c:v>
                </c:pt>
                <c:pt idx="38">
                  <c:v>42630</c:v>
                </c:pt>
                <c:pt idx="39">
                  <c:v>42640</c:v>
                </c:pt>
                <c:pt idx="40">
                  <c:v>42650</c:v>
                </c:pt>
                <c:pt idx="41">
                  <c:v>42660</c:v>
                </c:pt>
                <c:pt idx="42">
                  <c:v>42670</c:v>
                </c:pt>
                <c:pt idx="43">
                  <c:v>42680</c:v>
                </c:pt>
                <c:pt idx="44">
                  <c:v>42690</c:v>
                </c:pt>
                <c:pt idx="45">
                  <c:v>42700</c:v>
                </c:pt>
                <c:pt idx="46">
                  <c:v>42710</c:v>
                </c:pt>
                <c:pt idx="47">
                  <c:v>42720</c:v>
                </c:pt>
                <c:pt idx="48">
                  <c:v>42730</c:v>
                </c:pt>
                <c:pt idx="49">
                  <c:v>42740</c:v>
                </c:pt>
                <c:pt idx="50">
                  <c:v>42750</c:v>
                </c:pt>
                <c:pt idx="51">
                  <c:v>42760</c:v>
                </c:pt>
                <c:pt idx="52">
                  <c:v>42770</c:v>
                </c:pt>
                <c:pt idx="53">
                  <c:v>42780</c:v>
                </c:pt>
                <c:pt idx="54">
                  <c:v>42790</c:v>
                </c:pt>
                <c:pt idx="55">
                  <c:v>42800</c:v>
                </c:pt>
                <c:pt idx="56">
                  <c:v>42810</c:v>
                </c:pt>
                <c:pt idx="57">
                  <c:v>42820</c:v>
                </c:pt>
                <c:pt idx="58">
                  <c:v>42830</c:v>
                </c:pt>
                <c:pt idx="59">
                  <c:v>42840</c:v>
                </c:pt>
                <c:pt idx="60">
                  <c:v>42850</c:v>
                </c:pt>
                <c:pt idx="61">
                  <c:v>42860</c:v>
                </c:pt>
                <c:pt idx="62">
                  <c:v>42870</c:v>
                </c:pt>
                <c:pt idx="63">
                  <c:v>42880</c:v>
                </c:pt>
                <c:pt idx="64">
                  <c:v>42890</c:v>
                </c:pt>
                <c:pt idx="65">
                  <c:v>42900</c:v>
                </c:pt>
                <c:pt idx="66">
                  <c:v>42910</c:v>
                </c:pt>
                <c:pt idx="67">
                  <c:v>42920</c:v>
                </c:pt>
                <c:pt idx="68">
                  <c:v>42930</c:v>
                </c:pt>
                <c:pt idx="69">
                  <c:v>42940</c:v>
                </c:pt>
                <c:pt idx="70">
                  <c:v>42950</c:v>
                </c:pt>
                <c:pt idx="71">
                  <c:v>42960</c:v>
                </c:pt>
                <c:pt idx="72">
                  <c:v>42970</c:v>
                </c:pt>
                <c:pt idx="73">
                  <c:v>42980</c:v>
                </c:pt>
                <c:pt idx="74">
                  <c:v>42990</c:v>
                </c:pt>
                <c:pt idx="75">
                  <c:v>43000</c:v>
                </c:pt>
                <c:pt idx="76">
                  <c:v>43010</c:v>
                </c:pt>
                <c:pt idx="77">
                  <c:v>43020</c:v>
                </c:pt>
                <c:pt idx="78">
                  <c:v>43030</c:v>
                </c:pt>
                <c:pt idx="79">
                  <c:v>43040</c:v>
                </c:pt>
                <c:pt idx="80">
                  <c:v>43050</c:v>
                </c:pt>
                <c:pt idx="81">
                  <c:v>43060</c:v>
                </c:pt>
                <c:pt idx="82">
                  <c:v>43070</c:v>
                </c:pt>
                <c:pt idx="83">
                  <c:v>43080</c:v>
                </c:pt>
                <c:pt idx="84">
                  <c:v>43090</c:v>
                </c:pt>
                <c:pt idx="85">
                  <c:v>43100</c:v>
                </c:pt>
                <c:pt idx="86">
                  <c:v>43110</c:v>
                </c:pt>
                <c:pt idx="87">
                  <c:v>43120</c:v>
                </c:pt>
                <c:pt idx="88">
                  <c:v>43130</c:v>
                </c:pt>
                <c:pt idx="89">
                  <c:v>43140</c:v>
                </c:pt>
                <c:pt idx="90">
                  <c:v>43150</c:v>
                </c:pt>
                <c:pt idx="91">
                  <c:v>43160</c:v>
                </c:pt>
                <c:pt idx="92">
                  <c:v>43170</c:v>
                </c:pt>
                <c:pt idx="93">
                  <c:v>43180</c:v>
                </c:pt>
                <c:pt idx="94">
                  <c:v>43190</c:v>
                </c:pt>
                <c:pt idx="95">
                  <c:v>43200</c:v>
                </c:pt>
                <c:pt idx="96">
                  <c:v>43210</c:v>
                </c:pt>
                <c:pt idx="97">
                  <c:v>43220</c:v>
                </c:pt>
                <c:pt idx="98">
                  <c:v>43230</c:v>
                </c:pt>
                <c:pt idx="99">
                  <c:v>43240</c:v>
                </c:pt>
                <c:pt idx="100">
                  <c:v>43250</c:v>
                </c:pt>
                <c:pt idx="101">
                  <c:v>43260</c:v>
                </c:pt>
                <c:pt idx="102">
                  <c:v>43270</c:v>
                </c:pt>
                <c:pt idx="103">
                  <c:v>43280</c:v>
                </c:pt>
                <c:pt idx="104">
                  <c:v>43290</c:v>
                </c:pt>
                <c:pt idx="105">
                  <c:v>43300</c:v>
                </c:pt>
                <c:pt idx="106">
                  <c:v>43310</c:v>
                </c:pt>
                <c:pt idx="107">
                  <c:v>43320</c:v>
                </c:pt>
                <c:pt idx="108">
                  <c:v>43330</c:v>
                </c:pt>
                <c:pt idx="109">
                  <c:v>43340</c:v>
                </c:pt>
                <c:pt idx="110">
                  <c:v>43350</c:v>
                </c:pt>
                <c:pt idx="111">
                  <c:v>43360</c:v>
                </c:pt>
                <c:pt idx="112">
                  <c:v>43370</c:v>
                </c:pt>
                <c:pt idx="113">
                  <c:v>43380</c:v>
                </c:pt>
                <c:pt idx="114">
                  <c:v>43390</c:v>
                </c:pt>
                <c:pt idx="115">
                  <c:v>43400</c:v>
                </c:pt>
                <c:pt idx="116">
                  <c:v>43410</c:v>
                </c:pt>
                <c:pt idx="117">
                  <c:v>43420</c:v>
                </c:pt>
                <c:pt idx="118">
                  <c:v>43430</c:v>
                </c:pt>
                <c:pt idx="119">
                  <c:v>43440</c:v>
                </c:pt>
                <c:pt idx="120">
                  <c:v>43450</c:v>
                </c:pt>
                <c:pt idx="121">
                  <c:v>43460</c:v>
                </c:pt>
                <c:pt idx="122">
                  <c:v>43470</c:v>
                </c:pt>
                <c:pt idx="123">
                  <c:v>43480</c:v>
                </c:pt>
                <c:pt idx="124">
                  <c:v>43490</c:v>
                </c:pt>
                <c:pt idx="125">
                  <c:v>43500</c:v>
                </c:pt>
                <c:pt idx="126">
                  <c:v>43510</c:v>
                </c:pt>
                <c:pt idx="127">
                  <c:v>43520</c:v>
                </c:pt>
                <c:pt idx="128">
                  <c:v>43530</c:v>
                </c:pt>
                <c:pt idx="129">
                  <c:v>43540</c:v>
                </c:pt>
                <c:pt idx="130">
                  <c:v>43550</c:v>
                </c:pt>
                <c:pt idx="131">
                  <c:v>43560</c:v>
                </c:pt>
                <c:pt idx="132">
                  <c:v>43570</c:v>
                </c:pt>
                <c:pt idx="133">
                  <c:v>43580</c:v>
                </c:pt>
                <c:pt idx="134">
                  <c:v>43590</c:v>
                </c:pt>
                <c:pt idx="135">
                  <c:v>43600</c:v>
                </c:pt>
                <c:pt idx="136">
                  <c:v>43610</c:v>
                </c:pt>
                <c:pt idx="137">
                  <c:v>43620</c:v>
                </c:pt>
                <c:pt idx="138">
                  <c:v>43630</c:v>
                </c:pt>
                <c:pt idx="139">
                  <c:v>43640</c:v>
                </c:pt>
              </c:numCache>
            </c:numRef>
          </c:cat>
          <c:val>
            <c:numRef>
              <c:f>Chart!$C$7:$C$146</c:f>
              <c:numCache>
                <c:formatCode>0.0000%</c:formatCode>
                <c:ptCount val="140"/>
                <c:pt idx="0">
                  <c:v>2.1575537974882764E-5</c:v>
                </c:pt>
                <c:pt idx="1">
                  <c:v>4.5309154836026266E-5</c:v>
                </c:pt>
                <c:pt idx="2">
                  <c:v>6.688561451739794E-5</c:v>
                </c:pt>
                <c:pt idx="3">
                  <c:v>8.7982470889924613E-5</c:v>
                </c:pt>
                <c:pt idx="4">
                  <c:v>1.0332591267570024E-4</c:v>
                </c:pt>
                <c:pt idx="5">
                  <c:v>1.2250556249271405E-4</c:v>
                </c:pt>
                <c:pt idx="6">
                  <c:v>1.4072659778219254E-4</c:v>
                </c:pt>
                <c:pt idx="7">
                  <c:v>1.5853697733714256E-4</c:v>
                </c:pt>
                <c:pt idx="8">
                  <c:v>1.7990983814031303E-4</c:v>
                </c:pt>
                <c:pt idx="9">
                  <c:v>1.9333663489806696E-4</c:v>
                </c:pt>
                <c:pt idx="10">
                  <c:v>2.1306613503546679E-4</c:v>
                </c:pt>
                <c:pt idx="11">
                  <c:v>2.2621935403921434E-4</c:v>
                </c:pt>
                <c:pt idx="12">
                  <c:v>2.4663460198470766E-4</c:v>
                </c:pt>
                <c:pt idx="13">
                  <c:v>2.5869215047436001E-4</c:v>
                </c:pt>
                <c:pt idx="14">
                  <c:v>2.7225707477840366E-4</c:v>
                </c:pt>
                <c:pt idx="15">
                  <c:v>2.8428068267638551E-4</c:v>
                </c:pt>
                <c:pt idx="16">
                  <c:v>3.0195666544030608E-4</c:v>
                </c:pt>
                <c:pt idx="17">
                  <c:v>3.1963295838632888E-4</c:v>
                </c:pt>
                <c:pt idx="18">
                  <c:v>3.3141733411756746E-4</c:v>
                </c:pt>
                <c:pt idx="19">
                  <c:v>3.4614802939092471E-4</c:v>
                </c:pt>
                <c:pt idx="20">
                  <c:v>3.6235203237144908E-4</c:v>
                </c:pt>
                <c:pt idx="21">
                  <c:v>3.7561004914032914E-4</c:v>
                </c:pt>
                <c:pt idx="22">
                  <c:v>3.9181448884462178E-4</c:v>
                </c:pt>
                <c:pt idx="23">
                  <c:v>4.0507286616309202E-4</c:v>
                </c:pt>
                <c:pt idx="24">
                  <c:v>4.1685823723702775E-4</c:v>
                </c:pt>
                <c:pt idx="25">
                  <c:v>4.3453654955927234E-4</c:v>
                </c:pt>
                <c:pt idx="26">
                  <c:v>4.4926873573669646E-4</c:v>
                </c:pt>
                <c:pt idx="27">
                  <c:v>4.6400113234867923E-4</c:v>
                </c:pt>
                <c:pt idx="28">
                  <c:v>4.7873375562024201E-4</c:v>
                </c:pt>
                <c:pt idx="29">
                  <c:v>4.9493988593840577E-4</c:v>
                </c:pt>
                <c:pt idx="30">
                  <c:v>5.0819964650727911E-4</c:v>
                </c:pt>
                <c:pt idx="31">
                  <c:v>5.2587960076633244E-4</c:v>
                </c:pt>
                <c:pt idx="32">
                  <c:v>5.3766640643893027E-4</c:v>
                </c:pt>
                <c:pt idx="33">
                  <c:v>5.5240011855817173E-4</c:v>
                </c:pt>
                <c:pt idx="34">
                  <c:v>5.6713403977726173E-4</c:v>
                </c:pt>
                <c:pt idx="35">
                  <c:v>5.8186818230421267E-4</c:v>
                </c:pt>
                <c:pt idx="36">
                  <c:v>5.9807598621475222E-4</c:v>
                </c:pt>
                <c:pt idx="37">
                  <c:v>6.1133711610716901E-4</c:v>
                </c:pt>
                <c:pt idx="38">
                  <c:v>6.3049238166157373E-4</c:v>
                </c:pt>
                <c:pt idx="39">
                  <c:v>6.4080690914480876E-4</c:v>
                </c:pt>
                <c:pt idx="40">
                  <c:v>6.5577795876370359E-4</c:v>
                </c:pt>
                <c:pt idx="41">
                  <c:v>6.7142072425507848E-4</c:v>
                </c:pt>
                <c:pt idx="42">
                  <c:v>6.8772993734111942E-4</c:v>
                </c:pt>
                <c:pt idx="43">
                  <c:v>7.064141464194762E-4</c:v>
                </c:pt>
                <c:pt idx="44">
                  <c:v>7.2225602745668027E-4</c:v>
                </c:pt>
                <c:pt idx="45">
                  <c:v>7.4410908484123794E-4</c:v>
                </c:pt>
                <c:pt idx="46">
                  <c:v>7.59110217366743E-4</c:v>
                </c:pt>
                <c:pt idx="47">
                  <c:v>7.7830605602358105E-4</c:v>
                </c:pt>
                <c:pt idx="48">
                  <c:v>7.9794623204043624E-4</c:v>
                </c:pt>
                <c:pt idx="49">
                  <c:v>8.1799945813787467E-4</c:v>
                </c:pt>
                <c:pt idx="50">
                  <c:v>8.4045688570211219E-4</c:v>
                </c:pt>
                <c:pt idx="51">
                  <c:v>8.5905362618077241E-4</c:v>
                </c:pt>
                <c:pt idx="52">
                  <c:v>8.8405468891683547E-4</c:v>
                </c:pt>
                <c:pt idx="53">
                  <c:v>9.007865486685418E-4</c:v>
                </c:pt>
                <c:pt idx="54">
                  <c:v>9.2169162019284379E-4</c:v>
                </c:pt>
                <c:pt idx="55">
                  <c:v>9.425101877209574E-4</c:v>
                </c:pt>
                <c:pt idx="56">
                  <c:v>9.6321867071003098E-4</c:v>
                </c:pt>
                <c:pt idx="57">
                  <c:v>9.858611040398646E-4</c:v>
                </c:pt>
                <c:pt idx="58">
                  <c:v>1.0042730304358205E-3</c:v>
                </c:pt>
                <c:pt idx="59">
                  <c:v>1.028653100877408E-3</c:v>
                </c:pt>
                <c:pt idx="60">
                  <c:v>1.0448147213240055E-3</c:v>
                </c:pt>
                <c:pt idx="61">
                  <c:v>1.0709659380487846E-3</c:v>
                </c:pt>
                <c:pt idx="62">
                  <c:v>1.0849738842040324E-3</c:v>
                </c:pt>
                <c:pt idx="63">
                  <c:v>1.1048745728219345E-3</c:v>
                </c:pt>
                <c:pt idx="64">
                  <c:v>1.1265877641615241E-3</c:v>
                </c:pt>
                <c:pt idx="65">
                  <c:v>1.1441920318819854E-3</c:v>
                </c:pt>
                <c:pt idx="66">
                  <c:v>1.1674049748719995E-3</c:v>
                </c:pt>
                <c:pt idx="67">
                  <c:v>1.1826960454603963E-3</c:v>
                </c:pt>
                <c:pt idx="68">
                  <c:v>1.2015799134623695E-3</c:v>
                </c:pt>
                <c:pt idx="69">
                  <c:v>1.2201846969857044E-3</c:v>
                </c:pt>
                <c:pt idx="70">
                  <c:v>1.2384851478925984E-3</c:v>
                </c:pt>
                <c:pt idx="71">
                  <c:v>1.2582340022022631E-3</c:v>
                </c:pt>
                <c:pt idx="72">
                  <c:v>1.2740720436574815E-3</c:v>
                </c:pt>
                <c:pt idx="73">
                  <c:v>1.2947230831956702E-3</c:v>
                </c:pt>
                <c:pt idx="74">
                  <c:v>1.308219740544958E-3</c:v>
                </c:pt>
                <c:pt idx="75">
                  <c:v>1.3248272013124396E-3</c:v>
                </c:pt>
                <c:pt idx="76">
                  <c:v>1.3411847586204395E-3</c:v>
                </c:pt>
                <c:pt idx="77">
                  <c:v>1.3573381897427073E-3</c:v>
                </c:pt>
                <c:pt idx="78">
                  <c:v>1.374925840994301E-3</c:v>
                </c:pt>
                <c:pt idx="79">
                  <c:v>1.3892158133748111E-3</c:v>
                </c:pt>
                <c:pt idx="80">
                  <c:v>1.4081907657859105E-3</c:v>
                </c:pt>
                <c:pt idx="81">
                  <c:v>1.420826411749454E-3</c:v>
                </c:pt>
                <c:pt idx="82">
                  <c:v>1.4366460832051509E-3</c:v>
                </c:pt>
                <c:pt idx="83">
                  <c:v>1.452536418026229E-3</c:v>
                </c:pt>
                <c:pt idx="84">
                  <c:v>1.4685432348866545E-3</c:v>
                </c:pt>
                <c:pt idx="85">
                  <c:v>1.481463349369605E-3</c:v>
                </c:pt>
                <c:pt idx="86">
                  <c:v>1.5010896191602896E-3</c:v>
                </c:pt>
                <c:pt idx="87">
                  <c:v>1.5210816120638793E-3</c:v>
                </c:pt>
                <c:pt idx="88">
                  <c:v>1.5346519064580733E-3</c:v>
                </c:pt>
                <c:pt idx="89">
                  <c:v>1.5519286262586363E-3</c:v>
                </c:pt>
                <c:pt idx="90">
                  <c:v>1.5695968704514396E-3</c:v>
                </c:pt>
                <c:pt idx="91">
                  <c:v>1.5877025033190773E-3</c:v>
                </c:pt>
                <c:pt idx="92">
                  <c:v>1.6081786318422608E-3</c:v>
                </c:pt>
                <c:pt idx="93">
                  <c:v>1.6273521039305017E-3</c:v>
                </c:pt>
                <c:pt idx="94">
                  <c:v>1.6431060041366408E-3</c:v>
                </c:pt>
                <c:pt idx="95">
                  <c:v>1.6654164857889953E-3</c:v>
                </c:pt>
                <c:pt idx="96">
                  <c:v>1.6863973113638853E-3</c:v>
                </c:pt>
                <c:pt idx="97">
                  <c:v>1.7015052443418721E-3</c:v>
                </c:pt>
                <c:pt idx="98">
                  <c:v>1.7305431478464861E-3</c:v>
                </c:pt>
                <c:pt idx="99">
                  <c:v>1.7561717384413367E-3</c:v>
                </c:pt>
                <c:pt idx="100">
                  <c:v>1.7779074798636163E-3</c:v>
                </c:pt>
                <c:pt idx="101">
                  <c:v>1.8080238995665798E-3</c:v>
                </c:pt>
                <c:pt idx="102">
                  <c:v>1.8288579793734883E-3</c:v>
                </c:pt>
                <c:pt idx="103">
                  <c:v>1.8557929992153444E-3</c:v>
                </c:pt>
                <c:pt idx="104">
                  <c:v>1.8837625396963542E-3</c:v>
                </c:pt>
                <c:pt idx="105">
                  <c:v>1.912812626612137E-3</c:v>
                </c:pt>
                <c:pt idx="106">
                  <c:v>1.9460707065035443E-3</c:v>
                </c:pt>
                <c:pt idx="107">
                  <c:v>1.9743386311668054E-3</c:v>
                </c:pt>
                <c:pt idx="108">
                  <c:v>2.0135706083259652E-3</c:v>
                </c:pt>
                <c:pt idx="109">
                  <c:v>2.0407388608454369E-3</c:v>
                </c:pt>
                <c:pt idx="110">
                  <c:v>2.075852316913096E-3</c:v>
                </c:pt>
                <c:pt idx="111">
                  <c:v>2.1159336763465486E-3</c:v>
                </c:pt>
                <c:pt idx="112">
                  <c:v>2.1498427735766601E-3</c:v>
                </c:pt>
                <c:pt idx="113">
                  <c:v>2.1965868156295087E-3</c:v>
                </c:pt>
                <c:pt idx="114">
                  <c:v>2.2287052102665239E-3</c:v>
                </c:pt>
                <c:pt idx="115">
                  <c:v>2.2782883107936858E-3</c:v>
                </c:pt>
                <c:pt idx="116">
                  <c:v>2.3122643601949378E-3</c:v>
                </c:pt>
                <c:pt idx="117">
                  <c:v>2.3557504369591253E-3</c:v>
                </c:pt>
                <c:pt idx="118">
                  <c:v>2.4003449739800065E-3</c:v>
                </c:pt>
                <c:pt idx="119">
                  <c:v>2.4460260651477661E-3</c:v>
                </c:pt>
                <c:pt idx="120">
                  <c:v>2.4975040894119616E-3</c:v>
                </c:pt>
                <c:pt idx="121">
                  <c:v>2.5405602804922101E-3</c:v>
                </c:pt>
                <c:pt idx="122">
                  <c:v>2.5992520183291123E-3</c:v>
                </c:pt>
                <c:pt idx="123">
                  <c:v>2.6391778076064742E-3</c:v>
                </c:pt>
                <c:pt idx="124">
                  <c:v>2.6899630298988786E-3</c:v>
                </c:pt>
                <c:pt idx="125">
                  <c:v>2.7417033345014108E-3</c:v>
                </c:pt>
                <c:pt idx="126">
                  <c:v>2.7943767993905411E-3</c:v>
                </c:pt>
                <c:pt idx="127">
                  <c:v>2.8533692420475987E-3</c:v>
                </c:pt>
                <c:pt idx="128">
                  <c:v>2.9024355014724001E-3</c:v>
                </c:pt>
                <c:pt idx="129">
                  <c:v>2.9689473008041034E-3</c:v>
                </c:pt>
                <c:pt idx="130">
                  <c:v>3.0139636724970664E-3</c:v>
                </c:pt>
                <c:pt idx="131">
                  <c:v>3.070973954072409E-3</c:v>
                </c:pt>
                <c:pt idx="132">
                  <c:v>3.1287857656892015E-3</c:v>
                </c:pt>
                <c:pt idx="133">
                  <c:v>3.1873771490562586E-3</c:v>
                </c:pt>
                <c:pt idx="134">
                  <c:v>3.2586849166802434E-3</c:v>
                </c:pt>
                <c:pt idx="135">
                  <c:v>3.3068107642817424E-3</c:v>
                </c:pt>
                <c:pt idx="136">
                  <c:v>3.3798524050516754E-3</c:v>
                </c:pt>
                <c:pt idx="137">
                  <c:v>3.4290989943475125E-3</c:v>
                </c:pt>
                <c:pt idx="138">
                  <c:v>3.4912586176227833E-3</c:v>
                </c:pt>
                <c:pt idx="139">
                  <c:v>3.5540659116797269E-3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61440"/>
        <c:axId val="124885632"/>
      </c:lineChart>
      <c:dateAx>
        <c:axId val="1248614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crossAx val="124885632"/>
        <c:crosses val="autoZero"/>
        <c:auto val="1"/>
        <c:lblOffset val="100"/>
        <c:baseTimeUnit val="days"/>
      </c:dateAx>
      <c:valAx>
        <c:axId val="124885632"/>
        <c:scaling>
          <c:orientation val="minMax"/>
        </c:scaling>
        <c:delete val="0"/>
        <c:axPos val="l"/>
        <c:majorGridlines/>
        <c:numFmt formatCode="0.0000%" sourceLinked="1"/>
        <c:majorTickMark val="out"/>
        <c:minorTickMark val="none"/>
        <c:tickLblPos val="nextTo"/>
        <c:crossAx val="124861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6</xdr:row>
      <xdr:rowOff>9524</xdr:rowOff>
    </xdr:from>
    <xdr:to>
      <xdr:col>13</xdr:col>
      <xdr:colOff>600074</xdr:colOff>
      <xdr:row>30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3"/>
  <sheetViews>
    <sheetView showGridLines="0" workbookViewId="0"/>
  </sheetViews>
  <sheetFormatPr defaultRowHeight="15"/>
  <cols>
    <col min="1" max="1" width="2.42578125" style="1" customWidth="1"/>
    <col min="2" max="2" width="24.42578125" style="1" customWidth="1"/>
    <col min="3" max="3" width="22.28515625" style="1" customWidth="1"/>
    <col min="4" max="4" width="15.140625" style="1" customWidth="1"/>
    <col min="5" max="5" width="13.7109375" style="1" customWidth="1"/>
    <col min="6" max="6" width="9.140625" style="1" customWidth="1"/>
    <col min="7" max="16384" width="9.140625" style="1"/>
  </cols>
  <sheetData>
    <row r="2" spans="2:6">
      <c r="B2" s="45" t="s">
        <v>105</v>
      </c>
      <c r="D2" s="26"/>
      <c r="E2" s="26"/>
      <c r="F2" s="27"/>
    </row>
    <row r="3" spans="2:6">
      <c r="B3" s="28" t="s">
        <v>113</v>
      </c>
      <c r="C3" s="29"/>
      <c r="D3" s="26"/>
      <c r="E3" s="27"/>
      <c r="F3" s="27"/>
    </row>
    <row r="4" spans="2:6">
      <c r="B4" s="30" t="str">
        <f ca="1">_xll.mirSetUpOISCurve($C$7,B2,B8:C19,B22:C27,B31:E71,B2)</f>
        <v>JPYOIS OIS Curve has been set</v>
      </c>
      <c r="C4" s="31"/>
      <c r="D4" s="26"/>
      <c r="E4" s="27"/>
      <c r="F4" s="27"/>
    </row>
    <row r="5" spans="2:6">
      <c r="D5" s="26"/>
      <c r="E5" s="27"/>
      <c r="F5" s="26"/>
    </row>
    <row r="6" spans="2:6">
      <c r="B6" s="46" t="s">
        <v>74</v>
      </c>
      <c r="C6" s="33"/>
      <c r="D6" s="33"/>
      <c r="E6" s="33"/>
      <c r="F6" s="26"/>
    </row>
    <row r="7" spans="2:6">
      <c r="B7" s="34" t="s">
        <v>30</v>
      </c>
      <c r="C7" s="35" t="s">
        <v>8</v>
      </c>
      <c r="D7" s="36"/>
      <c r="E7" s="36"/>
      <c r="F7" s="26"/>
    </row>
    <row r="8" spans="2:6">
      <c r="B8" s="37" t="s">
        <v>75</v>
      </c>
      <c r="C8" s="38">
        <f ca="1">TODAY()</f>
        <v>42236</v>
      </c>
      <c r="D8" s="36"/>
      <c r="E8" s="36"/>
      <c r="F8" s="26"/>
    </row>
    <row r="9" spans="2:6">
      <c r="B9" s="37" t="s">
        <v>76</v>
      </c>
      <c r="C9" s="39" t="s">
        <v>77</v>
      </c>
      <c r="D9" s="36"/>
      <c r="E9" s="36"/>
      <c r="F9" s="26"/>
    </row>
    <row r="10" spans="2:6">
      <c r="B10" s="37" t="s">
        <v>78</v>
      </c>
      <c r="C10" s="39" t="s">
        <v>120</v>
      </c>
      <c r="D10" s="36"/>
      <c r="E10" s="36"/>
      <c r="F10" s="26"/>
    </row>
    <row r="11" spans="2:6">
      <c r="B11" s="37" t="s">
        <v>80</v>
      </c>
      <c r="C11" s="39" t="s">
        <v>79</v>
      </c>
      <c r="D11" s="36"/>
      <c r="E11" s="36"/>
      <c r="F11" s="26"/>
    </row>
    <row r="12" spans="2:6">
      <c r="B12" s="37" t="s">
        <v>81</v>
      </c>
      <c r="C12" s="39" t="s">
        <v>79</v>
      </c>
      <c r="D12" s="36"/>
      <c r="E12" s="36"/>
      <c r="F12" s="26"/>
    </row>
    <row r="13" spans="2:6">
      <c r="B13" s="37" t="s">
        <v>82</v>
      </c>
      <c r="C13" s="39" t="s">
        <v>83</v>
      </c>
      <c r="D13" s="36"/>
      <c r="E13" s="36"/>
      <c r="F13" s="26"/>
    </row>
    <row r="14" spans="2:6">
      <c r="B14" s="37" t="s">
        <v>84</v>
      </c>
      <c r="C14" s="39" t="s">
        <v>85</v>
      </c>
      <c r="D14" s="36"/>
      <c r="E14" s="36"/>
      <c r="F14" s="26"/>
    </row>
    <row r="15" spans="2:6">
      <c r="B15" s="37" t="s">
        <v>86</v>
      </c>
      <c r="C15" s="39" t="s">
        <v>87</v>
      </c>
      <c r="D15" s="36"/>
      <c r="E15" s="36"/>
      <c r="F15" s="26"/>
    </row>
    <row r="16" spans="2:6">
      <c r="B16" s="37" t="s">
        <v>88</v>
      </c>
      <c r="C16" s="39" t="s">
        <v>89</v>
      </c>
      <c r="D16" s="36"/>
      <c r="E16" s="36"/>
      <c r="F16" s="26"/>
    </row>
    <row r="17" spans="2:6">
      <c r="B17" s="37" t="s">
        <v>90</v>
      </c>
      <c r="C17" s="39" t="s">
        <v>91</v>
      </c>
      <c r="D17" s="36"/>
      <c r="E17" s="36"/>
      <c r="F17" s="26"/>
    </row>
    <row r="18" spans="2:6">
      <c r="B18" s="37" t="s">
        <v>92</v>
      </c>
      <c r="C18" s="39" t="s">
        <v>93</v>
      </c>
      <c r="D18" s="36"/>
      <c r="E18" s="36"/>
      <c r="F18" s="26"/>
    </row>
    <row r="19" spans="2:6">
      <c r="B19" s="40" t="s">
        <v>94</v>
      </c>
      <c r="C19" s="41" t="s">
        <v>93</v>
      </c>
      <c r="D19" s="36"/>
      <c r="E19" s="36"/>
      <c r="F19" s="26"/>
    </row>
    <row r="20" spans="2:6">
      <c r="B20" s="32"/>
      <c r="C20" s="36"/>
      <c r="D20" s="36"/>
      <c r="E20" s="36"/>
      <c r="F20" s="26"/>
    </row>
    <row r="21" spans="2:6">
      <c r="B21" s="46" t="s">
        <v>95</v>
      </c>
      <c r="C21" s="33"/>
      <c r="D21" s="33"/>
      <c r="E21" s="33"/>
      <c r="F21" s="26"/>
    </row>
    <row r="22" spans="2:6">
      <c r="B22" s="34" t="s">
        <v>96</v>
      </c>
      <c r="C22" s="35" t="s">
        <v>97</v>
      </c>
      <c r="D22" s="36"/>
      <c r="E22" s="36"/>
      <c r="F22" s="26"/>
    </row>
    <row r="23" spans="2:6">
      <c r="B23" s="37" t="s">
        <v>86</v>
      </c>
      <c r="C23" s="39" t="s">
        <v>98</v>
      </c>
      <c r="D23" s="36"/>
      <c r="E23" s="36"/>
      <c r="F23" s="26"/>
    </row>
    <row r="24" spans="2:6">
      <c r="B24" s="37" t="s">
        <v>88</v>
      </c>
      <c r="C24" s="39" t="s">
        <v>99</v>
      </c>
      <c r="D24" s="36"/>
      <c r="E24" s="36"/>
      <c r="F24" s="26"/>
    </row>
    <row r="25" spans="2:6">
      <c r="B25" s="37" t="s">
        <v>100</v>
      </c>
      <c r="C25" s="39" t="s">
        <v>101</v>
      </c>
      <c r="D25" s="36"/>
      <c r="E25" s="36"/>
      <c r="F25" s="26"/>
    </row>
    <row r="26" spans="2:6">
      <c r="B26" s="37" t="s">
        <v>102</v>
      </c>
      <c r="C26" s="39" t="s">
        <v>103</v>
      </c>
      <c r="D26" s="36"/>
      <c r="E26" s="36"/>
      <c r="F26" s="26"/>
    </row>
    <row r="27" spans="2:6">
      <c r="B27" s="40" t="s">
        <v>90</v>
      </c>
      <c r="C27" s="41" t="s">
        <v>104</v>
      </c>
      <c r="D27" s="36"/>
      <c r="E27" s="36"/>
      <c r="F27" s="26"/>
    </row>
    <row r="28" spans="2:6">
      <c r="B28" s="32"/>
      <c r="C28" s="36"/>
      <c r="D28" s="36"/>
      <c r="E28" s="36"/>
      <c r="F28" s="26"/>
    </row>
    <row r="29" spans="2:6">
      <c r="B29" s="46" t="s">
        <v>106</v>
      </c>
      <c r="C29" s="33"/>
      <c r="D29" s="33"/>
      <c r="E29" s="33"/>
      <c r="F29" s="26"/>
    </row>
    <row r="30" spans="2:6">
      <c r="B30" s="47" t="s">
        <v>7</v>
      </c>
      <c r="C30" s="47" t="s">
        <v>31</v>
      </c>
      <c r="D30" s="47" t="s">
        <v>32</v>
      </c>
      <c r="E30" s="47" t="s">
        <v>33</v>
      </c>
    </row>
    <row r="31" spans="2:6">
      <c r="B31" s="39" t="s">
        <v>34</v>
      </c>
      <c r="C31" s="42">
        <v>7.8750000000000001E-4</v>
      </c>
      <c r="D31" s="38"/>
      <c r="E31" s="38"/>
    </row>
    <row r="32" spans="2:6">
      <c r="B32" s="39" t="s">
        <v>35</v>
      </c>
      <c r="C32" s="42">
        <v>7.000000000000001E-4</v>
      </c>
      <c r="D32" s="38">
        <f ca="1">_xll.mirGetDate($C$8,"1M",$C$27,$C$22)</f>
        <v>42271</v>
      </c>
      <c r="E32" s="38">
        <f ca="1">_xll.mirGetDate(D32,"1M",$C$27,$C$22)</f>
        <v>42303</v>
      </c>
    </row>
    <row r="33" spans="2:5">
      <c r="B33" s="39" t="s">
        <v>36</v>
      </c>
      <c r="C33" s="42">
        <v>6.5000000000000008E-4</v>
      </c>
      <c r="D33" s="38">
        <f ca="1">E32</f>
        <v>42303</v>
      </c>
      <c r="E33" s="38">
        <f ca="1">_xll.mirGetDate(D33,"1M",$C$27,$C$22)</f>
        <v>42334</v>
      </c>
    </row>
    <row r="34" spans="2:5">
      <c r="B34" s="39" t="s">
        <v>37</v>
      </c>
      <c r="C34" s="42">
        <v>5.9999999999999995E-4</v>
      </c>
      <c r="D34" s="38">
        <f t="shared" ref="D34:D43" ca="1" si="0">E33</f>
        <v>42334</v>
      </c>
      <c r="E34" s="38">
        <f ca="1">_xll.mirGetDate(D34,"1M",$C$27,$C$22)</f>
        <v>42366</v>
      </c>
    </row>
    <row r="35" spans="2:5">
      <c r="B35" s="39" t="s">
        <v>38</v>
      </c>
      <c r="C35" s="42">
        <v>5.5000000000000003E-4</v>
      </c>
      <c r="D35" s="38">
        <f t="shared" ca="1" si="0"/>
        <v>42366</v>
      </c>
      <c r="E35" s="38">
        <f ca="1">_xll.mirGetDate(D35,"1M",$C$27,$C$22)</f>
        <v>42397</v>
      </c>
    </row>
    <row r="36" spans="2:5">
      <c r="B36" s="39" t="s">
        <v>39</v>
      </c>
      <c r="C36" s="42">
        <v>5.375E-4</v>
      </c>
      <c r="D36" s="38">
        <f t="shared" ca="1" si="0"/>
        <v>42397</v>
      </c>
      <c r="E36" s="38">
        <f ca="1">_xll.mirGetDate(D36,"1M",$C$27,$C$22)</f>
        <v>42429</v>
      </c>
    </row>
    <row r="37" spans="2:5">
      <c r="B37" s="39" t="s">
        <v>40</v>
      </c>
      <c r="C37" s="42">
        <v>5.375E-4</v>
      </c>
      <c r="D37" s="38">
        <f t="shared" ca="1" si="0"/>
        <v>42429</v>
      </c>
      <c r="E37" s="38">
        <f ca="1">_xll.mirGetDate(D37,"1M",$C$27,$C$22)</f>
        <v>42458</v>
      </c>
    </row>
    <row r="38" spans="2:5">
      <c r="B38" s="39" t="s">
        <v>41</v>
      </c>
      <c r="C38" s="42">
        <v>5.375E-4</v>
      </c>
      <c r="D38" s="38">
        <f t="shared" ca="1" si="0"/>
        <v>42458</v>
      </c>
      <c r="E38" s="38">
        <f ca="1">_xll.mirGetDate(D38,"1M",$C$27,$C$22)</f>
        <v>42488</v>
      </c>
    </row>
    <row r="39" spans="2:5">
      <c r="B39" s="39" t="s">
        <v>42</v>
      </c>
      <c r="C39" s="42">
        <v>5.375E-4</v>
      </c>
      <c r="D39" s="38">
        <f t="shared" ca="1" si="0"/>
        <v>42488</v>
      </c>
      <c r="E39" s="38">
        <f ca="1">_xll.mirGetDate(D39,"1M",$C$27,$C$22)</f>
        <v>42520</v>
      </c>
    </row>
    <row r="40" spans="2:5">
      <c r="B40" s="39" t="s">
        <v>43</v>
      </c>
      <c r="C40" s="42">
        <v>5.375E-4</v>
      </c>
      <c r="D40" s="38">
        <f t="shared" ca="1" si="0"/>
        <v>42520</v>
      </c>
      <c r="E40" s="38">
        <f ca="1">_xll.mirGetDate(D40,"1M",$C$27,$C$22)</f>
        <v>42551</v>
      </c>
    </row>
    <row r="41" spans="2:5">
      <c r="B41" s="39" t="s">
        <v>44</v>
      </c>
      <c r="C41" s="42">
        <v>5.375E-4</v>
      </c>
      <c r="D41" s="38">
        <f t="shared" ca="1" si="0"/>
        <v>42551</v>
      </c>
      <c r="E41" s="38">
        <f ca="1">_xll.mirGetDate(D41,"1M",$C$27,$C$22)</f>
        <v>42580</v>
      </c>
    </row>
    <row r="42" spans="2:5">
      <c r="B42" s="39" t="s">
        <v>45</v>
      </c>
      <c r="C42" s="42">
        <v>5.375E-4</v>
      </c>
      <c r="D42" s="38">
        <f t="shared" ca="1" si="0"/>
        <v>42580</v>
      </c>
      <c r="E42" s="38">
        <f ca="1">_xll.mirGetDate(D42,"1M",$C$27,$C$22)</f>
        <v>42611</v>
      </c>
    </row>
    <row r="43" spans="2:5">
      <c r="B43" s="39" t="s">
        <v>46</v>
      </c>
      <c r="C43" s="42">
        <v>5.375E-4</v>
      </c>
      <c r="D43" s="38">
        <f t="shared" ca="1" si="0"/>
        <v>42611</v>
      </c>
      <c r="E43" s="38">
        <f ca="1">_xll.mirGetDate(D43,"1M",$C$27,$C$22)</f>
        <v>42642</v>
      </c>
    </row>
    <row r="44" spans="2:5">
      <c r="B44" s="39" t="s">
        <v>47</v>
      </c>
      <c r="C44" s="42">
        <v>7.3749999999999998E-4</v>
      </c>
      <c r="D44" s="38"/>
      <c r="E44" s="38"/>
    </row>
    <row r="45" spans="2:5">
      <c r="B45" s="39" t="s">
        <v>48</v>
      </c>
      <c r="C45" s="42">
        <v>7.2499999999999995E-4</v>
      </c>
      <c r="D45" s="38"/>
      <c r="E45" s="38"/>
    </row>
    <row r="46" spans="2:5">
      <c r="B46" s="39" t="s">
        <v>49</v>
      </c>
      <c r="C46" s="42">
        <v>6.8130000000000003E-4</v>
      </c>
      <c r="D46" s="38"/>
      <c r="E46" s="38"/>
    </row>
    <row r="47" spans="2:5">
      <c r="B47" s="39" t="s">
        <v>50</v>
      </c>
      <c r="C47" s="42">
        <v>6.5629999999999996E-4</v>
      </c>
      <c r="D47" s="38"/>
      <c r="E47" s="38"/>
    </row>
    <row r="48" spans="2:5">
      <c r="B48" s="39" t="s">
        <v>51</v>
      </c>
      <c r="C48" s="42">
        <v>6.3750000000000005E-4</v>
      </c>
      <c r="D48" s="38"/>
      <c r="E48" s="38"/>
    </row>
    <row r="49" spans="2:5">
      <c r="B49" s="39" t="s">
        <v>52</v>
      </c>
      <c r="C49" s="42">
        <v>6.2500000000000001E-4</v>
      </c>
      <c r="D49" s="38"/>
      <c r="E49" s="38"/>
    </row>
    <row r="50" spans="2:5">
      <c r="B50" s="39" t="s">
        <v>53</v>
      </c>
      <c r="C50" s="42">
        <v>6.1249999999999998E-4</v>
      </c>
      <c r="D50" s="38"/>
      <c r="E50" s="38"/>
    </row>
    <row r="51" spans="2:5">
      <c r="B51" s="39" t="s">
        <v>54</v>
      </c>
      <c r="C51" s="42">
        <v>6.0630000000000005E-4</v>
      </c>
      <c r="D51" s="38"/>
      <c r="E51" s="38"/>
    </row>
    <row r="52" spans="2:5">
      <c r="B52" s="39" t="s">
        <v>55</v>
      </c>
      <c r="C52" s="42">
        <v>5.9999999999999995E-4</v>
      </c>
      <c r="D52" s="38"/>
      <c r="E52" s="38"/>
    </row>
    <row r="53" spans="2:5">
      <c r="B53" s="39" t="s">
        <v>56</v>
      </c>
      <c r="C53" s="42">
        <v>5.9380000000000001E-4</v>
      </c>
      <c r="D53" s="38"/>
      <c r="E53" s="38"/>
    </row>
    <row r="54" spans="2:5">
      <c r="B54" s="39" t="s">
        <v>57</v>
      </c>
      <c r="C54" s="42">
        <v>6.1249999999999998E-4</v>
      </c>
      <c r="D54" s="38"/>
      <c r="E54" s="38"/>
    </row>
    <row r="55" spans="2:5">
      <c r="B55" s="39" t="s">
        <v>26</v>
      </c>
      <c r="C55" s="42">
        <v>6.3750000000000005E-4</v>
      </c>
      <c r="D55" s="38"/>
      <c r="E55" s="38"/>
    </row>
    <row r="56" spans="2:5">
      <c r="B56" s="39" t="s">
        <v>58</v>
      </c>
      <c r="C56" s="42">
        <v>6.7500000000000004E-4</v>
      </c>
      <c r="D56" s="38"/>
      <c r="E56" s="38"/>
    </row>
    <row r="57" spans="2:5">
      <c r="B57" s="39" t="s">
        <v>59</v>
      </c>
      <c r="C57" s="42">
        <v>9.875000000000001E-4</v>
      </c>
      <c r="D57" s="38"/>
      <c r="E57" s="38"/>
    </row>
    <row r="58" spans="2:5">
      <c r="B58" s="39" t="s">
        <v>60</v>
      </c>
      <c r="C58" s="42">
        <v>1.3625000000000002E-3</v>
      </c>
      <c r="D58" s="38"/>
      <c r="E58" s="38"/>
    </row>
    <row r="59" spans="2:5">
      <c r="B59" s="39" t="s">
        <v>61</v>
      </c>
      <c r="C59" s="42">
        <v>1.8875000000000001E-3</v>
      </c>
      <c r="D59" s="38"/>
      <c r="E59" s="38"/>
    </row>
    <row r="60" spans="2:5">
      <c r="B60" s="39" t="s">
        <v>62</v>
      </c>
      <c r="C60" s="42">
        <v>2.65E-3</v>
      </c>
      <c r="D60" s="38"/>
      <c r="E60" s="38"/>
    </row>
    <row r="61" spans="2:5">
      <c r="B61" s="39" t="s">
        <v>63</v>
      </c>
      <c r="C61" s="42">
        <v>3.4749999999999998E-3</v>
      </c>
      <c r="D61" s="38"/>
      <c r="E61" s="38"/>
    </row>
    <row r="62" spans="2:5">
      <c r="B62" s="39" t="s">
        <v>64</v>
      </c>
      <c r="C62" s="42">
        <v>4.4000000000000003E-3</v>
      </c>
      <c r="D62" s="38"/>
      <c r="E62" s="38"/>
    </row>
    <row r="63" spans="2:5">
      <c r="B63" s="39" t="s">
        <v>65</v>
      </c>
      <c r="C63" s="42">
        <v>5.3374999999999994E-3</v>
      </c>
      <c r="D63" s="38"/>
      <c r="E63" s="38"/>
    </row>
    <row r="64" spans="2:5">
      <c r="B64" s="39" t="s">
        <v>66</v>
      </c>
      <c r="C64" s="42">
        <v>7.2375E-3</v>
      </c>
      <c r="D64" s="38"/>
      <c r="E64" s="38"/>
    </row>
    <row r="65" spans="2:5">
      <c r="B65" s="39" t="s">
        <v>67</v>
      </c>
      <c r="C65" s="42">
        <v>0.01</v>
      </c>
      <c r="D65" s="38"/>
      <c r="E65" s="38"/>
    </row>
    <row r="66" spans="2:5">
      <c r="B66" s="39" t="s">
        <v>68</v>
      </c>
      <c r="C66" s="42">
        <v>1.315E-2</v>
      </c>
      <c r="D66" s="38"/>
      <c r="E66" s="38"/>
    </row>
    <row r="67" spans="2:5">
      <c r="B67" s="39" t="s">
        <v>69</v>
      </c>
      <c r="C67" s="42">
        <v>1.4687499999999999E-2</v>
      </c>
      <c r="D67" s="38"/>
      <c r="E67" s="38"/>
    </row>
    <row r="68" spans="2:5">
      <c r="B68" s="39" t="s">
        <v>70</v>
      </c>
      <c r="C68" s="42">
        <v>1.53375E-2</v>
      </c>
      <c r="D68" s="38"/>
      <c r="E68" s="38"/>
    </row>
    <row r="69" spans="2:5">
      <c r="B69" s="39" t="s">
        <v>71</v>
      </c>
      <c r="C69" s="42">
        <v>1.6399999999999998E-2</v>
      </c>
      <c r="D69" s="38"/>
      <c r="E69" s="38"/>
    </row>
    <row r="70" spans="2:5">
      <c r="B70" s="39" t="s">
        <v>72</v>
      </c>
      <c r="C70" s="42">
        <v>1.6399999999999998E-2</v>
      </c>
      <c r="D70" s="38"/>
      <c r="E70" s="38"/>
    </row>
    <row r="71" spans="2:5">
      <c r="B71" s="41" t="s">
        <v>73</v>
      </c>
      <c r="C71" s="43">
        <v>1.6399999999999998E-2</v>
      </c>
      <c r="D71" s="44"/>
      <c r="E71" s="44"/>
    </row>
    <row r="72" spans="2:5">
      <c r="B72" s="26"/>
      <c r="C72" s="26"/>
      <c r="D72" s="26"/>
      <c r="E72" s="26"/>
    </row>
    <row r="73" spans="2:5">
      <c r="B73" s="26"/>
      <c r="C73" s="26"/>
      <c r="D73" s="26"/>
      <c r="E73" s="26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showGridLines="0" tabSelected="1" workbookViewId="0"/>
  </sheetViews>
  <sheetFormatPr defaultRowHeight="15"/>
  <cols>
    <col min="1" max="1" width="2.5703125" style="1" customWidth="1"/>
    <col min="2" max="2" width="22" style="1" bestFit="1" customWidth="1"/>
    <col min="3" max="3" width="27.7109375" style="1" bestFit="1" customWidth="1"/>
    <col min="4" max="4" width="24.28515625" style="1" customWidth="1"/>
    <col min="5" max="5" width="23.42578125" style="1" bestFit="1" customWidth="1"/>
    <col min="6" max="16384" width="9.140625" style="1"/>
  </cols>
  <sheetData>
    <row r="2" spans="2:3">
      <c r="B2" s="1" t="s">
        <v>119</v>
      </c>
    </row>
    <row r="3" spans="2:3">
      <c r="B3" s="6" t="s">
        <v>0</v>
      </c>
      <c r="C3" s="13" t="s">
        <v>8</v>
      </c>
    </row>
    <row r="4" spans="2:3">
      <c r="B4" s="7" t="s">
        <v>28</v>
      </c>
      <c r="C4" s="15" t="s">
        <v>27</v>
      </c>
    </row>
    <row r="5" spans="2:3">
      <c r="B5" s="7" t="s">
        <v>1</v>
      </c>
      <c r="C5" s="24">
        <f ca="1">TODAY()</f>
        <v>42236</v>
      </c>
    </row>
    <row r="6" spans="2:3">
      <c r="B6" s="7" t="s">
        <v>17</v>
      </c>
      <c r="C6" s="15" t="s">
        <v>18</v>
      </c>
    </row>
    <row r="7" spans="2:3">
      <c r="B7" s="8" t="s">
        <v>2</v>
      </c>
      <c r="C7" s="24">
        <f ca="1">_xll.mirGetDate(C5,C6,"FOLLOWING",C13)</f>
        <v>42240</v>
      </c>
    </row>
    <row r="8" spans="2:3">
      <c r="B8" s="8" t="s">
        <v>10</v>
      </c>
      <c r="C8" s="15" t="s">
        <v>9</v>
      </c>
    </row>
    <row r="9" spans="2:3">
      <c r="B9" s="9" t="s">
        <v>3</v>
      </c>
      <c r="C9" s="24">
        <f ca="1">_xll.mirGetDate(C7,C8,C12,C13)</f>
        <v>42606</v>
      </c>
    </row>
    <row r="10" spans="2:3">
      <c r="B10" s="7" t="s">
        <v>13</v>
      </c>
      <c r="C10" s="15" t="s">
        <v>11</v>
      </c>
    </row>
    <row r="11" spans="2:3">
      <c r="B11" s="7" t="s">
        <v>14</v>
      </c>
      <c r="C11" s="15" t="s">
        <v>4</v>
      </c>
    </row>
    <row r="12" spans="2:3">
      <c r="B12" s="7" t="s">
        <v>15</v>
      </c>
      <c r="C12" s="15" t="s">
        <v>5</v>
      </c>
    </row>
    <row r="13" spans="2:3">
      <c r="B13" s="7" t="s">
        <v>16</v>
      </c>
      <c r="C13" s="15" t="s">
        <v>29</v>
      </c>
    </row>
    <row r="14" spans="2:3">
      <c r="B14" s="7" t="s">
        <v>24</v>
      </c>
      <c r="C14" s="15" t="s">
        <v>25</v>
      </c>
    </row>
    <row r="15" spans="2:3">
      <c r="B15" s="10" t="s">
        <v>23</v>
      </c>
      <c r="C15" s="25">
        <v>0</v>
      </c>
    </row>
    <row r="17" spans="2:6">
      <c r="B17" s="11" t="s">
        <v>114</v>
      </c>
      <c r="C17" s="12" t="s">
        <v>6</v>
      </c>
    </row>
    <row r="18" spans="2:6">
      <c r="B18" s="13" t="s">
        <v>22</v>
      </c>
      <c r="C18" s="14">
        <f ca="1">_xll.mirCompound3(ValueDate,ExpiryDate,CurveID,CurveName,BusinessDays,Spread,,,Calendar,SlidingRule,Daycount,Interpolation,B18)</f>
        <v>5.9070877066491612E-4</v>
      </c>
      <c r="F18" s="2"/>
    </row>
    <row r="19" spans="2:6">
      <c r="B19" s="15" t="s">
        <v>20</v>
      </c>
      <c r="C19" s="16">
        <f ca="1">_xll.mirCompound3(ValueDate,ExpiryDate,CurveID,CurveName,BusinessDays,Spread,,,Calendar,SlidingRule,Daycount,Interpolation,B19)</f>
        <v>5.9070877066480303E-4</v>
      </c>
    </row>
    <row r="20" spans="2:6">
      <c r="B20" s="15" t="s">
        <v>19</v>
      </c>
      <c r="C20" s="16">
        <f ca="1">_xll.mirCompound3(ValueDate,ExpiryDate,CurveID,CurveName,BusinessDays,Spread,,,Calendar,SlidingRule,Daycount,Interpolation,B20)</f>
        <v>5.9070877066491612E-4</v>
      </c>
    </row>
    <row r="21" spans="2:6">
      <c r="B21" s="17" t="s">
        <v>21</v>
      </c>
      <c r="C21" s="18">
        <f ca="1">_xll.mirCompound3(ValueDate,ExpiryDate,CurveID,CurveName,BusinessDays,Spread,,,Calendar,SlidingRule,Daycount,Interpolation,B21)</f>
        <v>5.8966209875301186E-4</v>
      </c>
      <c r="F21" s="2"/>
    </row>
    <row r="23" spans="2:6">
      <c r="B23" s="19"/>
    </row>
    <row r="24" spans="2:6">
      <c r="B24" s="23" t="s">
        <v>118</v>
      </c>
      <c r="C24" s="12"/>
    </row>
    <row r="25" spans="2:6">
      <c r="B25" s="13" t="s">
        <v>22</v>
      </c>
      <c r="C25" s="20" t="s">
        <v>115</v>
      </c>
      <c r="D25" s="3"/>
    </row>
    <row r="26" spans="2:6">
      <c r="B26" s="15" t="s">
        <v>20</v>
      </c>
      <c r="C26" s="21" t="s">
        <v>12</v>
      </c>
      <c r="D26" s="4"/>
    </row>
    <row r="27" spans="2:6">
      <c r="B27" s="15" t="s">
        <v>19</v>
      </c>
      <c r="C27" s="21" t="s">
        <v>117</v>
      </c>
      <c r="D27" s="4"/>
    </row>
    <row r="28" spans="2:6">
      <c r="B28" s="17" t="s">
        <v>21</v>
      </c>
      <c r="C28" s="22" t="s">
        <v>116</v>
      </c>
      <c r="D28" s="5"/>
    </row>
  </sheetData>
  <phoneticPr fontId="4"/>
  <dataValidations count="5">
    <dataValidation imeMode="halfAlpha" allowBlank="1" showInputMessage="1" showErrorMessage="1" sqref="C8"/>
    <dataValidation type="list" allowBlank="1" showInputMessage="1" showErrorMessage="1" sqref="C13">
      <formula1>"TKB,NYB,TAR,LNB,SDB,ZUB,TRB,WEB,TKB:LNB,TKB:NYB,TKB:LNB:NYB,LNB:NYB"</formula1>
    </dataValidation>
    <dataValidation type="list" allowBlank="1" showInputMessage="1" showErrorMessage="1" sqref="C10">
      <formula1>"None,Business_Days,Weekly,Monthly,Quarterly,Semi-Annual,Annual,LIBOR_MODE,Simple"</formula1>
    </dataValidation>
    <dataValidation type="list" allowBlank="1" showInputMessage="1" showErrorMessage="1" sqref="C11">
      <formula1>" ACT/ACT, ACT/365,ACT/360, '30/360, 30E/360, ACT/365FJ,ACT/365_ISDA"</formula1>
    </dataValidation>
    <dataValidation type="list" allowBlank="1" showInputMessage="1" showErrorMessage="1" sqref="C12">
      <formula1>"MOD_FOLLOWING,FOLLOWING,MOD_PRECEDING,PRECEDING,NO_CHANGE"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6"/>
  <sheetViews>
    <sheetView showGridLines="0" workbookViewId="0">
      <selection activeCell="C3" sqref="C3"/>
    </sheetView>
  </sheetViews>
  <sheetFormatPr defaultRowHeight="15"/>
  <cols>
    <col min="2" max="2" width="17.5703125" bestFit="1" customWidth="1"/>
    <col min="3" max="3" width="21.85546875" customWidth="1"/>
  </cols>
  <sheetData>
    <row r="2" spans="2:4">
      <c r="B2" s="48" t="s">
        <v>107</v>
      </c>
      <c r="C2" s="49">
        <v>10</v>
      </c>
    </row>
    <row r="3" spans="2:4">
      <c r="B3" s="50" t="s">
        <v>108</v>
      </c>
      <c r="C3" s="51" t="s">
        <v>112</v>
      </c>
    </row>
    <row r="4" spans="2:4">
      <c r="B4" s="52" t="s">
        <v>109</v>
      </c>
      <c r="C4" s="53" t="s">
        <v>110</v>
      </c>
      <c r="D4" s="1"/>
    </row>
    <row r="6" spans="2:4">
      <c r="B6" s="49" t="s">
        <v>111</v>
      </c>
      <c r="C6" s="49" t="s">
        <v>31</v>
      </c>
    </row>
    <row r="7" spans="2:4">
      <c r="B7" s="54">
        <f ca="1">ValueDate+PeriodicityInDays</f>
        <v>42250</v>
      </c>
      <c r="C7" s="55">
        <f ca="1">_xll.mirCompound3(ValueDate,$B7,CurveID,CurveName,BusinessDays,Spread,,,Calendar,SlidingRule,Daycount,Interpolation2,Compounding)</f>
        <v>2.1575537974882764E-5</v>
      </c>
    </row>
    <row r="8" spans="2:4">
      <c r="B8" s="54">
        <f ca="1">B7+PeriodicityInDays</f>
        <v>42260</v>
      </c>
      <c r="C8" s="55">
        <f ca="1">_xll.mirCompound3(ValueDate,$B8,CurveID,CurveName,BusinessDays,Spread,,,Calendar,SlidingRule,Daycount,Interpolation2,Compounding)</f>
        <v>4.5309154836026266E-5</v>
      </c>
    </row>
    <row r="9" spans="2:4">
      <c r="B9" s="54">
        <f ca="1">B8+PeriodicityInDays</f>
        <v>42270</v>
      </c>
      <c r="C9" s="55">
        <f ca="1">_xll.mirCompound3(ValueDate,$B9,CurveID,CurveName,BusinessDays,Spread,,,Calendar,SlidingRule,Daycount,Interpolation2,Compounding)</f>
        <v>6.688561451739794E-5</v>
      </c>
    </row>
    <row r="10" spans="2:4">
      <c r="B10" s="54">
        <f ca="1">B9+PeriodicityInDays</f>
        <v>42280</v>
      </c>
      <c r="C10" s="55">
        <f ca="1">_xll.mirCompound3(ValueDate,$B10,CurveID,CurveName,BusinessDays,Spread,,,Calendar,SlidingRule,Daycount,Interpolation2,Compounding)</f>
        <v>8.7982470889924613E-5</v>
      </c>
    </row>
    <row r="11" spans="2:4">
      <c r="B11" s="54">
        <f ca="1">B10+PeriodicityInDays</f>
        <v>42290</v>
      </c>
      <c r="C11" s="55">
        <f ca="1">_xll.mirCompound3(ValueDate,$B11,CurveID,CurveName,BusinessDays,Spread,,,Calendar,SlidingRule,Daycount,Interpolation2,Compounding)</f>
        <v>1.0332591267570024E-4</v>
      </c>
    </row>
    <row r="12" spans="2:4">
      <c r="B12" s="54">
        <f ca="1">B11+PeriodicityInDays</f>
        <v>42300</v>
      </c>
      <c r="C12" s="55">
        <f ca="1">_xll.mirCompound3(ValueDate,$B12,CurveID,CurveName,BusinessDays,Spread,,,Calendar,SlidingRule,Daycount,Interpolation2,Compounding)</f>
        <v>1.2250556249271405E-4</v>
      </c>
    </row>
    <row r="13" spans="2:4">
      <c r="B13" s="54">
        <f t="shared" ref="B13:B22" ca="1" si="0">B12+PeriodicityInDays</f>
        <v>42310</v>
      </c>
      <c r="C13" s="55">
        <f ca="1">_xll.mirCompound3(ValueDate,$B13,CurveID,CurveName,BusinessDays,Spread,,,Calendar,SlidingRule,Daycount,Interpolation2,Compounding)</f>
        <v>1.4072659778219254E-4</v>
      </c>
    </row>
    <row r="14" spans="2:4">
      <c r="B14" s="54">
        <f t="shared" ca="1" si="0"/>
        <v>42320</v>
      </c>
      <c r="C14" s="55">
        <f ca="1">_xll.mirCompound3(ValueDate,$B14,CurveID,CurveName,BusinessDays,Spread,,,Calendar,SlidingRule,Daycount,Interpolation2,Compounding)</f>
        <v>1.5853697733714256E-4</v>
      </c>
    </row>
    <row r="15" spans="2:4">
      <c r="B15" s="54">
        <f t="shared" ca="1" si="0"/>
        <v>42330</v>
      </c>
      <c r="C15" s="55">
        <f ca="1">_xll.mirCompound3(ValueDate,$B15,CurveID,CurveName,BusinessDays,Spread,,,Calendar,SlidingRule,Daycount,Interpolation2,Compounding)</f>
        <v>1.7990983814031303E-4</v>
      </c>
    </row>
    <row r="16" spans="2:4">
      <c r="B16" s="54">
        <f t="shared" ca="1" si="0"/>
        <v>42340</v>
      </c>
      <c r="C16" s="55">
        <f ca="1">_xll.mirCompound3(ValueDate,$B16,CurveID,CurveName,BusinessDays,Spread,,,Calendar,SlidingRule,Daycount,Interpolation2,Compounding)</f>
        <v>1.9333663489806696E-4</v>
      </c>
    </row>
    <row r="17" spans="2:3">
      <c r="B17" s="54">
        <f t="shared" ca="1" si="0"/>
        <v>42350</v>
      </c>
      <c r="C17" s="55">
        <f ca="1">_xll.mirCompound3(ValueDate,$B17,CurveID,CurveName,BusinessDays,Spread,,,Calendar,SlidingRule,Daycount,Interpolation2,Compounding)</f>
        <v>2.1306613503546679E-4</v>
      </c>
    </row>
    <row r="18" spans="2:3">
      <c r="B18" s="54">
        <f t="shared" ca="1" si="0"/>
        <v>42360</v>
      </c>
      <c r="C18" s="55">
        <f ca="1">_xll.mirCompound3(ValueDate,$B18,CurveID,CurveName,BusinessDays,Spread,,,Calendar,SlidingRule,Daycount,Interpolation2,Compounding)</f>
        <v>2.2621935403921434E-4</v>
      </c>
    </row>
    <row r="19" spans="2:3">
      <c r="B19" s="54">
        <f t="shared" ca="1" si="0"/>
        <v>42370</v>
      </c>
      <c r="C19" s="55">
        <f ca="1">_xll.mirCompound3(ValueDate,$B19,CurveID,CurveName,BusinessDays,Spread,,,Calendar,SlidingRule,Daycount,Interpolation2,Compounding)</f>
        <v>2.4663460198470766E-4</v>
      </c>
    </row>
    <row r="20" spans="2:3">
      <c r="B20" s="54">
        <f t="shared" ca="1" si="0"/>
        <v>42380</v>
      </c>
      <c r="C20" s="55">
        <f ca="1">_xll.mirCompound3(ValueDate,$B20,CurveID,CurveName,BusinessDays,Spread,,,Calendar,SlidingRule,Daycount,Interpolation2,Compounding)</f>
        <v>2.5869215047436001E-4</v>
      </c>
    </row>
    <row r="21" spans="2:3">
      <c r="B21" s="54">
        <f t="shared" ca="1" si="0"/>
        <v>42390</v>
      </c>
      <c r="C21" s="55">
        <f ca="1">_xll.mirCompound3(ValueDate,$B21,CurveID,CurveName,BusinessDays,Spread,,,Calendar,SlidingRule,Daycount,Interpolation2,Compounding)</f>
        <v>2.7225707477840366E-4</v>
      </c>
    </row>
    <row r="22" spans="2:3">
      <c r="B22" s="54">
        <f t="shared" ca="1" si="0"/>
        <v>42400</v>
      </c>
      <c r="C22" s="55">
        <f ca="1">_xll.mirCompound3(ValueDate,$B22,CurveID,CurveName,BusinessDays,Spread,,,Calendar,SlidingRule,Daycount,Interpolation2,Compounding)</f>
        <v>2.8428068267638551E-4</v>
      </c>
    </row>
    <row r="23" spans="2:3">
      <c r="B23" s="54">
        <f t="shared" ref="B23:B44" ca="1" si="1">B22+PeriodicityInDays</f>
        <v>42410</v>
      </c>
      <c r="C23" s="55">
        <f ca="1">_xll.mirCompound3(ValueDate,$B23,CurveID,CurveName,BusinessDays,Spread,,,Calendar,SlidingRule,Daycount,Interpolation2,Compounding)</f>
        <v>3.0195666544030608E-4</v>
      </c>
    </row>
    <row r="24" spans="2:3">
      <c r="B24" s="54">
        <f t="shared" ca="1" si="1"/>
        <v>42420</v>
      </c>
      <c r="C24" s="55">
        <f ca="1">_xll.mirCompound3(ValueDate,$B24,CurveID,CurveName,BusinessDays,Spread,,,Calendar,SlidingRule,Daycount,Interpolation2,Compounding)</f>
        <v>3.1963295838632888E-4</v>
      </c>
    </row>
    <row r="25" spans="2:3">
      <c r="B25" s="54">
        <f t="shared" ca="1" si="1"/>
        <v>42430</v>
      </c>
      <c r="C25" s="55">
        <f ca="1">_xll.mirCompound3(ValueDate,$B25,CurveID,CurveName,BusinessDays,Spread,,,Calendar,SlidingRule,Daycount,Interpolation2,Compounding)</f>
        <v>3.3141733411756746E-4</v>
      </c>
    </row>
    <row r="26" spans="2:3">
      <c r="B26" s="54">
        <f t="shared" ca="1" si="1"/>
        <v>42440</v>
      </c>
      <c r="C26" s="55">
        <f ca="1">_xll.mirCompound3(ValueDate,$B26,CurveID,CurveName,BusinessDays,Spread,,,Calendar,SlidingRule,Daycount,Interpolation2,Compounding)</f>
        <v>3.4614802939092471E-4</v>
      </c>
    </row>
    <row r="27" spans="2:3">
      <c r="B27" s="54">
        <f t="shared" ca="1" si="1"/>
        <v>42450</v>
      </c>
      <c r="C27" s="55">
        <f ca="1">_xll.mirCompound3(ValueDate,$B27,CurveID,CurveName,BusinessDays,Spread,,,Calendar,SlidingRule,Daycount,Interpolation2,Compounding)</f>
        <v>3.6235203237144908E-4</v>
      </c>
    </row>
    <row r="28" spans="2:3">
      <c r="B28" s="54">
        <f t="shared" ca="1" si="1"/>
        <v>42460</v>
      </c>
      <c r="C28" s="55">
        <f ca="1">_xll.mirCompound3(ValueDate,$B28,CurveID,CurveName,BusinessDays,Spread,,,Calendar,SlidingRule,Daycount,Interpolation2,Compounding)</f>
        <v>3.7561004914032914E-4</v>
      </c>
    </row>
    <row r="29" spans="2:3">
      <c r="B29" s="54">
        <f t="shared" ca="1" si="1"/>
        <v>42470</v>
      </c>
      <c r="C29" s="55">
        <f ca="1">_xll.mirCompound3(ValueDate,$B29,CurveID,CurveName,BusinessDays,Spread,,,Calendar,SlidingRule,Daycount,Interpolation2,Compounding)</f>
        <v>3.9181448884462178E-4</v>
      </c>
    </row>
    <row r="30" spans="2:3">
      <c r="B30" s="54">
        <f t="shared" ca="1" si="1"/>
        <v>42480</v>
      </c>
      <c r="C30" s="55">
        <f ca="1">_xll.mirCompound3(ValueDate,$B30,CurveID,CurveName,BusinessDays,Spread,,,Calendar,SlidingRule,Daycount,Interpolation2,Compounding)</f>
        <v>4.0507286616309202E-4</v>
      </c>
    </row>
    <row r="31" spans="2:3">
      <c r="B31" s="54">
        <f t="shared" ca="1" si="1"/>
        <v>42490</v>
      </c>
      <c r="C31" s="55">
        <f ca="1">_xll.mirCompound3(ValueDate,$B31,CurveID,CurveName,BusinessDays,Spread,,,Calendar,SlidingRule,Daycount,Interpolation2,Compounding)</f>
        <v>4.1685823723702775E-4</v>
      </c>
    </row>
    <row r="32" spans="2:3">
      <c r="B32" s="54">
        <f t="shared" ca="1" si="1"/>
        <v>42500</v>
      </c>
      <c r="C32" s="55">
        <f ca="1">_xll.mirCompound3(ValueDate,$B32,CurveID,CurveName,BusinessDays,Spread,,,Calendar,SlidingRule,Daycount,Interpolation2,Compounding)</f>
        <v>4.3453654955927234E-4</v>
      </c>
    </row>
    <row r="33" spans="2:3">
      <c r="B33" s="54">
        <f t="shared" ca="1" si="1"/>
        <v>42510</v>
      </c>
      <c r="C33" s="55">
        <f ca="1">_xll.mirCompound3(ValueDate,$B33,CurveID,CurveName,BusinessDays,Spread,,,Calendar,SlidingRule,Daycount,Interpolation2,Compounding)</f>
        <v>4.4926873573669646E-4</v>
      </c>
    </row>
    <row r="34" spans="2:3">
      <c r="B34" s="54">
        <f t="shared" ca="1" si="1"/>
        <v>42520</v>
      </c>
      <c r="C34" s="55">
        <f ca="1">_xll.mirCompound3(ValueDate,$B34,CurveID,CurveName,BusinessDays,Spread,,,Calendar,SlidingRule,Daycount,Interpolation2,Compounding)</f>
        <v>4.6400113234867923E-4</v>
      </c>
    </row>
    <row r="35" spans="2:3">
      <c r="B35" s="54">
        <f t="shared" ca="1" si="1"/>
        <v>42530</v>
      </c>
      <c r="C35" s="55">
        <f ca="1">_xll.mirCompound3(ValueDate,$B35,CurveID,CurveName,BusinessDays,Spread,,,Calendar,SlidingRule,Daycount,Interpolation2,Compounding)</f>
        <v>4.7873375562024201E-4</v>
      </c>
    </row>
    <row r="36" spans="2:3">
      <c r="B36" s="54">
        <f t="shared" ca="1" si="1"/>
        <v>42540</v>
      </c>
      <c r="C36" s="55">
        <f ca="1">_xll.mirCompound3(ValueDate,$B36,CurveID,CurveName,BusinessDays,Spread,,,Calendar,SlidingRule,Daycount,Interpolation2,Compounding)</f>
        <v>4.9493988593840577E-4</v>
      </c>
    </row>
    <row r="37" spans="2:3">
      <c r="B37" s="54">
        <f t="shared" ca="1" si="1"/>
        <v>42550</v>
      </c>
      <c r="C37" s="55">
        <f ca="1">_xll.mirCompound3(ValueDate,$B37,CurveID,CurveName,BusinessDays,Spread,,,Calendar,SlidingRule,Daycount,Interpolation2,Compounding)</f>
        <v>5.0819964650727911E-4</v>
      </c>
    </row>
    <row r="38" spans="2:3">
      <c r="B38" s="54">
        <f t="shared" ca="1" si="1"/>
        <v>42560</v>
      </c>
      <c r="C38" s="55">
        <f ca="1">_xll.mirCompound3(ValueDate,$B38,CurveID,CurveName,BusinessDays,Spread,,,Calendar,SlidingRule,Daycount,Interpolation2,Compounding)</f>
        <v>5.2587960076633244E-4</v>
      </c>
    </row>
    <row r="39" spans="2:3">
      <c r="B39" s="54">
        <f t="shared" ca="1" si="1"/>
        <v>42570</v>
      </c>
      <c r="C39" s="55">
        <f ca="1">_xll.mirCompound3(ValueDate,$B39,CurveID,CurveName,BusinessDays,Spread,,,Calendar,SlidingRule,Daycount,Interpolation2,Compounding)</f>
        <v>5.3766640643893027E-4</v>
      </c>
    </row>
    <row r="40" spans="2:3">
      <c r="B40" s="54">
        <f t="shared" ca="1" si="1"/>
        <v>42580</v>
      </c>
      <c r="C40" s="55">
        <f ca="1">_xll.mirCompound3(ValueDate,$B40,CurveID,CurveName,BusinessDays,Spread,,,Calendar,SlidingRule,Daycount,Interpolation2,Compounding)</f>
        <v>5.5240011855817173E-4</v>
      </c>
    </row>
    <row r="41" spans="2:3">
      <c r="B41" s="54">
        <f t="shared" ca="1" si="1"/>
        <v>42590</v>
      </c>
      <c r="C41" s="55">
        <f ca="1">_xll.mirCompound3(ValueDate,$B41,CurveID,CurveName,BusinessDays,Spread,,,Calendar,SlidingRule,Daycount,Interpolation2,Compounding)</f>
        <v>5.6713403977726173E-4</v>
      </c>
    </row>
    <row r="42" spans="2:3">
      <c r="B42" s="54">
        <f t="shared" ca="1" si="1"/>
        <v>42600</v>
      </c>
      <c r="C42" s="55">
        <f ca="1">_xll.mirCompound3(ValueDate,$B42,CurveID,CurveName,BusinessDays,Spread,,,Calendar,SlidingRule,Daycount,Interpolation2,Compounding)</f>
        <v>5.8186818230421267E-4</v>
      </c>
    </row>
    <row r="43" spans="2:3">
      <c r="B43" s="54">
        <f t="shared" ca="1" si="1"/>
        <v>42610</v>
      </c>
      <c r="C43" s="55">
        <f ca="1">_xll.mirCompound3(ValueDate,$B43,CurveID,CurveName,BusinessDays,Spread,,,Calendar,SlidingRule,Daycount,Interpolation2,Compounding)</f>
        <v>5.9807598621475222E-4</v>
      </c>
    </row>
    <row r="44" spans="2:3">
      <c r="B44" s="54">
        <f t="shared" ca="1" si="1"/>
        <v>42620</v>
      </c>
      <c r="C44" s="55">
        <f ca="1">_xll.mirCompound3(ValueDate,$B44,CurveID,CurveName,BusinessDays,Spread,,,Calendar,SlidingRule,Daycount,Interpolation2,Compounding)</f>
        <v>6.1133711610716901E-4</v>
      </c>
    </row>
    <row r="45" spans="2:3">
      <c r="B45" s="54">
        <f t="shared" ref="B45:B108" ca="1" si="2">B44+PeriodicityInDays</f>
        <v>42630</v>
      </c>
      <c r="C45" s="55">
        <f ca="1">_xll.mirCompound3(ValueDate,$B45,CurveID,CurveName,BusinessDays,Spread,,,Calendar,SlidingRule,Daycount,Interpolation2,Compounding)</f>
        <v>6.3049238166157373E-4</v>
      </c>
    </row>
    <row r="46" spans="2:3">
      <c r="B46" s="54">
        <f t="shared" ca="1" si="2"/>
        <v>42640</v>
      </c>
      <c r="C46" s="55">
        <f ca="1">_xll.mirCompound3(ValueDate,$B46,CurveID,CurveName,BusinessDays,Spread,,,Calendar,SlidingRule,Daycount,Interpolation2,Compounding)</f>
        <v>6.4080690914480876E-4</v>
      </c>
    </row>
    <row r="47" spans="2:3">
      <c r="B47" s="54">
        <f t="shared" ca="1" si="2"/>
        <v>42650</v>
      </c>
      <c r="C47" s="55">
        <f ca="1">_xll.mirCompound3(ValueDate,$B47,CurveID,CurveName,BusinessDays,Spread,,,Calendar,SlidingRule,Daycount,Interpolation2,Compounding)</f>
        <v>6.5577795876370359E-4</v>
      </c>
    </row>
    <row r="48" spans="2:3">
      <c r="B48" s="54">
        <f t="shared" ca="1" si="2"/>
        <v>42660</v>
      </c>
      <c r="C48" s="55">
        <f ca="1">_xll.mirCompound3(ValueDate,$B48,CurveID,CurveName,BusinessDays,Spread,,,Calendar,SlidingRule,Daycount,Interpolation2,Compounding)</f>
        <v>6.7142072425507848E-4</v>
      </c>
    </row>
    <row r="49" spans="2:3">
      <c r="B49" s="54">
        <f t="shared" ca="1" si="2"/>
        <v>42670</v>
      </c>
      <c r="C49" s="55">
        <f ca="1">_xll.mirCompound3(ValueDate,$B49,CurveID,CurveName,BusinessDays,Spread,,,Calendar,SlidingRule,Daycount,Interpolation2,Compounding)</f>
        <v>6.8772993734111942E-4</v>
      </c>
    </row>
    <row r="50" spans="2:3">
      <c r="B50" s="54">
        <f t="shared" ca="1" si="2"/>
        <v>42680</v>
      </c>
      <c r="C50" s="55">
        <f ca="1">_xll.mirCompound3(ValueDate,$B50,CurveID,CurveName,BusinessDays,Spread,,,Calendar,SlidingRule,Daycount,Interpolation2,Compounding)</f>
        <v>7.064141464194762E-4</v>
      </c>
    </row>
    <row r="51" spans="2:3">
      <c r="B51" s="54">
        <f t="shared" ca="1" si="2"/>
        <v>42690</v>
      </c>
      <c r="C51" s="55">
        <f ca="1">_xll.mirCompound3(ValueDate,$B51,CurveID,CurveName,BusinessDays,Spread,,,Calendar,SlidingRule,Daycount,Interpolation2,Compounding)</f>
        <v>7.2225602745668027E-4</v>
      </c>
    </row>
    <row r="52" spans="2:3">
      <c r="B52" s="54">
        <f t="shared" ca="1" si="2"/>
        <v>42700</v>
      </c>
      <c r="C52" s="55">
        <f ca="1">_xll.mirCompound3(ValueDate,$B52,CurveID,CurveName,BusinessDays,Spread,,,Calendar,SlidingRule,Daycount,Interpolation2,Compounding)</f>
        <v>7.4410908484123794E-4</v>
      </c>
    </row>
    <row r="53" spans="2:3">
      <c r="B53" s="54">
        <f t="shared" ca="1" si="2"/>
        <v>42710</v>
      </c>
      <c r="C53" s="55">
        <f ca="1">_xll.mirCompound3(ValueDate,$B53,CurveID,CurveName,BusinessDays,Spread,,,Calendar,SlidingRule,Daycount,Interpolation2,Compounding)</f>
        <v>7.59110217366743E-4</v>
      </c>
    </row>
    <row r="54" spans="2:3">
      <c r="B54" s="54">
        <f t="shared" ca="1" si="2"/>
        <v>42720</v>
      </c>
      <c r="C54" s="55">
        <f ca="1">_xll.mirCompound3(ValueDate,$B54,CurveID,CurveName,BusinessDays,Spread,,,Calendar,SlidingRule,Daycount,Interpolation2,Compounding)</f>
        <v>7.7830605602358105E-4</v>
      </c>
    </row>
    <row r="55" spans="2:3">
      <c r="B55" s="54">
        <f t="shared" ca="1" si="2"/>
        <v>42730</v>
      </c>
      <c r="C55" s="55">
        <f ca="1">_xll.mirCompound3(ValueDate,$B55,CurveID,CurveName,BusinessDays,Spread,,,Calendar,SlidingRule,Daycount,Interpolation2,Compounding)</f>
        <v>7.9794623204043624E-4</v>
      </c>
    </row>
    <row r="56" spans="2:3">
      <c r="B56" s="54">
        <f t="shared" ca="1" si="2"/>
        <v>42740</v>
      </c>
      <c r="C56" s="55">
        <f ca="1">_xll.mirCompound3(ValueDate,$B56,CurveID,CurveName,BusinessDays,Spread,,,Calendar,SlidingRule,Daycount,Interpolation2,Compounding)</f>
        <v>8.1799945813787467E-4</v>
      </c>
    </row>
    <row r="57" spans="2:3">
      <c r="B57" s="54">
        <f t="shared" ca="1" si="2"/>
        <v>42750</v>
      </c>
      <c r="C57" s="55">
        <f ca="1">_xll.mirCompound3(ValueDate,$B57,CurveID,CurveName,BusinessDays,Spread,,,Calendar,SlidingRule,Daycount,Interpolation2,Compounding)</f>
        <v>8.4045688570211219E-4</v>
      </c>
    </row>
    <row r="58" spans="2:3">
      <c r="B58" s="54">
        <f t="shared" ca="1" si="2"/>
        <v>42760</v>
      </c>
      <c r="C58" s="55">
        <f ca="1">_xll.mirCompound3(ValueDate,$B58,CurveID,CurveName,BusinessDays,Spread,,,Calendar,SlidingRule,Daycount,Interpolation2,Compounding)</f>
        <v>8.5905362618077241E-4</v>
      </c>
    </row>
    <row r="59" spans="2:3">
      <c r="B59" s="54">
        <f t="shared" ca="1" si="2"/>
        <v>42770</v>
      </c>
      <c r="C59" s="55">
        <f ca="1">_xll.mirCompound3(ValueDate,$B59,CurveID,CurveName,BusinessDays,Spread,,,Calendar,SlidingRule,Daycount,Interpolation2,Compounding)</f>
        <v>8.8405468891683547E-4</v>
      </c>
    </row>
    <row r="60" spans="2:3">
      <c r="B60" s="54">
        <f t="shared" ca="1" si="2"/>
        <v>42780</v>
      </c>
      <c r="C60" s="55">
        <f ca="1">_xll.mirCompound3(ValueDate,$B60,CurveID,CurveName,BusinessDays,Spread,,,Calendar,SlidingRule,Daycount,Interpolation2,Compounding)</f>
        <v>9.007865486685418E-4</v>
      </c>
    </row>
    <row r="61" spans="2:3">
      <c r="B61" s="54">
        <f t="shared" ca="1" si="2"/>
        <v>42790</v>
      </c>
      <c r="C61" s="55">
        <f ca="1">_xll.mirCompound3(ValueDate,$B61,CurveID,CurveName,BusinessDays,Spread,,,Calendar,SlidingRule,Daycount,Interpolation2,Compounding)</f>
        <v>9.2169162019284379E-4</v>
      </c>
    </row>
    <row r="62" spans="2:3">
      <c r="B62" s="54">
        <f t="shared" ca="1" si="2"/>
        <v>42800</v>
      </c>
      <c r="C62" s="55">
        <f ca="1">_xll.mirCompound3(ValueDate,$B62,CurveID,CurveName,BusinessDays,Spread,,,Calendar,SlidingRule,Daycount,Interpolation2,Compounding)</f>
        <v>9.425101877209574E-4</v>
      </c>
    </row>
    <row r="63" spans="2:3">
      <c r="B63" s="54">
        <f t="shared" ca="1" si="2"/>
        <v>42810</v>
      </c>
      <c r="C63" s="55">
        <f ca="1">_xll.mirCompound3(ValueDate,$B63,CurveID,CurveName,BusinessDays,Spread,,,Calendar,SlidingRule,Daycount,Interpolation2,Compounding)</f>
        <v>9.6321867071003098E-4</v>
      </c>
    </row>
    <row r="64" spans="2:3">
      <c r="B64" s="54">
        <f t="shared" ca="1" si="2"/>
        <v>42820</v>
      </c>
      <c r="C64" s="55">
        <f ca="1">_xll.mirCompound3(ValueDate,$B64,CurveID,CurveName,BusinessDays,Spread,,,Calendar,SlidingRule,Daycount,Interpolation2,Compounding)</f>
        <v>9.858611040398646E-4</v>
      </c>
    </row>
    <row r="65" spans="2:3">
      <c r="B65" s="54">
        <f t="shared" ca="1" si="2"/>
        <v>42830</v>
      </c>
      <c r="C65" s="55">
        <f ca="1">_xll.mirCompound3(ValueDate,$B65,CurveID,CurveName,BusinessDays,Spread,,,Calendar,SlidingRule,Daycount,Interpolation2,Compounding)</f>
        <v>1.0042730304358205E-3</v>
      </c>
    </row>
    <row r="66" spans="2:3">
      <c r="B66" s="54">
        <f t="shared" ca="1" si="2"/>
        <v>42840</v>
      </c>
      <c r="C66" s="55">
        <f ca="1">_xll.mirCompound3(ValueDate,$B66,CurveID,CurveName,BusinessDays,Spread,,,Calendar,SlidingRule,Daycount,Interpolation2,Compounding)</f>
        <v>1.028653100877408E-3</v>
      </c>
    </row>
    <row r="67" spans="2:3">
      <c r="B67" s="54">
        <f t="shared" ca="1" si="2"/>
        <v>42850</v>
      </c>
      <c r="C67" s="55">
        <f ca="1">_xll.mirCompound3(ValueDate,$B67,CurveID,CurveName,BusinessDays,Spread,,,Calendar,SlidingRule,Daycount,Interpolation2,Compounding)</f>
        <v>1.0448147213240055E-3</v>
      </c>
    </row>
    <row r="68" spans="2:3">
      <c r="B68" s="54">
        <f t="shared" ca="1" si="2"/>
        <v>42860</v>
      </c>
      <c r="C68" s="55">
        <f ca="1">_xll.mirCompound3(ValueDate,$B68,CurveID,CurveName,BusinessDays,Spread,,,Calendar,SlidingRule,Daycount,Interpolation2,Compounding)</f>
        <v>1.0709659380487846E-3</v>
      </c>
    </row>
    <row r="69" spans="2:3">
      <c r="B69" s="54">
        <f t="shared" ca="1" si="2"/>
        <v>42870</v>
      </c>
      <c r="C69" s="55">
        <f ca="1">_xll.mirCompound3(ValueDate,$B69,CurveID,CurveName,BusinessDays,Spread,,,Calendar,SlidingRule,Daycount,Interpolation2,Compounding)</f>
        <v>1.0849738842040324E-3</v>
      </c>
    </row>
    <row r="70" spans="2:3">
      <c r="B70" s="54">
        <f t="shared" ca="1" si="2"/>
        <v>42880</v>
      </c>
      <c r="C70" s="55">
        <f ca="1">_xll.mirCompound3(ValueDate,$B70,CurveID,CurveName,BusinessDays,Spread,,,Calendar,SlidingRule,Daycount,Interpolation2,Compounding)</f>
        <v>1.1048745728219345E-3</v>
      </c>
    </row>
    <row r="71" spans="2:3">
      <c r="B71" s="54">
        <f t="shared" ca="1" si="2"/>
        <v>42890</v>
      </c>
      <c r="C71" s="55">
        <f ca="1">_xll.mirCompound3(ValueDate,$B71,CurveID,CurveName,BusinessDays,Spread,,,Calendar,SlidingRule,Daycount,Interpolation2,Compounding)</f>
        <v>1.1265877641615241E-3</v>
      </c>
    </row>
    <row r="72" spans="2:3">
      <c r="B72" s="54">
        <f t="shared" ca="1" si="2"/>
        <v>42900</v>
      </c>
      <c r="C72" s="55">
        <f ca="1">_xll.mirCompound3(ValueDate,$B72,CurveID,CurveName,BusinessDays,Spread,,,Calendar,SlidingRule,Daycount,Interpolation2,Compounding)</f>
        <v>1.1441920318819854E-3</v>
      </c>
    </row>
    <row r="73" spans="2:3">
      <c r="B73" s="54">
        <f t="shared" ca="1" si="2"/>
        <v>42910</v>
      </c>
      <c r="C73" s="55">
        <f ca="1">_xll.mirCompound3(ValueDate,$B73,CurveID,CurveName,BusinessDays,Spread,,,Calendar,SlidingRule,Daycount,Interpolation2,Compounding)</f>
        <v>1.1674049748719995E-3</v>
      </c>
    </row>
    <row r="74" spans="2:3">
      <c r="B74" s="54">
        <f t="shared" ca="1" si="2"/>
        <v>42920</v>
      </c>
      <c r="C74" s="55">
        <f ca="1">_xll.mirCompound3(ValueDate,$B74,CurveID,CurveName,BusinessDays,Spread,,,Calendar,SlidingRule,Daycount,Interpolation2,Compounding)</f>
        <v>1.1826960454603963E-3</v>
      </c>
    </row>
    <row r="75" spans="2:3">
      <c r="B75" s="54">
        <f t="shared" ca="1" si="2"/>
        <v>42930</v>
      </c>
      <c r="C75" s="55">
        <f ca="1">_xll.mirCompound3(ValueDate,$B75,CurveID,CurveName,BusinessDays,Spread,,,Calendar,SlidingRule,Daycount,Interpolation2,Compounding)</f>
        <v>1.2015799134623695E-3</v>
      </c>
    </row>
    <row r="76" spans="2:3">
      <c r="B76" s="54">
        <f t="shared" ca="1" si="2"/>
        <v>42940</v>
      </c>
      <c r="C76" s="55">
        <f ca="1">_xll.mirCompound3(ValueDate,$B76,CurveID,CurveName,BusinessDays,Spread,,,Calendar,SlidingRule,Daycount,Interpolation2,Compounding)</f>
        <v>1.2201846969857044E-3</v>
      </c>
    </row>
    <row r="77" spans="2:3">
      <c r="B77" s="54">
        <f t="shared" ca="1" si="2"/>
        <v>42950</v>
      </c>
      <c r="C77" s="55">
        <f ca="1">_xll.mirCompound3(ValueDate,$B77,CurveID,CurveName,BusinessDays,Spread,,,Calendar,SlidingRule,Daycount,Interpolation2,Compounding)</f>
        <v>1.2384851478925984E-3</v>
      </c>
    </row>
    <row r="78" spans="2:3">
      <c r="B78" s="54">
        <f t="shared" ca="1" si="2"/>
        <v>42960</v>
      </c>
      <c r="C78" s="55">
        <f ca="1">_xll.mirCompound3(ValueDate,$B78,CurveID,CurveName,BusinessDays,Spread,,,Calendar,SlidingRule,Daycount,Interpolation2,Compounding)</f>
        <v>1.2582340022022631E-3</v>
      </c>
    </row>
    <row r="79" spans="2:3">
      <c r="B79" s="54">
        <f t="shared" ca="1" si="2"/>
        <v>42970</v>
      </c>
      <c r="C79" s="55">
        <f ca="1">_xll.mirCompound3(ValueDate,$B79,CurveID,CurveName,BusinessDays,Spread,,,Calendar,SlidingRule,Daycount,Interpolation2,Compounding)</f>
        <v>1.2740720436574815E-3</v>
      </c>
    </row>
    <row r="80" spans="2:3">
      <c r="B80" s="54">
        <f t="shared" ca="1" si="2"/>
        <v>42980</v>
      </c>
      <c r="C80" s="55">
        <f ca="1">_xll.mirCompound3(ValueDate,$B80,CurveID,CurveName,BusinessDays,Spread,,,Calendar,SlidingRule,Daycount,Interpolation2,Compounding)</f>
        <v>1.2947230831956702E-3</v>
      </c>
    </row>
    <row r="81" spans="2:3">
      <c r="B81" s="54">
        <f t="shared" ca="1" si="2"/>
        <v>42990</v>
      </c>
      <c r="C81" s="55">
        <f ca="1">_xll.mirCompound3(ValueDate,$B81,CurveID,CurveName,BusinessDays,Spread,,,Calendar,SlidingRule,Daycount,Interpolation2,Compounding)</f>
        <v>1.308219740544958E-3</v>
      </c>
    </row>
    <row r="82" spans="2:3">
      <c r="B82" s="54">
        <f t="shared" ca="1" si="2"/>
        <v>43000</v>
      </c>
      <c r="C82" s="55">
        <f ca="1">_xll.mirCompound3(ValueDate,$B82,CurveID,CurveName,BusinessDays,Spread,,,Calendar,SlidingRule,Daycount,Interpolation2,Compounding)</f>
        <v>1.3248272013124396E-3</v>
      </c>
    </row>
    <row r="83" spans="2:3">
      <c r="B83" s="54">
        <f t="shared" ca="1" si="2"/>
        <v>43010</v>
      </c>
      <c r="C83" s="55">
        <f ca="1">_xll.mirCompound3(ValueDate,$B83,CurveID,CurveName,BusinessDays,Spread,,,Calendar,SlidingRule,Daycount,Interpolation2,Compounding)</f>
        <v>1.3411847586204395E-3</v>
      </c>
    </row>
    <row r="84" spans="2:3">
      <c r="B84" s="54">
        <f t="shared" ca="1" si="2"/>
        <v>43020</v>
      </c>
      <c r="C84" s="55">
        <f ca="1">_xll.mirCompound3(ValueDate,$B84,CurveID,CurveName,BusinessDays,Spread,,,Calendar,SlidingRule,Daycount,Interpolation2,Compounding)</f>
        <v>1.3573381897427073E-3</v>
      </c>
    </row>
    <row r="85" spans="2:3">
      <c r="B85" s="54">
        <f t="shared" ca="1" si="2"/>
        <v>43030</v>
      </c>
      <c r="C85" s="55">
        <f ca="1">_xll.mirCompound3(ValueDate,$B85,CurveID,CurveName,BusinessDays,Spread,,,Calendar,SlidingRule,Daycount,Interpolation2,Compounding)</f>
        <v>1.374925840994301E-3</v>
      </c>
    </row>
    <row r="86" spans="2:3">
      <c r="B86" s="54">
        <f t="shared" ca="1" si="2"/>
        <v>43040</v>
      </c>
      <c r="C86" s="55">
        <f ca="1">_xll.mirCompound3(ValueDate,$B86,CurveID,CurveName,BusinessDays,Spread,,,Calendar,SlidingRule,Daycount,Interpolation2,Compounding)</f>
        <v>1.3892158133748111E-3</v>
      </c>
    </row>
    <row r="87" spans="2:3">
      <c r="B87" s="54">
        <f t="shared" ca="1" si="2"/>
        <v>43050</v>
      </c>
      <c r="C87" s="55">
        <f ca="1">_xll.mirCompound3(ValueDate,$B87,CurveID,CurveName,BusinessDays,Spread,,,Calendar,SlidingRule,Daycount,Interpolation2,Compounding)</f>
        <v>1.4081907657859105E-3</v>
      </c>
    </row>
    <row r="88" spans="2:3">
      <c r="B88" s="54">
        <f t="shared" ca="1" si="2"/>
        <v>43060</v>
      </c>
      <c r="C88" s="55">
        <f ca="1">_xll.mirCompound3(ValueDate,$B88,CurveID,CurveName,BusinessDays,Spread,,,Calendar,SlidingRule,Daycount,Interpolation2,Compounding)</f>
        <v>1.420826411749454E-3</v>
      </c>
    </row>
    <row r="89" spans="2:3">
      <c r="B89" s="54">
        <f t="shared" ca="1" si="2"/>
        <v>43070</v>
      </c>
      <c r="C89" s="55">
        <f ca="1">_xll.mirCompound3(ValueDate,$B89,CurveID,CurveName,BusinessDays,Spread,,,Calendar,SlidingRule,Daycount,Interpolation2,Compounding)</f>
        <v>1.4366460832051509E-3</v>
      </c>
    </row>
    <row r="90" spans="2:3">
      <c r="B90" s="54">
        <f t="shared" ca="1" si="2"/>
        <v>43080</v>
      </c>
      <c r="C90" s="55">
        <f ca="1">_xll.mirCompound3(ValueDate,$B90,CurveID,CurveName,BusinessDays,Spread,,,Calendar,SlidingRule,Daycount,Interpolation2,Compounding)</f>
        <v>1.452536418026229E-3</v>
      </c>
    </row>
    <row r="91" spans="2:3">
      <c r="B91" s="54">
        <f t="shared" ca="1" si="2"/>
        <v>43090</v>
      </c>
      <c r="C91" s="55">
        <f ca="1">_xll.mirCompound3(ValueDate,$B91,CurveID,CurveName,BusinessDays,Spread,,,Calendar,SlidingRule,Daycount,Interpolation2,Compounding)</f>
        <v>1.4685432348866545E-3</v>
      </c>
    </row>
    <row r="92" spans="2:3">
      <c r="B92" s="54">
        <f t="shared" ca="1" si="2"/>
        <v>43100</v>
      </c>
      <c r="C92" s="55">
        <f ca="1">_xll.mirCompound3(ValueDate,$B92,CurveID,CurveName,BusinessDays,Spread,,,Calendar,SlidingRule,Daycount,Interpolation2,Compounding)</f>
        <v>1.481463349369605E-3</v>
      </c>
    </row>
    <row r="93" spans="2:3">
      <c r="B93" s="54">
        <f t="shared" ca="1" si="2"/>
        <v>43110</v>
      </c>
      <c r="C93" s="55">
        <f ca="1">_xll.mirCompound3(ValueDate,$B93,CurveID,CurveName,BusinessDays,Spread,,,Calendar,SlidingRule,Daycount,Interpolation2,Compounding)</f>
        <v>1.5010896191602896E-3</v>
      </c>
    </row>
    <row r="94" spans="2:3">
      <c r="B94" s="54">
        <f t="shared" ca="1" si="2"/>
        <v>43120</v>
      </c>
      <c r="C94" s="55">
        <f ca="1">_xll.mirCompound3(ValueDate,$B94,CurveID,CurveName,BusinessDays,Spread,,,Calendar,SlidingRule,Daycount,Interpolation2,Compounding)</f>
        <v>1.5210816120638793E-3</v>
      </c>
    </row>
    <row r="95" spans="2:3">
      <c r="B95" s="54">
        <f t="shared" ca="1" si="2"/>
        <v>43130</v>
      </c>
      <c r="C95" s="55">
        <f ca="1">_xll.mirCompound3(ValueDate,$B95,CurveID,CurveName,BusinessDays,Spread,,,Calendar,SlidingRule,Daycount,Interpolation2,Compounding)</f>
        <v>1.5346519064580733E-3</v>
      </c>
    </row>
    <row r="96" spans="2:3">
      <c r="B96" s="54">
        <f t="shared" ca="1" si="2"/>
        <v>43140</v>
      </c>
      <c r="C96" s="55">
        <f ca="1">_xll.mirCompound3(ValueDate,$B96,CurveID,CurveName,BusinessDays,Spread,,,Calendar,SlidingRule,Daycount,Interpolation2,Compounding)</f>
        <v>1.5519286262586363E-3</v>
      </c>
    </row>
    <row r="97" spans="2:3">
      <c r="B97" s="54">
        <f t="shared" ca="1" si="2"/>
        <v>43150</v>
      </c>
      <c r="C97" s="55">
        <f ca="1">_xll.mirCompound3(ValueDate,$B97,CurveID,CurveName,BusinessDays,Spread,,,Calendar,SlidingRule,Daycount,Interpolation2,Compounding)</f>
        <v>1.5695968704514396E-3</v>
      </c>
    </row>
    <row r="98" spans="2:3">
      <c r="B98" s="54">
        <f t="shared" ca="1" si="2"/>
        <v>43160</v>
      </c>
      <c r="C98" s="55">
        <f ca="1">_xll.mirCompound3(ValueDate,$B98,CurveID,CurveName,BusinessDays,Spread,,,Calendar,SlidingRule,Daycount,Interpolation2,Compounding)</f>
        <v>1.5877025033190773E-3</v>
      </c>
    </row>
    <row r="99" spans="2:3">
      <c r="B99" s="54">
        <f t="shared" ca="1" si="2"/>
        <v>43170</v>
      </c>
      <c r="C99" s="55">
        <f ca="1">_xll.mirCompound3(ValueDate,$B99,CurveID,CurveName,BusinessDays,Spread,,,Calendar,SlidingRule,Daycount,Interpolation2,Compounding)</f>
        <v>1.6081786318422608E-3</v>
      </c>
    </row>
    <row r="100" spans="2:3">
      <c r="B100" s="54">
        <f t="shared" ca="1" si="2"/>
        <v>43180</v>
      </c>
      <c r="C100" s="55">
        <f ca="1">_xll.mirCompound3(ValueDate,$B100,CurveID,CurveName,BusinessDays,Spread,,,Calendar,SlidingRule,Daycount,Interpolation2,Compounding)</f>
        <v>1.6273521039305017E-3</v>
      </c>
    </row>
    <row r="101" spans="2:3">
      <c r="B101" s="54">
        <f t="shared" ca="1" si="2"/>
        <v>43190</v>
      </c>
      <c r="C101" s="55">
        <f ca="1">_xll.mirCompound3(ValueDate,$B101,CurveID,CurveName,BusinessDays,Spread,,,Calendar,SlidingRule,Daycount,Interpolation2,Compounding)</f>
        <v>1.6431060041366408E-3</v>
      </c>
    </row>
    <row r="102" spans="2:3">
      <c r="B102" s="54">
        <f t="shared" ca="1" si="2"/>
        <v>43200</v>
      </c>
      <c r="C102" s="55">
        <f ca="1">_xll.mirCompound3(ValueDate,$B102,CurveID,CurveName,BusinessDays,Spread,,,Calendar,SlidingRule,Daycount,Interpolation2,Compounding)</f>
        <v>1.6654164857889953E-3</v>
      </c>
    </row>
    <row r="103" spans="2:3">
      <c r="B103" s="54">
        <f t="shared" ca="1" si="2"/>
        <v>43210</v>
      </c>
      <c r="C103" s="55">
        <f ca="1">_xll.mirCompound3(ValueDate,$B103,CurveID,CurveName,BusinessDays,Spread,,,Calendar,SlidingRule,Daycount,Interpolation2,Compounding)</f>
        <v>1.6863973113638853E-3</v>
      </c>
    </row>
    <row r="104" spans="2:3">
      <c r="B104" s="54">
        <f t="shared" ca="1" si="2"/>
        <v>43220</v>
      </c>
      <c r="C104" s="55">
        <f ca="1">_xll.mirCompound3(ValueDate,$B104,CurveID,CurveName,BusinessDays,Spread,,,Calendar,SlidingRule,Daycount,Interpolation2,Compounding)</f>
        <v>1.7015052443418721E-3</v>
      </c>
    </row>
    <row r="105" spans="2:3">
      <c r="B105" s="54">
        <f t="shared" ca="1" si="2"/>
        <v>43230</v>
      </c>
      <c r="C105" s="55">
        <f ca="1">_xll.mirCompound3(ValueDate,$B105,CurveID,CurveName,BusinessDays,Spread,,,Calendar,SlidingRule,Daycount,Interpolation2,Compounding)</f>
        <v>1.7305431478464861E-3</v>
      </c>
    </row>
    <row r="106" spans="2:3">
      <c r="B106" s="54">
        <f t="shared" ca="1" si="2"/>
        <v>43240</v>
      </c>
      <c r="C106" s="55">
        <f ca="1">_xll.mirCompound3(ValueDate,$B106,CurveID,CurveName,BusinessDays,Spread,,,Calendar,SlidingRule,Daycount,Interpolation2,Compounding)</f>
        <v>1.7561717384413367E-3</v>
      </c>
    </row>
    <row r="107" spans="2:3">
      <c r="B107" s="54">
        <f t="shared" ca="1" si="2"/>
        <v>43250</v>
      </c>
      <c r="C107" s="55">
        <f ca="1">_xll.mirCompound3(ValueDate,$B107,CurveID,CurveName,BusinessDays,Spread,,,Calendar,SlidingRule,Daycount,Interpolation2,Compounding)</f>
        <v>1.7779074798636163E-3</v>
      </c>
    </row>
    <row r="108" spans="2:3">
      <c r="B108" s="54">
        <f t="shared" ca="1" si="2"/>
        <v>43260</v>
      </c>
      <c r="C108" s="55">
        <f ca="1">_xll.mirCompound3(ValueDate,$B108,CurveID,CurveName,BusinessDays,Spread,,,Calendar,SlidingRule,Daycount,Interpolation2,Compounding)</f>
        <v>1.8080238995665798E-3</v>
      </c>
    </row>
    <row r="109" spans="2:3">
      <c r="B109" s="54">
        <f t="shared" ref="B109:B146" ca="1" si="3">B108+PeriodicityInDays</f>
        <v>43270</v>
      </c>
      <c r="C109" s="55">
        <f ca="1">_xll.mirCompound3(ValueDate,$B109,CurveID,CurveName,BusinessDays,Spread,,,Calendar,SlidingRule,Daycount,Interpolation2,Compounding)</f>
        <v>1.8288579793734883E-3</v>
      </c>
    </row>
    <row r="110" spans="2:3">
      <c r="B110" s="54">
        <f t="shared" ca="1" si="3"/>
        <v>43280</v>
      </c>
      <c r="C110" s="55">
        <f ca="1">_xll.mirCompound3(ValueDate,$B110,CurveID,CurveName,BusinessDays,Spread,,,Calendar,SlidingRule,Daycount,Interpolation2,Compounding)</f>
        <v>1.8557929992153444E-3</v>
      </c>
    </row>
    <row r="111" spans="2:3">
      <c r="B111" s="54">
        <f t="shared" ca="1" si="3"/>
        <v>43290</v>
      </c>
      <c r="C111" s="55">
        <f ca="1">_xll.mirCompound3(ValueDate,$B111,CurveID,CurveName,BusinessDays,Spread,,,Calendar,SlidingRule,Daycount,Interpolation2,Compounding)</f>
        <v>1.8837625396963542E-3</v>
      </c>
    </row>
    <row r="112" spans="2:3">
      <c r="B112" s="54">
        <f t="shared" ca="1" si="3"/>
        <v>43300</v>
      </c>
      <c r="C112" s="55">
        <f ca="1">_xll.mirCompound3(ValueDate,$B112,CurveID,CurveName,BusinessDays,Spread,,,Calendar,SlidingRule,Daycount,Interpolation2,Compounding)</f>
        <v>1.912812626612137E-3</v>
      </c>
    </row>
    <row r="113" spans="2:3">
      <c r="B113" s="54">
        <f t="shared" ca="1" si="3"/>
        <v>43310</v>
      </c>
      <c r="C113" s="55">
        <f ca="1">_xll.mirCompound3(ValueDate,$B113,CurveID,CurveName,BusinessDays,Spread,,,Calendar,SlidingRule,Daycount,Interpolation2,Compounding)</f>
        <v>1.9460707065035443E-3</v>
      </c>
    </row>
    <row r="114" spans="2:3">
      <c r="B114" s="54">
        <f t="shared" ca="1" si="3"/>
        <v>43320</v>
      </c>
      <c r="C114" s="55">
        <f ca="1">_xll.mirCompound3(ValueDate,$B114,CurveID,CurveName,BusinessDays,Spread,,,Calendar,SlidingRule,Daycount,Interpolation2,Compounding)</f>
        <v>1.9743386311668054E-3</v>
      </c>
    </row>
    <row r="115" spans="2:3">
      <c r="B115" s="54">
        <f t="shared" ca="1" si="3"/>
        <v>43330</v>
      </c>
      <c r="C115" s="55">
        <f ca="1">_xll.mirCompound3(ValueDate,$B115,CurveID,CurveName,BusinessDays,Spread,,,Calendar,SlidingRule,Daycount,Interpolation2,Compounding)</f>
        <v>2.0135706083259652E-3</v>
      </c>
    </row>
    <row r="116" spans="2:3">
      <c r="B116" s="54">
        <f t="shared" ca="1" si="3"/>
        <v>43340</v>
      </c>
      <c r="C116" s="55">
        <f ca="1">_xll.mirCompound3(ValueDate,$B116,CurveID,CurveName,BusinessDays,Spread,,,Calendar,SlidingRule,Daycount,Interpolation2,Compounding)</f>
        <v>2.0407388608454369E-3</v>
      </c>
    </row>
    <row r="117" spans="2:3">
      <c r="B117" s="54">
        <f t="shared" ca="1" si="3"/>
        <v>43350</v>
      </c>
      <c r="C117" s="55">
        <f ca="1">_xll.mirCompound3(ValueDate,$B117,CurveID,CurveName,BusinessDays,Spread,,,Calendar,SlidingRule,Daycount,Interpolation2,Compounding)</f>
        <v>2.075852316913096E-3</v>
      </c>
    </row>
    <row r="118" spans="2:3">
      <c r="B118" s="54">
        <f t="shared" ca="1" si="3"/>
        <v>43360</v>
      </c>
      <c r="C118" s="55">
        <f ca="1">_xll.mirCompound3(ValueDate,$B118,CurveID,CurveName,BusinessDays,Spread,,,Calendar,SlidingRule,Daycount,Interpolation2,Compounding)</f>
        <v>2.1159336763465486E-3</v>
      </c>
    </row>
    <row r="119" spans="2:3">
      <c r="B119" s="54">
        <f t="shared" ca="1" si="3"/>
        <v>43370</v>
      </c>
      <c r="C119" s="55">
        <f ca="1">_xll.mirCompound3(ValueDate,$B119,CurveID,CurveName,BusinessDays,Spread,,,Calendar,SlidingRule,Daycount,Interpolation2,Compounding)</f>
        <v>2.1498427735766601E-3</v>
      </c>
    </row>
    <row r="120" spans="2:3">
      <c r="B120" s="54">
        <f t="shared" ca="1" si="3"/>
        <v>43380</v>
      </c>
      <c r="C120" s="55">
        <f ca="1">_xll.mirCompound3(ValueDate,$B120,CurveID,CurveName,BusinessDays,Spread,,,Calendar,SlidingRule,Daycount,Interpolation2,Compounding)</f>
        <v>2.1965868156295087E-3</v>
      </c>
    </row>
    <row r="121" spans="2:3">
      <c r="B121" s="54">
        <f t="shared" ca="1" si="3"/>
        <v>43390</v>
      </c>
      <c r="C121" s="55">
        <f ca="1">_xll.mirCompound3(ValueDate,$B121,CurveID,CurveName,BusinessDays,Spread,,,Calendar,SlidingRule,Daycount,Interpolation2,Compounding)</f>
        <v>2.2287052102665239E-3</v>
      </c>
    </row>
    <row r="122" spans="2:3">
      <c r="B122" s="54">
        <f t="shared" ca="1" si="3"/>
        <v>43400</v>
      </c>
      <c r="C122" s="55">
        <f ca="1">_xll.mirCompound3(ValueDate,$B122,CurveID,CurveName,BusinessDays,Spread,,,Calendar,SlidingRule,Daycount,Interpolation2,Compounding)</f>
        <v>2.2782883107936858E-3</v>
      </c>
    </row>
    <row r="123" spans="2:3">
      <c r="B123" s="54">
        <f t="shared" ca="1" si="3"/>
        <v>43410</v>
      </c>
      <c r="C123" s="55">
        <f ca="1">_xll.mirCompound3(ValueDate,$B123,CurveID,CurveName,BusinessDays,Spread,,,Calendar,SlidingRule,Daycount,Interpolation2,Compounding)</f>
        <v>2.3122643601949378E-3</v>
      </c>
    </row>
    <row r="124" spans="2:3">
      <c r="B124" s="54">
        <f t="shared" ca="1" si="3"/>
        <v>43420</v>
      </c>
      <c r="C124" s="55">
        <f ca="1">_xll.mirCompound3(ValueDate,$B124,CurveID,CurveName,BusinessDays,Spread,,,Calendar,SlidingRule,Daycount,Interpolation2,Compounding)</f>
        <v>2.3557504369591253E-3</v>
      </c>
    </row>
    <row r="125" spans="2:3">
      <c r="B125" s="54">
        <f t="shared" ca="1" si="3"/>
        <v>43430</v>
      </c>
      <c r="C125" s="55">
        <f ca="1">_xll.mirCompound3(ValueDate,$B125,CurveID,CurveName,BusinessDays,Spread,,,Calendar,SlidingRule,Daycount,Interpolation2,Compounding)</f>
        <v>2.4003449739800065E-3</v>
      </c>
    </row>
    <row r="126" spans="2:3">
      <c r="B126" s="54">
        <f t="shared" ca="1" si="3"/>
        <v>43440</v>
      </c>
      <c r="C126" s="55">
        <f ca="1">_xll.mirCompound3(ValueDate,$B126,CurveID,CurveName,BusinessDays,Spread,,,Calendar,SlidingRule,Daycount,Interpolation2,Compounding)</f>
        <v>2.4460260651477661E-3</v>
      </c>
    </row>
    <row r="127" spans="2:3">
      <c r="B127" s="54">
        <f t="shared" ca="1" si="3"/>
        <v>43450</v>
      </c>
      <c r="C127" s="55">
        <f ca="1">_xll.mirCompound3(ValueDate,$B127,CurveID,CurveName,BusinessDays,Spread,,,Calendar,SlidingRule,Daycount,Interpolation2,Compounding)</f>
        <v>2.4975040894119616E-3</v>
      </c>
    </row>
    <row r="128" spans="2:3">
      <c r="B128" s="54">
        <f t="shared" ca="1" si="3"/>
        <v>43460</v>
      </c>
      <c r="C128" s="55">
        <f ca="1">_xll.mirCompound3(ValueDate,$B128,CurveID,CurveName,BusinessDays,Spread,,,Calendar,SlidingRule,Daycount,Interpolation2,Compounding)</f>
        <v>2.5405602804922101E-3</v>
      </c>
    </row>
    <row r="129" spans="2:3">
      <c r="B129" s="54">
        <f t="shared" ca="1" si="3"/>
        <v>43470</v>
      </c>
      <c r="C129" s="55">
        <f ca="1">_xll.mirCompound3(ValueDate,$B129,CurveID,CurveName,BusinessDays,Spread,,,Calendar,SlidingRule,Daycount,Interpolation2,Compounding)</f>
        <v>2.5992520183291123E-3</v>
      </c>
    </row>
    <row r="130" spans="2:3">
      <c r="B130" s="54">
        <f t="shared" ca="1" si="3"/>
        <v>43480</v>
      </c>
      <c r="C130" s="55">
        <f ca="1">_xll.mirCompound3(ValueDate,$B130,CurveID,CurveName,BusinessDays,Spread,,,Calendar,SlidingRule,Daycount,Interpolation2,Compounding)</f>
        <v>2.6391778076064742E-3</v>
      </c>
    </row>
    <row r="131" spans="2:3">
      <c r="B131" s="54">
        <f t="shared" ca="1" si="3"/>
        <v>43490</v>
      </c>
      <c r="C131" s="55">
        <f ca="1">_xll.mirCompound3(ValueDate,$B131,CurveID,CurveName,BusinessDays,Spread,,,Calendar,SlidingRule,Daycount,Interpolation2,Compounding)</f>
        <v>2.6899630298988786E-3</v>
      </c>
    </row>
    <row r="132" spans="2:3">
      <c r="B132" s="54">
        <f t="shared" ca="1" si="3"/>
        <v>43500</v>
      </c>
      <c r="C132" s="55">
        <f ca="1">_xll.mirCompound3(ValueDate,$B132,CurveID,CurveName,BusinessDays,Spread,,,Calendar,SlidingRule,Daycount,Interpolation2,Compounding)</f>
        <v>2.7417033345014108E-3</v>
      </c>
    </row>
    <row r="133" spans="2:3">
      <c r="B133" s="54">
        <f t="shared" ca="1" si="3"/>
        <v>43510</v>
      </c>
      <c r="C133" s="55">
        <f ca="1">_xll.mirCompound3(ValueDate,$B133,CurveID,CurveName,BusinessDays,Spread,,,Calendar,SlidingRule,Daycount,Interpolation2,Compounding)</f>
        <v>2.7943767993905411E-3</v>
      </c>
    </row>
    <row r="134" spans="2:3">
      <c r="B134" s="54">
        <f t="shared" ca="1" si="3"/>
        <v>43520</v>
      </c>
      <c r="C134" s="55">
        <f ca="1">_xll.mirCompound3(ValueDate,$B134,CurveID,CurveName,BusinessDays,Spread,,,Calendar,SlidingRule,Daycount,Interpolation2,Compounding)</f>
        <v>2.8533692420475987E-3</v>
      </c>
    </row>
    <row r="135" spans="2:3">
      <c r="B135" s="54">
        <f t="shared" ca="1" si="3"/>
        <v>43530</v>
      </c>
      <c r="C135" s="55">
        <f ca="1">_xll.mirCompound3(ValueDate,$B135,CurveID,CurveName,BusinessDays,Spread,,,Calendar,SlidingRule,Daycount,Interpolation2,Compounding)</f>
        <v>2.9024355014724001E-3</v>
      </c>
    </row>
    <row r="136" spans="2:3">
      <c r="B136" s="54">
        <f t="shared" ca="1" si="3"/>
        <v>43540</v>
      </c>
      <c r="C136" s="55">
        <f ca="1">_xll.mirCompound3(ValueDate,$B136,CurveID,CurveName,BusinessDays,Spread,,,Calendar,SlidingRule,Daycount,Interpolation2,Compounding)</f>
        <v>2.9689473008041034E-3</v>
      </c>
    </row>
    <row r="137" spans="2:3">
      <c r="B137" s="54">
        <f t="shared" ca="1" si="3"/>
        <v>43550</v>
      </c>
      <c r="C137" s="55">
        <f ca="1">_xll.mirCompound3(ValueDate,$B137,CurveID,CurveName,BusinessDays,Spread,,,Calendar,SlidingRule,Daycount,Interpolation2,Compounding)</f>
        <v>3.0139636724970664E-3</v>
      </c>
    </row>
    <row r="138" spans="2:3">
      <c r="B138" s="54">
        <f t="shared" ca="1" si="3"/>
        <v>43560</v>
      </c>
      <c r="C138" s="55">
        <f ca="1">_xll.mirCompound3(ValueDate,$B138,CurveID,CurveName,BusinessDays,Spread,,,Calendar,SlidingRule,Daycount,Interpolation2,Compounding)</f>
        <v>3.070973954072409E-3</v>
      </c>
    </row>
    <row r="139" spans="2:3">
      <c r="B139" s="54">
        <f t="shared" ca="1" si="3"/>
        <v>43570</v>
      </c>
      <c r="C139" s="55">
        <f ca="1">_xll.mirCompound3(ValueDate,$B139,CurveID,CurveName,BusinessDays,Spread,,,Calendar,SlidingRule,Daycount,Interpolation2,Compounding)</f>
        <v>3.1287857656892015E-3</v>
      </c>
    </row>
    <row r="140" spans="2:3">
      <c r="B140" s="54">
        <f t="shared" ca="1" si="3"/>
        <v>43580</v>
      </c>
      <c r="C140" s="55">
        <f ca="1">_xll.mirCompound3(ValueDate,$B140,CurveID,CurveName,BusinessDays,Spread,,,Calendar,SlidingRule,Daycount,Interpolation2,Compounding)</f>
        <v>3.1873771490562586E-3</v>
      </c>
    </row>
    <row r="141" spans="2:3">
      <c r="B141" s="54">
        <f t="shared" ca="1" si="3"/>
        <v>43590</v>
      </c>
      <c r="C141" s="55">
        <f ca="1">_xll.mirCompound3(ValueDate,$B141,CurveID,CurveName,BusinessDays,Spread,,,Calendar,SlidingRule,Daycount,Interpolation2,Compounding)</f>
        <v>3.2586849166802434E-3</v>
      </c>
    </row>
    <row r="142" spans="2:3">
      <c r="B142" s="54">
        <f t="shared" ca="1" si="3"/>
        <v>43600</v>
      </c>
      <c r="C142" s="55">
        <f ca="1">_xll.mirCompound3(ValueDate,$B142,CurveID,CurveName,BusinessDays,Spread,,,Calendar,SlidingRule,Daycount,Interpolation2,Compounding)</f>
        <v>3.3068107642817424E-3</v>
      </c>
    </row>
    <row r="143" spans="2:3">
      <c r="B143" s="54">
        <f t="shared" ca="1" si="3"/>
        <v>43610</v>
      </c>
      <c r="C143" s="55">
        <f ca="1">_xll.mirCompound3(ValueDate,$B143,CurveID,CurveName,BusinessDays,Spread,,,Calendar,SlidingRule,Daycount,Interpolation2,Compounding)</f>
        <v>3.3798524050516754E-3</v>
      </c>
    </row>
    <row r="144" spans="2:3">
      <c r="B144" s="54">
        <f t="shared" ca="1" si="3"/>
        <v>43620</v>
      </c>
      <c r="C144" s="55">
        <f ca="1">_xll.mirCompound3(ValueDate,$B144,CurveID,CurveName,BusinessDays,Spread,,,Calendar,SlidingRule,Daycount,Interpolation2,Compounding)</f>
        <v>3.4290989943475125E-3</v>
      </c>
    </row>
    <row r="145" spans="2:3">
      <c r="B145" s="54">
        <f t="shared" ca="1" si="3"/>
        <v>43630</v>
      </c>
      <c r="C145" s="55">
        <f ca="1">_xll.mirCompound3(ValueDate,$B145,CurveID,CurveName,BusinessDays,Spread,,,Calendar,SlidingRule,Daycount,Interpolation2,Compounding)</f>
        <v>3.4912586176227833E-3</v>
      </c>
    </row>
    <row r="146" spans="2:3">
      <c r="B146" s="56">
        <f t="shared" ca="1" si="3"/>
        <v>43640</v>
      </c>
      <c r="C146" s="57">
        <f ca="1">_xll.mirCompound3(ValueDate,$B146,CurveID,CurveName,BusinessDays,Spread,,,Calendar,SlidingRule,Daycount,Interpolation2,Compounding)</f>
        <v>3.5540659116797269E-3</v>
      </c>
    </row>
  </sheetData>
  <dataValidations count="2">
    <dataValidation type="list" allowBlank="1" showInputMessage="1" showErrorMessage="1" sqref="C4">
      <formula1>"Flat,Simple,Normal,Average"</formula1>
    </dataValidation>
    <dataValidation type="list" allowBlank="1" showInputMessage="1" showErrorMessage="1" sqref="C3">
      <formula1>"Step,Spline,ConstrainedSpline"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Curve</vt:lpstr>
      <vt:lpstr>Example</vt:lpstr>
      <vt:lpstr>Chart</vt:lpstr>
      <vt:lpstr>BusinessDays</vt:lpstr>
      <vt:lpstr>Calendar</vt:lpstr>
      <vt:lpstr>Compounding</vt:lpstr>
      <vt:lpstr>CurveID</vt:lpstr>
      <vt:lpstr>CurveName</vt:lpstr>
      <vt:lpstr>Daycount</vt:lpstr>
      <vt:lpstr>ExpiryDate</vt:lpstr>
      <vt:lpstr>Interpolation</vt:lpstr>
      <vt:lpstr>Interpolation2</vt:lpstr>
      <vt:lpstr>PeriodicityInDays</vt:lpstr>
      <vt:lpstr>SlidingRule</vt:lpstr>
      <vt:lpstr>SpotLag</vt:lpstr>
      <vt:lpstr>Spread</vt:lpstr>
      <vt:lpstr>Term</vt:lpstr>
      <vt:lpstr>TradeDate</vt:lpstr>
      <vt:lpstr>ValueDate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Uragami Shinichiro</dc:creator>
  <cp:lastModifiedBy>Nicholas Burgess</cp:lastModifiedBy>
  <dcterms:created xsi:type="dcterms:W3CDTF">2015-08-06T14:26:47Z</dcterms:created>
  <dcterms:modified xsi:type="dcterms:W3CDTF">2016-03-16T11:08:25Z</dcterms:modified>
</cp:coreProperties>
</file>