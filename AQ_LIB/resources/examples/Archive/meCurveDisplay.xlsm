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Display Curve" sheetId="22" r:id="rId3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Date">'Display Curve'!$C$3</definedName>
    <definedName name="CurveId">'Display Curve'!$C$5</definedName>
    <definedName name="CurveName">'Display Curve'!$C$6</definedName>
    <definedName name="CurveSpotDate">'Display Curve'!$C$4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3" i="22" l="1"/>
  <c r="D22" i="3"/>
  <c r="C11" i="22" a="1"/>
  <c r="C4" i="22"/>
  <c r="C12" i="22" l="1"/>
  <c r="C16" i="22"/>
  <c r="C20" i="22"/>
  <c r="C24" i="22"/>
  <c r="C28" i="22"/>
  <c r="C32" i="22"/>
  <c r="C36" i="22"/>
  <c r="C40" i="22"/>
  <c r="C44" i="22"/>
  <c r="C48" i="22"/>
  <c r="C52" i="22"/>
  <c r="C56" i="22"/>
  <c r="C60" i="22"/>
  <c r="C64" i="22"/>
  <c r="C68" i="22"/>
  <c r="C72" i="22"/>
  <c r="C76" i="22"/>
  <c r="C80" i="22"/>
  <c r="C84" i="22"/>
  <c r="C88" i="22"/>
  <c r="C92" i="22"/>
  <c r="C96" i="22"/>
  <c r="C100" i="22"/>
  <c r="C104" i="22"/>
  <c r="C108" i="22"/>
  <c r="C112" i="22"/>
  <c r="C116" i="22"/>
  <c r="C120" i="22"/>
  <c r="C124" i="22"/>
  <c r="C128" i="22"/>
  <c r="C132" i="22"/>
  <c r="C136" i="22"/>
  <c r="C140" i="22"/>
  <c r="C144" i="22"/>
  <c r="C148" i="22"/>
  <c r="C152" i="22"/>
  <c r="C156" i="22"/>
  <c r="C160" i="22"/>
  <c r="C164" i="22"/>
  <c r="C168" i="22"/>
  <c r="C172" i="22"/>
  <c r="C176" i="22"/>
  <c r="C180" i="22"/>
  <c r="C184" i="22"/>
  <c r="C188" i="22"/>
  <c r="C192" i="22"/>
  <c r="C196" i="22"/>
  <c r="C200" i="22"/>
  <c r="C204" i="22"/>
  <c r="C208" i="22"/>
  <c r="C212" i="22"/>
  <c r="C216" i="22"/>
  <c r="C220" i="22"/>
  <c r="C224" i="22"/>
  <c r="D13" i="22"/>
  <c r="C18" i="22"/>
  <c r="D22" i="22"/>
  <c r="C27" i="22"/>
  <c r="D31" i="22"/>
  <c r="D36" i="22"/>
  <c r="C41" i="22"/>
  <c r="D45" i="22"/>
  <c r="C50" i="22"/>
  <c r="D54" i="22"/>
  <c r="C59" i="22"/>
  <c r="D63" i="22"/>
  <c r="D68" i="22"/>
  <c r="C73" i="22"/>
  <c r="D77" i="22"/>
  <c r="C82" i="22"/>
  <c r="D86" i="22"/>
  <c r="C91" i="22"/>
  <c r="D95" i="22"/>
  <c r="D100" i="22"/>
  <c r="C105" i="22"/>
  <c r="D109" i="22"/>
  <c r="C114" i="22"/>
  <c r="D118" i="22"/>
  <c r="C123" i="22"/>
  <c r="D127" i="22"/>
  <c r="D132" i="22"/>
  <c r="C137" i="22"/>
  <c r="D141" i="22"/>
  <c r="C146" i="22"/>
  <c r="D150" i="22"/>
  <c r="C155" i="22"/>
  <c r="D159" i="22"/>
  <c r="D164" i="22"/>
  <c r="C169" i="22"/>
  <c r="D173" i="22"/>
  <c r="C178" i="22"/>
  <c r="D182" i="22"/>
  <c r="C187" i="22"/>
  <c r="D191" i="22"/>
  <c r="D196" i="22"/>
  <c r="C201" i="22"/>
  <c r="D205" i="22"/>
  <c r="C210" i="22"/>
  <c r="D214" i="22"/>
  <c r="C219" i="22"/>
  <c r="D223" i="22"/>
  <c r="C14" i="22"/>
  <c r="D18" i="22"/>
  <c r="C23" i="22"/>
  <c r="D27" i="22"/>
  <c r="D32" i="22"/>
  <c r="C37" i="22"/>
  <c r="D41" i="22"/>
  <c r="C46" i="22"/>
  <c r="D50" i="22"/>
  <c r="C55" i="22"/>
  <c r="D59" i="22"/>
  <c r="D64" i="22"/>
  <c r="C69" i="22"/>
  <c r="D73" i="22"/>
  <c r="C78" i="22"/>
  <c r="D82" i="22"/>
  <c r="D14" i="22"/>
  <c r="C19" i="22"/>
  <c r="D23" i="22"/>
  <c r="D28" i="22"/>
  <c r="C33" i="22"/>
  <c r="D37" i="22"/>
  <c r="C42" i="22"/>
  <c r="D46" i="22"/>
  <c r="C51" i="22"/>
  <c r="D55" i="22"/>
  <c r="D60" i="22"/>
  <c r="C65" i="22"/>
  <c r="D69" i="22"/>
  <c r="C74" i="22"/>
  <c r="D78" i="22"/>
  <c r="C83" i="22"/>
  <c r="D87" i="22"/>
  <c r="D92" i="22"/>
  <c r="C97" i="22"/>
  <c r="D101" i="22"/>
  <c r="C106" i="22"/>
  <c r="D110" i="22"/>
  <c r="C115" i="22"/>
  <c r="D119" i="22"/>
  <c r="D124" i="22"/>
  <c r="C129" i="22"/>
  <c r="D133" i="22"/>
  <c r="C138" i="22"/>
  <c r="D142" i="22"/>
  <c r="C147" i="22"/>
  <c r="D151" i="22"/>
  <c r="D156" i="22"/>
  <c r="C161" i="22"/>
  <c r="D165" i="22"/>
  <c r="C170" i="22"/>
  <c r="D174" i="22"/>
  <c r="C179" i="22"/>
  <c r="D183" i="22"/>
  <c r="D188" i="22"/>
  <c r="C193" i="22"/>
  <c r="D197" i="22"/>
  <c r="C202" i="22"/>
  <c r="D206" i="22"/>
  <c r="C211" i="22"/>
  <c r="D215" i="22"/>
  <c r="D220" i="22"/>
  <c r="C225" i="22"/>
  <c r="D11" i="22"/>
  <c r="D16" i="22"/>
  <c r="C21" i="22"/>
  <c r="D25" i="22"/>
  <c r="C30" i="22"/>
  <c r="D34" i="22"/>
  <c r="C39" i="22"/>
  <c r="D43" i="22"/>
  <c r="D48" i="22"/>
  <c r="C53" i="22"/>
  <c r="D57" i="22"/>
  <c r="C62" i="22"/>
  <c r="D66" i="22"/>
  <c r="C71" i="22"/>
  <c r="D75" i="22"/>
  <c r="D80" i="22"/>
  <c r="C85" i="22"/>
  <c r="D89" i="22"/>
  <c r="C94" i="22"/>
  <c r="D98" i="22"/>
  <c r="C103" i="22"/>
  <c r="D107" i="22"/>
  <c r="D112" i="22"/>
  <c r="C117" i="22"/>
  <c r="D121" i="22"/>
  <c r="D19" i="22"/>
  <c r="C29" i="22"/>
  <c r="C38" i="22"/>
  <c r="C47" i="22"/>
  <c r="D56" i="22"/>
  <c r="D65" i="22"/>
  <c r="D74" i="22"/>
  <c r="D83" i="22"/>
  <c r="D90" i="22"/>
  <c r="C98" i="22"/>
  <c r="D105" i="22"/>
  <c r="C113" i="22"/>
  <c r="D120" i="22"/>
  <c r="D126" i="22"/>
  <c r="C133" i="22"/>
  <c r="C139" i="22"/>
  <c r="C145" i="22"/>
  <c r="C151" i="22"/>
  <c r="D157" i="22"/>
  <c r="C163" i="22"/>
  <c r="D169" i="22"/>
  <c r="D175" i="22"/>
  <c r="D181" i="22"/>
  <c r="D187" i="22"/>
  <c r="C194" i="22"/>
  <c r="D199" i="22"/>
  <c r="C206" i="22"/>
  <c r="D212" i="22"/>
  <c r="C218" i="22"/>
  <c r="D224" i="22"/>
  <c r="C11" i="22"/>
  <c r="D20" i="22"/>
  <c r="D29" i="22"/>
  <c r="D38" i="22"/>
  <c r="D47" i="22"/>
  <c r="C57" i="22"/>
  <c r="C66" i="22"/>
  <c r="C75" i="22"/>
  <c r="D84" i="22"/>
  <c r="D91" i="22"/>
  <c r="C99" i="22"/>
  <c r="D106" i="22"/>
  <c r="D113" i="22"/>
  <c r="C121" i="22"/>
  <c r="C127" i="22"/>
  <c r="C134" i="22"/>
  <c r="D139" i="22"/>
  <c r="D145" i="22"/>
  <c r="D152" i="22"/>
  <c r="C158" i="22"/>
  <c r="D163" i="22"/>
  <c r="D170" i="22"/>
  <c r="D176" i="22"/>
  <c r="C182" i="22"/>
  <c r="C189" i="22"/>
  <c r="D194" i="22"/>
  <c r="D200" i="22"/>
  <c r="C207" i="22"/>
  <c r="C213" i="22"/>
  <c r="D218" i="22"/>
  <c r="D225" i="22"/>
  <c r="C13" i="22"/>
  <c r="C31" i="22"/>
  <c r="D49" i="22"/>
  <c r="D67" i="22"/>
  <c r="C86" i="22"/>
  <c r="C101" i="22"/>
  <c r="D115" i="22"/>
  <c r="C135" i="22"/>
  <c r="D147" i="22"/>
  <c r="C159" i="22"/>
  <c r="D171" i="22"/>
  <c r="D184" i="22"/>
  <c r="D195" i="22"/>
  <c r="D208" i="22"/>
  <c r="C221" i="22"/>
  <c r="C15" i="22"/>
  <c r="D33" i="22"/>
  <c r="D51" i="22"/>
  <c r="C70" i="22"/>
  <c r="C87" i="22"/>
  <c r="C102" i="22"/>
  <c r="D116" i="22"/>
  <c r="C130" i="22"/>
  <c r="C142" i="22"/>
  <c r="C154" i="22"/>
  <c r="D166" i="22"/>
  <c r="D178" i="22"/>
  <c r="D190" i="22"/>
  <c r="C203" i="22"/>
  <c r="C215" i="22"/>
  <c r="C227" i="22"/>
  <c r="D103" i="22"/>
  <c r="D143" i="22"/>
  <c r="C162" i="22"/>
  <c r="D180" i="22"/>
  <c r="D198" i="22"/>
  <c r="C217" i="22"/>
  <c r="D35" i="22"/>
  <c r="D81" i="22"/>
  <c r="D104" i="22"/>
  <c r="C126" i="22"/>
  <c r="D144" i="22"/>
  <c r="D162" i="22"/>
  <c r="C181" i="22"/>
  <c r="C199" i="22"/>
  <c r="D217" i="22"/>
  <c r="D12" i="22"/>
  <c r="D21" i="22"/>
  <c r="D30" i="22"/>
  <c r="D39" i="22"/>
  <c r="C49" i="22"/>
  <c r="C58" i="22"/>
  <c r="C67" i="22"/>
  <c r="D76" i="22"/>
  <c r="D85" i="22"/>
  <c r="C93" i="22"/>
  <c r="D99" i="22"/>
  <c r="C107" i="22"/>
  <c r="D114" i="22"/>
  <c r="C122" i="22"/>
  <c r="D128" i="22"/>
  <c r="D134" i="22"/>
  <c r="D140" i="22"/>
  <c r="D146" i="22"/>
  <c r="C153" i="22"/>
  <c r="D158" i="22"/>
  <c r="C165" i="22"/>
  <c r="C171" i="22"/>
  <c r="C177" i="22"/>
  <c r="C183" i="22"/>
  <c r="D189" i="22"/>
  <c r="C195" i="22"/>
  <c r="D201" i="22"/>
  <c r="D207" i="22"/>
  <c r="D213" i="22"/>
  <c r="D219" i="22"/>
  <c r="C226" i="22"/>
  <c r="C22" i="22"/>
  <c r="D40" i="22"/>
  <c r="D58" i="22"/>
  <c r="C77" i="22"/>
  <c r="D93" i="22"/>
  <c r="D108" i="22"/>
  <c r="D122" i="22"/>
  <c r="D129" i="22"/>
  <c r="C141" i="22"/>
  <c r="D153" i="22"/>
  <c r="C166" i="22"/>
  <c r="D177" i="22"/>
  <c r="C190" i="22"/>
  <c r="D202" i="22"/>
  <c r="C214" i="22"/>
  <c r="D226" i="22"/>
  <c r="D24" i="22"/>
  <c r="D42" i="22"/>
  <c r="C61" i="22"/>
  <c r="C79" i="22"/>
  <c r="D94" i="22"/>
  <c r="C109" i="22"/>
  <c r="D123" i="22"/>
  <c r="D135" i="22"/>
  <c r="D148" i="22"/>
  <c r="D160" i="22"/>
  <c r="D172" i="22"/>
  <c r="C185" i="22"/>
  <c r="C197" i="22"/>
  <c r="C209" i="22"/>
  <c r="D221" i="22"/>
  <c r="D96" i="22"/>
  <c r="C131" i="22"/>
  <c r="D149" i="22"/>
  <c r="D167" i="22"/>
  <c r="C186" i="22"/>
  <c r="D204" i="22"/>
  <c r="D222" i="22"/>
  <c r="D26" i="22"/>
  <c r="C54" i="22"/>
  <c r="D72" i="22"/>
  <c r="D97" i="22"/>
  <c r="C119" i="22"/>
  <c r="D138" i="22"/>
  <c r="C157" i="22"/>
  <c r="C175" i="22"/>
  <c r="D193" i="22"/>
  <c r="D211" i="22"/>
  <c r="D15" i="22"/>
  <c r="C25" i="22"/>
  <c r="C34" i="22"/>
  <c r="C43" i="22"/>
  <c r="D52" i="22"/>
  <c r="D61" i="22"/>
  <c r="D70" i="22"/>
  <c r="D79" i="22"/>
  <c r="D88" i="22"/>
  <c r="C95" i="22"/>
  <c r="D102" i="22"/>
  <c r="C110" i="22"/>
  <c r="D117" i="22"/>
  <c r="C125" i="22"/>
  <c r="D130" i="22"/>
  <c r="D136" i="22"/>
  <c r="C143" i="22"/>
  <c r="C149" i="22"/>
  <c r="D154" i="22"/>
  <c r="D161" i="22"/>
  <c r="C167" i="22"/>
  <c r="C173" i="22"/>
  <c r="D179" i="22"/>
  <c r="D185" i="22"/>
  <c r="C191" i="22"/>
  <c r="C198" i="22"/>
  <c r="D203" i="22"/>
  <c r="D209" i="22"/>
  <c r="D216" i="22"/>
  <c r="C222" i="22"/>
  <c r="D227" i="22"/>
  <c r="C17" i="22"/>
  <c r="C26" i="22"/>
  <c r="C35" i="22"/>
  <c r="D44" i="22"/>
  <c r="D53" i="22"/>
  <c r="D62" i="22"/>
  <c r="D71" i="22"/>
  <c r="C81" i="22"/>
  <c r="C89" i="22"/>
  <c r="C111" i="22"/>
  <c r="C118" i="22"/>
  <c r="D125" i="22"/>
  <c r="D137" i="22"/>
  <c r="D155" i="22"/>
  <c r="C174" i="22"/>
  <c r="D192" i="22"/>
  <c r="D210" i="22"/>
  <c r="D17" i="22"/>
  <c r="C45" i="22"/>
  <c r="C63" i="22"/>
  <c r="C90" i="22"/>
  <c r="D111" i="22"/>
  <c r="D131" i="22"/>
  <c r="C150" i="22"/>
  <c r="D168" i="22"/>
  <c r="D186" i="22"/>
  <c r="C205" i="22"/>
  <c r="C223" i="22"/>
  <c r="B188" i="22"/>
  <c r="B85" i="22"/>
  <c r="B125" i="22"/>
  <c r="B160" i="22"/>
  <c r="B53" i="22"/>
  <c r="B171" i="22"/>
  <c r="B164" i="22"/>
  <c r="B21" i="22"/>
  <c r="B102" i="22"/>
  <c r="B17" i="22"/>
  <c r="B134" i="22"/>
  <c r="B152" i="22"/>
  <c r="B189" i="22"/>
  <c r="B136" i="22"/>
  <c r="B170" i="22"/>
  <c r="B22" i="22"/>
  <c r="B44" i="22"/>
  <c r="B65" i="22"/>
  <c r="B57" i="22"/>
  <c r="B198" i="22"/>
  <c r="B112" i="22"/>
  <c r="B33" i="22"/>
  <c r="B15" i="22"/>
  <c r="B63" i="22"/>
  <c r="B75" i="22"/>
  <c r="B24" i="22"/>
  <c r="B162" i="22"/>
  <c r="B41" i="22"/>
  <c r="B222" i="22"/>
  <c r="B194" i="22"/>
  <c r="B50" i="22"/>
  <c r="B217" i="22"/>
  <c r="B79" i="22"/>
  <c r="B73" i="22"/>
  <c r="B200" i="22"/>
  <c r="B131" i="22"/>
  <c r="B211" i="22"/>
  <c r="B118" i="22"/>
  <c r="B179" i="22"/>
  <c r="B20" i="22"/>
  <c r="B216" i="22"/>
  <c r="B28" i="22"/>
  <c r="B49" i="22"/>
  <c r="B82" i="22"/>
  <c r="B150" i="22"/>
  <c r="B116" i="22"/>
  <c r="B146" i="22"/>
  <c r="B206" i="22"/>
  <c r="B140" i="22"/>
  <c r="B130" i="22"/>
  <c r="B195" i="22"/>
  <c r="B126" i="22"/>
  <c r="B220" i="22"/>
  <c r="B139" i="22"/>
  <c r="B173" i="22"/>
  <c r="B192" i="22"/>
  <c r="B145" i="22"/>
  <c r="B214" i="22"/>
  <c r="B196" i="22"/>
  <c r="B94" i="22"/>
  <c r="B203" i="22"/>
  <c r="B89" i="22"/>
  <c r="B154" i="22"/>
  <c r="B184" i="22"/>
  <c r="B159" i="22"/>
  <c r="B168" i="22"/>
  <c r="B62" i="22"/>
  <c r="B141" i="22"/>
  <c r="B76" i="22"/>
  <c r="B138" i="22"/>
  <c r="B121" i="22"/>
  <c r="B35" i="22"/>
  <c r="B144" i="22"/>
  <c r="B106" i="22"/>
  <c r="B142" i="22"/>
  <c r="B223" i="22"/>
  <c r="B182" i="22"/>
  <c r="B120" i="22"/>
  <c r="B157" i="22"/>
  <c r="B180" i="22"/>
  <c r="B70" i="22"/>
  <c r="B224" i="22"/>
  <c r="B81" i="22"/>
  <c r="B29" i="22"/>
  <c r="B52" i="22"/>
  <c r="B107" i="22"/>
  <c r="B38" i="22"/>
  <c r="B108" i="22"/>
  <c r="B221" i="22"/>
  <c r="B176" i="22"/>
  <c r="B93" i="22"/>
  <c r="B13" i="22"/>
  <c r="B167" i="22"/>
  <c r="B114" i="22"/>
  <c r="B174" i="22"/>
  <c r="B99" i="22"/>
  <c r="B98" i="22"/>
  <c r="B186" i="22"/>
  <c r="B190" i="22"/>
  <c r="B18" i="22"/>
  <c r="B143" i="22"/>
  <c r="B30" i="22"/>
  <c r="B71" i="22"/>
  <c r="B84" i="22"/>
  <c r="B60" i="22"/>
  <c r="B187" i="22"/>
  <c r="B165" i="22"/>
  <c r="B32" i="22"/>
  <c r="B155" i="22"/>
  <c r="B87" i="22"/>
  <c r="B36" i="22"/>
  <c r="B55" i="22"/>
  <c r="B151" i="22"/>
  <c r="B67" i="22"/>
  <c r="B212" i="22"/>
  <c r="B43" i="22"/>
  <c r="B219" i="22"/>
  <c r="B197" i="22"/>
  <c r="B91" i="22"/>
  <c r="B213" i="22"/>
  <c r="B191" i="22"/>
  <c r="B172" i="22"/>
  <c r="B103" i="22"/>
  <c r="B227" i="22"/>
  <c r="B205" i="22"/>
  <c r="B27" i="22"/>
  <c r="B218" i="22"/>
  <c r="B166" i="22"/>
  <c r="B148" i="22"/>
  <c r="B153" i="22"/>
  <c r="B225" i="22"/>
  <c r="B92" i="22"/>
  <c r="B46" i="22"/>
  <c r="B109" i="22"/>
  <c r="B64" i="22"/>
  <c r="B14" i="22"/>
  <c r="B181" i="22"/>
  <c r="B68" i="22"/>
  <c r="B19" i="22"/>
  <c r="B158" i="22"/>
  <c r="B177" i="22"/>
  <c r="B105" i="22"/>
  <c r="B90" i="22"/>
  <c r="B42" i="22"/>
  <c r="B40" i="22"/>
  <c r="B201" i="22"/>
  <c r="B101" i="22"/>
  <c r="B26" i="22"/>
  <c r="B204" i="22"/>
  <c r="B47" i="22"/>
  <c r="B25" i="22"/>
  <c r="B16" i="22"/>
  <c r="B137" i="22"/>
  <c r="B66" i="22"/>
  <c r="B61" i="22"/>
  <c r="B37" i="22"/>
  <c r="B77" i="22"/>
  <c r="B117" i="22"/>
  <c r="B135" i="22"/>
  <c r="B39" i="22"/>
  <c r="B31" i="22"/>
  <c r="B199" i="22"/>
  <c r="B45" i="22"/>
  <c r="D7" i="2"/>
  <c r="B124" i="22"/>
  <c r="B83" i="22"/>
  <c r="B209" i="22"/>
  <c r="B96" i="22"/>
  <c r="B51" i="22"/>
  <c r="B58" i="22"/>
  <c r="B100" i="22"/>
  <c r="B129" i="22"/>
  <c r="B207" i="22"/>
  <c r="B226" i="22"/>
  <c r="B178" i="22"/>
  <c r="B56" i="22"/>
  <c r="B115" i="22"/>
  <c r="B72" i="22"/>
  <c r="B23" i="22"/>
  <c r="B215" i="22"/>
  <c r="B111" i="22"/>
  <c r="B59" i="22"/>
  <c r="B113" i="22"/>
  <c r="B95" i="22"/>
  <c r="B48" i="22"/>
  <c r="B210" i="22"/>
  <c r="B127" i="22"/>
  <c r="B119" i="22"/>
  <c r="B147" i="22"/>
  <c r="B185" i="22"/>
  <c r="B133" i="22"/>
  <c r="B156" i="22"/>
  <c r="B193" i="22"/>
  <c r="B175" i="22"/>
  <c r="B128" i="22"/>
  <c r="B161" i="22"/>
  <c r="B122" i="22"/>
  <c r="B132" i="22"/>
  <c r="B202" i="22"/>
  <c r="B86" i="22"/>
  <c r="B54" i="22"/>
  <c r="B74" i="22"/>
  <c r="B88" i="22"/>
  <c r="B11" i="22"/>
  <c r="B104" i="22"/>
  <c r="B97" i="22"/>
  <c r="B183" i="22"/>
  <c r="B12" i="22"/>
  <c r="B169" i="22"/>
  <c r="B163" i="22"/>
  <c r="B149" i="22"/>
  <c r="B80" i="22"/>
  <c r="B69" i="22"/>
  <c r="B34" i="22"/>
  <c r="B110" i="22"/>
  <c r="B123" i="22"/>
  <c r="B208" i="22"/>
  <c r="B78" i="22"/>
  <c r="D8" i="2" l="1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<sst xmlns="http://schemas.openxmlformats.org/spreadsheetml/2006/main" count="348" uniqueCount="160">
  <si>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</si>
  <si>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</si>
  <si>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</si>
  <si>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</si>
  <si>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</si>
  <si>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</si>
  <si>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</si>
  <si>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</si>
  <si>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</si>
  <si>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</si>
  <si>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</si>
  <si>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</si>
  <si>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</si>
  <si>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</si>
  <si>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</si>
  <si>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</si>
  <si>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</si>
  <si>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</si>
  <si>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</si>
  <si>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</si>
  <si>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</si>
  <si>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</si>
  <si>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</si>
  <si>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</si>
  <si>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</si>
  <si>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</si>
  <si>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</si>
  <si>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</si>
  <si>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</si>
  <si>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</si>
  <si>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</si>
  <si>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</si>
  <si>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</si>
  <si>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</si>
  <si>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</si>
  <si>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</si>
  <si>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</si>
  <si>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</si>
  <si>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</si>
  <si>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</si>
  <si>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</si>
  <si>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</si>
  <si>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</si>
  <si>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</si>
  <si>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</si>
  <si>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</si>
  <si>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</si>
  <si>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</si>
  <si>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</si>
  <si>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</si>
  <si>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</si>
  <si>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</si>
  <si>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</si>
  <si>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</si>
  <si>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</si>
  <si>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</si>
  <si>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</si>
  <si>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</si>
  <si>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</si>
  <si>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</si>
  <si>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</si>
  <si>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</si>
  <si>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</si>
  <si>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</si>
  <si>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</si>
  <si>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</si>
  <si>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</si>
  <si>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</si>
  <si>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</si>
  <si>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</si>
  <si>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</si>
  <si>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</si>
  <si>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</si>
  <si>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</si>
  <si>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</si>
  <si>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</si>
  <si>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</si>
  <si>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</si>
  <si>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</si>
  <si>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</si>
  <si>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</si>
  <si>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</si>
  <si>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</si>
  <si>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</si>
  <si>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</si>
  <si>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</si>
  <si>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</si>
  <si>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</si>
  <si>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</si>
  <si>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</si>
  <si>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</si>
  <si>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</si>
  <si>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</si>
  <si>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</si>
  <si>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</si>
  <si>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</si>
  <si>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</si>
  <si>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</si>
  <si>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</si>
  <si>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</si>
  <si>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</si>
  <si>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</si>
  <si>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</si>
  <si>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</si>
  <si>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</si>
  <si>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</si>
  <si>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</si>
  <si>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</si>
  <si>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</si>
  <si>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</si>
  <si>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</si>
  <si>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</si>
  <si>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</si>
  <si>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</si>
  <si>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</si>
  <si>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</si>
  <si>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</si>
  <si>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</si>
  <si>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</si>
  <si>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</si>
  <si>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</si>
  <si>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</si>
  <si>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</si>
  <si>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</si>
  <si>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</si>
  <si>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</si>
  <si>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</si>
  <si>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</si>
  <si>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</si>
  <si>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</si>
  <si>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</si>
  <si>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</si>
  <si>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</si>
  <si>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</si>
  <si>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</si>
  <si>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</si>
  <si>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</si>
  <si>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</si>
  <si>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</si>
  <si>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</si>
  <si>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</si>
  <si>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</si>
  <si>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</si>
  <si>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</si>
  <si>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</si>
  <si>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meCurveCalibrateOIS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</si>
  <si>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</si>
  <si>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</si>
  <si>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meCurveDisplay</t>
  </si>
  <si>
    <t>Libor Fixing Table</t>
  </si>
  <si>
    <t>Money Market O/N and T/N Conventions</t>
  </si>
  <si>
    <t>EomDay</t>
  </si>
  <si>
    <t>CurveIndex</t>
  </si>
  <si>
    <t>YearFraction</t>
  </si>
  <si>
    <t>DiscountFactor</t>
  </si>
  <si>
    <t>meDateFromYearFraction</t>
  </si>
  <si>
    <t>Curve Details</t>
  </si>
  <si>
    <t>CurveBuildDate</t>
  </si>
  <si>
    <t>CurveSpotDate</t>
  </si>
  <si>
    <t>EUR6ML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</si>
</sst>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  <numFmt numFmtId="168" formatCode="ddd\,\ d\-mmm\-yy"/>
    <numFmt numFmtId="169" formatCode="#,##0.000000"/>
  </numFmts>
  <fonts count="2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0"/>
      <name val="Genev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/>
    <xf numFmtId="9" fontId="21" fillId="0" borderId="0" applyFont="0" applyFill="0" applyBorder="0" applyAlignment="0" applyProtection="0">
      <alignment vertical="center"/>
    </xf>
  </cellStyleXfs>
  <cellXfs count="13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0" fontId="0" fillId="0" borderId="0" xfId="0"/>
    <xf numFmtId="168" fontId="0" fillId="0" borderId="0" xfId="0" applyNumberFormat="1" applyAlignment="1">
      <alignment horizontal="center" vertical="center"/>
    </xf>
    <xf numFmtId="168" fontId="5" fillId="0" borderId="0" xfId="0" applyNumberFormat="1" applyFont="1" applyAlignment="1">
      <alignment horizontal="left" vertical="center"/>
    </xf>
    <xf numFmtId="0" fontId="6" fillId="0" borderId="11" xfId="0" applyFont="1" applyFill="1" applyBorder="1" applyAlignment="1">
      <alignment horizontal="center" vertical="center"/>
    </xf>
    <xf numFmtId="168" fontId="9" fillId="0" borderId="1" xfId="0" applyNumberFormat="1" applyFont="1" applyFill="1" applyBorder="1" applyAlignment="1">
      <alignment horizontal="center" vertical="center"/>
    </xf>
    <xf numFmtId="168" fontId="9" fillId="0" borderId="4" xfId="0" applyNumberFormat="1" applyFont="1" applyFill="1" applyBorder="1" applyAlignment="1">
      <alignment horizontal="center" vertical="center"/>
    </xf>
    <xf numFmtId="38" fontId="6" fillId="0" borderId="4" xfId="4" applyFont="1" applyFill="1" applyBorder="1" applyAlignment="1">
      <alignment horizontal="center" vertical="center"/>
    </xf>
    <xf numFmtId="168" fontId="9" fillId="0" borderId="11" xfId="0" applyNumberFormat="1" applyFont="1" applyFill="1" applyBorder="1" applyAlignment="1">
      <alignment horizontal="center" vertical="center"/>
    </xf>
    <xf numFmtId="166" fontId="9" fillId="0" borderId="5" xfId="0" applyNumberFormat="1" applyFont="1" applyBorder="1" applyAlignment="1">
      <alignment horizontal="center" vertical="center"/>
    </xf>
    <xf numFmtId="169" fontId="9" fillId="0" borderId="3" xfId="0" applyNumberFormat="1" applyFont="1" applyBorder="1" applyAlignment="1">
      <alignment horizontal="center" vertical="center"/>
    </xf>
    <xf numFmtId="166" fontId="9" fillId="0" borderId="9" xfId="0" applyNumberFormat="1" applyFont="1" applyBorder="1" applyAlignment="1">
      <alignment horizontal="center" vertical="center"/>
    </xf>
    <xf numFmtId="169" fontId="9" fillId="0" borderId="10" xfId="0" applyNumberFormat="1" applyFont="1" applyBorder="1" applyAlignment="1">
      <alignment horizontal="center" vertical="center"/>
    </xf>
    <xf numFmtId="166" fontId="9" fillId="0" borderId="14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67" fontId="6" fillId="2" borderId="8" xfId="4" applyNumberFormat="1" applyFont="1" applyFill="1" applyBorder="1" applyAlignment="1">
      <alignment horizontal="center" vertical="center"/>
    </xf>
    <xf numFmtId="0" fontId="5" fillId="0" borderId="0" xfId="3" applyFont="1" applyAlignment="1">
      <alignment horizontal="left" vertical="center"/>
    </xf>
    <xf numFmtId="168" fontId="6" fillId="2" borderId="1" xfId="0" applyNumberFormat="1" applyFont="1" applyFill="1" applyBorder="1" applyAlignment="1">
      <alignment horizontal="left" vertical="center"/>
    </xf>
    <xf numFmtId="168" fontId="6" fillId="2" borderId="4" xfId="0" applyNumberFormat="1" applyFont="1" applyFill="1" applyBorder="1" applyAlignment="1">
      <alignment horizontal="left" vertical="center"/>
    </xf>
    <xf numFmtId="168" fontId="6" fillId="2" borderId="11" xfId="0" applyNumberFormat="1" applyFont="1" applyFill="1" applyBorder="1" applyAlignment="1">
      <alignment horizontal="left" vertical="center"/>
    </xf>
    <xf numFmtId="169" fontId="0" fillId="0" borderId="0" xfId="0" applyNumberFormat="1"/>
  </cellXfs>
  <cellStyles count="7">
    <cellStyle name="Comma [0]" xfId="2" builtinId="6"/>
    <cellStyle name="Comma [0] 2" xfId="4"/>
    <cellStyle name="Normal" xfId="0" builtinId="0"/>
    <cellStyle name="Normal 2" xfId="3"/>
    <cellStyle name="Percent 2" xfId="6"/>
    <cellStyle name="標準_DegitalOption_test" xfId="5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144</v>
      </c>
    </row>
    <row r="3" spans="2:14">
      <c r="B3" s="65"/>
    </row>
    <row r="4" spans="2:14">
      <c r="B4" s="65"/>
    </row>
    <row r="5" spans="2:14">
      <c r="B5" s="65" t="s">
        <v>145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145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143</v>
      </c>
      <c r="D8" s="113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142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22.710937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147</v>
      </c>
    </row>
    <row r="6" spans="2:12">
      <c r="B6" s="56" t="s">
        <v>146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146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143</v>
      </c>
      <c r="D9" s="113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150</v>
      </c>
      <c r="D37" s="10"/>
      <c r="E37" s="10"/>
      <c r="F37" s="49" t="s">
        <v>103</v>
      </c>
      <c r="G37" s="10"/>
      <c r="H37" s="10"/>
      <c r="I37" s="49" t="s">
        <v>149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140</v>
      </c>
      <c r="J39" s="75">
        <v>-2.8E-3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139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141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>
      <c r="B56" s="5"/>
      <c r="C56" s="28" t="s">
        <v>151</v>
      </c>
      <c r="D56" s="35">
        <v>31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138</v>
      </c>
      <c r="G72" s="97" t="s">
        <v>13</v>
      </c>
      <c r="H72" s="97" t="s">
        <v>14</v>
      </c>
      <c r="I72" s="97" t="s">
        <v>12</v>
      </c>
      <c r="J72" s="97" t="s">
        <v>123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125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128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130</v>
      </c>
      <c r="D97" s="35" t="s">
        <v>129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131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151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132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133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134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135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2:G227"/>
  <sheetViews>
    <sheetView showGridLines="0" tabSelected="1" zoomScaleNormal="100" workbookViewId="0"/>
  </sheetViews>
  <sheetFormatPr defaultRowHeight="15"/>
  <cols>
    <col min="1" max="1" width="9.140625" style="115"/>
    <col min="2" max="2" width="25.7109375" style="116" customWidth="1"/>
    <col min="3" max="4" width="25.7109375" customWidth="1"/>
  </cols>
  <sheetData>
    <row r="2" spans="2:7" s="115" customFormat="1">
      <c r="B2" s="117" t="s">
        <v>156</v>
      </c>
    </row>
    <row r="3" spans="2:7" s="115" customFormat="1">
      <c r="B3" s="133" t="s">
        <v>157</v>
      </c>
      <c r="C3" s="119">
        <f>COB</f>
        <v>42419</v>
      </c>
    </row>
    <row r="4" spans="2:7" s="115" customFormat="1">
      <c r="B4" s="134" t="s">
        <v>158</v>
      </c>
      <c r="C4" s="120">
        <f ca="1">_xll.meDateFromTenor(CurveBuildDate,"2D","FOLLOWING","TGT")</f>
        <v>42423</v>
      </c>
    </row>
    <row r="5" spans="2:7">
      <c r="B5" s="134" t="s">
        <v>88</v>
      </c>
      <c r="C5" s="121" t="s">
        <v>80</v>
      </c>
    </row>
    <row r="6" spans="2:7">
      <c r="B6" s="135" t="s">
        <v>152</v>
      </c>
      <c r="C6" s="118" t="s">
        <v>159</v>
      </c>
    </row>
    <row r="8" spans="2:7" s="115" customFormat="1">
      <c r="B8" s="116"/>
    </row>
    <row r="9" spans="2:7">
      <c r="B9" s="117" t="s">
        <v>155</v>
      </c>
      <c r="C9" s="132" t="s">
        <v>148</v>
      </c>
      <c r="D9" s="114"/>
    </row>
    <row r="10" spans="2:7" s="115" customFormat="1">
      <c r="B10" s="129" t="s">
        <v>75</v>
      </c>
      <c r="C10" s="130" t="s">
        <v>153</v>
      </c>
      <c r="D10" s="131" t="s">
        <v>154</v>
      </c>
    </row>
    <row r="11" spans="2:7">
      <c r="B11" s="119">
        <f ca="1">_xll.meDateFromYearFraction(CurveBuildDate,C11,"ACT/365_ISDA")</f>
        <v>42419</v>
      </c>
      <c r="C11" s="123">
        <f t="array" aca="1" ref="C11:D227" ca="1">IF(NOW(),_xll.meCurveDisplay($C$5,$C$6))</f>
        <v>0</v>
      </c>
      <c r="D11" s="124">
        <f ca="1"/>
        <v>1</v>
      </c>
      <c r="F11" s="136"/>
      <c r="G11" s="115"/>
    </row>
    <row r="12" spans="2:7">
      <c r="B12" s="120">
        <f ca="1">_xll.meDateFromYearFraction(CurveBuildDate,C12,"ACT/365_ISDA")</f>
        <v>42422</v>
      </c>
      <c r="C12" s="125">
        <f ca="1"/>
        <v>8.1967213114753079E-3</v>
      </c>
      <c r="D12" s="126">
        <f ca="1"/>
        <v>1.0000233338777906</v>
      </c>
      <c r="F12" s="136"/>
    </row>
    <row r="13" spans="2:7">
      <c r="B13" s="120">
        <f ca="1">_xll.meDateFromYearFraction(CurveBuildDate,C13,"ACT/365_ISDA")</f>
        <v>42423</v>
      </c>
      <c r="C13" s="125">
        <f ca="1"/>
        <v>1.092896174863367E-2</v>
      </c>
      <c r="D13" s="126">
        <f ca="1"/>
        <v>1.0000311118975498</v>
      </c>
      <c r="F13" s="136"/>
      <c r="G13" s="115"/>
    </row>
    <row r="14" spans="2:7">
      <c r="B14" s="120">
        <f ca="1">_xll.meDateFromYearFraction(CurveBuildDate,C14,"ACT/365_ISDA")</f>
        <v>42425</v>
      </c>
      <c r="C14" s="125">
        <f ca="1"/>
        <v>1.6393442622950838E-2</v>
      </c>
      <c r="D14" s="126">
        <f ca="1"/>
        <v>1.0000383748090567</v>
      </c>
      <c r="F14" s="136"/>
      <c r="G14" s="115"/>
    </row>
    <row r="15" spans="2:7">
      <c r="B15" s="120">
        <f ca="1">_xll.meDateFromYearFraction(CurveBuildDate,C15,"ACT/365_ISDA")</f>
        <v>42427</v>
      </c>
      <c r="C15" s="125">
        <f ca="1"/>
        <v>2.1857923497267784E-2</v>
      </c>
      <c r="D15" s="126">
        <f ca="1"/>
        <v>1.0000456378450382</v>
      </c>
      <c r="F15" s="136"/>
      <c r="G15" s="115"/>
    </row>
    <row r="16" spans="2:7">
      <c r="B16" s="120">
        <f ca="1">_xll.meDateFromYearFraction(CurveBuildDate,C16,"ACT/365_ISDA")</f>
        <v>42429</v>
      </c>
      <c r="C16" s="125">
        <f ca="1"/>
        <v>2.732240437158473E-2</v>
      </c>
      <c r="D16" s="126">
        <f ca="1"/>
        <v>1.0000529011299688</v>
      </c>
      <c r="F16" s="136"/>
      <c r="G16" s="115"/>
    </row>
    <row r="17" spans="2:7">
      <c r="B17" s="120">
        <f ca="1">_xll.meDateFromYearFraction(CurveBuildDate,C17,"ACT/365_ISDA")</f>
        <v>42431</v>
      </c>
      <c r="C17" s="125">
        <f ca="1"/>
        <v>3.2786885245901676E-2</v>
      </c>
      <c r="D17" s="126">
        <f ca="1"/>
        <v>1.0000601647883238</v>
      </c>
      <c r="F17" s="136"/>
      <c r="G17" s="115"/>
    </row>
    <row r="18" spans="2:7">
      <c r="B18" s="120">
        <f ca="1">_xll.meDateFromYearFraction(CurveBuildDate,C18,"ACT/365_ISDA")</f>
        <v>42433</v>
      </c>
      <c r="C18" s="125">
        <f ca="1"/>
        <v>3.8251366120218622E-2</v>
      </c>
      <c r="D18" s="126">
        <f ca="1"/>
        <v>1.0000674289445775</v>
      </c>
      <c r="F18" s="136"/>
      <c r="G18" s="115"/>
    </row>
    <row r="19" spans="2:7">
      <c r="B19" s="120">
        <f ca="1">_xll.meDateFromYearFraction(CurveBuildDate,C19,"ACT/365_ISDA")</f>
        <v>42435</v>
      </c>
      <c r="C19" s="125">
        <f ca="1"/>
        <v>4.3715846994535568E-2</v>
      </c>
      <c r="D19" s="126">
        <f ca="1"/>
        <v>1.0000746937232046</v>
      </c>
      <c r="F19" s="136"/>
      <c r="G19" s="115"/>
    </row>
    <row r="20" spans="2:7">
      <c r="B20" s="120">
        <f ca="1">_xll.meDateFromYearFraction(CurveBuildDate,C20,"ACT/365_ISDA")</f>
        <v>42437</v>
      </c>
      <c r="C20" s="125">
        <f ca="1"/>
        <v>4.9180327868852514E-2</v>
      </c>
      <c r="D20" s="126">
        <f ca="1"/>
        <v>1.0000819592486803</v>
      </c>
      <c r="F20" s="136"/>
      <c r="G20" s="115"/>
    </row>
    <row r="21" spans="2:7">
      <c r="B21" s="120">
        <f ca="1">_xll.meDateFromYearFraction(CurveBuildDate,C21,"ACT/365_ISDA")</f>
        <v>42439</v>
      </c>
      <c r="C21" s="125">
        <f ca="1"/>
        <v>5.464480874316946E-2</v>
      </c>
      <c r="D21" s="126">
        <f ca="1"/>
        <v>1.0000892256454783</v>
      </c>
      <c r="F21" s="136"/>
      <c r="G21" s="115"/>
    </row>
    <row r="22" spans="2:7">
      <c r="B22" s="120">
        <f ca="1">_xll.meDateFromYearFraction(CurveBuildDate,C22,"ACT/365_ISDA")</f>
        <v>42441</v>
      </c>
      <c r="C22" s="125">
        <f ca="1"/>
        <v>6.0109289617486406E-2</v>
      </c>
      <c r="D22" s="126">
        <f ca="1"/>
        <v>1.000096493038074</v>
      </c>
      <c r="F22" s="136"/>
      <c r="G22" s="115"/>
    </row>
    <row r="23" spans="2:7">
      <c r="B23" s="120">
        <f ca="1">_xll.meDateFromYearFraction(CurveBuildDate,C23,"ACT/365_ISDA")</f>
        <v>42443</v>
      </c>
      <c r="C23" s="125">
        <f ca="1"/>
        <v>6.5573770491803351E-2</v>
      </c>
      <c r="D23" s="126">
        <f ca="1"/>
        <v>1.0001037615509423</v>
      </c>
    </row>
    <row r="24" spans="2:7">
      <c r="B24" s="120">
        <f ca="1">_xll.meDateFromYearFraction(CurveBuildDate,C24,"ACT/365_ISDA")</f>
        <v>42445</v>
      </c>
      <c r="C24" s="125">
        <f ca="1"/>
        <v>7.1038251366120297E-2</v>
      </c>
      <c r="D24" s="126">
        <f ca="1"/>
        <v>1.0001110313085571</v>
      </c>
    </row>
    <row r="25" spans="2:7">
      <c r="B25" s="120">
        <f ca="1">_xll.meDateFromYearFraction(CurveBuildDate,C25,"ACT/365_ISDA")</f>
        <v>42447</v>
      </c>
      <c r="C25" s="125">
        <f ca="1"/>
        <v>7.6502732240437243E-2</v>
      </c>
      <c r="D25" s="126">
        <f ca="1"/>
        <v>1.0001183024353937</v>
      </c>
    </row>
    <row r="26" spans="2:7">
      <c r="B26" s="120">
        <f ca="1">_xll.meDateFromYearFraction(CurveBuildDate,C26,"ACT/365_ISDA")</f>
        <v>42449</v>
      </c>
      <c r="C26" s="125">
        <f ca="1"/>
        <v>8.1967213114754189E-2</v>
      </c>
      <c r="D26" s="126">
        <f ca="1"/>
        <v>1.000125575055927</v>
      </c>
    </row>
    <row r="27" spans="2:7">
      <c r="B27" s="120">
        <f ca="1">_xll.meDateFromYearFraction(CurveBuildDate,C27,"ACT/365_ISDA")</f>
        <v>42451</v>
      </c>
      <c r="C27" s="125">
        <f ca="1"/>
        <v>8.7431693989071135E-2</v>
      </c>
      <c r="D27" s="126">
        <f ca="1"/>
        <v>1.0001328492946309</v>
      </c>
    </row>
    <row r="28" spans="2:7">
      <c r="B28" s="120">
        <f ca="1">_xll.meDateFromYearFraction(CurveBuildDate,C28,"ACT/365_ISDA")</f>
        <v>42453</v>
      </c>
      <c r="C28" s="125">
        <f ca="1"/>
        <v>9.2896174863388081E-2</v>
      </c>
      <c r="D28" s="126">
        <f ca="1"/>
        <v>1.0001401252759805</v>
      </c>
    </row>
    <row r="29" spans="2:7">
      <c r="B29" s="120">
        <f ca="1">_xll.meDateFromYearFraction(CurveBuildDate,C29,"ACT/365_ISDA")</f>
        <v>42455</v>
      </c>
      <c r="C29" s="125">
        <f ca="1"/>
        <v>9.8360655737705027E-2</v>
      </c>
      <c r="D29" s="126">
        <f ca="1"/>
        <v>1.0001474031244508</v>
      </c>
    </row>
    <row r="30" spans="2:7">
      <c r="B30" s="120">
        <f ca="1">_xll.meDateFromYearFraction(CurveBuildDate,C30,"ACT/365_ISDA")</f>
        <v>42457</v>
      </c>
      <c r="C30" s="125">
        <f ca="1"/>
        <v>0.10382513661202197</v>
      </c>
      <c r="D30" s="126">
        <f ca="1"/>
        <v>1.000154682964516</v>
      </c>
    </row>
    <row r="31" spans="2:7">
      <c r="B31" s="120">
        <f ca="1">_xll.meDateFromYearFraction(CurveBuildDate,C31,"ACT/365_ISDA")</f>
        <v>42459</v>
      </c>
      <c r="C31" s="125">
        <f ca="1"/>
        <v>0.10928961748633892</v>
      </c>
      <c r="D31" s="126">
        <f ca="1"/>
        <v>1.0001619649206515</v>
      </c>
    </row>
    <row r="32" spans="2:7">
      <c r="B32" s="120">
        <f ca="1">_xll.meDateFromYearFraction(CurveBuildDate,C32,"ACT/365_ISDA")</f>
        <v>42461</v>
      </c>
      <c r="C32" s="125">
        <f ca="1"/>
        <v>0.11475409836065564</v>
      </c>
      <c r="D32" s="126">
        <f ca="1"/>
        <v>1.0001692491173311</v>
      </c>
    </row>
    <row r="33" spans="2:4">
      <c r="B33" s="120">
        <f ca="1">_xll.meDateFromYearFraction(CurveBuildDate,C33,"ACT/365_ISDA")</f>
        <v>42463</v>
      </c>
      <c r="C33" s="125">
        <f ca="1"/>
        <v>0.12021857923497259</v>
      </c>
      <c r="D33" s="126">
        <f ca="1"/>
        <v>1.00017653567903</v>
      </c>
    </row>
    <row r="34" spans="2:4">
      <c r="B34" s="120">
        <f ca="1">_xll.meDateFromYearFraction(CurveBuildDate,C34,"ACT/365_ISDA")</f>
        <v>42465</v>
      </c>
      <c r="C34" s="125">
        <f ca="1"/>
        <v>0.12568306010928953</v>
      </c>
      <c r="D34" s="126">
        <f ca="1"/>
        <v>1.0001838247302228</v>
      </c>
    </row>
    <row r="35" spans="2:4">
      <c r="B35" s="120">
        <f ca="1">_xll.meDateFromYearFraction(CurveBuildDate,C35,"ACT/365_ISDA")</f>
        <v>42467</v>
      </c>
      <c r="C35" s="125">
        <f ca="1"/>
        <v>0.13114754098360648</v>
      </c>
      <c r="D35" s="126">
        <f ca="1"/>
        <v>1.0001911163953843</v>
      </c>
    </row>
    <row r="36" spans="2:4">
      <c r="B36" s="120">
        <f ca="1">_xll.meDateFromYearFraction(CurveBuildDate,C36,"ACT/365_ISDA")</f>
        <v>42469</v>
      </c>
      <c r="C36" s="125">
        <f ca="1"/>
        <v>0.13661202185792343</v>
      </c>
      <c r="D36" s="126">
        <f ca="1"/>
        <v>1.000198410798989</v>
      </c>
    </row>
    <row r="37" spans="2:4">
      <c r="B37" s="120">
        <f ca="1">_xll.meDateFromYearFraction(CurveBuildDate,C37,"ACT/365_ISDA")</f>
        <v>42471</v>
      </c>
      <c r="C37" s="125">
        <f ca="1"/>
        <v>0.14207650273224037</v>
      </c>
      <c r="D37" s="126">
        <f ca="1"/>
        <v>1.0002057080655118</v>
      </c>
    </row>
    <row r="38" spans="2:4">
      <c r="B38" s="120">
        <f ca="1">_xll.meDateFromYearFraction(CurveBuildDate,C38,"ACT/365_ISDA")</f>
        <v>42473</v>
      </c>
      <c r="C38" s="125">
        <f ca="1"/>
        <v>0.14754098360655732</v>
      </c>
      <c r="D38" s="126">
        <f ca="1"/>
        <v>1.0002130083194269</v>
      </c>
    </row>
    <row r="39" spans="2:4">
      <c r="B39" s="120">
        <f ca="1">_xll.meDateFromYearFraction(CurveBuildDate,C39,"ACT/365_ISDA")</f>
        <v>42475</v>
      </c>
      <c r="C39" s="125">
        <f ca="1"/>
        <v>0.15300546448087426</v>
      </c>
      <c r="D39" s="126">
        <f ca="1"/>
        <v>1.00022031168521</v>
      </c>
    </row>
    <row r="40" spans="2:4">
      <c r="B40" s="120">
        <f ca="1">_xll.meDateFromYearFraction(CurveBuildDate,C40,"ACT/365_ISDA")</f>
        <v>42477</v>
      </c>
      <c r="C40" s="125">
        <f ca="1"/>
        <v>0.15846994535519121</v>
      </c>
      <c r="D40" s="126">
        <f ca="1"/>
        <v>1.0002276182873346</v>
      </c>
    </row>
    <row r="41" spans="2:4">
      <c r="B41" s="120">
        <f ca="1">_xll.meDateFromYearFraction(CurveBuildDate,C41,"ACT/365_ISDA")</f>
        <v>42479</v>
      </c>
      <c r="C41" s="125">
        <f ca="1"/>
        <v>0.16393442622950816</v>
      </c>
      <c r="D41" s="126">
        <f ca="1"/>
        <v>1.0002349282502765</v>
      </c>
    </row>
    <row r="42" spans="2:4">
      <c r="B42" s="120">
        <f ca="1">_xll.meDateFromYearFraction(CurveBuildDate,C42,"ACT/365_ISDA")</f>
        <v>42481</v>
      </c>
      <c r="C42" s="125">
        <f ca="1"/>
        <v>0.1693989071038251</v>
      </c>
      <c r="D42" s="126">
        <f ca="1"/>
        <v>1.0002422416985097</v>
      </c>
    </row>
    <row r="43" spans="2:4">
      <c r="B43" s="120">
        <f ca="1">_xll.meDateFromYearFraction(CurveBuildDate,C43,"ACT/365_ISDA")</f>
        <v>42483</v>
      </c>
      <c r="C43" s="125">
        <f ca="1"/>
        <v>0.17486338797814205</v>
      </c>
      <c r="D43" s="126">
        <f ca="1"/>
        <v>1.0002495587565088</v>
      </c>
    </row>
    <row r="44" spans="2:4">
      <c r="B44" s="120">
        <f ca="1">_xll.meDateFromYearFraction(CurveBuildDate,C44,"ACT/365_ISDA")</f>
        <v>42485</v>
      </c>
      <c r="C44" s="125">
        <f ca="1"/>
        <v>0.18032786885245899</v>
      </c>
      <c r="D44" s="126">
        <f ca="1"/>
        <v>1.000256879548749</v>
      </c>
    </row>
    <row r="45" spans="2:4">
      <c r="B45" s="120">
        <f ca="1">_xll.meDateFromYearFraction(CurveBuildDate,C45,"ACT/365_ISDA")</f>
        <v>42487</v>
      </c>
      <c r="C45" s="125">
        <f ca="1"/>
        <v>0.18579234972677594</v>
      </c>
      <c r="D45" s="126">
        <f ca="1"/>
        <v>1.0002642077122905</v>
      </c>
    </row>
    <row r="46" spans="2:4">
      <c r="B46" s="120">
        <f ca="1">_xll.meDateFromYearFraction(CurveBuildDate,C46,"ACT/365_ISDA")</f>
        <v>42489</v>
      </c>
      <c r="C46" s="125">
        <f ca="1"/>
        <v>0.19125683060109289</v>
      </c>
      <c r="D46" s="126">
        <f ca="1"/>
        <v>1.0002715438275607</v>
      </c>
    </row>
    <row r="47" spans="2:4">
      <c r="B47" s="120">
        <f ca="1">_xll.meDateFromYearFraction(CurveBuildDate,C47,"ACT/365_ISDA")</f>
        <v>42491</v>
      </c>
      <c r="C47" s="125">
        <f ca="1"/>
        <v>0.19672131147540983</v>
      </c>
      <c r="D47" s="126">
        <f ca="1"/>
        <v>1.0002788874037736</v>
      </c>
    </row>
    <row r="48" spans="2:4">
      <c r="B48" s="120">
        <f ca="1">_xll.meDateFromYearFraction(CurveBuildDate,C48,"ACT/365_ISDA")</f>
        <v>42493</v>
      </c>
      <c r="C48" s="125">
        <f ca="1"/>
        <v>0.20218579234972678</v>
      </c>
      <c r="D48" s="126">
        <f ca="1"/>
        <v>1.0002862379501416</v>
      </c>
    </row>
    <row r="49" spans="2:4">
      <c r="B49" s="120">
        <f ca="1">_xll.meDateFromYearFraction(CurveBuildDate,C49,"ACT/365_ISDA")</f>
        <v>42495</v>
      </c>
      <c r="C49" s="125">
        <f ca="1"/>
        <v>0.20765027322404372</v>
      </c>
      <c r="D49" s="126">
        <f ca="1"/>
        <v>1.000293594975878</v>
      </c>
    </row>
    <row r="50" spans="2:4">
      <c r="B50" s="120">
        <f ca="1">_xll.meDateFromYearFraction(CurveBuildDate,C50,"ACT/365_ISDA")</f>
        <v>42497</v>
      </c>
      <c r="C50" s="125">
        <f ca="1"/>
        <v>0.21311475409836067</v>
      </c>
      <c r="D50" s="126">
        <f ca="1"/>
        <v>1.000300957990196</v>
      </c>
    </row>
    <row r="51" spans="2:4">
      <c r="B51" s="120">
        <f ca="1">_xll.meDateFromYearFraction(CurveBuildDate,C51,"ACT/365_ISDA")</f>
        <v>42499</v>
      </c>
      <c r="C51" s="125">
        <f ca="1"/>
        <v>0.21857923497267762</v>
      </c>
      <c r="D51" s="126">
        <f ca="1"/>
        <v>1.0003083265023092</v>
      </c>
    </row>
    <row r="52" spans="2:4">
      <c r="B52" s="120">
        <f ca="1">_xll.meDateFromYearFraction(CurveBuildDate,C52,"ACT/365_ISDA")</f>
        <v>42501</v>
      </c>
      <c r="C52" s="125">
        <f ca="1"/>
        <v>0.22404371584699456</v>
      </c>
      <c r="D52" s="126">
        <f ca="1"/>
        <v>1.0003157000214302</v>
      </c>
    </row>
    <row r="53" spans="2:4">
      <c r="B53" s="120">
        <f ca="1">_xll.meDateFromYearFraction(CurveBuildDate,C53,"ACT/365_ISDA")</f>
        <v>42503</v>
      </c>
      <c r="C53" s="125">
        <f ca="1"/>
        <v>0.22950819672131151</v>
      </c>
      <c r="D53" s="126">
        <f ca="1"/>
        <v>1.0003230780567725</v>
      </c>
    </row>
    <row r="54" spans="2:4">
      <c r="B54" s="120">
        <f ca="1">_xll.meDateFromYearFraction(CurveBuildDate,C54,"ACT/365_ISDA")</f>
        <v>42505</v>
      </c>
      <c r="C54" s="125">
        <f ca="1"/>
        <v>0.23497267759562845</v>
      </c>
      <c r="D54" s="126">
        <f ca="1"/>
        <v>1.0003304601175491</v>
      </c>
    </row>
    <row r="55" spans="2:4">
      <c r="B55" s="120">
        <f ca="1">_xll.meDateFromYearFraction(CurveBuildDate,C55,"ACT/365_ISDA")</f>
        <v>42507</v>
      </c>
      <c r="C55" s="125">
        <f ca="1"/>
        <v>0.2404371584699454</v>
      </c>
      <c r="D55" s="126">
        <f ca="1"/>
        <v>1.0003378457129732</v>
      </c>
    </row>
    <row r="56" spans="2:4">
      <c r="B56" s="120">
        <f ca="1">_xll.meDateFromYearFraction(CurveBuildDate,C56,"ACT/365_ISDA")</f>
        <v>42509</v>
      </c>
      <c r="C56" s="125">
        <f ca="1"/>
        <v>0.24590163934426235</v>
      </c>
      <c r="D56" s="126">
        <f ca="1"/>
        <v>1.0003452343522581</v>
      </c>
    </row>
    <row r="57" spans="2:4">
      <c r="B57" s="120">
        <f ca="1">_xll.meDateFromYearFraction(CurveBuildDate,C57,"ACT/365_ISDA")</f>
        <v>42511</v>
      </c>
      <c r="C57" s="125">
        <f ca="1"/>
        <v>0.25136612021857929</v>
      </c>
      <c r="D57" s="126">
        <f ca="1"/>
        <v>1.0003526255446169</v>
      </c>
    </row>
    <row r="58" spans="2:4">
      <c r="B58" s="120">
        <f ca="1">_xll.meDateFromYearFraction(CurveBuildDate,C58,"ACT/365_ISDA")</f>
        <v>42513</v>
      </c>
      <c r="C58" s="125">
        <f ca="1"/>
        <v>0.25683060109289624</v>
      </c>
      <c r="D58" s="126">
        <f ca="1"/>
        <v>1.0003600187992625</v>
      </c>
    </row>
    <row r="59" spans="2:4">
      <c r="B59" s="120">
        <f ca="1">_xll.meDateFromYearFraction(CurveBuildDate,C59,"ACT/365_ISDA")</f>
        <v>42515</v>
      </c>
      <c r="C59" s="125">
        <f ca="1"/>
        <v>0.26229508196721318</v>
      </c>
      <c r="D59" s="126">
        <f ca="1"/>
        <v>1.0003674136254084</v>
      </c>
    </row>
    <row r="60" spans="2:4">
      <c r="B60" s="120">
        <f ca="1">_xll.meDateFromYearFraction(CurveBuildDate,C60,"ACT/365_ISDA")</f>
        <v>42517</v>
      </c>
      <c r="C60" s="125">
        <f ca="1"/>
        <v>0.26775956284153013</v>
      </c>
      <c r="D60" s="126">
        <f ca="1"/>
        <v>1.0003748095322675</v>
      </c>
    </row>
    <row r="61" spans="2:4">
      <c r="B61" s="120">
        <f ca="1">_xll.meDateFromYearFraction(CurveBuildDate,C61,"ACT/365_ISDA")</f>
        <v>42519</v>
      </c>
      <c r="C61" s="125">
        <f ca="1"/>
        <v>0.27322404371584708</v>
      </c>
      <c r="D61" s="126">
        <f ca="1"/>
        <v>1.0003822060290537</v>
      </c>
    </row>
    <row r="62" spans="2:4">
      <c r="B62" s="120">
        <f ca="1">_xll.meDateFromYearFraction(CurveBuildDate,C62,"ACT/365_ISDA")</f>
        <v>42521</v>
      </c>
      <c r="C62" s="125">
        <f ca="1"/>
        <v>0.27868852459016402</v>
      </c>
      <c r="D62" s="126">
        <f ca="1"/>
        <v>1.0003896026249794</v>
      </c>
    </row>
    <row r="63" spans="2:4">
      <c r="B63" s="120">
        <f ca="1">_xll.meDateFromYearFraction(CurveBuildDate,C63,"ACT/365_ISDA")</f>
        <v>42523</v>
      </c>
      <c r="C63" s="125">
        <f ca="1"/>
        <v>0.28415300546448097</v>
      </c>
      <c r="D63" s="126">
        <f ca="1"/>
        <v>1.0003969988292576</v>
      </c>
    </row>
    <row r="64" spans="2:4">
      <c r="B64" s="120">
        <f ca="1">_xll.meDateFromYearFraction(CurveBuildDate,C64,"ACT/365_ISDA")</f>
        <v>42525</v>
      </c>
      <c r="C64" s="125">
        <f ca="1"/>
        <v>0.28961748633879791</v>
      </c>
      <c r="D64" s="126">
        <f ca="1"/>
        <v>1.0004043941511023</v>
      </c>
    </row>
    <row r="65" spans="2:4">
      <c r="B65" s="120">
        <f ca="1">_xll.meDateFromYearFraction(CurveBuildDate,C65,"ACT/365_ISDA")</f>
        <v>42527</v>
      </c>
      <c r="C65" s="125">
        <f ca="1"/>
        <v>0.29508196721311486</v>
      </c>
      <c r="D65" s="126">
        <f ca="1"/>
        <v>1.0004117880997256</v>
      </c>
    </row>
    <row r="66" spans="2:4">
      <c r="B66" s="120">
        <f ca="1">_xll.meDateFromYearFraction(CurveBuildDate,C66,"ACT/365_ISDA")</f>
        <v>42529</v>
      </c>
      <c r="C66" s="125">
        <f ca="1"/>
        <v>0.30054644808743181</v>
      </c>
      <c r="D66" s="126">
        <f ca="1"/>
        <v>1.0004191801843421</v>
      </c>
    </row>
    <row r="67" spans="2:4">
      <c r="B67" s="120">
        <f ca="1">_xll.meDateFromYearFraction(CurveBuildDate,C67,"ACT/365_ISDA")</f>
        <v>42531</v>
      </c>
      <c r="C67" s="125">
        <f ca="1"/>
        <v>0.30601092896174875</v>
      </c>
      <c r="D67" s="126">
        <f ca="1"/>
        <v>1.0004265699141639</v>
      </c>
    </row>
    <row r="68" spans="2:4">
      <c r="B68" s="120">
        <f ca="1">_xll.meDateFromYearFraction(CurveBuildDate,C68,"ACT/365_ISDA")</f>
        <v>42533</v>
      </c>
      <c r="C68" s="125">
        <f ca="1"/>
        <v>0.31147540983606548</v>
      </c>
      <c r="D68" s="126">
        <f ca="1"/>
        <v>1.0004339567984044</v>
      </c>
    </row>
    <row r="69" spans="2:4">
      <c r="B69" s="120">
        <f ca="1">_xll.meDateFromYearFraction(CurveBuildDate,C69,"ACT/365_ISDA")</f>
        <v>42535</v>
      </c>
      <c r="C69" s="125">
        <f ca="1"/>
        <v>0.31693989071038242</v>
      </c>
      <c r="D69" s="126">
        <f ca="1"/>
        <v>1.0004413403462764</v>
      </c>
    </row>
    <row r="70" spans="2:4">
      <c r="B70" s="120">
        <f ca="1">_xll.meDateFromYearFraction(CurveBuildDate,C70,"ACT/365_ISDA")</f>
        <v>42537</v>
      </c>
      <c r="C70" s="125">
        <f ca="1"/>
        <v>0.32240437158469937</v>
      </c>
      <c r="D70" s="126">
        <f ca="1"/>
        <v>1.0004487200669943</v>
      </c>
    </row>
    <row r="71" spans="2:4">
      <c r="B71" s="120">
        <f ca="1">_xll.meDateFromYearFraction(CurveBuildDate,C71,"ACT/365_ISDA")</f>
        <v>42539</v>
      </c>
      <c r="C71" s="125">
        <f ca="1"/>
        <v>0.32786885245901631</v>
      </c>
      <c r="D71" s="126">
        <f ca="1"/>
        <v>1.0004560954697697</v>
      </c>
    </row>
    <row r="72" spans="2:4">
      <c r="B72" s="120">
        <f ca="1">_xll.meDateFromYearFraction(CurveBuildDate,C72,"ACT/365_ISDA")</f>
        <v>42541</v>
      </c>
      <c r="C72" s="125">
        <f ca="1"/>
        <v>0.33333333333333326</v>
      </c>
      <c r="D72" s="126">
        <f ca="1"/>
        <v>1.0004634660638168</v>
      </c>
    </row>
    <row r="73" spans="2:4">
      <c r="B73" s="120">
        <f ca="1">_xll.meDateFromYearFraction(CurveBuildDate,C73,"ACT/365_ISDA")</f>
        <v>42544</v>
      </c>
      <c r="C73" s="125">
        <f ca="1"/>
        <v>0.34153005464480879</v>
      </c>
      <c r="D73" s="126">
        <f ca="1"/>
        <v>1.0004745118649252</v>
      </c>
    </row>
    <row r="74" spans="2:4">
      <c r="B74" s="120">
        <f ca="1">_xll.meDateFromYearFraction(CurveBuildDate,C74,"ACT/365_ISDA")</f>
        <v>42546</v>
      </c>
      <c r="C74" s="125">
        <f ca="1"/>
        <v>0.34699453551912574</v>
      </c>
      <c r="D74" s="126">
        <f ca="1"/>
        <v>1.0004818682899586</v>
      </c>
    </row>
    <row r="75" spans="2:4">
      <c r="B75" s="120">
        <f ca="1">_xll.meDateFromYearFraction(CurveBuildDate,C75,"ACT/365_ISDA")</f>
        <v>42548</v>
      </c>
      <c r="C75" s="125">
        <f ca="1"/>
        <v>0.35245901639344268</v>
      </c>
      <c r="D75" s="126">
        <f ca="1"/>
        <v>1.0004892181885094</v>
      </c>
    </row>
    <row r="76" spans="2:4">
      <c r="B76" s="120">
        <f ca="1">_xll.meDateFromYearFraction(CurveBuildDate,C76,"ACT/365_ISDA")</f>
        <v>42550</v>
      </c>
      <c r="C76" s="125">
        <f ca="1"/>
        <v>0.35792349726775963</v>
      </c>
      <c r="D76" s="126">
        <f ca="1"/>
        <v>1.0004965610697907</v>
      </c>
    </row>
    <row r="77" spans="2:4">
      <c r="B77" s="120">
        <f ca="1">_xll.meDateFromYearFraction(CurveBuildDate,C77,"ACT/365_ISDA")</f>
        <v>42552</v>
      </c>
      <c r="C77" s="125">
        <f ca="1"/>
        <v>0.36338797814207657</v>
      </c>
      <c r="D77" s="126">
        <f ca="1"/>
        <v>1.0005038964430157</v>
      </c>
    </row>
    <row r="78" spans="2:4">
      <c r="B78" s="120">
        <f ca="1">_xll.meDateFromYearFraction(CurveBuildDate,C78,"ACT/365_ISDA")</f>
        <v>42554</v>
      </c>
      <c r="C78" s="125">
        <f ca="1"/>
        <v>0.36885245901639352</v>
      </c>
      <c r="D78" s="126">
        <f ca="1"/>
        <v>1.0005112238173985</v>
      </c>
    </row>
    <row r="79" spans="2:4">
      <c r="B79" s="120">
        <f ca="1">_xll.meDateFromYearFraction(CurveBuildDate,C79,"ACT/365_ISDA")</f>
        <v>42556</v>
      </c>
      <c r="C79" s="125">
        <f ca="1"/>
        <v>0.37431693989071047</v>
      </c>
      <c r="D79" s="126">
        <f ca="1"/>
        <v>1.000518542702151</v>
      </c>
    </row>
    <row r="80" spans="2:4">
      <c r="B80" s="120">
        <f ca="1">_xll.meDateFromYearFraction(CurveBuildDate,C80,"ACT/365_ISDA")</f>
        <v>42558</v>
      </c>
      <c r="C80" s="125">
        <f ca="1"/>
        <v>0.37978142076502741</v>
      </c>
      <c r="D80" s="126">
        <f ca="1"/>
        <v>1.0005258526064866</v>
      </c>
    </row>
    <row r="81" spans="2:4">
      <c r="B81" s="120">
        <f ca="1">_xll.meDateFromYearFraction(CurveBuildDate,C81,"ACT/365_ISDA")</f>
        <v>42560</v>
      </c>
      <c r="C81" s="125">
        <f ca="1"/>
        <v>0.38524590163934436</v>
      </c>
      <c r="D81" s="126">
        <f ca="1"/>
        <v>1.0005331530396187</v>
      </c>
    </row>
    <row r="82" spans="2:4">
      <c r="B82" s="120">
        <f ca="1">_xll.meDateFromYearFraction(CurveBuildDate,C82,"ACT/365_ISDA")</f>
        <v>42562</v>
      </c>
      <c r="C82" s="125">
        <f ca="1"/>
        <v>0.3907103825136613</v>
      </c>
      <c r="D82" s="126">
        <f ca="1"/>
        <v>1.000540443510761</v>
      </c>
    </row>
    <row r="83" spans="2:4">
      <c r="B83" s="120">
        <f ca="1">_xll.meDateFromYearFraction(CurveBuildDate,C83,"ACT/365_ISDA")</f>
        <v>42564</v>
      </c>
      <c r="C83" s="125">
        <f ca="1"/>
        <v>0.39617486338797825</v>
      </c>
      <c r="D83" s="126">
        <f ca="1"/>
        <v>1.0005477235291256</v>
      </c>
    </row>
    <row r="84" spans="2:4">
      <c r="B84" s="120">
        <f ca="1">_xll.meDateFromYearFraction(CurveBuildDate,C84,"ACT/365_ISDA")</f>
        <v>42566</v>
      </c>
      <c r="C84" s="125">
        <f ca="1"/>
        <v>0.40163934426229519</v>
      </c>
      <c r="D84" s="126">
        <f ca="1"/>
        <v>1.0005549926039266</v>
      </c>
    </row>
    <row r="85" spans="2:4">
      <c r="B85" s="120">
        <f ca="1">_xll.meDateFromYearFraction(CurveBuildDate,C85,"ACT/365_ISDA")</f>
        <v>42568</v>
      </c>
      <c r="C85" s="125">
        <f ca="1"/>
        <v>0.40710382513661214</v>
      </c>
      <c r="D85" s="126">
        <f ca="1"/>
        <v>1.0005622502443765</v>
      </c>
    </row>
    <row r="86" spans="2:4">
      <c r="B86" s="120">
        <f ca="1">_xll.meDateFromYearFraction(CurveBuildDate,C86,"ACT/365_ISDA")</f>
        <v>42570</v>
      </c>
      <c r="C86" s="125">
        <f ca="1"/>
        <v>0.41256830601092886</v>
      </c>
      <c r="D86" s="126">
        <f ca="1"/>
        <v>1.0005694959596889</v>
      </c>
    </row>
    <row r="87" spans="2:4">
      <c r="B87" s="120">
        <f ca="1">_xll.meDateFromYearFraction(CurveBuildDate,C87,"ACT/365_ISDA")</f>
        <v>42572</v>
      </c>
      <c r="C87" s="125">
        <f ca="1"/>
        <v>0.41803278688524581</v>
      </c>
      <c r="D87" s="126">
        <f ca="1"/>
        <v>1.0005767292590766</v>
      </c>
    </row>
    <row r="88" spans="2:4">
      <c r="B88" s="120">
        <f ca="1">_xll.meDateFromYearFraction(CurveBuildDate,C88,"ACT/365_ISDA")</f>
        <v>42574</v>
      </c>
      <c r="C88" s="125">
        <f ca="1"/>
        <v>0.42349726775956276</v>
      </c>
      <c r="D88" s="126">
        <f ca="1"/>
        <v>1.0005839496517535</v>
      </c>
    </row>
    <row r="89" spans="2:4">
      <c r="B89" s="120">
        <f ca="1">_xll.meDateFromYearFraction(CurveBuildDate,C89,"ACT/365_ISDA")</f>
        <v>42576</v>
      </c>
      <c r="C89" s="125">
        <f ca="1"/>
        <v>0.4289617486338797</v>
      </c>
      <c r="D89" s="126">
        <f ca="1"/>
        <v>1.0005911566469319</v>
      </c>
    </row>
    <row r="90" spans="2:4">
      <c r="B90" s="120">
        <f ca="1">_xll.meDateFromYearFraction(CurveBuildDate,C90,"ACT/365_ISDA")</f>
        <v>42578</v>
      </c>
      <c r="C90" s="125">
        <f ca="1"/>
        <v>0.43442622950819665</v>
      </c>
      <c r="D90" s="126">
        <f ca="1"/>
        <v>1.0005983497538249</v>
      </c>
    </row>
    <row r="91" spans="2:4">
      <c r="B91" s="120">
        <f ca="1">_xll.meDateFromYearFraction(CurveBuildDate,C91,"ACT/365_ISDA")</f>
        <v>42580</v>
      </c>
      <c r="C91" s="125">
        <f ca="1"/>
        <v>0.43989071038251359</v>
      </c>
      <c r="D91" s="126">
        <f ca="1"/>
        <v>1.0006055284816464</v>
      </c>
    </row>
    <row r="92" spans="2:4">
      <c r="B92" s="120">
        <f ca="1">_xll.meDateFromYearFraction(CurveBuildDate,C92,"ACT/365_ISDA")</f>
        <v>42582</v>
      </c>
      <c r="C92" s="125">
        <f ca="1"/>
        <v>0.44535519125683054</v>
      </c>
      <c r="D92" s="126">
        <f ca="1"/>
        <v>1.0006126923396097</v>
      </c>
    </row>
    <row r="93" spans="2:4">
      <c r="B93" s="120">
        <f ca="1">_xll.meDateFromYearFraction(CurveBuildDate,C93,"ACT/365_ISDA")</f>
        <v>42584</v>
      </c>
      <c r="C93" s="125">
        <f ca="1"/>
        <v>0.45081967213114749</v>
      </c>
      <c r="D93" s="126">
        <f ca="1"/>
        <v>1.0006198408369271</v>
      </c>
    </row>
    <row r="94" spans="2:4">
      <c r="B94" s="120">
        <f ca="1">_xll.meDateFromYearFraction(CurveBuildDate,C94,"ACT/365_ISDA")</f>
        <v>42586</v>
      </c>
      <c r="C94" s="125">
        <f ca="1"/>
        <v>0.45628415300546443</v>
      </c>
      <c r="D94" s="126">
        <f ca="1"/>
        <v>1.0006269734828124</v>
      </c>
    </row>
    <row r="95" spans="2:4">
      <c r="B95" s="120">
        <f ca="1">_xll.meDateFromYearFraction(CurveBuildDate,C95,"ACT/365_ISDA")</f>
        <v>42588</v>
      </c>
      <c r="C95" s="125">
        <f ca="1"/>
        <v>0.46174863387978138</v>
      </c>
      <c r="D95" s="126">
        <f ca="1"/>
        <v>1.0006340897864787</v>
      </c>
    </row>
    <row r="96" spans="2:4">
      <c r="B96" s="120">
        <f ca="1">_xll.meDateFromYearFraction(CurveBuildDate,C96,"ACT/365_ISDA")</f>
        <v>42590</v>
      </c>
      <c r="C96" s="125">
        <f ca="1"/>
        <v>0.46721311475409832</v>
      </c>
      <c r="D96" s="126">
        <f ca="1"/>
        <v>1.000641189257139</v>
      </c>
    </row>
    <row r="97" spans="2:4">
      <c r="B97" s="120">
        <f ca="1">_xll.meDateFromYearFraction(CurveBuildDate,C97,"ACT/365_ISDA")</f>
        <v>42592</v>
      </c>
      <c r="C97" s="125">
        <f ca="1"/>
        <v>0.47267759562841527</v>
      </c>
      <c r="D97" s="126">
        <f ca="1"/>
        <v>1.0006482714040064</v>
      </c>
    </row>
    <row r="98" spans="2:4">
      <c r="B98" s="120">
        <f ca="1">_xll.meDateFromYearFraction(CurveBuildDate,C98,"ACT/365_ISDA")</f>
        <v>42594</v>
      </c>
      <c r="C98" s="125">
        <f ca="1"/>
        <v>0.47814207650273222</v>
      </c>
      <c r="D98" s="126">
        <f ca="1"/>
        <v>1.0006553357362946</v>
      </c>
    </row>
    <row r="99" spans="2:4">
      <c r="B99" s="120">
        <f ca="1">_xll.meDateFromYearFraction(CurveBuildDate,C99,"ACT/365_ISDA")</f>
        <v>42596</v>
      </c>
      <c r="C99" s="125">
        <f ca="1"/>
        <v>0.48360655737704916</v>
      </c>
      <c r="D99" s="126">
        <f ca="1"/>
        <v>1.0006623817632161</v>
      </c>
    </row>
    <row r="100" spans="2:4">
      <c r="B100" s="120">
        <f ca="1">_xll.meDateFromYearFraction(CurveBuildDate,C100,"ACT/365_ISDA")</f>
        <v>42598</v>
      </c>
      <c r="C100" s="125">
        <f ca="1"/>
        <v>0.48907103825136611</v>
      </c>
      <c r="D100" s="126">
        <f ca="1"/>
        <v>1.0006694089939843</v>
      </c>
    </row>
    <row r="101" spans="2:4">
      <c r="B101" s="120">
        <f ca="1">_xll.meDateFromYearFraction(CurveBuildDate,C101,"ACT/365_ISDA")</f>
        <v>42600</v>
      </c>
      <c r="C101" s="125">
        <f ca="1"/>
        <v>0.49453551912568305</v>
      </c>
      <c r="D101" s="126">
        <f ca="1"/>
        <v>1.0006764169378126</v>
      </c>
    </row>
    <row r="102" spans="2:4">
      <c r="B102" s="120">
        <f ca="1">_xll.meDateFromYearFraction(CurveBuildDate,C102,"ACT/365_ISDA")</f>
        <v>42602</v>
      </c>
      <c r="C102" s="125">
        <f ca="1"/>
        <v>0.5</v>
      </c>
      <c r="D102" s="126">
        <f ca="1"/>
        <v>1.0006834051039137</v>
      </c>
    </row>
    <row r="103" spans="2:4">
      <c r="B103" s="120">
        <f ca="1">_xll.meDateFromYearFraction(CurveBuildDate,C103,"ACT/365_ISDA")</f>
        <v>42604</v>
      </c>
      <c r="C103" s="125">
        <f ca="1"/>
        <v>0.50546448087431695</v>
      </c>
      <c r="D103" s="126">
        <f ca="1"/>
        <v>1.0006903730015011</v>
      </c>
    </row>
    <row r="104" spans="2:4">
      <c r="B104" s="120">
        <f ca="1">_xll.meDateFromYearFraction(CurveBuildDate,C104,"ACT/365_ISDA")</f>
        <v>42605</v>
      </c>
      <c r="C104" s="125">
        <f ca="1"/>
        <v>0.50819672131147553</v>
      </c>
      <c r="D104" s="126">
        <f ca="1"/>
        <v>1.0006938491962314</v>
      </c>
    </row>
    <row r="105" spans="2:4">
      <c r="B105" s="120">
        <f ca="1">_xll.meDateFromYearFraction(CurveBuildDate,C105,"ACT/365_ISDA")</f>
        <v>42607</v>
      </c>
      <c r="C105" s="125">
        <f ca="1"/>
        <v>0.51366120218579225</v>
      </c>
      <c r="D105" s="126">
        <f ca="1"/>
        <v>1.0007007903112368</v>
      </c>
    </row>
    <row r="106" spans="2:4">
      <c r="B106" s="120">
        <f ca="1">_xll.meDateFromYearFraction(CurveBuildDate,C106,"ACT/365_ISDA")</f>
        <v>42609</v>
      </c>
      <c r="C106" s="125">
        <f ca="1"/>
        <v>0.5191256830601092</v>
      </c>
      <c r="D106" s="126">
        <f ca="1"/>
        <v>1.000707731546268</v>
      </c>
    </row>
    <row r="107" spans="2:4">
      <c r="B107" s="120">
        <f ca="1">_xll.meDateFromYearFraction(CurveBuildDate,C107,"ACT/365_ISDA")</f>
        <v>42611</v>
      </c>
      <c r="C107" s="125">
        <f ca="1"/>
        <v>0.52459016393442615</v>
      </c>
      <c r="D107" s="126">
        <f ca="1"/>
        <v>1.0007146730258827</v>
      </c>
    </row>
    <row r="108" spans="2:4">
      <c r="B108" s="120">
        <f ca="1">_xll.meDateFromYearFraction(CurveBuildDate,C108,"ACT/365_ISDA")</f>
        <v>42613</v>
      </c>
      <c r="C108" s="125">
        <f ca="1"/>
        <v>0.53005464480874309</v>
      </c>
      <c r="D108" s="126">
        <f ca="1"/>
        <v>1.0007216148746372</v>
      </c>
    </row>
    <row r="109" spans="2:4">
      <c r="B109" s="120">
        <f ca="1">_xll.meDateFromYearFraction(CurveBuildDate,C109,"ACT/365_ISDA")</f>
        <v>42615</v>
      </c>
      <c r="C109" s="125">
        <f ca="1"/>
        <v>0.53551912568306004</v>
      </c>
      <c r="D109" s="126">
        <f ca="1"/>
        <v>1.0007285572170883</v>
      </c>
    </row>
    <row r="110" spans="2:4">
      <c r="B110" s="120">
        <f ca="1">_xll.meDateFromYearFraction(CurveBuildDate,C110,"ACT/365_ISDA")</f>
        <v>42617</v>
      </c>
      <c r="C110" s="125">
        <f ca="1"/>
        <v>0.54098360655737698</v>
      </c>
      <c r="D110" s="126">
        <f ca="1"/>
        <v>1.0007355001777924</v>
      </c>
    </row>
    <row r="111" spans="2:4">
      <c r="B111" s="120">
        <f ca="1">_xll.meDateFromYearFraction(CurveBuildDate,C111,"ACT/365_ISDA")</f>
        <v>42619</v>
      </c>
      <c r="C111" s="125">
        <f ca="1"/>
        <v>0.54644808743169393</v>
      </c>
      <c r="D111" s="126">
        <f ca="1"/>
        <v>1.0007424438813062</v>
      </c>
    </row>
    <row r="112" spans="2:4">
      <c r="B112" s="120">
        <f ca="1">_xll.meDateFromYearFraction(CurveBuildDate,C112,"ACT/365_ISDA")</f>
        <v>42621</v>
      </c>
      <c r="C112" s="125">
        <f ca="1"/>
        <v>0.55191256830601088</v>
      </c>
      <c r="D112" s="126">
        <f ca="1"/>
        <v>1.0007493884521852</v>
      </c>
    </row>
    <row r="113" spans="2:4">
      <c r="B113" s="120">
        <f ca="1">_xll.meDateFromYearFraction(CurveBuildDate,C113,"ACT/365_ISDA")</f>
        <v>42623</v>
      </c>
      <c r="C113" s="125">
        <f ca="1"/>
        <v>0.55737704918032782</v>
      </c>
      <c r="D113" s="126">
        <f ca="1"/>
        <v>1.0007563340149854</v>
      </c>
    </row>
    <row r="114" spans="2:4">
      <c r="B114" s="120">
        <f ca="1">_xll.meDateFromYearFraction(CurveBuildDate,C114,"ACT/365_ISDA")</f>
        <v>42625</v>
      </c>
      <c r="C114" s="125">
        <f ca="1"/>
        <v>0.56284153005464477</v>
      </c>
      <c r="D114" s="126">
        <f ca="1"/>
        <v>1.0007632806942632</v>
      </c>
    </row>
    <row r="115" spans="2:4">
      <c r="B115" s="120">
        <f ca="1">_xll.meDateFromYearFraction(CurveBuildDate,C115,"ACT/365_ISDA")</f>
        <v>42627</v>
      </c>
      <c r="C115" s="125">
        <f ca="1"/>
        <v>0.56830601092896171</v>
      </c>
      <c r="D115" s="126">
        <f ca="1"/>
        <v>1.0007702286145734</v>
      </c>
    </row>
    <row r="116" spans="2:4">
      <c r="B116" s="120">
        <f ca="1">_xll.meDateFromYearFraction(CurveBuildDate,C116,"ACT/365_ISDA")</f>
        <v>42629</v>
      </c>
      <c r="C116" s="125">
        <f ca="1"/>
        <v>0.57377049180327866</v>
      </c>
      <c r="D116" s="126">
        <f ca="1"/>
        <v>1.0007771779004722</v>
      </c>
    </row>
    <row r="117" spans="2:4">
      <c r="B117" s="120">
        <f ca="1">_xll.meDateFromYearFraction(CurveBuildDate,C117,"ACT/365_ISDA")</f>
        <v>42631</v>
      </c>
      <c r="C117" s="125">
        <f ca="1"/>
        <v>0.57923497267759561</v>
      </c>
      <c r="D117" s="126">
        <f ca="1"/>
        <v>1.0007841286765149</v>
      </c>
    </row>
    <row r="118" spans="2:4">
      <c r="B118" s="120">
        <f ca="1">_xll.meDateFromYearFraction(CurveBuildDate,C118,"ACT/365_ISDA")</f>
        <v>42633</v>
      </c>
      <c r="C118" s="125">
        <f ca="1"/>
        <v>0.58469945355191255</v>
      </c>
      <c r="D118" s="126">
        <f ca="1"/>
        <v>1.0007910810672562</v>
      </c>
    </row>
    <row r="119" spans="2:4">
      <c r="B119" s="120">
        <f ca="1">_xll.meDateFromYearFraction(CurveBuildDate,C119,"ACT/365_ISDA")</f>
        <v>42635</v>
      </c>
      <c r="C119" s="125">
        <f ca="1"/>
        <v>0.5901639344262295</v>
      </c>
      <c r="D119" s="126">
        <f ca="1"/>
        <v>1.0007980351972514</v>
      </c>
    </row>
    <row r="120" spans="2:4">
      <c r="B120" s="120">
        <f ca="1">_xll.meDateFromYearFraction(CurveBuildDate,C120,"ACT/365_ISDA")</f>
        <v>42636</v>
      </c>
      <c r="C120" s="125">
        <f ca="1"/>
        <v>0.59289617486338808</v>
      </c>
      <c r="D120" s="126">
        <f ca="1"/>
        <v>1.0008015129533927</v>
      </c>
    </row>
    <row r="121" spans="2:4">
      <c r="B121" s="120">
        <f ca="1">_xll.meDateFromYearFraction(CurveBuildDate,C121,"ACT/365_ISDA")</f>
        <v>42637</v>
      </c>
      <c r="C121" s="125">
        <f ca="1"/>
        <v>0.59562841530054644</v>
      </c>
      <c r="D121" s="126">
        <f ca="1"/>
        <v>1.0008049911910555</v>
      </c>
    </row>
    <row r="122" spans="2:4">
      <c r="B122" s="120">
        <f ca="1">_xll.meDateFromYearFraction(CurveBuildDate,C122,"ACT/365_ISDA")</f>
        <v>42638</v>
      </c>
      <c r="C122" s="125">
        <f ca="1"/>
        <v>0.59836065573770503</v>
      </c>
      <c r="D122" s="126">
        <f ca="1"/>
        <v>1.0008084699258089</v>
      </c>
    </row>
    <row r="123" spans="2:4">
      <c r="B123" s="120">
        <f ca="1">_xll.meDateFromYearFraction(CurveBuildDate,C123,"ACT/365_ISDA")</f>
        <v>42639</v>
      </c>
      <c r="C123" s="125">
        <f ca="1"/>
        <v>0.60109289617486339</v>
      </c>
      <c r="D123" s="126">
        <f ca="1"/>
        <v>1.0008119491732226</v>
      </c>
    </row>
    <row r="124" spans="2:4">
      <c r="B124" s="120">
        <f ca="1">_xll.meDateFromYearFraction(CurveBuildDate,C124,"ACT/365_ISDA")</f>
        <v>42640</v>
      </c>
      <c r="C124" s="125">
        <f ca="1"/>
        <v>0.60382513661202197</v>
      </c>
      <c r="D124" s="126">
        <f ca="1"/>
        <v>1.0008154289488662</v>
      </c>
    </row>
    <row r="125" spans="2:4">
      <c r="B125" s="120">
        <f ca="1">_xll.meDateFromYearFraction(CurveBuildDate,C125,"ACT/365_ISDA")</f>
        <v>42641</v>
      </c>
      <c r="C125" s="125">
        <f ca="1"/>
        <v>0.60655737704918034</v>
      </c>
      <c r="D125" s="126">
        <f ca="1"/>
        <v>1.000818909268308</v>
      </c>
    </row>
    <row r="126" spans="2:4">
      <c r="B126" s="120">
        <f ca="1">_xll.meDateFromYearFraction(CurveBuildDate,C126,"ACT/365_ISDA")</f>
        <v>42642</v>
      </c>
      <c r="C126" s="125">
        <f ca="1"/>
        <v>0.60928961748633892</v>
      </c>
      <c r="D126" s="126">
        <f ca="1"/>
        <v>1.0008223901471169</v>
      </c>
    </row>
    <row r="127" spans="2:4">
      <c r="B127" s="120">
        <f ca="1">_xll.meDateFromYearFraction(CurveBuildDate,C127,"ACT/365_ISDA")</f>
        <v>42643</v>
      </c>
      <c r="C127" s="125">
        <f ca="1"/>
        <v>0.61202185792349728</v>
      </c>
      <c r="D127" s="126">
        <f ca="1"/>
        <v>1.0008258716008651</v>
      </c>
    </row>
    <row r="128" spans="2:4">
      <c r="B128" s="120">
        <f ca="1">_xll.meDateFromYearFraction(CurveBuildDate,C128,"ACT/365_ISDA")</f>
        <v>42644</v>
      </c>
      <c r="C128" s="125">
        <f ca="1"/>
        <v>0.61475409836065564</v>
      </c>
      <c r="D128" s="126">
        <f ca="1"/>
        <v>1.0008293536451223</v>
      </c>
    </row>
    <row r="129" spans="2:4">
      <c r="B129" s="120">
        <f ca="1">_xll.meDateFromYearFraction(CurveBuildDate,C129,"ACT/365_ISDA")</f>
        <v>42645</v>
      </c>
      <c r="C129" s="125">
        <f ca="1"/>
        <v>0.61748633879781423</v>
      </c>
      <c r="D129" s="126">
        <f ca="1"/>
        <v>1.0008328362954488</v>
      </c>
    </row>
    <row r="130" spans="2:4">
      <c r="B130" s="120">
        <f ca="1">_xll.meDateFromYearFraction(CurveBuildDate,C130,"ACT/365_ISDA")</f>
        <v>42646</v>
      </c>
      <c r="C130" s="125">
        <f ca="1"/>
        <v>0.62021857923497259</v>
      </c>
      <c r="D130" s="126">
        <f ca="1"/>
        <v>1.0008363195674119</v>
      </c>
    </row>
    <row r="131" spans="2:4">
      <c r="B131" s="120">
        <f ca="1">_xll.meDateFromYearFraction(CurveBuildDate,C131,"ACT/365_ISDA")</f>
        <v>42647</v>
      </c>
      <c r="C131" s="125">
        <f ca="1"/>
        <v>0.62295081967213117</v>
      </c>
      <c r="D131" s="126">
        <f ca="1"/>
        <v>1.0008398034766131</v>
      </c>
    </row>
    <row r="132" spans="2:4">
      <c r="B132" s="120">
        <f ca="1">_xll.meDateFromYearFraction(CurveBuildDate,C132,"ACT/365_ISDA")</f>
        <v>42648</v>
      </c>
      <c r="C132" s="125">
        <f ca="1"/>
        <v>0.62568306010928953</v>
      </c>
      <c r="D132" s="126">
        <f ca="1"/>
        <v>1.0008432880386309</v>
      </c>
    </row>
    <row r="133" spans="2:4">
      <c r="B133" s="120">
        <f ca="1">_xll.meDateFromYearFraction(CurveBuildDate,C133,"ACT/365_ISDA")</f>
        <v>42649</v>
      </c>
      <c r="C133" s="125">
        <f ca="1"/>
        <v>0.62841530054644812</v>
      </c>
      <c r="D133" s="126">
        <f ca="1"/>
        <v>1.0008467732689112</v>
      </c>
    </row>
    <row r="134" spans="2:4">
      <c r="B134" s="120">
        <f ca="1">_xll.meDateFromYearFraction(CurveBuildDate,C134,"ACT/365_ISDA")</f>
        <v>42650</v>
      </c>
      <c r="C134" s="125">
        <f ca="1"/>
        <v>0.63114754098360648</v>
      </c>
      <c r="D134" s="126">
        <f ca="1"/>
        <v>1.0008502591829895</v>
      </c>
    </row>
    <row r="135" spans="2:4">
      <c r="B135" s="120">
        <f ca="1">_xll.meDateFromYearFraction(CurveBuildDate,C135,"ACT/365_ISDA")</f>
        <v>42651</v>
      </c>
      <c r="C135" s="125">
        <f ca="1"/>
        <v>0.63387978142076506</v>
      </c>
      <c r="D135" s="126">
        <f ca="1"/>
        <v>1.0008537457968978</v>
      </c>
    </row>
    <row r="136" spans="2:4">
      <c r="B136" s="120">
        <f ca="1">_xll.meDateFromYearFraction(CurveBuildDate,C136,"ACT/365_ISDA")</f>
        <v>42652</v>
      </c>
      <c r="C136" s="125">
        <f ca="1"/>
        <v>0.63661202185792343</v>
      </c>
      <c r="D136" s="126">
        <f ca="1"/>
        <v>1.0008572331263288</v>
      </c>
    </row>
    <row r="137" spans="2:4">
      <c r="B137" s="120">
        <f ca="1">_xll.meDateFromYearFraction(CurveBuildDate,C137,"ACT/365_ISDA")</f>
        <v>42653</v>
      </c>
      <c r="C137" s="125">
        <f ca="1"/>
        <v>0.63934426229508201</v>
      </c>
      <c r="D137" s="126">
        <f ca="1"/>
        <v>1.0008607211851257</v>
      </c>
    </row>
    <row r="138" spans="2:4">
      <c r="B138" s="120">
        <f ca="1">_xll.meDateFromYearFraction(CurveBuildDate,C138,"ACT/365_ISDA")</f>
        <v>42654</v>
      </c>
      <c r="C138" s="125">
        <f ca="1"/>
        <v>0.64207650273224037</v>
      </c>
      <c r="D138" s="126">
        <f ca="1"/>
        <v>1.0008642099883955</v>
      </c>
    </row>
    <row r="139" spans="2:4">
      <c r="B139" s="120">
        <f ca="1">_xll.meDateFromYearFraction(CurveBuildDate,C139,"ACT/365_ISDA")</f>
        <v>42655</v>
      </c>
      <c r="C139" s="125">
        <f ca="1"/>
        <v>0.64480874316939896</v>
      </c>
      <c r="D139" s="126">
        <f ca="1"/>
        <v>1.000867699558148</v>
      </c>
    </row>
    <row r="140" spans="2:4">
      <c r="B140" s="120">
        <f ca="1">_xll.meDateFromYearFraction(CurveBuildDate,C140,"ACT/365_ISDA")</f>
        <v>42656</v>
      </c>
      <c r="C140" s="125">
        <f ca="1"/>
        <v>0.64754098360655732</v>
      </c>
      <c r="D140" s="126">
        <f ca="1"/>
        <v>1.0008711899116778</v>
      </c>
    </row>
    <row r="141" spans="2:4">
      <c r="B141" s="120">
        <f ca="1">_xll.meDateFromYearFraction(CurveBuildDate,C141,"ACT/365_ISDA")</f>
        <v>42657</v>
      </c>
      <c r="C141" s="125">
        <f ca="1"/>
        <v>0.6502732240437159</v>
      </c>
      <c r="D141" s="126">
        <f ca="1"/>
        <v>1.0008746810405191</v>
      </c>
    </row>
    <row r="142" spans="2:4">
      <c r="B142" s="120">
        <f ca="1">_xll.meDateFromYearFraction(CurveBuildDate,C142,"ACT/365_ISDA")</f>
        <v>42658</v>
      </c>
      <c r="C142" s="125">
        <f ca="1"/>
        <v>0.65300546448087426</v>
      </c>
      <c r="D142" s="126">
        <f ca="1"/>
        <v>1.0008781729538001</v>
      </c>
    </row>
    <row r="143" spans="2:4">
      <c r="B143" s="120">
        <f ca="1">_xll.meDateFromYearFraction(CurveBuildDate,C143,"ACT/365_ISDA")</f>
        <v>42659</v>
      </c>
      <c r="C143" s="125">
        <f ca="1"/>
        <v>0.65573770491803285</v>
      </c>
      <c r="D143" s="126">
        <f ca="1"/>
        <v>1.0008816657567907</v>
      </c>
    </row>
    <row r="144" spans="2:4">
      <c r="B144" s="120">
        <f ca="1">_xll.meDateFromYearFraction(CurveBuildDate,C144,"ACT/365_ISDA")</f>
        <v>42660</v>
      </c>
      <c r="C144" s="125">
        <f ca="1"/>
        <v>0.65846994535519121</v>
      </c>
      <c r="D144" s="126">
        <f ca="1"/>
        <v>1.0008851594890957</v>
      </c>
    </row>
    <row r="145" spans="2:4">
      <c r="B145" s="120">
        <f ca="1">_xll.meDateFromYearFraction(CurveBuildDate,C145,"ACT/365_ISDA")</f>
        <v>42661</v>
      </c>
      <c r="C145" s="125">
        <f ca="1"/>
        <v>0.66120218579234979</v>
      </c>
      <c r="D145" s="126">
        <f ca="1"/>
        <v>1.0008886538315169</v>
      </c>
    </row>
    <row r="146" spans="2:4">
      <c r="B146" s="120">
        <f ca="1">_xll.meDateFromYearFraction(CurveBuildDate,C146,"ACT/365_ISDA")</f>
        <v>42662</v>
      </c>
      <c r="C146" s="125">
        <f ca="1"/>
        <v>0.66393442622950816</v>
      </c>
      <c r="D146" s="126">
        <f ca="1"/>
        <v>1.0008921487099227</v>
      </c>
    </row>
    <row r="147" spans="2:4">
      <c r="B147" s="120">
        <f ca="1">_xll.meDateFromYearFraction(CurveBuildDate,C147,"ACT/365_ISDA")</f>
        <v>42663</v>
      </c>
      <c r="C147" s="125">
        <f ca="1"/>
        <v>0.66666666666666674</v>
      </c>
      <c r="D147" s="126">
        <f ca="1"/>
        <v>1.0008956453892497</v>
      </c>
    </row>
    <row r="148" spans="2:4">
      <c r="B148" s="120">
        <f ca="1">_xll.meDateFromYearFraction(CurveBuildDate,C148,"ACT/365_ISDA")</f>
        <v>42664</v>
      </c>
      <c r="C148" s="125">
        <f ca="1"/>
        <v>0.6693989071038251</v>
      </c>
      <c r="D148" s="126">
        <f ca="1"/>
        <v>1.0008991442198327</v>
      </c>
    </row>
    <row r="149" spans="2:4">
      <c r="B149" s="120">
        <f ca="1">_xll.meDateFromYearFraction(CurveBuildDate,C149,"ACT/365_ISDA")</f>
        <v>42665</v>
      </c>
      <c r="C149" s="125">
        <f ca="1"/>
        <v>0.67213114754098369</v>
      </c>
      <c r="D149" s="126">
        <f ca="1"/>
        <v>1.0009026405545414</v>
      </c>
    </row>
    <row r="150" spans="2:4">
      <c r="B150" s="120">
        <f ca="1">_xll.meDateFromYearFraction(CurveBuildDate,C150,"ACT/365_ISDA")</f>
        <v>42666</v>
      </c>
      <c r="C150" s="125">
        <f ca="1"/>
        <v>0.67486338797814205</v>
      </c>
      <c r="D150" s="126">
        <f ca="1"/>
        <v>1.0009061348961301</v>
      </c>
    </row>
    <row r="151" spans="2:4">
      <c r="B151" s="120">
        <f ca="1">_xll.meDateFromYearFraction(CurveBuildDate,C151,"ACT/365_ISDA")</f>
        <v>42667</v>
      </c>
      <c r="C151" s="125">
        <f ca="1"/>
        <v>0.67759562841530063</v>
      </c>
      <c r="D151" s="126">
        <f ca="1"/>
        <v>1.0009096533443669</v>
      </c>
    </row>
    <row r="152" spans="2:4">
      <c r="B152" s="120">
        <f ca="1">_xll.meDateFromYearFraction(CurveBuildDate,C152,"ACT/365_ISDA")</f>
        <v>42668</v>
      </c>
      <c r="C152" s="125">
        <f ca="1"/>
        <v>0.68032786885245899</v>
      </c>
      <c r="D152" s="126">
        <f ca="1"/>
        <v>1.0009132283982711</v>
      </c>
    </row>
    <row r="153" spans="2:4">
      <c r="B153" s="120">
        <f ca="1">_xll.meDateFromYearFraction(CurveBuildDate,C153,"ACT/365_ISDA")</f>
        <v>42669</v>
      </c>
      <c r="C153" s="125">
        <f ca="1"/>
        <v>0.68306010928961758</v>
      </c>
      <c r="D153" s="126">
        <f ca="1"/>
        <v>1.0009168779382689</v>
      </c>
    </row>
    <row r="154" spans="2:4">
      <c r="B154" s="120">
        <f ca="1">_xll.meDateFromYearFraction(CurveBuildDate,C154,"ACT/365_ISDA")</f>
        <v>42670</v>
      </c>
      <c r="C154" s="125">
        <f ca="1"/>
        <v>0.68579234972677594</v>
      </c>
      <c r="D154" s="126">
        <f ca="1"/>
        <v>1.0009205613704089</v>
      </c>
    </row>
    <row r="155" spans="2:4">
      <c r="B155" s="120">
        <f ca="1">_xll.meDateFromYearFraction(CurveBuildDate,C155,"ACT/365_ISDA")</f>
        <v>42671</v>
      </c>
      <c r="C155" s="125">
        <f ca="1"/>
        <v>0.68852459016393452</v>
      </c>
      <c r="D155" s="126">
        <f ca="1"/>
        <v>1.0009242351369658</v>
      </c>
    </row>
    <row r="156" spans="2:4">
      <c r="B156" s="120">
        <f ca="1">_xll.meDateFromYearFraction(CurveBuildDate,C156,"ACT/365_ISDA")</f>
        <v>42672</v>
      </c>
      <c r="C156" s="125">
        <f ca="1"/>
        <v>0.69125683060109289</v>
      </c>
      <c r="D156" s="126">
        <f ca="1"/>
        <v>1.0009279022994935</v>
      </c>
    </row>
    <row r="157" spans="2:4">
      <c r="B157" s="120">
        <f ca="1">_xll.meDateFromYearFraction(CurveBuildDate,C157,"ACT/365_ISDA")</f>
        <v>42673</v>
      </c>
      <c r="C157" s="125">
        <f ca="1"/>
        <v>0.69398907103825147</v>
      </c>
      <c r="D157" s="126">
        <f ca="1"/>
        <v>1.0009315744514236</v>
      </c>
    </row>
    <row r="158" spans="2:4">
      <c r="B158" s="120">
        <f ca="1">_xll.meDateFromYearFraction(CurveBuildDate,C158,"ACT/365_ISDA")</f>
        <v>42674</v>
      </c>
      <c r="C158" s="125">
        <f ca="1"/>
        <v>0.69672131147540983</v>
      </c>
      <c r="D158" s="126">
        <f ca="1"/>
        <v>1.0009352506944165</v>
      </c>
    </row>
    <row r="159" spans="2:4">
      <c r="B159" s="120">
        <f ca="1">_xll.meDateFromYearFraction(CurveBuildDate,C159,"ACT/365_ISDA")</f>
        <v>42675</v>
      </c>
      <c r="C159" s="125">
        <f ca="1"/>
        <v>0.69945355191256842</v>
      </c>
      <c r="D159" s="126">
        <f ca="1"/>
        <v>1.0009389278441403</v>
      </c>
    </row>
    <row r="160" spans="2:4">
      <c r="B160" s="120">
        <f ca="1">_xll.meDateFromYearFraction(CurveBuildDate,C160,"ACT/365_ISDA")</f>
        <v>42676</v>
      </c>
      <c r="C160" s="125">
        <f ca="1"/>
        <v>0.70218579234972678</v>
      </c>
      <c r="D160" s="126">
        <f ca="1"/>
        <v>1.000942606064068</v>
      </c>
    </row>
    <row r="161" spans="2:4">
      <c r="B161" s="120">
        <f ca="1">_xll.meDateFromYearFraction(CurveBuildDate,C161,"ACT/365_ISDA")</f>
        <v>42677</v>
      </c>
      <c r="C161" s="125">
        <f ca="1"/>
        <v>0.70491803278688536</v>
      </c>
      <c r="D161" s="126">
        <f ca="1"/>
        <v>1.0009462861297611</v>
      </c>
    </row>
    <row r="162" spans="2:4">
      <c r="B162" s="120">
        <f ca="1">_xll.meDateFromYearFraction(CurveBuildDate,C162,"ACT/365_ISDA")</f>
        <v>42678</v>
      </c>
      <c r="C162" s="125">
        <f ca="1"/>
        <v>0.70765027322404372</v>
      </c>
      <c r="D162" s="126">
        <f ca="1"/>
        <v>1.0009499679173397</v>
      </c>
    </row>
    <row r="163" spans="2:4">
      <c r="B163" s="120">
        <f ca="1">_xll.meDateFromYearFraction(CurveBuildDate,C163,"ACT/365_ISDA")</f>
        <v>42679</v>
      </c>
      <c r="C163" s="125">
        <f ca="1"/>
        <v>0.71038251366120231</v>
      </c>
      <c r="D163" s="126">
        <f ca="1"/>
        <v>1.0009536511405548</v>
      </c>
    </row>
    <row r="164" spans="2:4">
      <c r="B164" s="120">
        <f ca="1">_xll.meDateFromYearFraction(CurveBuildDate,C164,"ACT/365_ISDA")</f>
        <v>42680</v>
      </c>
      <c r="C164" s="125">
        <f ca="1"/>
        <v>0.71311475409836067</v>
      </c>
      <c r="D164" s="126">
        <f ca="1"/>
        <v>1.0009573357631225</v>
      </c>
    </row>
    <row r="165" spans="2:4">
      <c r="B165" s="120">
        <f ca="1">_xll.meDateFromYearFraction(CurveBuildDate,C165,"ACT/365_ISDA")</f>
        <v>42681</v>
      </c>
      <c r="C165" s="125">
        <f ca="1"/>
        <v>0.71584699453551903</v>
      </c>
      <c r="D165" s="126">
        <f ca="1"/>
        <v>1.000961021786146</v>
      </c>
    </row>
    <row r="166" spans="2:4">
      <c r="B166" s="120">
        <f ca="1">_xll.meDateFromYearFraction(CurveBuildDate,C166,"ACT/365_ISDA")</f>
        <v>42682</v>
      </c>
      <c r="C166" s="125">
        <f ca="1"/>
        <v>0.71857923497267762</v>
      </c>
      <c r="D166" s="126">
        <f ca="1"/>
        <v>1.0009647091103082</v>
      </c>
    </row>
    <row r="167" spans="2:4">
      <c r="B167" s="120">
        <f ca="1">_xll.meDateFromYearFraction(CurveBuildDate,C167,"ACT/365_ISDA")</f>
        <v>42683</v>
      </c>
      <c r="C167" s="125">
        <f ca="1"/>
        <v>0.72131147540983598</v>
      </c>
      <c r="D167" s="126">
        <f ca="1"/>
        <v>1.0009683976491157</v>
      </c>
    </row>
    <row r="168" spans="2:4">
      <c r="B168" s="120">
        <f ca="1">_xll.meDateFromYearFraction(CurveBuildDate,C168,"ACT/365_ISDA")</f>
        <v>42684</v>
      </c>
      <c r="C168" s="125">
        <f ca="1"/>
        <v>0.72404371584699456</v>
      </c>
      <c r="D168" s="126">
        <f ca="1"/>
        <v>1.0009720874677872</v>
      </c>
    </row>
    <row r="169" spans="2:4">
      <c r="B169" s="120">
        <f ca="1">_xll.meDateFromYearFraction(CurveBuildDate,C169,"ACT/365_ISDA")</f>
        <v>42685</v>
      </c>
      <c r="C169" s="125">
        <f ca="1"/>
        <v>0.72677595628415292</v>
      </c>
      <c r="D169" s="126">
        <f ca="1"/>
        <v>1.0009757785428621</v>
      </c>
    </row>
    <row r="170" spans="2:4">
      <c r="B170" s="120">
        <f ca="1">_xll.meDateFromYearFraction(CurveBuildDate,C170,"ACT/365_ISDA")</f>
        <v>42686</v>
      </c>
      <c r="C170" s="125">
        <f ca="1"/>
        <v>0.72950819672131151</v>
      </c>
      <c r="D170" s="126">
        <f ca="1"/>
        <v>1.0009794703444508</v>
      </c>
    </row>
    <row r="171" spans="2:4">
      <c r="B171" s="120">
        <f ca="1">_xll.meDateFromYearFraction(CurveBuildDate,C171,"ACT/365_ISDA")</f>
        <v>42687</v>
      </c>
      <c r="C171" s="125">
        <f ca="1"/>
        <v>0.73224043715846987</v>
      </c>
      <c r="D171" s="126">
        <f ca="1"/>
        <v>1.0009831626845567</v>
      </c>
    </row>
    <row r="172" spans="2:4">
      <c r="B172" s="120">
        <f ca="1">_xll.meDateFromYearFraction(CurveBuildDate,C172,"ACT/365_ISDA")</f>
        <v>42688</v>
      </c>
      <c r="C172" s="125">
        <f ca="1"/>
        <v>0.73497267759562845</v>
      </c>
      <c r="D172" s="126">
        <f ca="1"/>
        <v>1.00098685724919</v>
      </c>
    </row>
    <row r="173" spans="2:4">
      <c r="B173" s="120">
        <f ca="1">_xll.meDateFromYearFraction(CurveBuildDate,C173,"ACT/365_ISDA")</f>
        <v>42689</v>
      </c>
      <c r="C173" s="125">
        <f ca="1"/>
        <v>0.73770491803278682</v>
      </c>
      <c r="D173" s="126">
        <f ca="1"/>
        <v>1.000990554445464</v>
      </c>
    </row>
    <row r="174" spans="2:4">
      <c r="B174" s="120">
        <f ca="1">_xll.meDateFromYearFraction(CurveBuildDate,C174,"ACT/365_ISDA")</f>
        <v>42690</v>
      </c>
      <c r="C174" s="125">
        <f ca="1"/>
        <v>0.7404371584699454</v>
      </c>
      <c r="D174" s="126">
        <f ca="1"/>
        <v>1.0009942476908964</v>
      </c>
    </row>
    <row r="175" spans="2:4">
      <c r="B175" s="120">
        <f ca="1">_xll.meDateFromYearFraction(CurveBuildDate,C175,"ACT/365_ISDA")</f>
        <v>42691</v>
      </c>
      <c r="C175" s="125">
        <f ca="1"/>
        <v>0.74316939890710376</v>
      </c>
      <c r="D175" s="126">
        <f ca="1"/>
        <v>1.0009979351767004</v>
      </c>
    </row>
    <row r="176" spans="2:4">
      <c r="B176" s="120">
        <f ca="1">_xll.meDateFromYearFraction(CurveBuildDate,C176,"ACT/365_ISDA")</f>
        <v>42692</v>
      </c>
      <c r="C176" s="125">
        <f ca="1"/>
        <v>0.74590163934426235</v>
      </c>
      <c r="D176" s="126">
        <f ca="1"/>
        <v>1.0010016411784608</v>
      </c>
    </row>
    <row r="177" spans="2:4">
      <c r="B177" s="120">
        <f ca="1">_xll.meDateFromYearFraction(CurveBuildDate,C177,"ACT/365_ISDA")</f>
        <v>42693</v>
      </c>
      <c r="C177" s="125">
        <f ca="1"/>
        <v>0.74863387978142071</v>
      </c>
      <c r="D177" s="126">
        <f ca="1"/>
        <v>1.001005372155882</v>
      </c>
    </row>
    <row r="178" spans="2:4">
      <c r="B178" s="120">
        <f ca="1">_xll.meDateFromYearFraction(CurveBuildDate,C178,"ACT/365_ISDA")</f>
        <v>42694</v>
      </c>
      <c r="C178" s="125">
        <f ca="1"/>
        <v>0.75136612021857929</v>
      </c>
      <c r="D178" s="126">
        <f ca="1"/>
        <v>1.0010090372207741</v>
      </c>
    </row>
    <row r="179" spans="2:4">
      <c r="B179" s="120">
        <f ca="1">_xll.meDateFromYearFraction(CurveBuildDate,C179,"ACT/365_ISDA")</f>
        <v>42695</v>
      </c>
      <c r="C179" s="125">
        <f ca="1"/>
        <v>0.75409836065573765</v>
      </c>
      <c r="D179" s="126">
        <f ca="1"/>
        <v>1.0010125781842785</v>
      </c>
    </row>
    <row r="180" spans="2:4">
      <c r="B180" s="120">
        <f ca="1">_xll.meDateFromYearFraction(CurveBuildDate,C180,"ACT/365_ISDA")</f>
        <v>42697</v>
      </c>
      <c r="C180" s="125">
        <f ca="1"/>
        <v>0.7595628415300546</v>
      </c>
      <c r="D180" s="126">
        <f ca="1"/>
        <v>1.001020024668861</v>
      </c>
    </row>
    <row r="181" spans="2:4">
      <c r="B181" s="120">
        <f ca="1">_xll.meDateFromYearFraction(CurveBuildDate,C181,"ACT/365_ISDA")</f>
        <v>42699</v>
      </c>
      <c r="C181" s="125">
        <f ca="1"/>
        <v>0.76502732240437155</v>
      </c>
      <c r="D181" s="126">
        <f ca="1"/>
        <v>1.0010287455983335</v>
      </c>
    </row>
    <row r="182" spans="2:4">
      <c r="B182" s="120">
        <f ca="1">_xll.meDateFromYearFraction(CurveBuildDate,C182,"ACT/365_ISDA")</f>
        <v>42701</v>
      </c>
      <c r="C182" s="125">
        <f ca="1"/>
        <v>0.77049180327868849</v>
      </c>
      <c r="D182" s="126">
        <f ca="1"/>
        <v>1.0010374676322569</v>
      </c>
    </row>
    <row r="183" spans="2:4">
      <c r="B183" s="120">
        <f ca="1">_xll.meDateFromYearFraction(CurveBuildDate,C183,"ACT/365_ISDA")</f>
        <v>42703</v>
      </c>
      <c r="C183" s="125">
        <f ca="1"/>
        <v>0.77595628415300544</v>
      </c>
      <c r="D183" s="126">
        <f ca="1"/>
        <v>1.0010461902795225</v>
      </c>
    </row>
    <row r="184" spans="2:4">
      <c r="B184" s="120">
        <f ca="1">_xll.meDateFromYearFraction(CurveBuildDate,C184,"ACT/365_ISDA")</f>
        <v>42705</v>
      </c>
      <c r="C184" s="125">
        <f ca="1"/>
        <v>0.78142076502732238</v>
      </c>
      <c r="D184" s="126">
        <f ca="1"/>
        <v>1.0010549130490189</v>
      </c>
    </row>
    <row r="185" spans="2:4">
      <c r="B185" s="120">
        <f ca="1">_xll.meDateFromYearFraction(CurveBuildDate,C185,"ACT/365_ISDA")</f>
        <v>42707</v>
      </c>
      <c r="C185" s="125">
        <f ca="1"/>
        <v>0.78688524590163933</v>
      </c>
      <c r="D185" s="126">
        <f ca="1"/>
        <v>1.0010636354496332</v>
      </c>
    </row>
    <row r="186" spans="2:4">
      <c r="B186" s="120">
        <f ca="1">_xll.meDateFromYearFraction(CurveBuildDate,C186,"ACT/365_ISDA")</f>
        <v>42709</v>
      </c>
      <c r="C186" s="125">
        <f ca="1"/>
        <v>0.79234972677595628</v>
      </c>
      <c r="D186" s="126">
        <f ca="1"/>
        <v>1.0010723569902491</v>
      </c>
    </row>
    <row r="187" spans="2:4">
      <c r="B187" s="120">
        <f ca="1">_xll.meDateFromYearFraction(CurveBuildDate,C187,"ACT/365_ISDA")</f>
        <v>42711</v>
      </c>
      <c r="C187" s="125">
        <f ca="1"/>
        <v>0.79781420765027322</v>
      </c>
      <c r="D187" s="126">
        <f ca="1"/>
        <v>1.0010810771797485</v>
      </c>
    </row>
    <row r="188" spans="2:4">
      <c r="B188" s="120">
        <f ca="1">_xll.meDateFromYearFraction(CurveBuildDate,C188,"ACT/365_ISDA")</f>
        <v>42713</v>
      </c>
      <c r="C188" s="125">
        <f ca="1"/>
        <v>0.80327868852459017</v>
      </c>
      <c r="D188" s="126">
        <f ca="1"/>
        <v>1.0010897955270102</v>
      </c>
    </row>
    <row r="189" spans="2:4">
      <c r="B189" s="120">
        <f ca="1">_xll.meDateFromYearFraction(CurveBuildDate,C189,"ACT/365_ISDA")</f>
        <v>42715</v>
      </c>
      <c r="C189" s="125">
        <f ca="1"/>
        <v>0.80874316939890711</v>
      </c>
      <c r="D189" s="126">
        <f ca="1"/>
        <v>1.0010985115409101</v>
      </c>
    </row>
    <row r="190" spans="2:4">
      <c r="B190" s="120">
        <f ca="1">_xll.meDateFromYearFraction(CurveBuildDate,C190,"ACT/365_ISDA")</f>
        <v>42717</v>
      </c>
      <c r="C190" s="125">
        <f ca="1"/>
        <v>0.81420765027322406</v>
      </c>
      <c r="D190" s="126">
        <f ca="1"/>
        <v>1.0011072247303219</v>
      </c>
    </row>
    <row r="191" spans="2:4">
      <c r="B191" s="120">
        <f ca="1">_xll.meDateFromYearFraction(CurveBuildDate,C191,"ACT/365_ISDA")</f>
        <v>42719</v>
      </c>
      <c r="C191" s="125">
        <f ca="1"/>
        <v>0.81967213114754101</v>
      </c>
      <c r="D191" s="126">
        <f ca="1"/>
        <v>1.001115934604117</v>
      </c>
    </row>
    <row r="192" spans="2:4">
      <c r="B192" s="120">
        <f ca="1">_xll.meDateFromYearFraction(CurveBuildDate,C192,"ACT/365_ISDA")</f>
        <v>42721</v>
      </c>
      <c r="C192" s="125">
        <f ca="1"/>
        <v>0.82513661202185795</v>
      </c>
      <c r="D192" s="126">
        <f ca="1"/>
        <v>1.0011246406711634</v>
      </c>
    </row>
    <row r="193" spans="2:4">
      <c r="B193" s="120">
        <f ca="1">_xll.meDateFromYearFraction(CurveBuildDate,C193,"ACT/365_ISDA")</f>
        <v>42723</v>
      </c>
      <c r="C193" s="125">
        <f ca="1"/>
        <v>0.8306010928961749</v>
      </c>
      <c r="D193" s="126">
        <f ca="1"/>
        <v>1.001133342440327</v>
      </c>
    </row>
    <row r="194" spans="2:4">
      <c r="B194" s="120">
        <f ca="1">_xll.meDateFromYearFraction(CurveBuildDate,C194,"ACT/365_ISDA")</f>
        <v>42725</v>
      </c>
      <c r="C194" s="125">
        <f ca="1"/>
        <v>0.83606557377049184</v>
      </c>
      <c r="D194" s="126">
        <f ca="1"/>
        <v>1.0011420394204713</v>
      </c>
    </row>
    <row r="195" spans="2:4">
      <c r="B195" s="120">
        <f ca="1">_xll.meDateFromYearFraction(CurveBuildDate,C195,"ACT/365_ISDA")</f>
        <v>42727</v>
      </c>
      <c r="C195" s="125">
        <f ca="1"/>
        <v>0.84153005464480879</v>
      </c>
      <c r="D195" s="126">
        <f ca="1"/>
        <v>1.0011513736227753</v>
      </c>
    </row>
    <row r="196" spans="2:4">
      <c r="B196" s="120">
        <f ca="1">_xll.meDateFromYearFraction(CurveBuildDate,C196,"ACT/365_ISDA")</f>
        <v>42729</v>
      </c>
      <c r="C196" s="125">
        <f ca="1"/>
        <v>0.84699453551912574</v>
      </c>
      <c r="D196" s="126">
        <f ca="1"/>
        <v>1.0011606447783616</v>
      </c>
    </row>
    <row r="197" spans="2:4">
      <c r="B197" s="120">
        <f ca="1">_xll.meDateFromYearFraction(CurveBuildDate,C197,"ACT/365_ISDA")</f>
        <v>42731</v>
      </c>
      <c r="C197" s="125">
        <f ca="1"/>
        <v>0.85245901639344268</v>
      </c>
      <c r="D197" s="126">
        <f ca="1"/>
        <v>1.0011699094383955</v>
      </c>
    </row>
    <row r="198" spans="2:4">
      <c r="B198" s="120">
        <f ca="1">_xll.meDateFromYearFraction(CurveBuildDate,C198,"ACT/365_ISDA")</f>
        <v>42733</v>
      </c>
      <c r="C198" s="125">
        <f ca="1"/>
        <v>0.85792349726775963</v>
      </c>
      <c r="D198" s="126">
        <f ca="1"/>
        <v>1.0011791671117174</v>
      </c>
    </row>
    <row r="199" spans="2:4">
      <c r="B199" s="120">
        <f ca="1">_xll.meDateFromYearFraction(CurveBuildDate,C199,"ACT/365_ISDA")</f>
        <v>42735</v>
      </c>
      <c r="C199" s="125">
        <f ca="1"/>
        <v>0.86338797814207657</v>
      </c>
      <c r="D199" s="126">
        <f ca="1"/>
        <v>1.0011884173071655</v>
      </c>
    </row>
    <row r="200" spans="2:4">
      <c r="B200" s="120">
        <f ca="1">_xll.meDateFromYearFraction(CurveBuildDate,C200,"ACT/365_ISDA")</f>
        <v>42737</v>
      </c>
      <c r="C200" s="125">
        <f ca="1"/>
        <v>0.86886743019687107</v>
      </c>
      <c r="D200" s="126">
        <f ca="1"/>
        <v>1.0011976595335741</v>
      </c>
    </row>
    <row r="201" spans="2:4">
      <c r="B201" s="120">
        <f ca="1">_xll.meDateFromYearFraction(CurveBuildDate,C201,"ACT/365_ISDA")</f>
        <v>42739</v>
      </c>
      <c r="C201" s="125">
        <f ca="1"/>
        <v>0.87434688225166557</v>
      </c>
      <c r="D201" s="126">
        <f ca="1"/>
        <v>1.0012068932997715</v>
      </c>
    </row>
    <row r="202" spans="2:4">
      <c r="B202" s="120">
        <f ca="1">_xll.meDateFromYearFraction(CurveBuildDate,C202,"ACT/365_ISDA")</f>
        <v>42741</v>
      </c>
      <c r="C202" s="125">
        <f ca="1"/>
        <v>0.87982633430646007</v>
      </c>
      <c r="D202" s="126">
        <f ca="1"/>
        <v>1.0012161181145847</v>
      </c>
    </row>
    <row r="203" spans="2:4">
      <c r="B203" s="120">
        <f ca="1">_xll.meDateFromYearFraction(CurveBuildDate,C203,"ACT/365_ISDA")</f>
        <v>42743</v>
      </c>
      <c r="C203" s="125">
        <f ca="1"/>
        <v>0.88530578636125457</v>
      </c>
      <c r="D203" s="126">
        <f ca="1"/>
        <v>1.001225333486836</v>
      </c>
    </row>
    <row r="204" spans="2:4">
      <c r="B204" s="120">
        <f ca="1">_xll.meDateFromYearFraction(CurveBuildDate,C204,"ACT/365_ISDA")</f>
        <v>42745</v>
      </c>
      <c r="C204" s="125">
        <f ca="1"/>
        <v>0.89078523841604906</v>
      </c>
      <c r="D204" s="126">
        <f ca="1"/>
        <v>1.0012345389253443</v>
      </c>
    </row>
    <row r="205" spans="2:4">
      <c r="B205" s="120">
        <f ca="1">_xll.meDateFromYearFraction(CurveBuildDate,C205,"ACT/365_ISDA")</f>
        <v>42747</v>
      </c>
      <c r="C205" s="125">
        <f ca="1"/>
        <v>0.89626469047084367</v>
      </c>
      <c r="D205" s="126">
        <f ca="1"/>
        <v>1.0012437339389242</v>
      </c>
    </row>
    <row r="206" spans="2:4">
      <c r="B206" s="120">
        <f ca="1">_xll.meDateFromYearFraction(CurveBuildDate,C206,"ACT/365_ISDA")</f>
        <v>42749</v>
      </c>
      <c r="C206" s="125">
        <f ca="1"/>
        <v>0.90174414252563817</v>
      </c>
      <c r="D206" s="126">
        <f ca="1"/>
        <v>1.0012529180363874</v>
      </c>
    </row>
    <row r="207" spans="2:4">
      <c r="B207" s="120">
        <f ca="1">_xll.meDateFromYearFraction(CurveBuildDate,C207,"ACT/365_ISDA")</f>
        <v>42751</v>
      </c>
      <c r="C207" s="125">
        <f ca="1"/>
        <v>0.90722359458043267</v>
      </c>
      <c r="D207" s="126">
        <f ca="1"/>
        <v>1.0012620907265406</v>
      </c>
    </row>
    <row r="208" spans="2:4">
      <c r="B208" s="120">
        <f ca="1">_xll.meDateFromYearFraction(CurveBuildDate,C208,"ACT/365_ISDA")</f>
        <v>42753</v>
      </c>
      <c r="C208" s="125">
        <f ca="1"/>
        <v>0.91270304663522717</v>
      </c>
      <c r="D208" s="126">
        <f ca="1"/>
        <v>1.0012712515181881</v>
      </c>
    </row>
    <row r="209" spans="2:4">
      <c r="B209" s="120">
        <f ca="1">_xll.meDateFromYearFraction(CurveBuildDate,C209,"ACT/365_ISDA")</f>
        <v>42755</v>
      </c>
      <c r="C209" s="125">
        <f ca="1"/>
        <v>0.91818249869002178</v>
      </c>
      <c r="D209" s="126">
        <f ca="1"/>
        <v>1.001280399920129</v>
      </c>
    </row>
    <row r="210" spans="2:4">
      <c r="B210" s="120">
        <f ca="1">_xll.meDateFromYearFraction(CurveBuildDate,C210,"ACT/365_ISDA")</f>
        <v>42757</v>
      </c>
      <c r="C210" s="125">
        <f ca="1"/>
        <v>0.92366195074481627</v>
      </c>
      <c r="D210" s="126">
        <f ca="1"/>
        <v>1.0012895354411604</v>
      </c>
    </row>
    <row r="211" spans="2:4">
      <c r="B211" s="120">
        <f ca="1">_xll.meDateFromYearFraction(CurveBuildDate,C211,"ACT/365_ISDA")</f>
        <v>42758</v>
      </c>
      <c r="C211" s="125">
        <f ca="1"/>
        <v>0.92640167677221352</v>
      </c>
      <c r="D211" s="126">
        <f ca="1"/>
        <v>1.0012939057790649</v>
      </c>
    </row>
    <row r="212" spans="2:4">
      <c r="B212" s="120">
        <f ca="1">_xll.meDateFromYearFraction(CurveBuildDate,C212,"ACT/365_ISDA")</f>
        <v>42760</v>
      </c>
      <c r="C212" s="125">
        <f ca="1"/>
        <v>0.93188112882700802</v>
      </c>
      <c r="D212" s="126">
        <f ca="1"/>
        <v>1.0013025264640665</v>
      </c>
    </row>
    <row r="213" spans="2:4">
      <c r="B213" s="120">
        <f ca="1">_xll.meDateFromYearFraction(CurveBuildDate,C213,"ACT/365_ISDA")</f>
        <v>42762</v>
      </c>
      <c r="C213" s="125">
        <f ca="1"/>
        <v>0.93736058088180252</v>
      </c>
      <c r="D213" s="126">
        <f ca="1"/>
        <v>1.0013114907031002</v>
      </c>
    </row>
    <row r="214" spans="2:4">
      <c r="B214" s="120">
        <f ca="1">_xll.meDateFromYearFraction(CurveBuildDate,C214,"ACT/365_ISDA")</f>
        <v>42764</v>
      </c>
      <c r="C214" s="125">
        <f ca="1"/>
        <v>0.94284003293659702</v>
      </c>
      <c r="D214" s="126">
        <f ca="1"/>
        <v>1.0013204405844094</v>
      </c>
    </row>
    <row r="215" spans="2:4">
      <c r="B215" s="120">
        <f ca="1">_xll.meDateFromYearFraction(CurveBuildDate,C215,"ACT/365_ISDA")</f>
        <v>42766</v>
      </c>
      <c r="C215" s="125">
        <f ca="1"/>
        <v>0.94831948499139163</v>
      </c>
      <c r="D215" s="126">
        <f ca="1"/>
        <v>1.00132937561678</v>
      </c>
    </row>
    <row r="216" spans="2:4">
      <c r="B216" s="120">
        <f ca="1">_xll.meDateFromYearFraction(CurveBuildDate,C216,"ACT/365_ISDA")</f>
        <v>42768</v>
      </c>
      <c r="C216" s="125">
        <f ca="1"/>
        <v>0.95379893704618612</v>
      </c>
      <c r="D216" s="126">
        <f ca="1"/>
        <v>1.0013382953089938</v>
      </c>
    </row>
    <row r="217" spans="2:4">
      <c r="B217" s="120">
        <f ca="1">_xll.meDateFromYearFraction(CurveBuildDate,C217,"ACT/365_ISDA")</f>
        <v>42770</v>
      </c>
      <c r="C217" s="125">
        <f ca="1"/>
        <v>0.95927838910098062</v>
      </c>
      <c r="D217" s="126">
        <f ca="1"/>
        <v>1.0013471991698291</v>
      </c>
    </row>
    <row r="218" spans="2:4">
      <c r="B218" s="120">
        <f ca="1">_xll.meDateFromYearFraction(CurveBuildDate,C218,"ACT/365_ISDA")</f>
        <v>42772</v>
      </c>
      <c r="C218" s="125">
        <f ca="1"/>
        <v>0.96475784115577512</v>
      </c>
      <c r="D218" s="126">
        <f ca="1"/>
        <v>1.001356086708062</v>
      </c>
    </row>
    <row r="219" spans="2:4">
      <c r="B219" s="120">
        <f ca="1">_xll.meDateFromYearFraction(CurveBuildDate,C219,"ACT/365_ISDA")</f>
        <v>42774</v>
      </c>
      <c r="C219" s="125">
        <f ca="1"/>
        <v>0.97023729321056962</v>
      </c>
      <c r="D219" s="126">
        <f ca="1"/>
        <v>1.0013649574324641</v>
      </c>
    </row>
    <row r="220" spans="2:4">
      <c r="B220" s="120">
        <f ca="1">_xll.meDateFromYearFraction(CurveBuildDate,C220,"ACT/365_ISDA")</f>
        <v>42776</v>
      </c>
      <c r="C220" s="125">
        <f ca="1"/>
        <v>0.97571674526536423</v>
      </c>
      <c r="D220" s="126">
        <f ca="1"/>
        <v>1.0013738108518033</v>
      </c>
    </row>
    <row r="221" spans="2:4">
      <c r="B221" s="120">
        <f ca="1">_xll.meDateFromYearFraction(CurveBuildDate,C221,"ACT/365_ISDA")</f>
        <v>42778</v>
      </c>
      <c r="C221" s="125">
        <f ca="1"/>
        <v>0.98119619732015873</v>
      </c>
      <c r="D221" s="126">
        <f ca="1"/>
        <v>1.001382646474845</v>
      </c>
    </row>
    <row r="222" spans="2:4">
      <c r="B222" s="120">
        <f ca="1">_xll.meDateFromYearFraction(CurveBuildDate,C222,"ACT/365_ISDA")</f>
        <v>42780</v>
      </c>
      <c r="C222" s="125">
        <f ca="1"/>
        <v>0.98667564937495322</v>
      </c>
      <c r="D222" s="126">
        <f ca="1"/>
        <v>1.0013914638103505</v>
      </c>
    </row>
    <row r="223" spans="2:4">
      <c r="B223" s="120">
        <f ca="1">_xll.meDateFromYearFraction(CurveBuildDate,C223,"ACT/365_ISDA")</f>
        <v>42782</v>
      </c>
      <c r="C223" s="125">
        <f ca="1"/>
        <v>0.99215510142974772</v>
      </c>
      <c r="D223" s="126">
        <f ca="1"/>
        <v>1.001400262367077</v>
      </c>
    </row>
    <row r="224" spans="2:4">
      <c r="B224" s="120">
        <f ca="1">_xll.meDateFromYearFraction(CurveBuildDate,C224,"ACT/365_ISDA")</f>
        <v>42784</v>
      </c>
      <c r="C224" s="125">
        <f ca="1"/>
        <v>0.99763455348454222</v>
      </c>
      <c r="D224" s="126">
        <f ca="1"/>
        <v>1.0014090416537804</v>
      </c>
    </row>
    <row r="225" spans="2:4">
      <c r="B225" s="120">
        <f ca="1">_xll.meDateFromYearFraction(CurveBuildDate,C225,"ACT/365_ISDA")</f>
        <v>42786</v>
      </c>
      <c r="C225" s="125">
        <f ca="1"/>
        <v>1.0031140055393368</v>
      </c>
      <c r="D225" s="126">
        <f ca="1"/>
        <v>1.0014178011792108</v>
      </c>
    </row>
    <row r="226" spans="2:4">
      <c r="B226" s="120">
        <f ca="1">_xll.meDateFromYearFraction(CurveBuildDate,C226,"ACT/365_ISDA")</f>
        <v>42788</v>
      </c>
      <c r="C226" s="125">
        <f ca="1"/>
        <v>1.0085934575941313</v>
      </c>
      <c r="D226" s="126">
        <f ca="1"/>
        <v>1.0014265404521157</v>
      </c>
    </row>
    <row r="227" spans="2:4">
      <c r="B227" s="122">
        <f ca="1">_xll.meDateFromYearFraction(CurveBuildDate,C227,"ACT/365_ISDA")</f>
        <v>42789</v>
      </c>
      <c r="C227" s="127">
        <f ca="1"/>
        <v>1.0113331836215285</v>
      </c>
      <c r="D227" s="128">
        <f ca="1"/>
        <v>1.0014309023403538</v>
      </c>
    </row>
  </sheetData>
  <dataValidations count="1">
    <dataValidation type="list" allowBlank="1" showInputMessage="1" showErrorMessage="1" sqref="C6">
      <formula1>"EUROIS,EUR6ML"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EUR OIS</vt:lpstr>
      <vt:lpstr>EUR SWAP 6ML</vt:lpstr>
      <vt:lpstr>Display Curve</vt:lpstr>
      <vt:lpstr>COB</vt:lpstr>
      <vt:lpstr>Curve.BuildProperties</vt:lpstr>
      <vt:lpstr>Curve.CollectionName</vt:lpstr>
      <vt:lpstr>Curve.MarketDataTable</vt:lpstr>
      <vt:lpstr>Curve.OISIndexName</vt:lpstr>
      <vt:lpstr>CurveBuildDate</vt:lpstr>
      <vt:lpstr>CurveId</vt:lpstr>
      <vt:lpstr>CurveName</vt:lpstr>
      <vt:lpstr>CurveSpotDate</vt:lpstr>
      <vt:lpstr>FRA.Conventions</vt:lpstr>
      <vt:lpstr>FRA.MarketDataX3</vt:lpstr>
      <vt:lpstr>FRA.MarketDataX6</vt:lpstr>
      <vt:lpstr>Futures.Conventions</vt:lpstr>
      <vt:lpstr>Futures.MarketData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2016-10-10T11:44:06Z</dcterms:modified>
</cp:coreProperties>
</file>