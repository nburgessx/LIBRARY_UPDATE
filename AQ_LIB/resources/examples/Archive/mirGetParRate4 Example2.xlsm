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40" yWindow="135" windowWidth="18300" windowHeight="7380" tabRatio="638" activeTab="6"/>
  </bookViews>
  <sheets>
    <sheet name="Settings" sheetId="82" r:id="rId1"/>
    <sheet name="EUR Curve Config" sheetId="55" r:id="rId2"/>
    <sheet name="USD Curve Config" sheetId="54" r:id="rId3"/>
    <sheet name="GBP Curve Config" sheetId="56" r:id="rId4"/>
    <sheet name="JPY Curve Config" sheetId="57" r:id="rId5"/>
    <sheet name="Multi-Curves" sheetId="32" r:id="rId6"/>
    <sheet name="EUR Swaps" sheetId="104" r:id="rId7"/>
    <sheet name="USD Swaps" sheetId="105" r:id="rId8"/>
    <sheet name="GBP Swaps" sheetId="106" r:id="rId9"/>
    <sheet name="JPY Swaps" sheetId="107" r:id="rId10"/>
  </sheets>
  <definedNames>
    <definedName name="BasisConv1x3" localSheetId="1">'EUR Curve Config'!$BA$9:$BB$52</definedName>
    <definedName name="BasisConv1x3" localSheetId="3">'GBP Curve Config'!$BA$9:$BB$52</definedName>
    <definedName name="BasisConv1x3" localSheetId="4">'JPY Curve Config'!$BA$9:$BB$52</definedName>
    <definedName name="BasisConv1x3">'USD Curve Config'!$BA$9:$BB$52</definedName>
    <definedName name="BasisConv3x12">'USD Curve Config'!$BG$9:$BH$52</definedName>
    <definedName name="BasisConv3x6" localSheetId="1">'EUR Curve Config'!$AU$9:$AV$52</definedName>
    <definedName name="BasisConv3x6" localSheetId="3">'GBP Curve Config'!$AU$9:$AV$52</definedName>
    <definedName name="BasisConv3x6" localSheetId="4">'JPY Curve Config'!$AU$9:$AV$52</definedName>
    <definedName name="BasisConv3x6">'USD Curve Config'!$AU$9:$AV$52</definedName>
    <definedName name="BasisConv6x12" localSheetId="1">'EUR Curve Config'!$BG$9:$BH$52</definedName>
    <definedName name="BasisConv6x12" localSheetId="3">'GBP Curve Config'!$BG$9:$BH$52</definedName>
    <definedName name="BasisConv6x12" localSheetId="4">'JPY Curve Config'!$BG$9:$BH$52</definedName>
    <definedName name="BasisConv6x12">'USD Curve Config'!$BG$9:$BH$52</definedName>
    <definedName name="BasisData1x3" localSheetId="1">'EUR Curve Config'!$BD$9:$BE$52</definedName>
    <definedName name="BasisData1x3" localSheetId="3">'GBP Curve Config'!$BD$9:$BE$52</definedName>
    <definedName name="BasisData1x3" localSheetId="4">'JPY Curve Config'!$BD$9:$BE$52</definedName>
    <definedName name="BasisData1x3">'USD Curve Config'!$BD$9:$BE$52</definedName>
    <definedName name="BasisData3x12">'USD Curve Config'!$BJ$9:$BK$52</definedName>
    <definedName name="BasisData3x6" localSheetId="1">'EUR Curve Config'!$AX$9:$AY$52</definedName>
    <definedName name="BasisData3x6" localSheetId="3">'GBP Curve Config'!$AX$9:$AY$52</definedName>
    <definedName name="BasisData3x6" localSheetId="4">'JPY Curve Config'!$AX$9:$AY$52</definedName>
    <definedName name="BasisData3x6">'USD Curve Config'!$AX$9:$AY$52</definedName>
    <definedName name="BasisData6x12" localSheetId="1">'EUR Curve Config'!$BJ$9:$BK$52</definedName>
    <definedName name="BasisData6x12" localSheetId="3">'GBP Curve Config'!$BJ$9:$BK$52</definedName>
    <definedName name="BasisData6x12" localSheetId="4">'JPY Curve Config'!$BJ$9:$BK$52</definedName>
    <definedName name="BasisData6x12">'USD Curve Config'!$BJ$9:$BK$52</definedName>
    <definedName name="BlockConstForwardFX" localSheetId="1">'EUR Curve Config'!$CE:$CP</definedName>
    <definedName name="BlockConstForwardFX" localSheetId="3">'GBP Curve Config'!$CE:$CP</definedName>
    <definedName name="BlockConstForwardFX" localSheetId="4">'JPY Curve Config'!$CE:$CP</definedName>
    <definedName name="BlockConstForwardFX" localSheetId="2">'USD Curve Config'!$BV:$CG</definedName>
    <definedName name="BlockCurveNames" localSheetId="1">'EUR Curve Config'!$B:$F</definedName>
    <definedName name="BlockCurveNames" localSheetId="3">'GBP Curve Config'!$B:$F</definedName>
    <definedName name="BlockCurveNames" localSheetId="4">'JPY Curve Config'!$B:$F</definedName>
    <definedName name="BlockCurveNames" localSheetId="2">'USD Curve Config'!$B:$F</definedName>
    <definedName name="BlockOISCurve" localSheetId="1">'EUR Curve Config'!$G:$U</definedName>
    <definedName name="BlockOISCurve" localSheetId="3">'GBP Curve Config'!$G:$U</definedName>
    <definedName name="BlockOISCurve" localSheetId="4">'JPY Curve Config'!$G:$U</definedName>
    <definedName name="BlockOISCurve" localSheetId="2">'USD Curve Config'!$G:$U</definedName>
    <definedName name="BlockSwapCurve" localSheetId="1">'EUR Curve Config'!$V:$AQ</definedName>
    <definedName name="BlockSwapCurve" localSheetId="3">'GBP Curve Config'!$V:$AQ</definedName>
    <definedName name="BlockSwapCurve" localSheetId="4">'JPY Curve Config'!$V:$AQ</definedName>
    <definedName name="BlockSwapCurve" localSheetId="2">'USD Curve Config'!$V:$AQ</definedName>
    <definedName name="BlockTenorBasis" localSheetId="1">'EUR Curve Config'!$AR:$BL</definedName>
    <definedName name="BlockTenorBasis" localSheetId="3">'GBP Curve Config'!$AR:$BL</definedName>
    <definedName name="BlockTenorBasis" localSheetId="4">'JPY Curve Config'!$AR:$BL</definedName>
    <definedName name="BlockTenorBasis" localSheetId="2">'USD Curve Config'!$AR:$BL</definedName>
    <definedName name="BlockXccyBasis" localSheetId="1">'EUR Curve Config'!$BM:$CD</definedName>
    <definedName name="BlockXccyBasis" localSheetId="3">'GBP Curve Config'!$BM:$CD</definedName>
    <definedName name="BlockXccyBasis" localSheetId="4">'JPY Curve Config'!$BM:$CD</definedName>
    <definedName name="BlockXccyBasis" localSheetId="2">'USD Curve Config'!$BM:$BU</definedName>
    <definedName name="BumpSize" localSheetId="8">Settings!#REF!</definedName>
    <definedName name="BumpSize" localSheetId="9">Settings!#REF!</definedName>
    <definedName name="BumpSize" localSheetId="7">Settings!#REF!</definedName>
    <definedName name="BumpSize">Settings!#REF!</definedName>
    <definedName name="BumpSwaps" localSheetId="8">Settings!#REF!</definedName>
    <definedName name="BumpSwaps" localSheetId="9">Settings!#REF!</definedName>
    <definedName name="BumpSwaps" localSheetId="7">Settings!#REF!</definedName>
    <definedName name="BumpSwaps">Settings!#REF!</definedName>
    <definedName name="COB">Settings!$C$2</definedName>
    <definedName name="ConstForwardFXEURCSA" localSheetId="1">'EUR Curve Config'!$CH$8:$CI$52</definedName>
    <definedName name="ConstForwardFXEURCSA" localSheetId="3">'GBP Curve Config'!$CH$8:$CI$52</definedName>
    <definedName name="ConstForwardFXEURCSA" localSheetId="4">'JPY Curve Config'!$CH$8:$CI$52</definedName>
    <definedName name="ConstForwardFXEURCSA">'USD Curve Config'!$BY$8:$BZ$52</definedName>
    <definedName name="ConstForwardFXGBPCSA" localSheetId="1">'EUR Curve Config'!$CK$8:$CL$52</definedName>
    <definedName name="ConstForwardFXGBPCSA" localSheetId="3">'GBP Curve Config'!$CK$8:$CL$52</definedName>
    <definedName name="ConstForwardFXGBPCSA" localSheetId="4">'JPY Curve Config'!$CK$8:$CL$52</definedName>
    <definedName name="ConstForwardFXGBPCSA">'USD Curve Config'!$CB$8:$CC$52</definedName>
    <definedName name="ConstForwardFXJPYCSA" localSheetId="1">'EUR Curve Config'!$CN$8:$CO$52</definedName>
    <definedName name="ConstForwardFXJPYCSA" localSheetId="3">'GBP Curve Config'!$CN$8:$CO$52</definedName>
    <definedName name="ConstForwardFXJPYCSA" localSheetId="4">'JPY Curve Config'!$CN$8:$CO$52</definedName>
    <definedName name="ConstForwardFXJPYCSA">'USD Curve Config'!$CE$8:$CF$52</definedName>
    <definedName name="ConstForwardFXProperties" localSheetId="1">'EUR Curve Config'!$CE$8:$CF$52</definedName>
    <definedName name="ConstForwardFXProperties" localSheetId="3">'GBP Curve Config'!$CE$8:$CF$52</definedName>
    <definedName name="ConstForwardFXProperties" localSheetId="4">'JPY Curve Config'!$CE$8:$CF$52</definedName>
    <definedName name="ConstForwardFXProperties">'USD Curve Config'!$BV$8:$BW$52</definedName>
    <definedName name="CurveBuildErrorCount">'Multi-Curves'!$AG$3</definedName>
    <definedName name="CurveDependencyTreeAndErrorCounts">'Multi-Curves'!$S:$AG</definedName>
    <definedName name="CurveErrorsEUR">'Multi-Curves'!$AG$15</definedName>
    <definedName name="CurveErrorsGBP">'Multi-Curves'!$AG$24</definedName>
    <definedName name="CurveErrorsJPY">'Multi-Curves'!$AG$33</definedName>
    <definedName name="CurveErrorsUSD">'Multi-Curves'!$AG$6</definedName>
    <definedName name="CurveLabels">'Multi-Curves'!$D:$D,'Multi-Curves'!$H:$H,'Multi-Curves'!$L:$L,'Multi-Curves'!$P:$P</definedName>
    <definedName name="ErrorCountEUREURCSA">'Multi-Curves'!$AC$15:$AC$21</definedName>
    <definedName name="ErrorCountEURGBPCSA">'Multi-Curves'!$AD$15:$AD$21</definedName>
    <definedName name="ErrorCountEURJPYCSA">'Multi-Curves'!$AE$15:$AE$21</definedName>
    <definedName name="ErrorCountEURUSDCSA">'Multi-Curves'!$AB$15:$AB$21</definedName>
    <definedName name="ErrorCountGBPEURCSA">'Multi-Curves'!$AC$24:$AC$30</definedName>
    <definedName name="ErrorCountGBPGBPCSA">'Multi-Curves'!$AD$24:$AD$30</definedName>
    <definedName name="ErrorCountGBPJPYCSA">'Multi-Curves'!$AE$24:$AE$30</definedName>
    <definedName name="ErrorCountGBPUSDCSA">'Multi-Curves'!$AB$24:$AB$30</definedName>
    <definedName name="ErrorCountJPYEURCSA">'Multi-Curves'!$AC$33:$AC$39</definedName>
    <definedName name="ErrorCountJPYGBPCSA">'Multi-Curves'!$AD$33:$AD$39</definedName>
    <definedName name="ErrorCountJPYJPYCSA">'Multi-Curves'!$AE$33:$AE$39</definedName>
    <definedName name="ErrorCountJPYUSDCSA">'Multi-Curves'!$AB$33:$AB$39</definedName>
    <definedName name="ErrorCountUSDEURCSA">'Multi-Curves'!$AC$6:$AC$12</definedName>
    <definedName name="ErrorCountUSDGBPCSA">'Multi-Curves'!$AD$6:$AD$12</definedName>
    <definedName name="ErrorCountUSDJPYCSA">'Multi-Curves'!$AE$6:$AE$12</definedName>
    <definedName name="ErrorCountUSDUSDCSA">'Multi-Curves'!$AB$6:$AB$12</definedName>
    <definedName name="FRAConv" localSheetId="1">'EUR Curve Config'!$AB$8:$AC$12</definedName>
    <definedName name="FRAConv" localSheetId="3">'GBP Curve Config'!$AB$8:$AC$12</definedName>
    <definedName name="FRAConv" localSheetId="4">'JPY Curve Config'!$AB$8:$AC$12</definedName>
    <definedName name="FRAConv">'USD Curve Config'!$AB$8:$AC$12</definedName>
    <definedName name="FRADatax3" localSheetId="1">'EUR Curve Config'!$AB$16:$AC$25</definedName>
    <definedName name="FRADatax3" localSheetId="3">'GBP Curve Config'!$AB$16:$AC$25</definedName>
    <definedName name="FRADatax3" localSheetId="4">'JPY Curve Config'!$AB$16:$AC$25</definedName>
    <definedName name="FRADatax3">'USD Curve Config'!$AB$16:$AC$25</definedName>
    <definedName name="FRADatax6" localSheetId="1">'EUR Curve Config'!$AB$29:$AC$52</definedName>
    <definedName name="FRADatax6" localSheetId="3">'GBP Curve Config'!$AB$29:$AC$52</definedName>
    <definedName name="FRADatax6" localSheetId="4">'JPY Curve Config'!$AB$29:$AC$52</definedName>
    <definedName name="FRADatax6">'USD Curve Config'!$AB$29:$AC$52</definedName>
    <definedName name="FuturesConv" localSheetId="1">'EUR Curve Config'!$AE$8:$AF$12</definedName>
    <definedName name="FuturesConv" localSheetId="3">'GBP Curve Config'!$AE$8:$AF$12</definedName>
    <definedName name="FuturesConv" localSheetId="4">'JPY Curve Config'!$AE$8:$AF$12</definedName>
    <definedName name="FuturesConv">'USD Curve Config'!$AE$8:$AF$12</definedName>
    <definedName name="FuturesData" localSheetId="1">'EUR Curve Config'!$AE$16:$AI$52</definedName>
    <definedName name="FuturesData" localSheetId="3">'GBP Curve Config'!$AE$16:$AI$52</definedName>
    <definedName name="FuturesData" localSheetId="4">'JPY Curve Config'!$AE$16:$AI$52</definedName>
    <definedName name="FuturesData">'USD Curve Config'!$AE$16:$AI$52</definedName>
    <definedName name="FuturesQuotes" localSheetId="1">'EUR Curve Config'!$R$17:$R$53</definedName>
    <definedName name="FuturesQuotes" localSheetId="3">'GBP Curve Config'!$R$17:$R$53</definedName>
    <definedName name="FuturesQuotes" localSheetId="4">'JPY Curve Config'!$R$17:$R$53</definedName>
    <definedName name="FuturesQuotes" localSheetId="2">'USD Curve Config'!$R$17:$R$53</definedName>
    <definedName name="FwdFXConstCurveNamesFWDFX" localSheetId="1">'EUR Curve Config'!$C$43</definedName>
    <definedName name="FwdFXConstCurveNamesFWDFX" localSheetId="3">'GBP Curve Config'!$C$43</definedName>
    <definedName name="FwdFXConstCurveNamesFWDFX" localSheetId="4">'JPY Curve Config'!$C$43</definedName>
    <definedName name="FwdFXConstCurveNamesFWDFX">'USD Curve Config'!$C$43</definedName>
    <definedName name="FwdFXConstCurveNamesXCCYandFWDFX" localSheetId="1">'EUR Curve Config'!$C$54</definedName>
    <definedName name="FwdFXConstCurveNamesXCCYandFWDFX" localSheetId="3">'GBP Curve Config'!$C$54</definedName>
    <definedName name="FwdFXConstCurveNamesXCCYandFWDFX" localSheetId="4">'JPY Curve Config'!$C$54</definedName>
    <definedName name="FwdFXConstCurveNamesXCCYandFWDFX">'USD Curve Config'!$C$54</definedName>
    <definedName name="isLoadedCurveUSD_EURCSA">'Multi-Curves'!$V$10</definedName>
    <definedName name="isLoadedCurveUSD_GBPCSA">'Multi-Curves'!$W$10</definedName>
    <definedName name="isLoadedCurveUSD_JPYCSA">'Multi-Curves'!$X$10</definedName>
    <definedName name="isLoadedCurveUSD_USDCSA">'Multi-Curves'!$U$10</definedName>
    <definedName name="isLoadedXccyEUR_EURCSA">'Multi-Curves'!$V$20</definedName>
    <definedName name="isLoadedXccyGBP_GBPCSA">'Multi-Curves'!$W$29</definedName>
    <definedName name="isLoadedXccyJPY_JPYCSA">'Multi-Curves'!$X$38</definedName>
    <definedName name="LiborConv" localSheetId="1">'EUR Curve Config'!$Y$15:$Z$25</definedName>
    <definedName name="LiborConv" localSheetId="3">'GBP Curve Config'!$Y$15:$Z$25</definedName>
    <definedName name="LiborConv" localSheetId="4">'JPY Curve Config'!$Y$15:$Z$25</definedName>
    <definedName name="LiborConv">'USD Curve Config'!$Y$15:$Z$25</definedName>
    <definedName name="LiborData" localSheetId="1">'EUR Curve Config'!$Y$29:$Z$52</definedName>
    <definedName name="LiborData" localSheetId="3">'GBP Curve Config'!$Y$29:$Z$52</definedName>
    <definedName name="LiborData" localSheetId="4">'JPY Curve Config'!$Y$29:$Z$52</definedName>
    <definedName name="LiborData">'USD Curve Config'!$Y$29:$Z$52</definedName>
    <definedName name="MoneyMarketData" localSheetId="1">'EUR Curve Config'!$Y$8:$Z$12</definedName>
    <definedName name="MoneyMarketData" localSheetId="3">'GBP Curve Config'!$Y$8:$Z$12</definedName>
    <definedName name="MoneyMarketData" localSheetId="4">'JPY Curve Config'!$Y$8:$Z$12</definedName>
    <definedName name="MoneyMarketData">'USD Curve Config'!$Y$8:$Z$12</definedName>
    <definedName name="OISConv" localSheetId="1">'EUR Curve Config'!$J$8:$K$24</definedName>
    <definedName name="OISConv" localSheetId="3">'GBP Curve Config'!$J$8:$K$24</definedName>
    <definedName name="OISConv" localSheetId="4">'JPY Curve Config'!$J$8:$K$24</definedName>
    <definedName name="OISConv">'USD Curve Config'!$J$8:$K$15</definedName>
    <definedName name="OISCurveNamesFWDFX" localSheetId="1">'EUR Curve Config'!$C$38</definedName>
    <definedName name="OISCurveNamesFWDFX" localSheetId="3">'GBP Curve Config'!$C$38</definedName>
    <definedName name="OISCurveNamesFWDFX" localSheetId="4">'JPY Curve Config'!$C$38</definedName>
    <definedName name="OISCurveNamesFWDFX">'USD Curve Config'!$C$38</definedName>
    <definedName name="OISCurveNamesNativeCSA" localSheetId="1">'EUR Curve Config'!$C$8</definedName>
    <definedName name="OISCurveNamesNativeCSA" localSheetId="3">'GBP Curve Config'!$C$8</definedName>
    <definedName name="OISCurveNamesNativeCSA" localSheetId="4">'JPY Curve Config'!$C$8</definedName>
    <definedName name="OISCurveNamesNativeCSA">'USD Curve Config'!$C$8</definedName>
    <definedName name="OISCurveNamesSTD" localSheetId="1">'EUR Curve Config'!$C$18</definedName>
    <definedName name="OISCurveNamesSTD" localSheetId="3">'GBP Curve Config'!$C$18</definedName>
    <definedName name="OISCurveNamesSTD" localSheetId="4">'JPY Curve Config'!$C$18</definedName>
    <definedName name="OISCurveNamesSTD">'USD Curve Config'!$C$18</definedName>
    <definedName name="OISCurveNamesXCCY" localSheetId="1">'EUR Curve Config'!$C$28</definedName>
    <definedName name="OISCurveNamesXCCY" localSheetId="3">'GBP Curve Config'!$C$28</definedName>
    <definedName name="OISCurveNamesXCCY" localSheetId="4">'JPY Curve Config'!$C$28</definedName>
    <definedName name="OISCurveNamesXCCY">'USD Curve Config'!$C$28</definedName>
    <definedName name="OISCurveNamesXCCYandFWDFX" localSheetId="1">'EUR Curve Config'!$C$48</definedName>
    <definedName name="OISCurveNamesXCCYandFWDFX" localSheetId="3">'GBP Curve Config'!$C$48</definedName>
    <definedName name="OISCurveNamesXCCYandFWDFX" localSheetId="4">'JPY Curve Config'!$C$48</definedName>
    <definedName name="OISCurveNamesXCCYandFWDFX">'USD Curve Config'!$C$48</definedName>
    <definedName name="OISHistoricalRates" localSheetId="1">'EUR Curve Config'!$S$9:$T$52</definedName>
    <definedName name="OISHistoricalRates" localSheetId="3">'GBP Curve Config'!$S$9:$T$52</definedName>
    <definedName name="OISHistoricalRates" localSheetId="4">'JPY Curve Config'!$S$9:$T$52</definedName>
    <definedName name="OISHistoricalRates">'USD Curve Config'!$S$9:$T$52</definedName>
    <definedName name="OISRates" localSheetId="1">'EUR Curve Config'!$M$9:$Q$52</definedName>
    <definedName name="OISRates" localSheetId="3">'GBP Curve Config'!$M$9:$Q$52</definedName>
    <definedName name="OISRates" localSheetId="4">'JPY Curve Config'!$M$9:$Q$52</definedName>
    <definedName name="OISRates">'USD Curve Config'!$M$9:$Q$52</definedName>
    <definedName name="PriceTolerance" localSheetId="8">Settings!#REF!</definedName>
    <definedName name="PriceTolerance" localSheetId="9">Settings!#REF!</definedName>
    <definedName name="PriceTolerance" localSheetId="7">Settings!#REF!</definedName>
    <definedName name="PriceTolerance">Settings!#REF!</definedName>
    <definedName name="_xlnm.Print_Area" localSheetId="5">'Multi-Curves'!$A$1:$S$22</definedName>
    <definedName name="Result">#REF!</definedName>
    <definedName name="SnapshotTolerance" localSheetId="8">Settings!#REF!</definedName>
    <definedName name="SnapshotTolerance" localSheetId="9">Settings!#REF!</definedName>
    <definedName name="SnapshotTolerance" localSheetId="7">Settings!#REF!</definedName>
    <definedName name="SnapshotTolerance">Settings!#REF!</definedName>
    <definedName name="SwapCurveNameDF2" localSheetId="1">'EUR Curve Config'!$C$20</definedName>
    <definedName name="SwapCurveNameDF2" localSheetId="3">'GBP Curve Config'!$C$20</definedName>
    <definedName name="SwapCurveNameDF2" localSheetId="4">'JPY Curve Config'!$C$20</definedName>
    <definedName name="SwapCurveNameDF2">'USD Curve Config'!$C$20</definedName>
    <definedName name="SwapCurveNamesFWDFX" localSheetId="1">'EUR Curve Config'!$C$39</definedName>
    <definedName name="SwapCurveNamesFWDFX" localSheetId="3">'GBP Curve Config'!$C$39</definedName>
    <definedName name="SwapCurveNamesFWDFX" localSheetId="4">'JPY Curve Config'!$C$39</definedName>
    <definedName name="SwapCurveNamesFWDFX">'USD Curve Config'!$C$39</definedName>
    <definedName name="SwapCurveNamesNativeCSA" localSheetId="1">'EUR Curve Config'!$C$9</definedName>
    <definedName name="SwapCurveNamesNativeCSA" localSheetId="3">'GBP Curve Config'!$C$9</definedName>
    <definedName name="SwapCurveNamesNativeCSA" localSheetId="4">'JPY Curve Config'!$C$9</definedName>
    <definedName name="SwapCurveNamesNativeCSA">'USD Curve Config'!$C$9</definedName>
    <definedName name="SwapCurveNamesSTD" localSheetId="1">'EUR Curve Config'!$C$19</definedName>
    <definedName name="SwapCurveNamesSTD" localSheetId="3">'GBP Curve Config'!$C$19</definedName>
    <definedName name="SwapCurveNamesSTD" localSheetId="4">'JPY Curve Config'!$C$19</definedName>
    <definedName name="SwapCurveNamesSTD">'USD Curve Config'!$C$19</definedName>
    <definedName name="SwapCurveNamesXCCY" localSheetId="1">'EUR Curve Config'!$C$29</definedName>
    <definedName name="SwapCurveNamesXCCY" localSheetId="3">'GBP Curve Config'!$C$29</definedName>
    <definedName name="SwapCurveNamesXCCY" localSheetId="4">'JPY Curve Config'!$C$29</definedName>
    <definedName name="SwapCurveNamesXCCY">'USD Curve Config'!$C$29</definedName>
    <definedName name="SwapCurveNamesXCCYandFWDFX" localSheetId="1">'EUR Curve Config'!$C$49</definedName>
    <definedName name="SwapCurveNamesXCCYandFWDFX" localSheetId="3">'GBP Curve Config'!$C$49</definedName>
    <definedName name="SwapCurveNamesXCCYandFWDFX" localSheetId="4">'JPY Curve Config'!$C$49</definedName>
    <definedName name="SwapCurveNamesXCCYandFWDFX">'USD Curve Config'!$C$49</definedName>
    <definedName name="SwapsConv" localSheetId="1">'EUR Curve Config'!$AK$8:$AL$52</definedName>
    <definedName name="SwapsConv" localSheetId="3">'GBP Curve Config'!$AK$8:$AL$52</definedName>
    <definedName name="SwapsConv" localSheetId="4">'JPY Curve Config'!$AK$8:$AL$52</definedName>
    <definedName name="SwapsConv">'USD Curve Config'!$AK$8:$AL$52</definedName>
    <definedName name="SwapsData" localSheetId="1">'EUR Curve Config'!$AN$9:$AP$52</definedName>
    <definedName name="SwapsData" localSheetId="3">'GBP Curve Config'!$AN$9:$AP$52</definedName>
    <definedName name="SwapsData" localSheetId="4">'JPY Curve Config'!$AN$9:$AP$52</definedName>
    <definedName name="SwapsData">'USD Curve Config'!$AN$9:$AP$52</definedName>
    <definedName name="TenorBasis1x3CurveNamesFWDFX" localSheetId="1">'EUR Curve Config'!$C$41</definedName>
    <definedName name="TenorBasis1x3CurveNamesFWDFX">'USD Curve Config'!$C$41</definedName>
    <definedName name="TenorBasis1x3CurveNamesNativeCSA" localSheetId="1">'EUR Curve Config'!$C$11</definedName>
    <definedName name="TenorBasis1x3CurveNamesNativeCSA">'USD Curve Config'!$C$11</definedName>
    <definedName name="TenorBasis1x3CurveNamesSTD" localSheetId="1">'EUR Curve Config'!$C$22</definedName>
    <definedName name="TenorBasis1x3CurveNamesSTD">'USD Curve Config'!$C$22</definedName>
    <definedName name="TenorBasis1x3CurveNamesXCCY" localSheetId="1">'EUR Curve Config'!$C$31</definedName>
    <definedName name="TenorBasis1x3CurveNamesXCCY">'USD Curve Config'!$C$31</definedName>
    <definedName name="TenorBasis1x3CurveNamesXCCYandFWDFX" localSheetId="1">'EUR Curve Config'!$C$51</definedName>
    <definedName name="TenorBasis1x3CurveNamesXCCYandFWDFX">'USD Curve Config'!$C$51</definedName>
    <definedName name="TenorBasis1x6CurveNamesFWDFX" localSheetId="3">'GBP Curve Config'!$C$41</definedName>
    <definedName name="TenorBasis1x6CurveNamesFWDFX" localSheetId="4">'JPY Curve Config'!$C$41</definedName>
    <definedName name="TenorBasis1x6CurveNamesNativeCSA" localSheetId="3">'GBP Curve Config'!$C$11</definedName>
    <definedName name="TenorBasis1x6CurveNamesNativeCSA" localSheetId="4">'JPY Curve Config'!$C$11</definedName>
    <definedName name="TenorBasis1x6CurveNamesSTD" localSheetId="3">'GBP Curve Config'!$C$22</definedName>
    <definedName name="TenorBasis1x6CurveNamesSTD" localSheetId="4">'JPY Curve Config'!$C$22</definedName>
    <definedName name="TenorBasis1x6CurveNamesXCCY" localSheetId="3">'GBP Curve Config'!$C$31</definedName>
    <definedName name="TenorBasis1x6CurveNamesXCCY" localSheetId="4">'JPY Curve Config'!$C$31</definedName>
    <definedName name="TenorBasis1x6CurveNamesXCCYandFWDFX" localSheetId="3">'GBP Curve Config'!$C$51</definedName>
    <definedName name="TenorBasis1x6CurveNamesXCCYandFWDFX" localSheetId="4">'JPY Curve Config'!$C$51</definedName>
    <definedName name="TenorBasis3x12CurveNamesFWDFX">'USD Curve Config'!$C$42</definedName>
    <definedName name="TenorBasis3x12CurveNamesNativeCSA">'USD Curve Config'!$C$12</definedName>
    <definedName name="TenorBasis3x12CurveNamesSTD">'USD Curve Config'!$C$23</definedName>
    <definedName name="TenorBasis3x12CurveNamesXCCY">'USD Curve Config'!$C$32</definedName>
    <definedName name="TenorBasis3x12CurveNamesXCCYandFWDFX">'USD Curve Config'!$C$52</definedName>
    <definedName name="TenorBasis3x6CurveNamesFWDFX" localSheetId="1">'EUR Curve Config'!$C$40</definedName>
    <definedName name="TenorBasis3x6CurveNamesFWDFX" localSheetId="3">'GBP Curve Config'!$C$40</definedName>
    <definedName name="TenorBasis3x6CurveNamesFWDFX" localSheetId="4">'JPY Curve Config'!$C$40</definedName>
    <definedName name="TenorBasis3x6CurveNamesFWDFX">'USD Curve Config'!$C$40</definedName>
    <definedName name="TenorBasis3x6CurveNamesNativeCSA" localSheetId="1">'EUR Curve Config'!$C$10</definedName>
    <definedName name="TenorBasis3x6CurveNamesNativeCSA" localSheetId="3">'GBP Curve Config'!$C$10</definedName>
    <definedName name="TenorBasis3x6CurveNamesNativeCSA" localSheetId="4">'JPY Curve Config'!$C$10</definedName>
    <definedName name="TenorBasis3x6CurveNamesNativeCSA">'USD Curve Config'!$C$10</definedName>
    <definedName name="TenorBasis3x6CurveNamesSTD" localSheetId="1">'EUR Curve Config'!$C$21</definedName>
    <definedName name="TenorBasis3x6CurveNamesSTD" localSheetId="3">'GBP Curve Config'!$C$21</definedName>
    <definedName name="TenorBasis3x6CurveNamesSTD" localSheetId="4">'JPY Curve Config'!$C$21</definedName>
    <definedName name="TenorBasis3x6CurveNamesSTD">'USD Curve Config'!$C$21</definedName>
    <definedName name="TenorBasis3x6CurveNamesXCCY" localSheetId="1">'EUR Curve Config'!$C$30</definedName>
    <definedName name="TenorBasis3x6CurveNamesXCCY" localSheetId="3">'GBP Curve Config'!$C$30</definedName>
    <definedName name="TenorBasis3x6CurveNamesXCCY" localSheetId="4">'JPY Curve Config'!$C$30</definedName>
    <definedName name="TenorBasis3x6CurveNamesXCCY">'USD Curve Config'!$C$30</definedName>
    <definedName name="TenorBasis3x6CurveNamesXCCYandFWDFX" localSheetId="1">'EUR Curve Config'!$C$50</definedName>
    <definedName name="TenorBasis3x6CurveNamesXCCYandFWDFX" localSheetId="3">'GBP Curve Config'!$C$50</definedName>
    <definedName name="TenorBasis3x6CurveNamesXCCYandFWDFX" localSheetId="4">'JPY Curve Config'!$C$50</definedName>
    <definedName name="TenorBasis3x6CurveNamesXCCYandFWDFX">'USD Curve Config'!$C$50</definedName>
    <definedName name="TenorBasis6x12CurveNamesFWDFX" localSheetId="1">'EUR Curve Config'!$C$42</definedName>
    <definedName name="TenorBasis6x12CurveNamesFWDFX" localSheetId="3">'GBP Curve Config'!$C$42</definedName>
    <definedName name="TenorBasis6x12CurveNamesFWDFX" localSheetId="4">'JPY Curve Config'!$C$42</definedName>
    <definedName name="TenorBasis6x12CurveNamesNativeCSA" localSheetId="1">'EUR Curve Config'!$C$12</definedName>
    <definedName name="TenorBasis6x12CurveNamesNativeCSA" localSheetId="3">'GBP Curve Config'!$C$12</definedName>
    <definedName name="TenorBasis6x12CurveNamesNativeCSA" localSheetId="4">'JPY Curve Config'!$C$12</definedName>
    <definedName name="TenorBasis6x12CurveNamesSTD" localSheetId="1">'EUR Curve Config'!$C$23</definedName>
    <definedName name="TenorBasis6x12CurveNamesSTD" localSheetId="3">'GBP Curve Config'!$C$23</definedName>
    <definedName name="TenorBasis6x12CurveNamesSTD" localSheetId="4">'JPY Curve Config'!$C$23</definedName>
    <definedName name="TenorBasis6x12CurveNamesXCCY" localSheetId="1">'EUR Curve Config'!$C$32</definedName>
    <definedName name="TenorBasis6x12CurveNamesXCCY" localSheetId="3">'GBP Curve Config'!$C$32</definedName>
    <definedName name="TenorBasis6x12CurveNamesXCCY" localSheetId="4">'JPY Curve Config'!$C$32</definedName>
    <definedName name="TenorBasis6x12CurveNamesXCCY">'USD Curve Config'!$C$32</definedName>
    <definedName name="TenorBasis6x12CurveNamesXCCYandFWDFX" localSheetId="1">'EUR Curve Config'!$C$52</definedName>
    <definedName name="TenorBasis6x12CurveNamesXCCYandFWDFX" localSheetId="3">'GBP Curve Config'!$C$52</definedName>
    <definedName name="TenorBasis6x12CurveNamesXCCYandFWDFX" localSheetId="4">'JPY Curve Config'!$C$52</definedName>
    <definedName name="TenorBasis6x12CurveNamesXCCYandFWDFX">'USD Curve Config'!$C$52</definedName>
    <definedName name="ToleranceVersusMarket" localSheetId="8">Settings!#REF!</definedName>
    <definedName name="ToleranceVersusMarket" localSheetId="9">Settings!#REF!</definedName>
    <definedName name="ToleranceVersusMarket" localSheetId="7">Settings!#REF!</definedName>
    <definedName name="ToleranceVersusMarket">Settings!#REF!</definedName>
    <definedName name="XccyBasisConv">'USD Curve Config'!$BP$9:$BQ$52</definedName>
    <definedName name="XccyBasisConvEURCSA" localSheetId="1">'EUR Curve Config'!$BS$9:$BT$52</definedName>
    <definedName name="XccyBasisConvEURCSA" localSheetId="3">'GBP Curve Config'!$BS$9:$BT$52</definedName>
    <definedName name="XccyBasisConvEURCSA" localSheetId="4">'JPY Curve Config'!$BS$9:$BT$52</definedName>
    <definedName name="XccyBasisConvEURCSA">'USD Curve Config'!$BS$9:$BT$52</definedName>
    <definedName name="XccyBasisConvGBPCSA" localSheetId="1">'EUR Curve Config'!$BV$9:$BW$52</definedName>
    <definedName name="XccyBasisConvGBPCSA" localSheetId="3">'GBP Curve Config'!$BV$9:$BW$52</definedName>
    <definedName name="XccyBasisConvGBPCSA" localSheetId="4">'JPY Curve Config'!$BV$9:$BW$52</definedName>
    <definedName name="XccyBasisConvGBPCSA">'USD Curve Config'!$BV$9:$BW$52</definedName>
    <definedName name="XccyBasisConvJPYCSA" localSheetId="1">'EUR Curve Config'!$BY$9:$BZ$52</definedName>
    <definedName name="XccyBasisConvJPYCSA" localSheetId="3">'GBP Curve Config'!$BY$9:$BZ$52</definedName>
    <definedName name="XccyBasisConvJPYCSA" localSheetId="4">'JPY Curve Config'!$BY$9:$BZ$52</definedName>
    <definedName name="XccyBasisConvJPYCSA">'USD Curve Config'!$BY$9:$BZ$52</definedName>
    <definedName name="XccyBasisConvUSDCSA" localSheetId="1">'EUR Curve Config'!$BP$9:$BQ$52</definedName>
    <definedName name="XccyBasisConvUSDCSA" localSheetId="3">'GBP Curve Config'!$BP$9:$BQ$52</definedName>
    <definedName name="XccyBasisConvUSDCSA" localSheetId="4">'JPY Curve Config'!$BP$9:$BQ$52</definedName>
    <definedName name="XccyBasisConvUSDCSA">'USD Curve Config'!$BP$9:$BQ$52</definedName>
    <definedName name="XccyBasisCurveNamesNativeCSA" localSheetId="1">'EUR Curve Config'!$C$13</definedName>
    <definedName name="XccyBasisCurveNamesNativeCSA" localSheetId="3">'GBP Curve Config'!$C$13</definedName>
    <definedName name="XccyBasisCurveNamesNativeCSA" localSheetId="4">'JPY Curve Config'!$C$13</definedName>
    <definedName name="XccyBasisCurveNamesNativeCSA">'USD Curve Config'!$C$13</definedName>
    <definedName name="XccyBasisCurveNamesXCCY" localSheetId="1">'EUR Curve Config'!$C$33</definedName>
    <definedName name="XccyBasisCurveNamesXCCY" localSheetId="3">'GBP Curve Config'!$C$33</definedName>
    <definedName name="XccyBasisCurveNamesXCCY" localSheetId="4">'JPY Curve Config'!$C$33</definedName>
    <definedName name="XccyBasisCurveNamesXCCY">'USD Curve Config'!$C$33</definedName>
    <definedName name="XccyBasisCurveNamesXCCYandFWDFX" localSheetId="1">'EUR Curve Config'!$C$53</definedName>
    <definedName name="XccyBasisCurveNamesXCCYandFWDFX" localSheetId="3">'GBP Curve Config'!$C$53</definedName>
    <definedName name="XccyBasisCurveNamesXCCYandFWDFX" localSheetId="4">'JPY Curve Config'!$C$53</definedName>
    <definedName name="XccyBasisCurveNamesXCCYandFWDFX">'USD Curve Config'!$C$53</definedName>
    <definedName name="XccyBasisData" localSheetId="1">'EUR Curve Config'!$CB$9:$CC$52</definedName>
    <definedName name="XccyBasisData" localSheetId="3">'GBP Curve Config'!$CB$9:$CC$52</definedName>
    <definedName name="XccyBasisData" localSheetId="4">'JPY Curve Config'!$CB$9:$CC$52</definedName>
    <definedName name="XccyBasisData">'USD Curve Config'!$BS$9:$BT$52</definedName>
    <definedName name="XccyBasisProperties" localSheetId="1">'EUR Curve Config'!$BM$8:$BN$52</definedName>
    <definedName name="XccyBasisProperties" localSheetId="3">'GBP Curve Config'!$BM$8:$BN$52</definedName>
    <definedName name="XccyBasisProperties" localSheetId="4">'JPY Curve Config'!$BM$8:$BN$52</definedName>
    <definedName name="XccyBasisProperties">'USD Curve Config'!$BM$8:$BN$52</definedName>
    <definedName name="YieldCurvePropertiesOIS" localSheetId="1">'EUR Curve Config'!$G$8:$H$24</definedName>
    <definedName name="YieldCurvePropertiesOIS" localSheetId="3">'GBP Curve Config'!$G$8:$H$25</definedName>
    <definedName name="YieldCurvePropertiesOIS" localSheetId="4">'JPY Curve Config'!$G$8:$H$24</definedName>
    <definedName name="YieldCurvePropertiesOIS">'USD Curve Config'!$G$8:$H$24</definedName>
    <definedName name="YieldCurvePropertiesSTD" localSheetId="1">'EUR Curve Config'!$V$8:$W$52</definedName>
    <definedName name="YieldCurvePropertiesSTD" localSheetId="3">'GBP Curve Config'!$V$8:$W$52</definedName>
    <definedName name="YieldCurvePropertiesSTD" localSheetId="4">'JPY Curve Config'!$V$8:$W$52</definedName>
    <definedName name="YieldCurvePropertiesSTD">'USD Curve Config'!$V$8:$W$52</definedName>
    <definedName name="YieldCurvePropertiesTenorBasis" localSheetId="1">'EUR Curve Config'!$AR$8:$AS$52</definedName>
    <definedName name="YieldCurvePropertiesTenorBasis" localSheetId="3">'GBP Curve Config'!$AR$8:$AS$52</definedName>
    <definedName name="YieldCurvePropertiesTenorBasis" localSheetId="4">'JPY Curve Config'!$AR$8:$AS$52</definedName>
    <definedName name="YieldCurvePropertiesTenorBasis">'USD Curve Config'!$AR$8:$AS$52</definedName>
    <definedName name="YieldCurvePropertiesXccyBasis" localSheetId="1">'EUR Curve Config'!$BM$8:$BN$52</definedName>
    <definedName name="YieldCurvePropertiesXccyBasis" localSheetId="3">'GBP Curve Config'!$BM$8:$BN$52</definedName>
    <definedName name="YieldCurvePropertiesXccyBasis" localSheetId="4">'JPY Curve Config'!$BM$8:$BN$52</definedName>
    <definedName name="YieldCurvePropertiesXccyBasis">'USD Curve Config'!$BM$8:$BN$52</definedName>
  </definedNames>
  <calcPr calcId="145621" calcMode="manual" calcCompleted="0" calcOnSave="0"/>
</workbook>
</file>

<file path=xl/calcChain.xml><?xml version="1.0" encoding="utf-8"?>
<calcChain xmlns="http://schemas.openxmlformats.org/spreadsheetml/2006/main">
  <c r="D17" i="104" l="1"/>
  <c r="C5" i="104"/>
  <c r="C28" i="104"/>
  <c r="C8" i="104" l="1"/>
  <c r="H17" i="104"/>
  <c r="M23" i="32"/>
  <c r="L29" i="32"/>
  <c r="Q9" i="54"/>
  <c r="Q10" i="54"/>
  <c r="Q11" i="54"/>
  <c r="Q12" i="54"/>
  <c r="Q13" i="54"/>
  <c r="Q14" i="54"/>
  <c r="Q15" i="54"/>
  <c r="Q16" i="54"/>
  <c r="Q17" i="54"/>
  <c r="Q18" i="54"/>
  <c r="Q19" i="54"/>
  <c r="Q20" i="54"/>
  <c r="Q21" i="54"/>
  <c r="Q22" i="54"/>
  <c r="Q23" i="54"/>
  <c r="Q24" i="54"/>
  <c r="Q25" i="54"/>
  <c r="Q26" i="54"/>
  <c r="Q27" i="54"/>
  <c r="Q28" i="54"/>
  <c r="Q29" i="54"/>
  <c r="Q30" i="54"/>
  <c r="Q31" i="54"/>
  <c r="Q32" i="54"/>
  <c r="Q33" i="54"/>
  <c r="Q34" i="54"/>
  <c r="Q35" i="54"/>
  <c r="Q36" i="54"/>
  <c r="Q37" i="54"/>
  <c r="Q38" i="54"/>
  <c r="Q39" i="54"/>
  <c r="Q40" i="54"/>
  <c r="Q41" i="54"/>
  <c r="Q42" i="54"/>
  <c r="Q43" i="54"/>
  <c r="Q44" i="54"/>
  <c r="Q45" i="54"/>
  <c r="Q46" i="54"/>
  <c r="Q47" i="54"/>
  <c r="Q48" i="54"/>
  <c r="Q49" i="54"/>
  <c r="Q50" i="54"/>
  <c r="Q51" i="54"/>
  <c r="Q52" i="54"/>
  <c r="AP9" i="54"/>
  <c r="AP10" i="54"/>
  <c r="AP11" i="54"/>
  <c r="AP12" i="54"/>
  <c r="AP13" i="54"/>
  <c r="AP14" i="54"/>
  <c r="AP15" i="54"/>
  <c r="AP16" i="54"/>
  <c r="AP17" i="54"/>
  <c r="AP18" i="54"/>
  <c r="AP19" i="54"/>
  <c r="AP20" i="54"/>
  <c r="AP21" i="54"/>
  <c r="AP22" i="54"/>
  <c r="AP23" i="54"/>
  <c r="AP24" i="54"/>
  <c r="AP25" i="54"/>
  <c r="AP26" i="54"/>
  <c r="AP27" i="54"/>
  <c r="AP28" i="54"/>
  <c r="AP29" i="54"/>
  <c r="AP30" i="54"/>
  <c r="AP31" i="54"/>
  <c r="AP32" i="54"/>
  <c r="AP33" i="54"/>
  <c r="AP34" i="54"/>
  <c r="AP35" i="54"/>
  <c r="AP36" i="54"/>
  <c r="AP37" i="54"/>
  <c r="AP38" i="54"/>
  <c r="AP39" i="54"/>
  <c r="AP40" i="54"/>
  <c r="AP41" i="54"/>
  <c r="AP42" i="54"/>
  <c r="AP43" i="54"/>
  <c r="AP44" i="54"/>
  <c r="AP45" i="54"/>
  <c r="AP46" i="54"/>
  <c r="AP47" i="54"/>
  <c r="AP48" i="54"/>
  <c r="AP49" i="54"/>
  <c r="AP50" i="54"/>
  <c r="AP51" i="54"/>
  <c r="AP52" i="54"/>
  <c r="L30" i="32"/>
  <c r="U11" i="32"/>
  <c r="V11" i="32"/>
  <c r="W11" i="32"/>
  <c r="X11" i="32"/>
  <c r="U12" i="32"/>
  <c r="U21" i="32"/>
  <c r="V21" i="32"/>
  <c r="U30" i="32"/>
  <c r="W30" i="32"/>
  <c r="U37" i="32"/>
  <c r="V37" i="32"/>
  <c r="W37" i="32"/>
  <c r="X37" i="32"/>
  <c r="U39" i="32"/>
  <c r="X39" i="32"/>
  <c r="H11" i="32"/>
  <c r="L11" i="32"/>
  <c r="P11" i="32"/>
  <c r="D12" i="32"/>
  <c r="H12" i="32"/>
  <c r="L12" i="32"/>
  <c r="P12" i="32"/>
  <c r="D20" i="32"/>
  <c r="H20" i="32"/>
  <c r="L20" i="32"/>
  <c r="P20" i="32"/>
  <c r="D21" i="32"/>
  <c r="H21" i="32"/>
  <c r="L21" i="32"/>
  <c r="P21" i="32"/>
  <c r="E23" i="32"/>
  <c r="I23" i="32"/>
  <c r="Q23" i="32"/>
  <c r="D29" i="32"/>
  <c r="H29" i="32"/>
  <c r="P29" i="32"/>
  <c r="D30" i="32"/>
  <c r="H30" i="32"/>
  <c r="P30" i="32"/>
  <c r="D38" i="32"/>
  <c r="H38" i="32"/>
  <c r="L38" i="32"/>
  <c r="P38" i="32"/>
  <c r="D39" i="32"/>
  <c r="H39" i="32"/>
  <c r="L39" i="32"/>
  <c r="P39" i="32"/>
  <c r="G5" i="107"/>
  <c r="G5" i="104"/>
  <c r="G5" i="106"/>
  <c r="G5" i="105"/>
  <c r="C5" i="106"/>
  <c r="C5" i="107"/>
  <c r="C5" i="105"/>
  <c r="E33" i="32"/>
  <c r="Q24" i="32"/>
  <c r="I6" i="32"/>
  <c r="M15" i="32"/>
  <c r="I24" i="32"/>
  <c r="Q33" i="32"/>
  <c r="M6" i="32"/>
  <c r="Q15" i="32"/>
  <c r="E15" i="32"/>
  <c r="I33" i="32"/>
  <c r="M24" i="32"/>
  <c r="E6" i="32"/>
  <c r="Q6" i="32"/>
  <c r="E24" i="32"/>
  <c r="M33" i="32"/>
  <c r="I15" i="32"/>
  <c r="H15" i="107" l="1"/>
  <c r="G15" i="107"/>
  <c r="C15" i="107"/>
  <c r="D15" i="107"/>
  <c r="D15" i="106"/>
  <c r="C15" i="106"/>
  <c r="H15" i="106"/>
  <c r="G15" i="106"/>
  <c r="C15" i="105"/>
  <c r="D15" i="105"/>
  <c r="H15" i="105"/>
  <c r="G15" i="105"/>
  <c r="X24" i="32"/>
  <c r="V15" i="32"/>
  <c r="U24" i="32"/>
  <c r="W6" i="32"/>
  <c r="X33" i="32"/>
  <c r="V24" i="32"/>
  <c r="W15" i="32"/>
  <c r="V6" i="32"/>
  <c r="U33" i="32"/>
  <c r="W33" i="32"/>
  <c r="X6" i="32"/>
  <c r="U6" i="32"/>
  <c r="W24" i="32"/>
  <c r="U15" i="32"/>
  <c r="V33" i="32"/>
  <c r="X15" i="32"/>
  <c r="H15" i="104"/>
  <c r="G15" i="104"/>
  <c r="H28" i="107"/>
  <c r="G28" i="104"/>
  <c r="H28" i="105"/>
  <c r="C28" i="106"/>
  <c r="G28" i="106"/>
  <c r="C28" i="107"/>
  <c r="H28" i="104"/>
  <c r="G28" i="105"/>
  <c r="D28" i="104"/>
  <c r="H28" i="106"/>
  <c r="G28" i="107"/>
  <c r="C28" i="105"/>
  <c r="C8" i="105" l="1"/>
  <c r="C8" i="106"/>
  <c r="C8" i="107"/>
  <c r="AC24" i="32"/>
  <c r="AE33" i="32"/>
  <c r="AD6" i="32"/>
  <c r="AB24" i="32"/>
  <c r="AE15" i="32"/>
  <c r="AC6" i="32"/>
  <c r="AC33" i="32"/>
  <c r="AD15" i="32"/>
  <c r="AB15" i="32"/>
  <c r="AD24" i="32"/>
  <c r="AB6" i="32"/>
  <c r="AE6" i="32"/>
  <c r="AD33" i="32"/>
  <c r="AC15" i="32"/>
  <c r="AB33" i="32"/>
  <c r="AE24" i="32"/>
  <c r="Q25" i="32"/>
  <c r="M7" i="32"/>
  <c r="M16" i="32"/>
  <c r="E34" i="32"/>
  <c r="Q16" i="32"/>
  <c r="I7" i="32"/>
  <c r="I25" i="32"/>
  <c r="E16" i="32"/>
  <c r="Q7" i="32"/>
  <c r="I16" i="32"/>
  <c r="E25" i="32"/>
  <c r="E7" i="32"/>
  <c r="M25" i="32"/>
  <c r="I34" i="32"/>
  <c r="M34" i="32"/>
  <c r="Q34" i="32"/>
  <c r="D28" i="105"/>
  <c r="D28" i="107"/>
  <c r="D28" i="106"/>
  <c r="V34" i="32" l="1"/>
  <c r="W25" i="32"/>
  <c r="X25" i="32"/>
  <c r="U25" i="32"/>
  <c r="X7" i="32"/>
  <c r="W16" i="32"/>
  <c r="X34" i="32"/>
  <c r="W7" i="32"/>
  <c r="V7" i="32"/>
  <c r="U34" i="32"/>
  <c r="U7" i="32"/>
  <c r="V16" i="32"/>
  <c r="U16" i="32"/>
  <c r="X16" i="32"/>
  <c r="V25" i="32"/>
  <c r="W34" i="32"/>
  <c r="AC25" i="32" l="1"/>
  <c r="AE16" i="32"/>
  <c r="AD16" i="32"/>
  <c r="AE7" i="32"/>
  <c r="AC16" i="32"/>
  <c r="AB7" i="32"/>
  <c r="AE25" i="32"/>
  <c r="AB34" i="32"/>
  <c r="AD25" i="32"/>
  <c r="AC7" i="32"/>
  <c r="AC34" i="32"/>
  <c r="AD34" i="32"/>
  <c r="AD7" i="32"/>
  <c r="AE34" i="32"/>
  <c r="AB25" i="32"/>
  <c r="AB16" i="32"/>
  <c r="M26" i="32"/>
  <c r="I26" i="32"/>
  <c r="E26" i="32"/>
  <c r="M17" i="32"/>
  <c r="E35" i="32"/>
  <c r="Q8" i="32"/>
  <c r="I17" i="32"/>
  <c r="Q26" i="32"/>
  <c r="M8" i="32"/>
  <c r="Q17" i="32"/>
  <c r="E8" i="32"/>
  <c r="I8" i="32"/>
  <c r="M35" i="32"/>
  <c r="Q35" i="32"/>
  <c r="E17" i="32"/>
  <c r="I35" i="32"/>
  <c r="U17" i="32" l="1"/>
  <c r="W35" i="32"/>
  <c r="X8" i="32"/>
  <c r="U35" i="32"/>
  <c r="W17" i="32"/>
  <c r="X26" i="32"/>
  <c r="U26" i="32"/>
  <c r="V35" i="32"/>
  <c r="X35" i="32"/>
  <c r="V8" i="32"/>
  <c r="U8" i="32"/>
  <c r="X17" i="32"/>
  <c r="W8" i="32"/>
  <c r="V17" i="32"/>
  <c r="V26" i="32"/>
  <c r="W26" i="32"/>
  <c r="AD8" i="32" l="1"/>
  <c r="AB8" i="32"/>
  <c r="AE8" i="32"/>
  <c r="AD26" i="32"/>
  <c r="AC35" i="32"/>
  <c r="AC26" i="32"/>
  <c r="AB26" i="32"/>
  <c r="AE26" i="32"/>
  <c r="AE17" i="32"/>
  <c r="AC8" i="32"/>
  <c r="AD35" i="32"/>
  <c r="AC17" i="32"/>
  <c r="AD17" i="32"/>
  <c r="AB35" i="32"/>
  <c r="AE35" i="32"/>
  <c r="AB17" i="32"/>
  <c r="I27" i="32"/>
  <c r="M36" i="32"/>
  <c r="M18" i="32"/>
  <c r="E27" i="32"/>
  <c r="M9" i="32"/>
  <c r="I36" i="32"/>
  <c r="M27" i="32"/>
  <c r="I9" i="32"/>
  <c r="I18" i="32"/>
  <c r="Q18" i="32"/>
  <c r="Q36" i="32"/>
  <c r="E9" i="32"/>
  <c r="Q9" i="32"/>
  <c r="E36" i="32"/>
  <c r="Q27" i="32"/>
  <c r="E18" i="32"/>
  <c r="V18" i="32" l="1"/>
  <c r="W27" i="32"/>
  <c r="U18" i="32"/>
  <c r="X27" i="32"/>
  <c r="U27" i="32"/>
  <c r="X9" i="32"/>
  <c r="V27" i="32"/>
  <c r="X36" i="32"/>
  <c r="V9" i="32"/>
  <c r="V36" i="32"/>
  <c r="W9" i="32"/>
  <c r="W36" i="32"/>
  <c r="U36" i="32"/>
  <c r="U9" i="32"/>
  <c r="W18" i="32"/>
  <c r="X18" i="32"/>
  <c r="AD36" i="32" l="1"/>
  <c r="AC9" i="32"/>
  <c r="AC18" i="32"/>
  <c r="AE18" i="32"/>
  <c r="AE36" i="32"/>
  <c r="AD18" i="32"/>
  <c r="AC27" i="32"/>
  <c r="AB9" i="32"/>
  <c r="AE9" i="32"/>
  <c r="AB36" i="32"/>
  <c r="AB27" i="32"/>
  <c r="AE27" i="32"/>
  <c r="AD9" i="32"/>
  <c r="AB18" i="32"/>
  <c r="AC36" i="32"/>
  <c r="AD27" i="32"/>
  <c r="M19" i="32"/>
  <c r="Q28" i="32"/>
  <c r="I19" i="32"/>
  <c r="M10" i="32"/>
  <c r="E28" i="32"/>
  <c r="E19" i="32"/>
  <c r="Q10" i="32"/>
  <c r="I28" i="32"/>
  <c r="M28" i="32"/>
  <c r="Q19" i="32"/>
  <c r="I10" i="32"/>
  <c r="E10" i="32"/>
  <c r="W10" i="32" l="1"/>
  <c r="X10" i="32"/>
  <c r="X28" i="32"/>
  <c r="U10" i="32"/>
  <c r="X19" i="32"/>
  <c r="W28" i="32"/>
  <c r="U28" i="32"/>
  <c r="V28" i="32"/>
  <c r="V19" i="32"/>
  <c r="U19" i="32"/>
  <c r="AB19" i="32" s="1"/>
  <c r="W19" i="32"/>
  <c r="V10" i="32"/>
  <c r="AD19" i="32" l="1"/>
  <c r="AC19" i="32"/>
  <c r="AC28" i="32"/>
  <c r="AB28" i="32"/>
  <c r="AD28" i="32"/>
  <c r="AE19" i="32"/>
  <c r="AC10" i="32"/>
  <c r="AB10" i="32"/>
  <c r="AE28" i="32"/>
  <c r="AE10" i="32"/>
  <c r="AD10" i="32"/>
  <c r="M38" i="32"/>
  <c r="I20" i="32"/>
  <c r="Q20" i="32"/>
  <c r="M20" i="32"/>
  <c r="I29" i="32"/>
  <c r="E38" i="32"/>
  <c r="Q38" i="32"/>
  <c r="M29" i="32"/>
  <c r="E29" i="32"/>
  <c r="Q29" i="32"/>
  <c r="I38" i="32"/>
  <c r="E20" i="32"/>
  <c r="U29" i="32" l="1"/>
  <c r="AB29" i="32" s="1"/>
  <c r="X38" i="32"/>
  <c r="V38" i="32"/>
  <c r="V29" i="32"/>
  <c r="X20" i="32"/>
  <c r="V20" i="32"/>
  <c r="W38" i="32"/>
  <c r="X29" i="32"/>
  <c r="W29" i="32"/>
  <c r="U20" i="32"/>
  <c r="AB20" i="32" s="1"/>
  <c r="U38" i="32"/>
  <c r="AB38" i="32" s="1"/>
  <c r="W20" i="32"/>
  <c r="AD38" i="32" l="1"/>
  <c r="AC20" i="32"/>
  <c r="AE20" i="32"/>
  <c r="AC29" i="32"/>
  <c r="AC38" i="32"/>
  <c r="AE29" i="32"/>
  <c r="AD20" i="32"/>
  <c r="AE38" i="32"/>
  <c r="AD29" i="32"/>
  <c r="M12" i="32"/>
  <c r="Q12" i="32"/>
  <c r="I12" i="32"/>
  <c r="I39" i="32"/>
  <c r="Q21" i="32"/>
  <c r="I30" i="32"/>
  <c r="M39" i="32"/>
  <c r="M21" i="32"/>
  <c r="Q30" i="32"/>
  <c r="W21" i="32" l="1"/>
  <c r="AD21" i="32" s="1"/>
  <c r="W12" i="32"/>
  <c r="AD12" i="32" s="1"/>
  <c r="V30" i="32"/>
  <c r="AC30" i="32" s="1"/>
  <c r="X21" i="32"/>
  <c r="AE21" i="32" s="1"/>
  <c r="X30" i="32"/>
  <c r="AE30" i="32" s="1"/>
  <c r="V12" i="32"/>
  <c r="AC12" i="32" s="1"/>
  <c r="V39" i="32"/>
  <c r="AC39" i="32" s="1"/>
  <c r="X12" i="32"/>
  <c r="AE12" i="32" s="1"/>
  <c r="W39" i="32"/>
  <c r="AD39" i="32" s="1"/>
  <c r="AG6" i="32" l="1"/>
  <c r="AG24" i="32"/>
  <c r="AG33" i="32"/>
  <c r="AG15" i="32"/>
  <c r="AG3" i="32" s="1"/>
</calcChain>
</file>

<file path=xl/sharedStrings.xml><?xml version="1.0" encoding="utf-8"?>
<sst xmlns="http://schemas.openxmlformats.org/spreadsheetml/2006/main" count="5754" uniqueCount="460">
  <si>
    <t>TGT</t>
  </si>
  <si>
    <t>Frequency</t>
  </si>
  <si>
    <t>EUR</t>
  </si>
  <si>
    <t>ACT/360</t>
  </si>
  <si>
    <t>Interpolation</t>
  </si>
  <si>
    <t>DayCount</t>
  </si>
  <si>
    <t>-</t>
  </si>
  <si>
    <t>Curve Names</t>
  </si>
  <si>
    <t>USDBASISDISCOUNT</t>
  </si>
  <si>
    <t>STD:USD3MLFORECAST:3ML</t>
  </si>
  <si>
    <t>OIS Curve</t>
  </si>
  <si>
    <t>Tenor Basis</t>
  </si>
  <si>
    <t xml:space="preserve"> </t>
  </si>
  <si>
    <t>60Y</t>
  </si>
  <si>
    <t>50Y</t>
  </si>
  <si>
    <t>40Y</t>
  </si>
  <si>
    <t>35Y</t>
  </si>
  <si>
    <t>30Y</t>
  </si>
  <si>
    <t>25Y</t>
  </si>
  <si>
    <t>eomday</t>
  </si>
  <si>
    <t>20Y</t>
  </si>
  <si>
    <t>1M</t>
  </si>
  <si>
    <t>spotrateterm</t>
  </si>
  <si>
    <t>6M</t>
  </si>
  <si>
    <t>15Y</t>
  </si>
  <si>
    <t>isyieldspreadcalc</t>
  </si>
  <si>
    <t>12Y</t>
  </si>
  <si>
    <t>issamegridindex</t>
  </si>
  <si>
    <t>10Y</t>
  </si>
  <si>
    <t>fn_splineinterpolation</t>
  </si>
  <si>
    <t>fwdinterpolation</t>
  </si>
  <si>
    <t>7Y</t>
  </si>
  <si>
    <t>isfwdinter</t>
  </si>
  <si>
    <t>5Y</t>
  </si>
  <si>
    <t>issimultaneouseq</t>
  </si>
  <si>
    <t>4Y</t>
  </si>
  <si>
    <t>Leg2Forecast</t>
  </si>
  <si>
    <t>Target</t>
  </si>
  <si>
    <t>Leg1Forecast</t>
  </si>
  <si>
    <t>3Y</t>
  </si>
  <si>
    <t>MOD_FOLLOWING</t>
  </si>
  <si>
    <t>Leg2index.slidingrule</t>
  </si>
  <si>
    <t>2Y</t>
  </si>
  <si>
    <t>2</t>
  </si>
  <si>
    <t>Leg2index.resetlag</t>
  </si>
  <si>
    <t>18M</t>
  </si>
  <si>
    <t>LnB</t>
  </si>
  <si>
    <t>Leg2index.payment.calendar</t>
  </si>
  <si>
    <t>Simple</t>
  </si>
  <si>
    <t>Leg2index.frequency</t>
  </si>
  <si>
    <t>11M</t>
  </si>
  <si>
    <t>Leg2index.fixing.calendar</t>
  </si>
  <si>
    <t>10M</t>
  </si>
  <si>
    <t>3M</t>
  </si>
  <si>
    <t>Xccy Basis</t>
  </si>
  <si>
    <t>Act/360</t>
  </si>
  <si>
    <t>Leg2index.daycount</t>
  </si>
  <si>
    <t>9M</t>
  </si>
  <si>
    <t>5X11</t>
  </si>
  <si>
    <t>2M</t>
  </si>
  <si>
    <t>Leg2index.accessary</t>
  </si>
  <si>
    <t>8M</t>
  </si>
  <si>
    <t>4X10</t>
  </si>
  <si>
    <t>STD</t>
  </si>
  <si>
    <t>Leg2forecast</t>
  </si>
  <si>
    <t>7M</t>
  </si>
  <si>
    <t>3X9</t>
  </si>
  <si>
    <t>Leg2discount</t>
  </si>
  <si>
    <t>2X8</t>
  </si>
  <si>
    <t>Leg2cashlet.spotlag</t>
  </si>
  <si>
    <t>5M</t>
  </si>
  <si>
    <t>1X7</t>
  </si>
  <si>
    <t>ON</t>
  </si>
  <si>
    <t>Leg2cashlet.slidingrule</t>
  </si>
  <si>
    <t>4M</t>
  </si>
  <si>
    <t>Rate</t>
  </si>
  <si>
    <t>Term</t>
  </si>
  <si>
    <t>Quarterly</t>
  </si>
  <si>
    <t>Semi-Annual</t>
  </si>
  <si>
    <t>FRA (x6)</t>
  </si>
  <si>
    <t>Libor Data</t>
  </si>
  <si>
    <t>dfcurvename</t>
  </si>
  <si>
    <t>Monthly</t>
  </si>
  <si>
    <t>Leg2cashlet.frequency</t>
  </si>
  <si>
    <t>IsRenotionalAdjust</t>
  </si>
  <si>
    <t>Leg2cashlet.daycount</t>
  </si>
  <si>
    <t>NYB</t>
  </si>
  <si>
    <t>Leg2cashlet.calendar</t>
  </si>
  <si>
    <t/>
  </si>
  <si>
    <t>3W</t>
  </si>
  <si>
    <t>SlidingRule</t>
  </si>
  <si>
    <t>basis.interpolation.3m6mbasis</t>
  </si>
  <si>
    <t>Leg1index.slidingrule</t>
  </si>
  <si>
    <t>2W</t>
  </si>
  <si>
    <t>Resetlag</t>
  </si>
  <si>
    <t>IsFraUse</t>
  </si>
  <si>
    <t>Leg1index.resetlag</t>
  </si>
  <si>
    <t>1W</t>
  </si>
  <si>
    <t>NL2SOL</t>
  </si>
  <si>
    <t>optimizemethod</t>
  </si>
  <si>
    <t>yieldgen.interpolation</t>
  </si>
  <si>
    <t>Leg1index.payment.calendar</t>
  </si>
  <si>
    <t>IsTimeInterpolation</t>
  </si>
  <si>
    <t>iseomroll</t>
  </si>
  <si>
    <t>no_change</t>
  </si>
  <si>
    <t>Leg1index.frequency</t>
  </si>
  <si>
    <t>false</t>
  </si>
  <si>
    <t>isswaptenoradjust</t>
  </si>
  <si>
    <t>IsSwapTenorAdjust</t>
  </si>
  <si>
    <t>Leg1index.fixing.calendar</t>
  </si>
  <si>
    <t>isspotuse</t>
  </si>
  <si>
    <t>IsNewtonraphson</t>
  </si>
  <si>
    <t>IsSpotUse</t>
  </si>
  <si>
    <t>9Y</t>
  </si>
  <si>
    <t>Leg1index.daycount</t>
  </si>
  <si>
    <t>slidingrule</t>
  </si>
  <si>
    <t>LNB:NYB</t>
  </si>
  <si>
    <t>Calendar</t>
  </si>
  <si>
    <t>IsFutureUse</t>
  </si>
  <si>
    <t>8Y</t>
  </si>
  <si>
    <t>Leg1index.accessary</t>
  </si>
  <si>
    <t>continuous</t>
  </si>
  <si>
    <t>frequency</t>
  </si>
  <si>
    <t>IsEomRoll</t>
  </si>
  <si>
    <t>Daycount</t>
  </si>
  <si>
    <t>IsAdjustDF</t>
  </si>
  <si>
    <t>Leg1forecast</t>
  </si>
  <si>
    <t>arithmeticaverage</t>
  </si>
  <si>
    <t>shorttermconvention</t>
  </si>
  <si>
    <t>act/365_isda</t>
  </si>
  <si>
    <t>daycount</t>
  </si>
  <si>
    <t>6Y</t>
  </si>
  <si>
    <t>Leg1discount</t>
  </si>
  <si>
    <t>2d</t>
  </si>
  <si>
    <t>resetlag</t>
  </si>
  <si>
    <t>fn_basisfunc2</t>
  </si>
  <si>
    <t>basisfunction</t>
  </si>
  <si>
    <t>Volatility</t>
  </si>
  <si>
    <t>EndDate</t>
  </si>
  <si>
    <t>StartDate</t>
  </si>
  <si>
    <t>future.interpolation</t>
  </si>
  <si>
    <t>Leg1cashlet.spotlag</t>
  </si>
  <si>
    <t>fn_linearinterpolation</t>
  </si>
  <si>
    <t>basis.interpolation</t>
  </si>
  <si>
    <t>FrequencyFloat</t>
  </si>
  <si>
    <t>Futures Data</t>
  </si>
  <si>
    <t>FRA ( x3 )</t>
  </si>
  <si>
    <t>Libor Conventions</t>
  </si>
  <si>
    <t>Leg1cashlet.slidingrule</t>
  </si>
  <si>
    <t>dailycompounding</t>
  </si>
  <si>
    <t>generatemethod</t>
  </si>
  <si>
    <t>Leg1cashlet.frequency</t>
  </si>
  <si>
    <t>Annual</t>
  </si>
  <si>
    <t>Basisfunction</t>
  </si>
  <si>
    <t>Leg1cashlet.daycount</t>
  </si>
  <si>
    <t>ShortMarket</t>
  </si>
  <si>
    <t>firstrate</t>
  </si>
  <si>
    <t>interpolation</t>
  </si>
  <si>
    <t>DayCountFloat</t>
  </si>
  <si>
    <t>Basis.interpolation</t>
  </si>
  <si>
    <t>1Y</t>
  </si>
  <si>
    <t>Leg1cashlet.calendar</t>
  </si>
  <si>
    <t>Currency</t>
  </si>
  <si>
    <t>30/360</t>
  </si>
  <si>
    <t>DayCountFix</t>
  </si>
  <si>
    <t>ResetLag</t>
  </si>
  <si>
    <t>FOLLOWING</t>
  </si>
  <si>
    <t>XCCYBASIS</t>
  </si>
  <si>
    <t>FALSE</t>
  </si>
  <si>
    <t>IsLeg1Spread</t>
  </si>
  <si>
    <t>AsOfDate</t>
  </si>
  <si>
    <t>MarketName</t>
  </si>
  <si>
    <t>BaseDate</t>
  </si>
  <si>
    <t>UseQuote</t>
  </si>
  <si>
    <t>calendar</t>
  </si>
  <si>
    <t>IsAfter1Y2YCutoff</t>
  </si>
  <si>
    <t>Xccy Basis Swap Data</t>
  </si>
  <si>
    <t>Xccy Basis Swap Conventions</t>
  </si>
  <si>
    <t>Basis Swap Data ( 1 x 3 )</t>
  </si>
  <si>
    <t>Basis Swap Conventions ( 1 x 3 )</t>
  </si>
  <si>
    <t>Basis Swap Data ( 3 x 6 )</t>
  </si>
  <si>
    <t>Basis Swap Conventions ( 3 x 6 )</t>
  </si>
  <si>
    <t>Historical O/N Rates</t>
  </si>
  <si>
    <t>OIS Data</t>
  </si>
  <si>
    <t>OIS Conventions</t>
  </si>
  <si>
    <t>Swap Data</t>
  </si>
  <si>
    <t>Swap Conventions</t>
  </si>
  <si>
    <t>Futures Conventions</t>
  </si>
  <si>
    <t>FRA Conventions</t>
  </si>
  <si>
    <t>Money Market Conventions</t>
  </si>
  <si>
    <t>USD</t>
  </si>
  <si>
    <t>EURBASISDISCOUNT</t>
  </si>
  <si>
    <t>Leg2Discount</t>
  </si>
  <si>
    <t>basis.interpolation.xccybasis</t>
  </si>
  <si>
    <t>Slidingrule</t>
  </si>
  <si>
    <t>EUR1M3MBASIS</t>
  </si>
  <si>
    <t>EUR3M6MBASIS</t>
  </si>
  <si>
    <t>LNB</t>
  </si>
  <si>
    <t>ACT/365</t>
  </si>
  <si>
    <t>GBP</t>
  </si>
  <si>
    <t>JPY</t>
  </si>
  <si>
    <t>OIS</t>
  </si>
  <si>
    <t>OIS:USDOIS</t>
  </si>
  <si>
    <t>OIS:EUROIS</t>
  </si>
  <si>
    <t>OIS:GBPOIS</t>
  </si>
  <si>
    <t>GBPBASISDISCOUNT</t>
  </si>
  <si>
    <t>3M6MBasis</t>
  </si>
  <si>
    <t>1M3MBasis</t>
  </si>
  <si>
    <t>XccyBasis</t>
  </si>
  <si>
    <t>FwdFXConst</t>
  </si>
  <si>
    <t>OIS:JPYOIS</t>
  </si>
  <si>
    <t>1M6MBasis</t>
  </si>
  <si>
    <t>TKB</t>
  </si>
  <si>
    <t>TkB</t>
  </si>
  <si>
    <t>LnB:TkB</t>
  </si>
  <si>
    <t>TkB:LnB</t>
  </si>
  <si>
    <t>leg1discount</t>
  </si>
  <si>
    <t>act/360</t>
  </si>
  <si>
    <t>leg1cashlet.calendar</t>
  </si>
  <si>
    <t>TkB:LnB:NYB</t>
  </si>
  <si>
    <t>leg1forecast</t>
  </si>
  <si>
    <t>following</t>
  </si>
  <si>
    <t>simple</t>
  </si>
  <si>
    <t>leg1cashlet.daycount</t>
  </si>
  <si>
    <t>leg2discount</t>
  </si>
  <si>
    <t>leg1cashlet.frequency</t>
  </si>
  <si>
    <t>leg2forecast</t>
  </si>
  <si>
    <t>mod_following</t>
  </si>
  <si>
    <t>leg1cashlet.slidingrule</t>
  </si>
  <si>
    <t>target</t>
  </si>
  <si>
    <t>isadjustdf</t>
  </si>
  <si>
    <t>leg1cashlet.spotlag</t>
  </si>
  <si>
    <t>isfutureuse</t>
  </si>
  <si>
    <t>leg1index.accessary</t>
  </si>
  <si>
    <t>leg1index.daycount</t>
  </si>
  <si>
    <t>isfrause</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</si>
  <si>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</si>
  <si>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</si>
  <si>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</si>
  <si>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</si>
  <si>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</si>
  <si>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</si>
  <si>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</si>
  <si>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</si>
  <si>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</si>
  <si>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</si>
  <si>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leg2index.accessary</t>
  </si>
  <si>
    <t>leg2index.daycount</t>
  </si>
  <si>
    <t>leg2index.fixing.calendar</t>
  </si>
  <si>
    <t>leg2index.frequency</t>
  </si>
  <si>
    <t>leg2index.payment.calendar</t>
  </si>
  <si>
    <t>leg2index.resetlag</t>
  </si>
  <si>
    <t>leg2index.slidingrule</t>
  </si>
  <si>
    <t>31</t>
  </si>
  <si>
    <t>isrenotionaladjust</t>
  </si>
  <si>
    <t>adjustvalue.interpolation</t>
  </si>
  <si>
    <t>isleg1spread</t>
  </si>
  <si>
    <t>Act/365</t>
  </si>
  <si>
    <t>frequencyfloat.1y</t>
  </si>
  <si>
    <t>SYB</t>
  </si>
  <si>
    <t>Leg1Discount</t>
  </si>
  <si>
    <t>Tgt</t>
  </si>
  <si>
    <t>LnB:NYB:Tgt</t>
  </si>
  <si>
    <t>isRenotionalAdjust</t>
  </si>
  <si>
    <t>LnB:NYB</t>
  </si>
  <si>
    <t>12M</t>
  </si>
  <si>
    <t>act/365</t>
  </si>
  <si>
    <t>daycountfix</t>
  </si>
  <si>
    <t>daycountfloat</t>
  </si>
  <si>
    <t>semi-annual</t>
  </si>
  <si>
    <t>frequencyfloat</t>
  </si>
  <si>
    <t>isnewtonraphson</t>
  </si>
  <si>
    <t>istimeinterpolation</t>
  </si>
  <si>
    <t>Tenor Basis 3x6</t>
  </si>
  <si>
    <t>Tenor Basis 1x3</t>
  </si>
  <si>
    <t>3m Float vs 6m Fixed</t>
  </si>
  <si>
    <t>EONIA vs 12m Fixed</t>
  </si>
  <si>
    <t>FED Funds vs 12m Fixed</t>
  </si>
  <si>
    <t>6m Float vs 12m Fixed</t>
  </si>
  <si>
    <t>USDCSA</t>
  </si>
  <si>
    <t>EURCSA</t>
  </si>
  <si>
    <t>GBPCSA</t>
  </si>
  <si>
    <t>JPYCSA</t>
  </si>
  <si>
    <t>6m Float vs 6m Fixed</t>
  </si>
  <si>
    <t>SONIA vs 12m Fixed</t>
  </si>
  <si>
    <t>BoJ O/N Call Rate vs 12m Fixed</t>
  </si>
  <si>
    <t>Tenor Basis 3x12</t>
  </si>
  <si>
    <t>3M12MBasis</t>
  </si>
  <si>
    <t>6M12MBasis</t>
  </si>
  <si>
    <t>Tenor Basis 6x12</t>
  </si>
  <si>
    <t>Xccy Basis USD/USD</t>
  </si>
  <si>
    <t>STD: Swap Curve</t>
  </si>
  <si>
    <t>Curve Properties</t>
  </si>
  <si>
    <t>EUR6M12MBASIS</t>
  </si>
  <si>
    <t>Basis Swap Conventions ( 6 x 12 )</t>
  </si>
  <si>
    <t>3M6MBasis:EUR3MLFORECAST:3ML</t>
  </si>
  <si>
    <t>1M3MBasis:EUR1MLFORECAST:1ML</t>
  </si>
  <si>
    <t>6M12MBasis:EUR12MLFORECAST:12ML</t>
  </si>
  <si>
    <t>3 x 6</t>
  </si>
  <si>
    <t>1 x 3</t>
  </si>
  <si>
    <t>STD:EUR6MLFORECAST:6ML</t>
  </si>
  <si>
    <t>6 x 12</t>
  </si>
  <si>
    <t>USD_USDCSA</t>
  </si>
  <si>
    <t>Const Forward FX</t>
  </si>
  <si>
    <t>Const Forward FX Conventions: EURCSA</t>
  </si>
  <si>
    <t>Const Forward FX Conventions: GBPCSA</t>
  </si>
  <si>
    <t>Const Forward FX Conventions: JPYCSA</t>
  </si>
  <si>
    <t>EUR_EURCSA:OIS</t>
  </si>
  <si>
    <t>GBP_GBPCSA:OIS</t>
  </si>
  <si>
    <t>JPY_JPYCSA:OIS</t>
  </si>
  <si>
    <t>STD:GBP6MLFORECAST:6ML</t>
  </si>
  <si>
    <t>3M6MBasis:GBP3MLFORECAST:3ML</t>
  </si>
  <si>
    <t>6M12MBasis:GBP12MLFORECAST:12ML</t>
  </si>
  <si>
    <t>USD_EURCSA</t>
  </si>
  <si>
    <t>USD_GBPCSA</t>
  </si>
  <si>
    <t>EUR_EURCSA</t>
  </si>
  <si>
    <t>1M3MBasis:USD1MLFORECAST:1ML</t>
  </si>
  <si>
    <t>3M12MBasis:USD12MLFORECAST:12ML</t>
  </si>
  <si>
    <t>3M6MBasis:USD6MLFORECAST:6ML</t>
  </si>
  <si>
    <t>XccyBasis:USDDISCOUNT:USDDF:DF</t>
  </si>
  <si>
    <t>XccyBasis:EURDISCOUNT:EURDF:DF</t>
  </si>
  <si>
    <t>USD_EURCSA:OIS</t>
  </si>
  <si>
    <t>USD_GBPCSA:OIS</t>
  </si>
  <si>
    <t>USD_JPYCSA:OIS</t>
  </si>
  <si>
    <t>OIS:EUROIS:EURDISCOUNT:EURDF:DF</t>
  </si>
  <si>
    <t>USD_USDCSA:OIS</t>
  </si>
  <si>
    <t>USD_USDCSA:STD</t>
  </si>
  <si>
    <t>EUR_USDCSA</t>
  </si>
  <si>
    <t>XccyBasis:GBPDISCOUNT:GBPDF:DF</t>
  </si>
  <si>
    <t>OIS:GBPOIS:GBPDISCOUNT:GBPDF:DF</t>
  </si>
  <si>
    <t>USD_JPYCSA</t>
  </si>
  <si>
    <t>EUR_GBPCSA</t>
  </si>
  <si>
    <t>EUR_JPYCSA</t>
  </si>
  <si>
    <t>JPY_JPYCSA</t>
  </si>
  <si>
    <t>JPY_USDCSA</t>
  </si>
  <si>
    <t>JPY_EURCSA</t>
  </si>
  <si>
    <t>JPY_GBPCSA</t>
  </si>
  <si>
    <t>1d</t>
  </si>
  <si>
    <t>STD:JPY6MLFORECAST:6ML</t>
  </si>
  <si>
    <t>3M6MBasis:JPY3MLFORECAST:3ML</t>
  </si>
  <si>
    <t>6M12MBasis:JPY12MLFORECAST:12ML</t>
  </si>
  <si>
    <t>XccyBasis:JPYDISCOUNT:JPYDF:DF</t>
  </si>
  <si>
    <t>OIS:JPYOIS:JPYDISCOUNT:JPYDF:DF</t>
  </si>
  <si>
    <t>JPYBASISDISCOUNT</t>
  </si>
  <si>
    <t>GBP3M6MBASIS</t>
  </si>
  <si>
    <t>GBP6M12MBASIS</t>
  </si>
  <si>
    <t>JPY3M6MBASIS</t>
  </si>
  <si>
    <t>JPY6M12MBASIS</t>
  </si>
  <si>
    <t>Basis Swap Data ( 6 x 12 )</t>
  </si>
  <si>
    <t>OIS:USDOIS:USDDISCOUNT:USDDF:DF</t>
  </si>
  <si>
    <t>USD_EURCSA:STD</t>
  </si>
  <si>
    <t>USD_GBPCSA:STD</t>
  </si>
  <si>
    <t>USD_JPYCSA:STD</t>
  </si>
  <si>
    <t>LnB:NYB:Tkb</t>
  </si>
  <si>
    <t>XccyBasis_USDCSA</t>
  </si>
  <si>
    <t>Curve Names: Standard</t>
  </si>
  <si>
    <t>Curve Names: Standard + Xccy</t>
  </si>
  <si>
    <t>Curve Names: Standard + Xccy + ConstFwdFX</t>
  </si>
  <si>
    <t>Curve Names: Standard + ConstFwdFX</t>
  </si>
  <si>
    <t>Curve Names: Standard+ ConstFwdFX</t>
  </si>
  <si>
    <t>EUR_EURCSA:XccyBasis_USDCSA</t>
  </si>
  <si>
    <t>GBP_GBPCSA:XccyBasis_USDCSA</t>
  </si>
  <si>
    <t>JPY_JPYCSA:XccyBasis_USDCSA</t>
  </si>
  <si>
    <t>STD DF2</t>
  </si>
  <si>
    <t>3ML</t>
  </si>
  <si>
    <t>30M</t>
  </si>
  <si>
    <t>11Y</t>
  </si>
  <si>
    <t>More Info</t>
  </si>
  <si>
    <t>45Y</t>
  </si>
  <si>
    <t>6X12</t>
  </si>
  <si>
    <t>7X13</t>
  </si>
  <si>
    <t>8X14</t>
  </si>
  <si>
    <t>9X15</t>
  </si>
  <si>
    <t>10X16</t>
  </si>
  <si>
    <t>11X17</t>
  </si>
  <si>
    <t>12X18</t>
  </si>
  <si>
    <t>13Y</t>
  </si>
  <si>
    <t>14Y</t>
  </si>
  <si>
    <t xml:space="preserve">1M </t>
  </si>
  <si>
    <t>JPY3MLFORECAST</t>
  </si>
  <si>
    <t>GBP3MLFORECAST</t>
  </si>
  <si>
    <t>EUR3MLFORECAST</t>
  </si>
  <si>
    <t>ErrorCount</t>
  </si>
  <si>
    <t>1x6</t>
  </si>
  <si>
    <t>Basis Swap Conventions ( 1 x 6 )</t>
  </si>
  <si>
    <t>Tenor Basis 1x6</t>
  </si>
  <si>
    <t>JPY1M6MBASIS</t>
  </si>
  <si>
    <t>1 x 6</t>
  </si>
  <si>
    <t>GBP1M6MBASIS</t>
  </si>
  <si>
    <t>1M6MBasis:GBP1MLFORECAST:1ML</t>
  </si>
  <si>
    <t>1M6MBasis:JPY1MLFORECAST:1ML</t>
  </si>
  <si>
    <t>Dependency Tree</t>
  </si>
  <si>
    <t>Total Curve Errors</t>
  </si>
  <si>
    <t>Curve Error Counts</t>
  </si>
  <si>
    <t>USD Curve Errors</t>
  </si>
  <si>
    <t>EUR Curve Errors</t>
  </si>
  <si>
    <t>GBP Curve Errors</t>
  </si>
  <si>
    <t>JPY Curve Errors</t>
  </si>
  <si>
    <t>Instruments Used</t>
  </si>
  <si>
    <t>IsCurveLoaded?</t>
  </si>
  <si>
    <t>Curve Names: Native CSA</t>
  </si>
  <si>
    <t>3 x 12</t>
  </si>
  <si>
    <t>Basis Swap Conventions ( 3 x 12 )</t>
  </si>
  <si>
    <t>Basis Swap Data ( 3 x 12 )</t>
  </si>
  <si>
    <t>USD3M6MBASIS</t>
  </si>
  <si>
    <t>USD1M3MBASIS</t>
  </si>
  <si>
    <t>USD3M12MBASIS</t>
  </si>
  <si>
    <t>Leg2cashlet.frequencycompound</t>
  </si>
  <si>
    <t>Act/365_isda</t>
  </si>
  <si>
    <t>EDQ5</t>
  </si>
  <si>
    <t>EDU5</t>
  </si>
  <si>
    <t>EDV5</t>
  </si>
  <si>
    <t>EDX5</t>
  </si>
  <si>
    <t>EDZ5</t>
  </si>
  <si>
    <t>EDH6</t>
  </si>
  <si>
    <t>EDM6</t>
  </si>
  <si>
    <t>EDU6</t>
  </si>
  <si>
    <t>EDZ6</t>
  </si>
  <si>
    <t>EDH7</t>
  </si>
  <si>
    <t>EDM7</t>
  </si>
  <si>
    <t>EDU7</t>
  </si>
  <si>
    <t>EDZ7</t>
  </si>
  <si>
    <t>EDH8</t>
  </si>
  <si>
    <t>Valuation Date</t>
  </si>
  <si>
    <t>Notional</t>
  </si>
  <si>
    <t>Payer/Receiver</t>
  </si>
  <si>
    <t>PAYER</t>
  </si>
  <si>
    <t>Effective Date</t>
  </si>
  <si>
    <t>Spline</t>
  </si>
  <si>
    <t>Forecast Curve</t>
  </si>
  <si>
    <t>6ML</t>
  </si>
  <si>
    <t>Discount Curve</t>
  </si>
  <si>
    <t>Interp Forwards</t>
  </si>
  <si>
    <t>EOM Roll</t>
  </si>
  <si>
    <t>FIXED LEG</t>
  </si>
  <si>
    <t>FLOAT LEG</t>
  </si>
  <si>
    <t>Rate / Spread</t>
  </si>
  <si>
    <t>rollConv</t>
  </si>
  <si>
    <t>firstStub</t>
  </si>
  <si>
    <t>lastStub</t>
  </si>
  <si>
    <t>rollDay</t>
  </si>
  <si>
    <t>fixingLag</t>
  </si>
  <si>
    <t>0D</t>
  </si>
  <si>
    <t>firstFixing</t>
  </si>
  <si>
    <t>lastFixing</t>
  </si>
  <si>
    <t>paymentLag</t>
  </si>
  <si>
    <t>StubType</t>
  </si>
  <si>
    <t>GBP_GBPCSA</t>
  </si>
  <si>
    <t>NYB:LNB</t>
  </si>
  <si>
    <t>ShortStart</t>
  </si>
  <si>
    <t>TKB:LNB</t>
  </si>
  <si>
    <t>EUR Swap</t>
  </si>
  <si>
    <t>MaturityOrTenor</t>
  </si>
  <si>
    <t>Yield Curve ID</t>
  </si>
  <si>
    <t>mirSwapPV</t>
  </si>
  <si>
    <t>mirGetParRate4</t>
  </si>
  <si>
    <t>2D</t>
  </si>
  <si>
    <t>USD Swap</t>
  </si>
  <si>
    <t>GBP Swap</t>
  </si>
  <si>
    <t>JPY Swap</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</si>
</sst>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1" formatCode="_-* #,##0_-;\-* #,##0_-;_-* &quot;-&quot;_-;_-@_-"/>
    <numFmt numFmtId="43" formatCode="_-* #,##0.00_-;\-* #,##0.00_-;_-* &quot;-&quot;??_-;_-@_-"/>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00%"/>
    <numFmt numFmtId="169" formatCode="#,##0.00000"/>
    <numFmt numFmtId="170" formatCode="#,##0.0000"/>
    <numFmt numFmtId="171" formatCode="0.0000%"/>
    <numFmt numFmtId="172" formatCode="0.00000%"/>
    <numFmt numFmtId="173" formatCode="dd/m/yy"/>
    <numFmt numFmtId="174" formatCode="dd\-mmm\-yy;dd\-mmm\-yy;"/>
    <numFmt numFmtId="175" formatCode="_ * #,##0_ ;_ * \-#,##0_ ;_ * &quot;-&quot;_ ;_ @_ "/>
    <numFmt numFmtId="176" formatCode="ddd\,\ dd\-mmm\-yy"/>
    <numFmt numFmtId="177" formatCode="ddd\ d\-mmm\-yy"/>
  </numFmts>
  <fonts count="46">
    <font>
      <sz val="11"/>
      <color theme="1"/>
      <name val="Calibri"/>
      <family val="2"/>
      <scheme val="minor"/>
    </font>
    <font>
      <b/>
      <sz val="11"/>
      <color theme="1"/>
      <name val="Calibri"/>
      <family val="2"/>
      <scheme val="minor"/>
    </font>
    <font>
      <sz val="10"/>
      <name val="Arial"/>
      <family val="2"/>
    </font>
    <font>
      <sz val="10"/>
      <name val="MS Sans Serif"/>
      <family val="2"/>
    </font>
    <font>
      <b/>
      <sz val="10"/>
      <name val="MS Sans Serif"/>
      <family val="2"/>
    </font>
    <font>
      <sz val="11"/>
      <color rgb="FF008000"/>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sz val="11"/>
      <color rgb="FFC00000"/>
      <name val="Calibri"/>
      <family val="2"/>
      <scheme val="minor"/>
    </font>
    <font>
      <sz val="11"/>
      <color theme="1"/>
      <name val="Calibri"/>
      <family val="2"/>
      <scheme val="minor"/>
    </font>
    <font>
      <b/>
      <i/>
      <sz val="11"/>
      <color theme="1"/>
      <name val="Calibri"/>
      <family val="2"/>
      <scheme val="minor"/>
    </font>
    <font>
      <b/>
      <sz val="11"/>
      <color rgb="FF0000FF"/>
      <name val="Calibri"/>
      <family val="2"/>
      <scheme val="minor"/>
    </font>
    <font>
      <sz val="11"/>
      <name val="Times New Roman"/>
      <family val="1"/>
    </font>
    <font>
      <b/>
      <sz val="11"/>
      <name val="Calibri"/>
      <family val="2"/>
      <scheme val="minor"/>
    </font>
    <font>
      <sz val="11"/>
      <color rgb="FF0000FF"/>
      <name val="Calibri"/>
      <family val="2"/>
      <scheme val="minor"/>
    </font>
    <font>
      <sz val="18"/>
      <color theme="1"/>
      <name val="Calibri"/>
      <family val="2"/>
      <scheme val="minor"/>
    </font>
    <font>
      <b/>
      <i/>
      <sz val="11"/>
      <name val="Calibri"/>
      <family val="2"/>
      <scheme val="minor"/>
    </font>
    <font>
      <sz val="11"/>
      <name val="ＭＳ Ｐゴシック"/>
      <family val="3"/>
      <charset val="128"/>
    </font>
    <font>
      <sz val="8"/>
      <name val="Arial"/>
      <family val="2"/>
    </font>
    <font>
      <sz val="10"/>
      <name val="Courier"/>
      <family val="3"/>
    </font>
    <font>
      <b/>
      <sz val="9"/>
      <color indexed="12"/>
      <name val="Tahoma"/>
      <family val="2"/>
    </font>
    <font>
      <b/>
      <sz val="10"/>
      <color indexed="12"/>
      <name val="Arial"/>
      <family val="2"/>
    </font>
    <font>
      <b/>
      <sz val="10"/>
      <color indexed="10"/>
      <name val="Arial"/>
      <family val="2"/>
    </font>
    <font>
      <b/>
      <sz val="10"/>
      <name val="Helv"/>
      <family val="2"/>
    </font>
    <font>
      <b/>
      <sz val="9"/>
      <color indexed="9"/>
      <name val="Verdana"/>
      <family val="2"/>
    </font>
    <font>
      <b/>
      <sz val="10"/>
      <color indexed="53"/>
      <name val="Tahoma"/>
      <family val="2"/>
    </font>
    <font>
      <b/>
      <i/>
      <sz val="9"/>
      <color indexed="16"/>
      <name val="Verdana"/>
      <family val="2"/>
    </font>
    <font>
      <b/>
      <sz val="8"/>
      <name val="Tahoma"/>
      <family val="2"/>
    </font>
    <font>
      <sz val="10"/>
      <name val="Helv"/>
      <family val="2"/>
    </font>
    <font>
      <b/>
      <sz val="10"/>
      <color indexed="12"/>
      <name val="Tahoma"/>
      <family val="2"/>
    </font>
    <font>
      <sz val="11"/>
      <color theme="1"/>
      <name val="Calibri"/>
      <family val="3"/>
      <charset val="128"/>
      <scheme val="minor"/>
    </font>
    <font>
      <sz val="20"/>
      <color theme="1"/>
      <name val="Calibri"/>
      <family val="2"/>
      <scheme val="minor"/>
    </font>
    <font>
      <sz val="20"/>
      <color rgb="FF008000"/>
      <name val="Calibri"/>
      <family val="2"/>
      <scheme val="minor"/>
    </font>
    <font>
      <sz val="20"/>
      <color rgb="FFC00000"/>
      <name val="Calibri"/>
      <family val="2"/>
      <scheme val="minor"/>
    </font>
    <font>
      <b/>
      <sz val="11"/>
      <color rgb="FFC00000"/>
      <name val="Calibri"/>
      <family val="2"/>
      <scheme val="minor"/>
    </font>
    <font>
      <b/>
      <i/>
      <sz val="18"/>
      <name val="Calibri"/>
      <family val="2"/>
      <scheme val="minor"/>
    </font>
    <font>
      <i/>
      <sz val="11"/>
      <name val="Calibri"/>
      <family val="2"/>
      <scheme val="minor"/>
    </font>
    <font>
      <i/>
      <sz val="20"/>
      <name val="Calibri"/>
      <family val="2"/>
      <scheme val="minor"/>
    </font>
    <font>
      <b/>
      <i/>
      <sz val="11"/>
      <color rgb="FFC00000"/>
      <name val="Calibri"/>
      <family val="2"/>
      <scheme val="minor"/>
    </font>
    <font>
      <i/>
      <sz val="11"/>
      <color rgb="FF008000"/>
      <name val="Calibri"/>
      <family val="2"/>
      <scheme val="minor"/>
    </font>
    <font>
      <b/>
      <sz val="9"/>
      <color rgb="FF0070C0"/>
      <name val="Calibri"/>
      <family val="2"/>
      <scheme val="minor"/>
    </font>
    <font>
      <sz val="11"/>
      <color rgb="FF0070C0"/>
      <name val="Calibri"/>
      <family val="2"/>
      <scheme val="minor"/>
    </font>
    <font>
      <i/>
      <sz val="11"/>
      <color rgb="FFC00000"/>
      <name val="Calibri"/>
      <family val="2"/>
      <scheme val="minor"/>
    </font>
    <font>
      <sz val="11"/>
      <color rgb="FF000000"/>
      <name val="Calibri"/>
      <family val="2"/>
    </font>
    <font>
      <sz val="11"/>
      <color rgb="FF006600"/>
      <name val="Calibri"/>
      <family val="2"/>
      <scheme val="minor"/>
    </font>
  </fonts>
  <fills count="34">
    <fill>
      <patternFill patternType="none"/>
    </fill>
    <fill>
      <patternFill patternType="gray125"/>
    </fill>
    <fill>
      <patternFill patternType="solid">
        <fgColor indexed="9"/>
        <bgColor indexed="9"/>
      </patternFill>
    </fill>
    <fill>
      <patternFill patternType="mediumGray">
        <fgColor indexed="9"/>
        <bgColor indexed="22"/>
      </patternFill>
    </fill>
    <fill>
      <patternFill patternType="solid">
        <fgColor theme="0"/>
        <bgColor indexed="64"/>
      </patternFill>
    </fill>
    <fill>
      <patternFill patternType="solid">
        <fgColor rgb="FFFFFF00"/>
        <bgColor indexed="64"/>
      </patternFill>
    </fill>
    <fill>
      <patternFill patternType="solid">
        <fgColor indexed="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79998168889431442"/>
        <bgColor indexed="10"/>
      </patternFill>
    </fill>
    <fill>
      <patternFill patternType="mediumGray">
        <fgColor indexed="17"/>
      </patternFill>
    </fill>
    <fill>
      <patternFill patternType="solid">
        <fgColor indexed="46"/>
        <bgColor indexed="64"/>
      </patternFill>
    </fill>
    <fill>
      <patternFill patternType="darkGray">
        <fgColor indexed="22"/>
      </patternFill>
    </fill>
    <fill>
      <patternFill patternType="solid">
        <fgColor indexed="34"/>
        <bgColor indexed="64"/>
      </patternFill>
    </fill>
    <fill>
      <patternFill patternType="darkGray">
        <fgColor indexed="9"/>
        <bgColor indexed="15"/>
      </patternFill>
    </fill>
    <fill>
      <patternFill patternType="solid">
        <fgColor indexed="53"/>
        <bgColor indexed="64"/>
      </patternFill>
    </fill>
    <fill>
      <patternFill patternType="solid">
        <fgColor indexed="60"/>
        <bgColor indexed="64"/>
      </patternFill>
    </fill>
    <fill>
      <patternFill patternType="solid">
        <fgColor indexed="56"/>
        <bgColor indexed="64"/>
      </patternFill>
    </fill>
    <fill>
      <patternFill patternType="solid">
        <fgColor indexed="22"/>
        <bgColor indexed="64"/>
      </patternFill>
    </fill>
    <fill>
      <patternFill patternType="mediumGray">
        <fgColor indexed="9"/>
        <bgColor indexed="17"/>
      </patternFill>
    </fill>
    <fill>
      <patternFill patternType="mediumGray">
        <fgColor indexed="9"/>
        <bgColor indexed="18"/>
      </patternFill>
    </fill>
    <fill>
      <patternFill patternType="mediumGray">
        <fgColor indexed="20"/>
        <bgColor indexed="9"/>
      </patternFill>
    </fill>
    <fill>
      <patternFill patternType="mediumGray">
        <fgColor indexed="16"/>
        <bgColor indexed="9"/>
      </patternFill>
    </fill>
    <fill>
      <patternFill patternType="mediumGray">
        <fgColor indexed="9"/>
        <bgColor indexed="23"/>
      </patternFill>
    </fill>
    <fill>
      <patternFill patternType="darkGray">
        <fgColor indexed="9"/>
        <bgColor indexed="13"/>
      </patternFill>
    </fill>
    <fill>
      <patternFill patternType="solid">
        <fgColor indexed="23"/>
        <bgColor indexed="16"/>
      </patternFill>
    </fill>
    <fill>
      <patternFill patternType="mediumGray">
        <fgColor indexed="18"/>
      </patternFill>
    </fill>
    <fill>
      <patternFill patternType="mediumGray">
        <fgColor indexed="16"/>
      </patternFill>
    </fill>
    <fill>
      <patternFill patternType="mediumGray">
        <fgColor indexed="21"/>
      </patternFill>
    </fill>
    <fill>
      <patternFill patternType="mediumGray">
        <fgColor indexed="20"/>
      </patternFill>
    </fill>
    <fill>
      <patternFill patternType="mediumGray">
        <fgColor indexed="9"/>
        <bgColor indexed="19"/>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CC"/>
        <bgColor indexed="64"/>
      </patternFill>
    </fill>
  </fills>
  <borders count="34">
    <border>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dotted">
        <color theme="0" tint="-0.24994659260841701"/>
      </left>
      <right style="thin">
        <color theme="0" tint="-0.24994659260841701"/>
      </right>
      <top/>
      <bottom style="thin">
        <color theme="0" tint="-0.24994659260841701"/>
      </bottom>
      <diagonal/>
    </border>
    <border>
      <left style="thin">
        <color theme="0" tint="-0.24994659260841701"/>
      </left>
      <right style="dotted">
        <color theme="0" tint="-0.24994659260841701"/>
      </right>
      <top/>
      <bottom style="thin">
        <color theme="0" tint="-0.24994659260841701"/>
      </bottom>
      <diagonal/>
    </border>
    <border>
      <left style="dotted">
        <color theme="0" tint="-0.24994659260841701"/>
      </left>
      <right style="thin">
        <color theme="0" tint="-0.24994659260841701"/>
      </right>
      <top/>
      <bottom/>
      <diagonal/>
    </border>
    <border>
      <left style="thin">
        <color theme="0" tint="-0.24994659260841701"/>
      </left>
      <right style="dotted">
        <color theme="0" tint="-0.24994659260841701"/>
      </right>
      <top/>
      <bottom/>
      <diagonal/>
    </border>
    <border>
      <left style="thin">
        <color theme="0" tint="-0.24994659260841701"/>
      </left>
      <right style="thin">
        <color theme="0" tint="-0.24994659260841701"/>
      </right>
      <top/>
      <bottom style="dotted">
        <color theme="0" tint="-0.24994659260841701"/>
      </bottom>
      <diagonal/>
    </border>
    <border>
      <left style="thin">
        <color theme="0" tint="-0.24994659260841701"/>
      </left>
      <right style="thin">
        <color theme="0" tint="-0.24994659260841701"/>
      </right>
      <top style="dotted">
        <color theme="0" tint="-0.24994659260841701"/>
      </top>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dotted">
        <color theme="0" tint="-0.24994659260841701"/>
      </left>
      <right style="thin">
        <color theme="0" tint="-0.24994659260841701"/>
      </right>
      <top style="thin">
        <color theme="0" tint="-0.24994659260841701"/>
      </top>
      <bottom/>
      <diagonal/>
    </border>
    <border>
      <left style="thin">
        <color theme="0" tint="-0.24994659260841701"/>
      </left>
      <right style="dotted">
        <color theme="0" tint="-0.24994659260841701"/>
      </right>
      <top style="thin">
        <color theme="0" tint="-0.24994659260841701"/>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diagonal/>
    </border>
    <border>
      <left style="thin">
        <color indexed="10"/>
      </left>
      <right style="thin">
        <color indexed="10"/>
      </right>
      <top style="thin">
        <color indexed="10"/>
      </top>
      <bottom style="thin">
        <color indexed="10"/>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double">
        <color indexed="64"/>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56">
    <xf numFmtId="0" fontId="0" fillId="0" borderId="0"/>
    <xf numFmtId="0" fontId="2" fillId="0" borderId="0"/>
    <xf numFmtId="43" fontId="2" fillId="0" borderId="0" applyFont="0" applyFill="0" applyBorder="0" applyAlignment="0" applyProtection="0"/>
    <xf numFmtId="0" fontId="3" fillId="2" borderId="1" applyNumberFormat="0" applyFont="0" applyBorder="0" applyAlignment="0" applyProtection="0">
      <alignment horizontal="centerContinuous"/>
    </xf>
    <xf numFmtId="0" fontId="4" fillId="3" borderId="2" applyNumberFormat="0" applyFont="0" applyBorder="0" applyAlignment="0">
      <alignment horizontal="centerContinuous"/>
    </xf>
    <xf numFmtId="165"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9" fontId="2" fillId="0" borderId="0" applyFont="0" applyFill="0" applyBorder="0" applyAlignment="0" applyProtection="0"/>
    <xf numFmtId="41" fontId="10" fillId="0" borderId="0" applyFont="0" applyFill="0" applyBorder="0" applyAlignment="0" applyProtection="0"/>
    <xf numFmtId="0" fontId="13" fillId="0" borderId="0">
      <alignment vertical="center"/>
    </xf>
    <xf numFmtId="0" fontId="13" fillId="0" borderId="0">
      <alignment vertical="center"/>
    </xf>
    <xf numFmtId="0" fontId="18" fillId="0" borderId="0">
      <alignment vertical="center"/>
    </xf>
    <xf numFmtId="38" fontId="18" fillId="0" borderId="0" applyFont="0" applyFill="0" applyBorder="0" applyAlignment="0" applyProtection="0">
      <alignment vertical="center"/>
    </xf>
    <xf numFmtId="0" fontId="18" fillId="0" borderId="0">
      <alignment vertical="center"/>
    </xf>
    <xf numFmtId="9" fontId="18" fillId="0" borderId="0" applyFont="0" applyFill="0" applyBorder="0" applyAlignment="0" applyProtection="0">
      <alignment vertical="center"/>
    </xf>
    <xf numFmtId="0" fontId="20" fillId="0" borderId="0">
      <alignment vertical="center"/>
    </xf>
    <xf numFmtId="0" fontId="19" fillId="10" borderId="0" applyNumberFormat="0" applyFont="0" applyBorder="0" applyAlignment="0" applyProtection="0"/>
    <xf numFmtId="168" fontId="21" fillId="11" borderId="0"/>
    <xf numFmtId="0" fontId="22" fillId="12" borderId="0" applyNumberFormat="0" applyBorder="0" applyAlignment="0">
      <alignment horizontal="center"/>
    </xf>
    <xf numFmtId="0" fontId="23" fillId="13" borderId="29">
      <alignment horizontal="center"/>
      <protection locked="0"/>
    </xf>
    <xf numFmtId="0" fontId="24" fillId="14" borderId="0" applyNumberFormat="0" applyFont="0" applyBorder="0" applyAlignment="0" applyProtection="0"/>
    <xf numFmtId="2" fontId="2" fillId="15" borderId="27" applyNumberFormat="0" applyBorder="0">
      <alignment horizontal="right" vertical="center"/>
    </xf>
    <xf numFmtId="2" fontId="25" fillId="16" borderId="30" applyBorder="0">
      <alignment horizontal="left" vertical="center"/>
    </xf>
    <xf numFmtId="10" fontId="26" fillId="6" borderId="0" applyBorder="0">
      <alignment horizontal="right"/>
      <protection locked="0"/>
    </xf>
    <xf numFmtId="15" fontId="26" fillId="6" borderId="26" applyBorder="0">
      <alignment horizontal="center"/>
      <protection locked="0"/>
    </xf>
    <xf numFmtId="15" fontId="26" fillId="6" borderId="0" applyBorder="0">
      <alignment horizontal="left"/>
      <protection locked="0"/>
    </xf>
    <xf numFmtId="2" fontId="27" fillId="17" borderId="30" applyNumberFormat="0">
      <alignment horizontal="center" vertical="center"/>
    </xf>
    <xf numFmtId="173" fontId="28" fillId="18" borderId="2" applyBorder="0">
      <alignment horizontal="left"/>
      <protection locked="0"/>
    </xf>
    <xf numFmtId="173" fontId="28" fillId="18" borderId="31" applyBorder="0">
      <alignment horizontal="right"/>
      <protection locked="0"/>
    </xf>
    <xf numFmtId="164" fontId="2" fillId="0" borderId="0" applyFont="0" applyFill="0" applyBorder="0" applyAlignment="0" applyProtection="0"/>
    <xf numFmtId="166" fontId="2" fillId="0" borderId="0" applyFont="0" applyFill="0" applyBorder="0" applyAlignment="0" applyProtection="0"/>
    <xf numFmtId="0" fontId="29" fillId="19" borderId="0" applyNumberFormat="0" applyFont="0" applyBorder="0" applyAlignment="0" applyProtection="0"/>
    <xf numFmtId="0" fontId="29" fillId="20" borderId="0" applyNumberFormat="0" applyFont="0" applyBorder="0" applyAlignment="0" applyProtection="0"/>
    <xf numFmtId="0" fontId="29" fillId="21" borderId="0" applyNumberFormat="0" applyFont="0" applyBorder="0" applyAlignment="0" applyProtection="0">
      <alignment horizontal="center"/>
    </xf>
    <xf numFmtId="0" fontId="29" fillId="22" borderId="32" applyNumberFormat="0" applyFont="0" applyBorder="0" applyAlignment="0" applyProtection="0"/>
    <xf numFmtId="0" fontId="29" fillId="23" borderId="32" applyNumberFormat="0" applyFont="0" applyBorder="0" applyAlignment="0"/>
    <xf numFmtId="0" fontId="29" fillId="24" borderId="32" applyNumberFormat="0" applyFont="0" applyBorder="0" applyAlignment="0"/>
    <xf numFmtId="0" fontId="19" fillId="25" borderId="0" applyNumberFormat="0" applyFont="0" applyBorder="0" applyAlignment="0" applyProtection="0">
      <alignment horizontal="center"/>
      <protection hidden="1"/>
    </xf>
    <xf numFmtId="0" fontId="2" fillId="10" borderId="0" applyNumberFormat="0" applyFont="0" applyBorder="0" applyAlignment="0" applyProtection="0">
      <protection hidden="1"/>
    </xf>
    <xf numFmtId="0" fontId="2" fillId="26" borderId="0" applyNumberFormat="0" applyFont="0" applyBorder="0" applyAlignment="0" applyProtection="0">
      <protection hidden="1"/>
    </xf>
    <xf numFmtId="0" fontId="2" fillId="27" borderId="0" applyNumberFormat="0" applyFont="0" applyBorder="0" applyAlignment="0" applyProtection="0">
      <protection hidden="1"/>
    </xf>
    <xf numFmtId="0" fontId="2" fillId="28" borderId="0" applyNumberFormat="0" applyFont="0" applyBorder="0" applyAlignment="0" applyProtection="0">
      <protection hidden="1"/>
    </xf>
    <xf numFmtId="0" fontId="2" fillId="29" borderId="0" applyNumberFormat="0" applyFont="0" applyBorder="0" applyAlignment="0" applyProtection="0">
      <protection hidden="1"/>
    </xf>
    <xf numFmtId="0" fontId="2" fillId="30" borderId="0" applyNumberFormat="0" applyFont="0" applyBorder="0" applyAlignment="0" applyProtection="0">
      <protection hidden="1"/>
    </xf>
    <xf numFmtId="174" fontId="30" fillId="0" borderId="28" applyBorder="0">
      <alignment horizontal="center"/>
      <protection locked="0"/>
    </xf>
    <xf numFmtId="0" fontId="2" fillId="0" borderId="0">
      <alignment horizontal="left" wrapText="1"/>
    </xf>
    <xf numFmtId="9" fontId="18" fillId="0" borderId="0" applyFont="0" applyFill="0" applyBorder="0" applyAlignment="0" applyProtection="0">
      <alignment vertical="center"/>
    </xf>
    <xf numFmtId="38" fontId="18" fillId="0" borderId="0" applyFont="0" applyFill="0" applyBorder="0" applyAlignment="0" applyProtection="0">
      <alignment vertical="center"/>
    </xf>
    <xf numFmtId="175" fontId="2" fillId="0" borderId="0" applyFont="0" applyFill="0" applyBorder="0" applyAlignment="0" applyProtection="0"/>
    <xf numFmtId="0" fontId="18" fillId="0" borderId="0">
      <alignment vertical="center"/>
    </xf>
    <xf numFmtId="0" fontId="31" fillId="0" borderId="0">
      <alignment vertical="center"/>
    </xf>
    <xf numFmtId="0" fontId="13" fillId="0" borderId="0">
      <alignment vertical="center"/>
    </xf>
    <xf numFmtId="38" fontId="13" fillId="0" borderId="0" applyFont="0" applyFill="0" applyBorder="0" applyAlignment="0" applyProtection="0">
      <alignment vertical="center"/>
    </xf>
    <xf numFmtId="9" fontId="13" fillId="0" borderId="0" applyFont="0" applyFill="0" applyBorder="0" applyAlignment="0" applyProtection="0">
      <alignment vertical="center"/>
    </xf>
  </cellStyleXfs>
  <cellXfs count="259">
    <xf numFmtId="0" fontId="0" fillId="0" borderId="0" xfId="0"/>
    <xf numFmtId="0" fontId="11" fillId="0" borderId="0" xfId="0" applyFont="1"/>
    <xf numFmtId="0" fontId="12" fillId="0" borderId="0" xfId="0" applyFont="1"/>
    <xf numFmtId="0" fontId="0" fillId="0" borderId="0" xfId="0" applyBorder="1"/>
    <xf numFmtId="0" fontId="0" fillId="0" borderId="0" xfId="0" applyFill="1" applyBorder="1" applyAlignment="1">
      <alignment horizontal="center" vertical="center"/>
    </xf>
    <xf numFmtId="0" fontId="12" fillId="0" borderId="0" xfId="0" applyFont="1" applyFill="1" applyBorder="1"/>
    <xf numFmtId="0" fontId="0" fillId="0" borderId="0" xfId="0" applyFill="1" applyBorder="1"/>
    <xf numFmtId="0" fontId="12" fillId="0" borderId="0" xfId="0" applyFont="1" applyFill="1" applyBorder="1" applyAlignment="1">
      <alignment horizontal="left"/>
    </xf>
    <xf numFmtId="0" fontId="0" fillId="0" borderId="0" xfId="0" applyFont="1" applyFill="1" applyBorder="1"/>
    <xf numFmtId="0" fontId="15" fillId="0" borderId="0" xfId="0" applyFont="1" applyAlignment="1">
      <alignment horizontal="center" vertical="center"/>
    </xf>
    <xf numFmtId="4" fontId="0" fillId="0" borderId="0" xfId="0" applyNumberFormat="1"/>
    <xf numFmtId="0" fontId="1" fillId="0" borderId="0" xfId="0" applyFont="1" applyAlignment="1">
      <alignment horizontal="center" vertical="center"/>
    </xf>
    <xf numFmtId="0" fontId="0" fillId="7" borderId="3" xfId="0" applyFill="1" applyBorder="1"/>
    <xf numFmtId="0" fontId="0" fillId="7" borderId="4" xfId="0" applyFill="1" applyBorder="1"/>
    <xf numFmtId="0" fontId="0" fillId="7" borderId="5" xfId="0" applyFill="1" applyBorder="1"/>
    <xf numFmtId="0" fontId="0" fillId="8" borderId="4" xfId="0" applyFill="1" applyBorder="1"/>
    <xf numFmtId="0" fontId="1" fillId="8" borderId="4" xfId="0" applyFont="1" applyFill="1" applyBorder="1" applyAlignment="1">
      <alignment horizontal="center" vertical="center"/>
    </xf>
    <xf numFmtId="0" fontId="0" fillId="8" borderId="4" xfId="0" applyFill="1" applyBorder="1" applyAlignment="1">
      <alignment horizontal="center" vertical="center"/>
    </xf>
    <xf numFmtId="0" fontId="0" fillId="8" borderId="5" xfId="0" applyFill="1" applyBorder="1" applyAlignment="1">
      <alignment horizontal="center" vertical="center"/>
    </xf>
    <xf numFmtId="0" fontId="1" fillId="8" borderId="3" xfId="0" applyFont="1" applyFill="1" applyBorder="1" applyAlignment="1">
      <alignment horizontal="center" vertical="center"/>
    </xf>
    <xf numFmtId="0" fontId="0" fillId="8" borderId="18" xfId="0" applyFill="1" applyBorder="1" applyAlignment="1">
      <alignment horizontal="center" vertical="center"/>
    </xf>
    <xf numFmtId="0" fontId="0" fillId="8" borderId="12" xfId="0" quotePrefix="1" applyFont="1" applyFill="1" applyBorder="1" applyAlignment="1">
      <alignment horizontal="center" vertical="center"/>
    </xf>
    <xf numFmtId="0" fontId="0" fillId="8" borderId="13" xfId="0" quotePrefix="1" applyFont="1" applyFill="1" applyBorder="1" applyAlignment="1">
      <alignment horizontal="center" vertical="center"/>
    </xf>
    <xf numFmtId="0" fontId="0" fillId="8" borderId="0" xfId="0" applyFill="1" applyBorder="1" applyAlignment="1">
      <alignment horizontal="center" vertical="center"/>
    </xf>
    <xf numFmtId="0" fontId="0" fillId="8" borderId="7" xfId="0" applyFill="1" applyBorder="1" applyAlignment="1">
      <alignment horizontal="center" vertical="center"/>
    </xf>
    <xf numFmtId="0" fontId="0" fillId="8" borderId="0" xfId="0" quotePrefix="1" applyFont="1" applyFill="1" applyBorder="1" applyAlignment="1">
      <alignment horizontal="center" vertical="center"/>
    </xf>
    <xf numFmtId="0" fontId="0" fillId="8" borderId="7" xfId="0" quotePrefix="1" applyFont="1" applyFill="1" applyBorder="1" applyAlignment="1">
      <alignment horizontal="center" vertical="center"/>
    </xf>
    <xf numFmtId="0" fontId="0" fillId="8" borderId="10" xfId="0" applyFill="1" applyBorder="1" applyAlignment="1">
      <alignment horizontal="center" vertical="center"/>
    </xf>
    <xf numFmtId="0" fontId="0" fillId="8" borderId="9" xfId="0" applyFill="1" applyBorder="1" applyAlignment="1">
      <alignment horizontal="center" vertical="center"/>
    </xf>
    <xf numFmtId="0" fontId="8" fillId="7" borderId="5" xfId="0" applyFont="1" applyFill="1" applyBorder="1" applyAlignment="1">
      <alignment horizontal="center" vertical="center"/>
    </xf>
    <xf numFmtId="0" fontId="5" fillId="8" borderId="4" xfId="0" applyFont="1" applyFill="1" applyBorder="1" applyAlignment="1">
      <alignment horizontal="center" vertical="center"/>
    </xf>
    <xf numFmtId="0" fontId="7"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7" fillId="8" borderId="3" xfId="0" applyFont="1" applyFill="1" applyBorder="1" applyAlignment="1">
      <alignment horizontal="center" vertical="center"/>
    </xf>
    <xf numFmtId="0" fontId="0" fillId="8" borderId="3" xfId="0" applyFill="1" applyBorder="1" applyAlignment="1">
      <alignment horizontal="center" vertical="center"/>
    </xf>
    <xf numFmtId="3" fontId="8" fillId="8" borderId="3" xfId="0" applyNumberFormat="1" applyFont="1" applyFill="1" applyBorder="1" applyAlignment="1">
      <alignment horizontal="center" vertical="center"/>
    </xf>
    <xf numFmtId="172" fontId="0" fillId="8" borderId="4" xfId="0" applyNumberFormat="1" applyFill="1" applyBorder="1" applyAlignment="1">
      <alignment horizontal="center" vertical="center"/>
    </xf>
    <xf numFmtId="172" fontId="0" fillId="8" borderId="5" xfId="0" applyNumberFormat="1" applyFill="1" applyBorder="1" applyAlignment="1">
      <alignment horizontal="center" vertical="center"/>
    </xf>
    <xf numFmtId="0" fontId="0" fillId="8" borderId="25" xfId="0" quotePrefix="1" applyFont="1" applyFill="1" applyBorder="1" applyAlignment="1">
      <alignment horizontal="center" vertical="center"/>
    </xf>
    <xf numFmtId="0" fontId="0" fillId="8" borderId="17" xfId="0" applyFill="1" applyBorder="1" applyAlignment="1">
      <alignment horizontal="center" vertical="center"/>
    </xf>
    <xf numFmtId="0" fontId="0" fillId="8" borderId="17" xfId="0" quotePrefix="1" applyFont="1" applyFill="1" applyBorder="1" applyAlignment="1">
      <alignment horizontal="center" vertical="center"/>
    </xf>
    <xf numFmtId="172" fontId="0" fillId="8" borderId="18" xfId="0" applyNumberFormat="1" applyFill="1" applyBorder="1" applyAlignment="1">
      <alignment horizontal="center" vertical="center"/>
    </xf>
    <xf numFmtId="172" fontId="8" fillId="8" borderId="6" xfId="11" quotePrefix="1" applyNumberFormat="1" applyFont="1" applyFill="1" applyBorder="1" applyAlignment="1">
      <alignment horizontal="center" vertical="center"/>
    </xf>
    <xf numFmtId="15" fontId="8" fillId="8" borderId="0" xfId="11" quotePrefix="1" applyNumberFormat="1" applyFont="1" applyFill="1" applyBorder="1" applyAlignment="1">
      <alignment horizontal="center" vertical="center"/>
    </xf>
    <xf numFmtId="169" fontId="8" fillId="8" borderId="0" xfId="10" quotePrefix="1" applyNumberFormat="1" applyFont="1" applyFill="1" applyBorder="1" applyAlignment="1">
      <alignment horizontal="center" vertical="center"/>
    </xf>
    <xf numFmtId="172" fontId="8" fillId="8" borderId="6" xfId="11" applyNumberFormat="1" applyFont="1" applyFill="1" applyBorder="1" applyAlignment="1">
      <alignment horizontal="center" vertical="center"/>
    </xf>
    <xf numFmtId="15" fontId="8" fillId="8" borderId="0" xfId="11" applyNumberFormat="1" applyFont="1" applyFill="1" applyBorder="1" applyAlignment="1">
      <alignment horizontal="center" vertical="center"/>
    </xf>
    <xf numFmtId="169" fontId="8" fillId="8" borderId="0" xfId="10" applyNumberFormat="1" applyFont="1" applyFill="1" applyBorder="1" applyAlignment="1">
      <alignment horizontal="center" vertical="center"/>
    </xf>
    <xf numFmtId="0" fontId="8" fillId="9" borderId="6" xfId="11" applyFont="1" applyFill="1" applyBorder="1" applyAlignment="1">
      <alignment horizontal="center" vertical="center"/>
    </xf>
    <xf numFmtId="169" fontId="8" fillId="8" borderId="0" xfId="11" applyNumberFormat="1" applyFont="1" applyFill="1" applyBorder="1" applyAlignment="1">
      <alignment horizontal="center" vertical="center"/>
    </xf>
    <xf numFmtId="0" fontId="0" fillId="8" borderId="6" xfId="0" applyFill="1" applyBorder="1" applyAlignment="1">
      <alignment horizontal="center"/>
    </xf>
    <xf numFmtId="0" fontId="0" fillId="8" borderId="0" xfId="0" applyFill="1" applyBorder="1" applyAlignment="1">
      <alignment horizontal="center"/>
    </xf>
    <xf numFmtId="0" fontId="0" fillId="8" borderId="8" xfId="0" applyFill="1" applyBorder="1" applyAlignment="1">
      <alignment horizontal="center"/>
    </xf>
    <xf numFmtId="0" fontId="0" fillId="8" borderId="10" xfId="0" applyFill="1" applyBorder="1" applyAlignment="1">
      <alignment horizontal="center"/>
    </xf>
    <xf numFmtId="0" fontId="0" fillId="7" borderId="4" xfId="0" applyFill="1" applyBorder="1" applyAlignment="1">
      <alignment horizontal="center" vertical="center"/>
    </xf>
    <xf numFmtId="0" fontId="8" fillId="7" borderId="3" xfId="0" applyFont="1" applyFill="1" applyBorder="1"/>
    <xf numFmtId="0" fontId="8" fillId="7" borderId="4" xfId="0" applyFont="1" applyFill="1" applyBorder="1"/>
    <xf numFmtId="0" fontId="0" fillId="7" borderId="4" xfId="0" applyFont="1" applyFill="1" applyBorder="1"/>
    <xf numFmtId="0" fontId="0" fillId="7" borderId="18" xfId="0" applyFont="1" applyFill="1" applyBorder="1"/>
    <xf numFmtId="0" fontId="12" fillId="7" borderId="4" xfId="0" applyFont="1" applyFill="1" applyBorder="1"/>
    <xf numFmtId="0" fontId="1" fillId="7" borderId="4" xfId="0" applyFont="1" applyFill="1" applyBorder="1" applyAlignment="1">
      <alignment horizontal="center" vertical="center"/>
    </xf>
    <xf numFmtId="0" fontId="0" fillId="7" borderId="5" xfId="0" applyFill="1" applyBorder="1" applyAlignment="1">
      <alignment horizontal="center" vertical="center"/>
    </xf>
    <xf numFmtId="0" fontId="8" fillId="7" borderId="5" xfId="0" applyFont="1" applyFill="1" applyBorder="1"/>
    <xf numFmtId="0" fontId="0" fillId="7" borderId="5" xfId="0" applyFont="1" applyFill="1" applyBorder="1"/>
    <xf numFmtId="0" fontId="1" fillId="7" borderId="3" xfId="0" applyFont="1" applyFill="1" applyBorder="1" applyAlignment="1">
      <alignment horizontal="center" vertical="center"/>
    </xf>
    <xf numFmtId="0" fontId="0" fillId="7" borderId="18" xfId="0" applyFill="1" applyBorder="1" applyAlignment="1">
      <alignment horizontal="center" vertical="center"/>
    </xf>
    <xf numFmtId="0" fontId="0" fillId="7" borderId="3" xfId="0" applyFont="1" applyFill="1" applyBorder="1"/>
    <xf numFmtId="0" fontId="1" fillId="7" borderId="22" xfId="0" applyFont="1" applyFill="1" applyBorder="1" applyAlignment="1">
      <alignment horizontal="center" vertical="center"/>
    </xf>
    <xf numFmtId="0" fontId="1" fillId="7" borderId="21" xfId="0" applyFont="1" applyFill="1" applyBorder="1" applyAlignment="1">
      <alignment horizontal="center" vertical="center"/>
    </xf>
    <xf numFmtId="0" fontId="1" fillId="7" borderId="20" xfId="0" applyFont="1" applyFill="1" applyBorder="1" applyAlignment="1">
      <alignment horizontal="center" vertical="center"/>
    </xf>
    <xf numFmtId="0" fontId="14"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3" xfId="0" applyFont="1" applyFill="1" applyBorder="1" applyAlignment="1">
      <alignment vertical="center"/>
    </xf>
    <xf numFmtId="0" fontId="8" fillId="7" borderId="4" xfId="0" applyFont="1" applyFill="1" applyBorder="1" applyAlignment="1">
      <alignment vertical="center"/>
    </xf>
    <xf numFmtId="0" fontId="14" fillId="7" borderId="22" xfId="0" applyFont="1" applyFill="1" applyBorder="1" applyAlignment="1">
      <alignment horizontal="center" vertical="center"/>
    </xf>
    <xf numFmtId="0" fontId="14" fillId="7" borderId="21" xfId="0" applyFont="1" applyFill="1" applyBorder="1" applyAlignment="1">
      <alignment horizontal="center" vertical="center"/>
    </xf>
    <xf numFmtId="0" fontId="14" fillId="7" borderId="20" xfId="0" applyFont="1" applyFill="1" applyBorder="1" applyAlignment="1">
      <alignment horizontal="center" vertical="center"/>
    </xf>
    <xf numFmtId="0" fontId="8" fillId="7" borderId="23" xfId="0" applyFont="1" applyFill="1" applyBorder="1"/>
    <xf numFmtId="0" fontId="8" fillId="7" borderId="19" xfId="0" applyFont="1" applyFill="1" applyBorder="1"/>
    <xf numFmtId="0" fontId="8" fillId="7" borderId="18" xfId="0" applyFont="1" applyFill="1" applyBorder="1"/>
    <xf numFmtId="0" fontId="1" fillId="8" borderId="25" xfId="0" applyFont="1" applyFill="1" applyBorder="1" applyAlignment="1">
      <alignment horizontal="center" vertical="center"/>
    </xf>
    <xf numFmtId="0" fontId="1" fillId="8" borderId="24" xfId="0" applyFont="1" applyFill="1" applyBorder="1" applyAlignment="1">
      <alignment horizontal="center" vertical="center"/>
    </xf>
    <xf numFmtId="172" fontId="0" fillId="8" borderId="17" xfId="0" applyNumberFormat="1" applyFill="1" applyBorder="1" applyAlignment="1">
      <alignment horizontal="center" vertical="center"/>
    </xf>
    <xf numFmtId="3" fontId="5" fillId="8" borderId="16" xfId="0" applyNumberFormat="1" applyFont="1" applyFill="1" applyBorder="1" applyAlignment="1">
      <alignment horizontal="center" vertical="center"/>
    </xf>
    <xf numFmtId="172" fontId="0" fillId="8" borderId="15" xfId="0" applyNumberFormat="1" applyFill="1" applyBorder="1" applyAlignment="1">
      <alignment horizontal="center" vertical="center"/>
    </xf>
    <xf numFmtId="3" fontId="5" fillId="8" borderId="14" xfId="0" applyNumberFormat="1" applyFont="1" applyFill="1" applyBorder="1" applyAlignment="1">
      <alignment horizontal="center" vertical="center"/>
    </xf>
    <xf numFmtId="0" fontId="8" fillId="8" borderId="4" xfId="0" applyFont="1" applyFill="1" applyBorder="1" applyAlignment="1">
      <alignment horizontal="center" vertical="center"/>
    </xf>
    <xf numFmtId="0" fontId="0" fillId="8" borderId="6" xfId="0" applyFill="1" applyBorder="1" applyAlignment="1">
      <alignment horizontal="center" vertical="center"/>
    </xf>
    <xf numFmtId="168" fontId="0" fillId="8" borderId="0" xfId="0" applyNumberFormat="1" applyFill="1" applyBorder="1" applyAlignment="1">
      <alignment horizontal="center" vertical="center"/>
    </xf>
    <xf numFmtId="15" fontId="0" fillId="8" borderId="0" xfId="0" applyNumberFormat="1" applyFill="1" applyBorder="1" applyAlignment="1">
      <alignment horizontal="center" vertical="center"/>
    </xf>
    <xf numFmtId="15" fontId="5" fillId="8" borderId="7" xfId="0" applyNumberFormat="1" applyFont="1" applyFill="1" applyBorder="1" applyAlignment="1">
      <alignment horizontal="center" vertical="center"/>
    </xf>
    <xf numFmtId="0" fontId="0" fillId="8" borderId="8" xfId="0" applyFill="1" applyBorder="1" applyAlignment="1">
      <alignment horizontal="center" vertical="center"/>
    </xf>
    <xf numFmtId="168" fontId="0" fillId="8" borderId="10" xfId="0" applyNumberFormat="1" applyFill="1" applyBorder="1" applyAlignment="1">
      <alignment horizontal="center" vertical="center"/>
    </xf>
    <xf numFmtId="15" fontId="0" fillId="8" borderId="10" xfId="0" applyNumberFormat="1" applyFill="1" applyBorder="1" applyAlignment="1">
      <alignment horizontal="center" vertical="center"/>
    </xf>
    <xf numFmtId="15" fontId="5" fillId="8" borderId="9" xfId="0" applyNumberFormat="1" applyFont="1" applyFill="1" applyBorder="1" applyAlignment="1">
      <alignment horizontal="center" vertical="center"/>
    </xf>
    <xf numFmtId="15" fontId="5" fillId="8" borderId="11" xfId="0" applyNumberFormat="1" applyFont="1" applyFill="1" applyBorder="1" applyAlignment="1">
      <alignment horizontal="center" vertical="center"/>
    </xf>
    <xf numFmtId="168" fontId="0" fillId="8" borderId="13" xfId="0" applyNumberFormat="1" applyFill="1" applyBorder="1" applyAlignment="1">
      <alignment horizontal="center" vertical="center"/>
    </xf>
    <xf numFmtId="15" fontId="5" fillId="8" borderId="6" xfId="0" applyNumberFormat="1" applyFont="1" applyFill="1" applyBorder="1" applyAlignment="1">
      <alignment horizontal="center" vertical="center"/>
    </xf>
    <xf numFmtId="168" fontId="0" fillId="8" borderId="7" xfId="0" applyNumberFormat="1" applyFill="1" applyBorder="1" applyAlignment="1">
      <alignment horizontal="center" vertical="center"/>
    </xf>
    <xf numFmtId="0" fontId="5" fillId="8" borderId="6" xfId="0" applyFont="1" applyFill="1" applyBorder="1" applyAlignment="1">
      <alignment horizontal="center" vertical="center"/>
    </xf>
    <xf numFmtId="0" fontId="5" fillId="8" borderId="8" xfId="0" applyFont="1" applyFill="1" applyBorder="1" applyAlignment="1">
      <alignment horizontal="center" vertical="center"/>
    </xf>
    <xf numFmtId="0" fontId="7" fillId="8" borderId="23" xfId="0" applyFont="1" applyFill="1" applyBorder="1" applyAlignment="1">
      <alignment horizontal="center" vertical="center"/>
    </xf>
    <xf numFmtId="0" fontId="0" fillId="8" borderId="19" xfId="0" applyFill="1" applyBorder="1" applyAlignment="1">
      <alignment horizontal="center" vertical="center"/>
    </xf>
    <xf numFmtId="172" fontId="0" fillId="8" borderId="7" xfId="0" applyNumberFormat="1" applyFill="1" applyBorder="1" applyAlignment="1">
      <alignment horizontal="center" vertical="center"/>
    </xf>
    <xf numFmtId="172" fontId="0" fillId="8" borderId="9" xfId="0" applyNumberFormat="1" applyFill="1" applyBorder="1" applyAlignment="1">
      <alignment horizontal="center" vertical="center"/>
    </xf>
    <xf numFmtId="15" fontId="8" fillId="8" borderId="4" xfId="0" applyNumberFormat="1" applyFont="1" applyFill="1" applyBorder="1" applyAlignment="1">
      <alignment horizontal="center" vertical="center"/>
    </xf>
    <xf numFmtId="0" fontId="8" fillId="8" borderId="19" xfId="0" applyFont="1" applyFill="1" applyBorder="1" applyAlignment="1">
      <alignment horizontal="center" vertical="center"/>
    </xf>
    <xf numFmtId="0" fontId="8" fillId="8" borderId="18" xfId="0" applyFont="1" applyFill="1" applyBorder="1" applyAlignment="1">
      <alignment horizontal="center" vertical="center"/>
    </xf>
    <xf numFmtId="0" fontId="8" fillId="8" borderId="5" xfId="0" applyFont="1" applyFill="1" applyBorder="1" applyAlignment="1">
      <alignment horizontal="center" vertical="center"/>
    </xf>
    <xf numFmtId="0" fontId="6" fillId="5" borderId="4" xfId="0" applyFont="1" applyFill="1" applyBorder="1" applyAlignment="1">
      <alignment horizontal="center" vertical="center"/>
    </xf>
    <xf numFmtId="15" fontId="5" fillId="8" borderId="3" xfId="0" applyNumberFormat="1" applyFont="1" applyFill="1" applyBorder="1" applyAlignment="1">
      <alignment horizontal="center" vertical="center"/>
    </xf>
    <xf numFmtId="0" fontId="8" fillId="0" borderId="0" xfId="0" applyFont="1"/>
    <xf numFmtId="0" fontId="0" fillId="0" borderId="0" xfId="0" applyFont="1" applyAlignment="1">
      <alignment horizontal="center" vertical="center"/>
    </xf>
    <xf numFmtId="0" fontId="17" fillId="0" borderId="0" xfId="0" applyFont="1" applyAlignment="1">
      <alignment horizontal="center" vertical="center"/>
    </xf>
    <xf numFmtId="0" fontId="0" fillId="0" borderId="0" xfId="0" applyFont="1"/>
    <xf numFmtId="0" fontId="5" fillId="0" borderId="0" xfId="0" applyFont="1"/>
    <xf numFmtId="0" fontId="33" fillId="0" borderId="0" xfId="0" applyFont="1" applyAlignment="1">
      <alignment horizontal="left" vertical="center"/>
    </xf>
    <xf numFmtId="0" fontId="32" fillId="0" borderId="0" xfId="0" applyFont="1" applyAlignment="1">
      <alignment horizontal="left" vertical="center"/>
    </xf>
    <xf numFmtId="0" fontId="9" fillId="0" borderId="0" xfId="0" applyFont="1" applyAlignment="1">
      <alignment horizontal="center" vertical="center"/>
    </xf>
    <xf numFmtId="0" fontId="0" fillId="4" borderId="11" xfId="0" applyFont="1" applyFill="1" applyBorder="1"/>
    <xf numFmtId="0" fontId="0" fillId="4" borderId="6" xfId="0" applyFont="1" applyFill="1" applyBorder="1"/>
    <xf numFmtId="0" fontId="0" fillId="4" borderId="8" xfId="0" applyFont="1" applyFill="1" applyBorder="1"/>
    <xf numFmtId="0" fontId="8" fillId="31" borderId="11" xfId="0" applyFont="1" applyFill="1" applyBorder="1"/>
    <xf numFmtId="0" fontId="8" fillId="31" borderId="6" xfId="0" applyFont="1" applyFill="1" applyBorder="1"/>
    <xf numFmtId="0" fontId="8" fillId="31" borderId="8" xfId="0" applyFont="1" applyFill="1" applyBorder="1"/>
    <xf numFmtId="0" fontId="8" fillId="8" borderId="3" xfId="0" applyFont="1" applyFill="1" applyBorder="1" applyAlignment="1">
      <alignment horizontal="center" vertical="center"/>
    </xf>
    <xf numFmtId="0" fontId="8" fillId="8" borderId="11" xfId="0" applyFont="1" applyFill="1" applyBorder="1" applyAlignment="1">
      <alignment horizontal="left" vertical="center"/>
    </xf>
    <xf numFmtId="0" fontId="8" fillId="8" borderId="12" xfId="0" applyFont="1" applyFill="1" applyBorder="1" applyAlignment="1">
      <alignment horizontal="left" vertical="center"/>
    </xf>
    <xf numFmtId="0" fontId="8" fillId="8" borderId="13" xfId="0" applyFont="1" applyFill="1" applyBorder="1" applyAlignment="1">
      <alignment horizontal="left" vertical="center"/>
    </xf>
    <xf numFmtId="15" fontId="8" fillId="8" borderId="6" xfId="0" applyNumberFormat="1" applyFont="1" applyFill="1" applyBorder="1" applyAlignment="1">
      <alignment horizontal="left" vertical="center"/>
    </xf>
    <xf numFmtId="15" fontId="8" fillId="8" borderId="0" xfId="0" applyNumberFormat="1" applyFont="1" applyFill="1" applyBorder="1" applyAlignment="1">
      <alignment horizontal="left" vertical="center"/>
    </xf>
    <xf numFmtId="15" fontId="8" fillId="8" borderId="7" xfId="0" applyNumberFormat="1" applyFont="1" applyFill="1" applyBorder="1" applyAlignment="1">
      <alignment horizontal="left" vertical="center"/>
    </xf>
    <xf numFmtId="0" fontId="8" fillId="8" borderId="6" xfId="0" applyFont="1" applyFill="1" applyBorder="1" applyAlignment="1">
      <alignment horizontal="left" vertical="center"/>
    </xf>
    <xf numFmtId="0" fontId="8" fillId="8" borderId="0" xfId="0" applyFont="1" applyFill="1" applyBorder="1" applyAlignment="1">
      <alignment horizontal="left" vertical="center"/>
    </xf>
    <xf numFmtId="0" fontId="8" fillId="8" borderId="7" xfId="0" applyFont="1" applyFill="1" applyBorder="1" applyAlignment="1">
      <alignment horizontal="left" vertical="center"/>
    </xf>
    <xf numFmtId="0" fontId="8" fillId="8" borderId="8" xfId="0" applyFont="1" applyFill="1" applyBorder="1" applyAlignment="1">
      <alignment horizontal="left" vertical="center"/>
    </xf>
    <xf numFmtId="0" fontId="8" fillId="8" borderId="10" xfId="0" applyFont="1" applyFill="1" applyBorder="1" applyAlignment="1">
      <alignment horizontal="left" vertical="center"/>
    </xf>
    <xf numFmtId="0" fontId="8" fillId="8" borderId="9" xfId="0" applyFont="1" applyFill="1" applyBorder="1" applyAlignment="1">
      <alignment horizontal="left" vertical="center"/>
    </xf>
    <xf numFmtId="0" fontId="35" fillId="0" borderId="0" xfId="0" applyFont="1"/>
    <xf numFmtId="0" fontId="36" fillId="0" borderId="0" xfId="0" applyFont="1" applyFill="1" applyAlignment="1">
      <alignment horizontal="left" vertical="center"/>
    </xf>
    <xf numFmtId="0" fontId="16" fillId="0" borderId="0" xfId="0" applyFont="1"/>
    <xf numFmtId="9" fontId="16" fillId="0" borderId="0" xfId="0" applyNumberFormat="1" applyFont="1"/>
    <xf numFmtId="15" fontId="7" fillId="8" borderId="4" xfId="0" applyNumberFormat="1" applyFont="1" applyFill="1" applyBorder="1" applyAlignment="1">
      <alignment horizontal="center" vertical="center"/>
    </xf>
    <xf numFmtId="0" fontId="14" fillId="0" borderId="0" xfId="0" applyFont="1" applyAlignment="1">
      <alignment horizontal="center" vertical="center"/>
    </xf>
    <xf numFmtId="0" fontId="37" fillId="0" borderId="0" xfId="0" applyFont="1" applyAlignment="1">
      <alignment horizontal="center" vertical="center"/>
    </xf>
    <xf numFmtId="0" fontId="37" fillId="0" borderId="0" xfId="0" applyFont="1" applyBorder="1" applyAlignment="1">
      <alignment horizontal="center" vertical="center"/>
    </xf>
    <xf numFmtId="0" fontId="38" fillId="0" borderId="0" xfId="0" applyFont="1" applyAlignment="1">
      <alignment horizontal="center" vertical="center"/>
    </xf>
    <xf numFmtId="10" fontId="0" fillId="8" borderId="15" xfId="0" applyNumberFormat="1" applyFill="1" applyBorder="1" applyAlignment="1">
      <alignment horizontal="center" vertical="center"/>
    </xf>
    <xf numFmtId="0" fontId="35" fillId="0" borderId="0" xfId="0" applyFont="1" applyAlignment="1">
      <alignment horizontal="center" vertical="center"/>
    </xf>
    <xf numFmtId="0" fontId="16" fillId="0" borderId="0" xfId="0" applyFont="1" applyAlignment="1">
      <alignment horizontal="center" vertical="center"/>
    </xf>
    <xf numFmtId="0" fontId="8" fillId="7" borderId="4" xfId="0" applyFont="1" applyFill="1" applyBorder="1" applyAlignment="1">
      <alignment horizontal="left" vertical="center"/>
    </xf>
    <xf numFmtId="0" fontId="8" fillId="8" borderId="4" xfId="0" applyFont="1" applyFill="1" applyBorder="1" applyAlignment="1">
      <alignment horizontal="left" vertical="center"/>
    </xf>
    <xf numFmtId="0" fontId="35" fillId="7" borderId="4" xfId="0" applyFont="1" applyFill="1" applyBorder="1"/>
    <xf numFmtId="0" fontId="9" fillId="31" borderId="3" xfId="0" applyFont="1" applyFill="1" applyBorder="1" applyAlignment="1">
      <alignment horizontal="left" vertical="center"/>
    </xf>
    <xf numFmtId="0" fontId="5" fillId="31" borderId="4" xfId="0" applyFont="1" applyFill="1" applyBorder="1" applyAlignment="1">
      <alignment horizontal="left" vertical="center"/>
    </xf>
    <xf numFmtId="0" fontId="0" fillId="31" borderId="4" xfId="0" quotePrefix="1" applyFont="1" applyFill="1" applyBorder="1" applyAlignment="1">
      <alignment horizontal="center" vertical="center"/>
    </xf>
    <xf numFmtId="0" fontId="0" fillId="31" borderId="5" xfId="0" quotePrefix="1" applyFont="1" applyFill="1" applyBorder="1" applyAlignment="1">
      <alignment horizontal="center" vertical="center"/>
    </xf>
    <xf numFmtId="0" fontId="5" fillId="31" borderId="4" xfId="0" quotePrefix="1" applyFont="1" applyFill="1" applyBorder="1" applyAlignment="1">
      <alignment horizontal="left" vertical="center"/>
    </xf>
    <xf numFmtId="0" fontId="9" fillId="31" borderId="4" xfId="0" applyFont="1" applyFill="1" applyBorder="1" applyAlignment="1">
      <alignment horizontal="left" vertical="center"/>
    </xf>
    <xf numFmtId="0" fontId="5" fillId="31" borderId="4" xfId="0" quotePrefix="1" applyFont="1" applyFill="1" applyBorder="1" applyAlignment="1">
      <alignment horizontal="center" vertical="center"/>
    </xf>
    <xf numFmtId="0" fontId="5" fillId="0" borderId="3" xfId="0" applyFont="1" applyFill="1" applyBorder="1" applyAlignment="1">
      <alignment horizontal="left" vertical="center"/>
    </xf>
    <xf numFmtId="0" fontId="5" fillId="0" borderId="4" xfId="0" applyFont="1" applyFill="1" applyBorder="1" applyAlignment="1">
      <alignment horizontal="left" vertical="center"/>
    </xf>
    <xf numFmtId="0" fontId="5" fillId="0" borderId="4" xfId="0" applyFont="1" applyFill="1" applyBorder="1" applyAlignment="1">
      <alignment horizontal="center" vertical="center"/>
    </xf>
    <xf numFmtId="0" fontId="5" fillId="0" borderId="5" xfId="0" quotePrefix="1" applyFont="1" applyFill="1" applyBorder="1" applyAlignment="1">
      <alignment horizontal="left" vertical="center"/>
    </xf>
    <xf numFmtId="0" fontId="5" fillId="0" borderId="5" xfId="0" quotePrefix="1" applyFont="1" applyFill="1" applyBorder="1" applyAlignment="1">
      <alignment horizontal="center" vertical="center"/>
    </xf>
    <xf numFmtId="0" fontId="5" fillId="0" borderId="4" xfId="0" quotePrefix="1" applyFont="1" applyFill="1" applyBorder="1" applyAlignment="1">
      <alignment horizontal="center" vertical="center"/>
    </xf>
    <xf numFmtId="0" fontId="37" fillId="0" borderId="12" xfId="0" applyFont="1" applyBorder="1" applyAlignment="1">
      <alignment horizontal="center" vertical="center"/>
    </xf>
    <xf numFmtId="0" fontId="37" fillId="0" borderId="10" xfId="0" applyFont="1" applyBorder="1" applyAlignment="1">
      <alignment horizontal="center" vertical="center"/>
    </xf>
    <xf numFmtId="0" fontId="37" fillId="4" borderId="12" xfId="0" applyFont="1" applyFill="1" applyBorder="1" applyAlignment="1">
      <alignment horizontal="center" vertical="center"/>
    </xf>
    <xf numFmtId="0" fontId="40" fillId="4" borderId="13" xfId="0" applyFont="1" applyFill="1" applyBorder="1" applyAlignment="1">
      <alignment horizontal="center" vertical="center"/>
    </xf>
    <xf numFmtId="0" fontId="37" fillId="4" borderId="0" xfId="0" applyFont="1" applyFill="1" applyBorder="1" applyAlignment="1">
      <alignment horizontal="center" vertical="center"/>
    </xf>
    <xf numFmtId="0" fontId="40" fillId="4" borderId="7" xfId="0" applyFont="1" applyFill="1" applyBorder="1" applyAlignment="1">
      <alignment horizontal="center" vertical="center"/>
    </xf>
    <xf numFmtId="0" fontId="40" fillId="4" borderId="9" xfId="0" applyFont="1" applyFill="1" applyBorder="1" applyAlignment="1">
      <alignment horizontal="center" vertical="center"/>
    </xf>
    <xf numFmtId="0" fontId="5" fillId="0" borderId="0" xfId="0" applyFont="1" applyAlignment="1">
      <alignment horizontal="center" vertical="center"/>
    </xf>
    <xf numFmtId="0" fontId="41" fillId="0" borderId="0" xfId="0" applyFont="1" applyAlignment="1">
      <alignment horizontal="center" vertical="center"/>
    </xf>
    <xf numFmtId="0" fontId="42" fillId="0" borderId="0" xfId="0" applyFont="1" applyAlignment="1">
      <alignment horizontal="center" vertical="center"/>
    </xf>
    <xf numFmtId="170" fontId="8" fillId="8" borderId="0" xfId="10" quotePrefix="1" applyNumberFormat="1" applyFont="1" applyFill="1" applyBorder="1" applyAlignment="1">
      <alignment horizontal="center" vertical="center"/>
    </xf>
    <xf numFmtId="170" fontId="8" fillId="8" borderId="0" xfId="10" applyNumberFormat="1" applyFont="1" applyFill="1" applyBorder="1" applyAlignment="1">
      <alignment horizontal="center" vertical="center"/>
    </xf>
    <xf numFmtId="170" fontId="8" fillId="8" borderId="0" xfId="11" applyNumberFormat="1" applyFont="1" applyFill="1" applyBorder="1" applyAlignment="1">
      <alignment horizontal="center" vertical="center"/>
    </xf>
    <xf numFmtId="170" fontId="0" fillId="8" borderId="0" xfId="0" applyNumberFormat="1" applyFill="1" applyBorder="1" applyAlignment="1">
      <alignment horizontal="center"/>
    </xf>
    <xf numFmtId="170" fontId="0" fillId="8" borderId="10" xfId="0" applyNumberFormat="1" applyFill="1" applyBorder="1" applyAlignment="1">
      <alignment horizontal="center"/>
    </xf>
    <xf numFmtId="4" fontId="8" fillId="8" borderId="6" xfId="11" quotePrefix="1" applyNumberFormat="1" applyFont="1" applyFill="1" applyBorder="1" applyAlignment="1">
      <alignment horizontal="center" vertical="center"/>
    </xf>
    <xf numFmtId="15" fontId="0" fillId="8" borderId="0" xfId="0" applyNumberFormat="1" applyFill="1" applyBorder="1" applyAlignment="1">
      <alignment horizontal="center"/>
    </xf>
    <xf numFmtId="15" fontId="0" fillId="8" borderId="10" xfId="0" applyNumberFormat="1" applyFill="1" applyBorder="1" applyAlignment="1">
      <alignment horizontal="center"/>
    </xf>
    <xf numFmtId="168" fontId="8" fillId="8" borderId="7" xfId="10" quotePrefix="1" applyNumberFormat="1" applyFont="1" applyFill="1" applyBorder="1" applyAlignment="1">
      <alignment horizontal="center" vertical="center"/>
    </xf>
    <xf numFmtId="168" fontId="8" fillId="8" borderId="7" xfId="10" applyNumberFormat="1" applyFont="1" applyFill="1" applyBorder="1" applyAlignment="1">
      <alignment horizontal="center" vertical="center"/>
    </xf>
    <xf numFmtId="168" fontId="0" fillId="8" borderId="7" xfId="0" applyNumberFormat="1" applyFill="1" applyBorder="1" applyAlignment="1">
      <alignment horizontal="center"/>
    </xf>
    <xf numFmtId="168" fontId="0" fillId="8" borderId="9" xfId="0" applyNumberFormat="1" applyFill="1" applyBorder="1" applyAlignment="1">
      <alignment horizontal="center"/>
    </xf>
    <xf numFmtId="172" fontId="0" fillId="8" borderId="4" xfId="0" quotePrefix="1" applyNumberFormat="1" applyFill="1" applyBorder="1" applyAlignment="1">
      <alignment horizontal="center" vertical="center"/>
    </xf>
    <xf numFmtId="0" fontId="40" fillId="0" borderId="12" xfId="0" applyFont="1" applyFill="1" applyBorder="1" applyAlignment="1">
      <alignment horizontal="center" vertical="center"/>
    </xf>
    <xf numFmtId="0" fontId="40" fillId="0" borderId="0" xfId="0" applyFont="1" applyFill="1" applyBorder="1" applyAlignment="1">
      <alignment horizontal="center" vertical="center"/>
    </xf>
    <xf numFmtId="0" fontId="40" fillId="0" borderId="10" xfId="0" applyFont="1" applyFill="1" applyBorder="1" applyAlignment="1">
      <alignment horizontal="center" vertical="center"/>
    </xf>
    <xf numFmtId="0" fontId="0" fillId="4" borderId="3" xfId="0" applyFont="1" applyFill="1" applyBorder="1"/>
    <xf numFmtId="0" fontId="0" fillId="4" borderId="4" xfId="0" applyFont="1" applyFill="1" applyBorder="1"/>
    <xf numFmtId="0" fontId="0" fillId="4" borderId="5" xfId="0" applyFont="1" applyFill="1" applyBorder="1"/>
    <xf numFmtId="0" fontId="39" fillId="0" borderId="0" xfId="0" applyFont="1" applyAlignment="1">
      <alignment horizontal="center" vertical="center"/>
    </xf>
    <xf numFmtId="0" fontId="40" fillId="0" borderId="11" xfId="0" applyFont="1" applyFill="1" applyBorder="1" applyAlignment="1">
      <alignment horizontal="center" vertical="center"/>
    </xf>
    <xf numFmtId="0" fontId="40" fillId="0" borderId="13" xfId="0" applyFont="1" applyFill="1" applyBorder="1" applyAlignment="1">
      <alignment horizontal="center" vertical="center"/>
    </xf>
    <xf numFmtId="0" fontId="40" fillId="0" borderId="6" xfId="0" applyFont="1" applyFill="1" applyBorder="1" applyAlignment="1">
      <alignment horizontal="center" vertical="center"/>
    </xf>
    <xf numFmtId="0" fontId="40" fillId="0" borderId="7" xfId="0" applyFont="1" applyFill="1" applyBorder="1" applyAlignment="1">
      <alignment horizontal="center" vertical="center"/>
    </xf>
    <xf numFmtId="0" fontId="40" fillId="0" borderId="9" xfId="0" applyFont="1" applyFill="1" applyBorder="1" applyAlignment="1">
      <alignment horizontal="center" vertical="center"/>
    </xf>
    <xf numFmtId="0" fontId="43" fillId="4" borderId="0" xfId="0" applyFont="1" applyFill="1" applyBorder="1" applyAlignment="1">
      <alignment horizontal="center" vertical="center"/>
    </xf>
    <xf numFmtId="0" fontId="43" fillId="0" borderId="0" xfId="0" applyFont="1" applyBorder="1" applyAlignment="1">
      <alignment horizontal="center" vertical="center"/>
    </xf>
    <xf numFmtId="0" fontId="43" fillId="31" borderId="6" xfId="0" applyFont="1" applyFill="1" applyBorder="1"/>
    <xf numFmtId="0" fontId="43" fillId="4" borderId="6" xfId="0" applyFont="1" applyFill="1" applyBorder="1"/>
    <xf numFmtId="0" fontId="9" fillId="4" borderId="6" xfId="0" applyFont="1" applyFill="1" applyBorder="1"/>
    <xf numFmtId="0" fontId="9" fillId="31" borderId="6" xfId="0" applyFont="1" applyFill="1" applyBorder="1"/>
    <xf numFmtId="0" fontId="37" fillId="0" borderId="6" xfId="0" quotePrefix="1" applyFont="1" applyFill="1" applyBorder="1" applyAlignment="1">
      <alignment horizontal="center" vertical="center"/>
    </xf>
    <xf numFmtId="0" fontId="40" fillId="0" borderId="8" xfId="0" quotePrefix="1" applyFont="1" applyFill="1" applyBorder="1" applyAlignment="1">
      <alignment horizontal="center" vertical="center"/>
    </xf>
    <xf numFmtId="0" fontId="40" fillId="0" borderId="0" xfId="0" quotePrefix="1" applyFont="1" applyFill="1" applyBorder="1" applyAlignment="1">
      <alignment horizontal="center" vertical="center"/>
    </xf>
    <xf numFmtId="0" fontId="40" fillId="0" borderId="7" xfId="0" quotePrefix="1" applyFont="1" applyFill="1" applyBorder="1" applyAlignment="1">
      <alignment horizontal="center" vertical="center"/>
    </xf>
    <xf numFmtId="0" fontId="40" fillId="0" borderId="10" xfId="0" quotePrefix="1" applyFont="1" applyFill="1" applyBorder="1" applyAlignment="1">
      <alignment horizontal="center" vertical="center"/>
    </xf>
    <xf numFmtId="0" fontId="40" fillId="0" borderId="6" xfId="0" quotePrefix="1" applyFont="1" applyFill="1" applyBorder="1" applyAlignment="1">
      <alignment horizontal="center" vertical="center"/>
    </xf>
    <xf numFmtId="0" fontId="40" fillId="0" borderId="9" xfId="0" quotePrefix="1" applyFont="1" applyFill="1" applyBorder="1" applyAlignment="1">
      <alignment horizontal="center" vertical="center"/>
    </xf>
    <xf numFmtId="171" fontId="0" fillId="0" borderId="0" xfId="0" applyNumberFormat="1" applyAlignment="1">
      <alignment horizontal="center" vertical="center"/>
    </xf>
    <xf numFmtId="0" fontId="0" fillId="32" borderId="4" xfId="0" applyFill="1" applyBorder="1" applyAlignment="1">
      <alignment horizontal="center" vertical="center"/>
    </xf>
    <xf numFmtId="172" fontId="0" fillId="31" borderId="4" xfId="0" quotePrefix="1" applyNumberFormat="1" applyFill="1" applyBorder="1" applyAlignment="1">
      <alignment horizontal="center" vertical="center"/>
    </xf>
    <xf numFmtId="15" fontId="0" fillId="0" borderId="0" xfId="0" applyNumberFormat="1"/>
    <xf numFmtId="176" fontId="8" fillId="31" borderId="33" xfId="0" applyNumberFormat="1" applyFont="1" applyFill="1" applyBorder="1" applyAlignment="1">
      <alignment horizontal="center" vertical="center"/>
    </xf>
    <xf numFmtId="0" fontId="0" fillId="31" borderId="3" xfId="0" applyFill="1" applyBorder="1"/>
    <xf numFmtId="0" fontId="0" fillId="31" borderId="5" xfId="0" applyFill="1" applyBorder="1"/>
    <xf numFmtId="172" fontId="0" fillId="0" borderId="0" xfId="0" applyNumberFormat="1" applyAlignment="1">
      <alignment horizontal="center" vertical="center"/>
    </xf>
    <xf numFmtId="0" fontId="0" fillId="31" borderId="4" xfId="0" applyFill="1" applyBorder="1"/>
    <xf numFmtId="0" fontId="0" fillId="0" borderId="4" xfId="0" applyBorder="1" applyAlignment="1">
      <alignment horizontal="center"/>
    </xf>
    <xf numFmtId="0" fontId="9" fillId="0" borderId="4" xfId="0" applyFont="1" applyFill="1" applyBorder="1"/>
    <xf numFmtId="0" fontId="0" fillId="0" borderId="5" xfId="0" applyBorder="1"/>
    <xf numFmtId="0" fontId="0" fillId="0" borderId="4" xfId="0" applyBorder="1" applyAlignment="1">
      <alignment horizontal="center" vertical="center"/>
    </xf>
    <xf numFmtId="0" fontId="0" fillId="0" borderId="4" xfId="0" quotePrefix="1" applyBorder="1" applyAlignment="1">
      <alignment horizontal="center" vertical="center"/>
    </xf>
    <xf numFmtId="15" fontId="0" fillId="0" borderId="4" xfId="0" applyNumberFormat="1" applyBorder="1" applyAlignment="1">
      <alignment horizontal="center" vertical="center"/>
    </xf>
    <xf numFmtId="0" fontId="8" fillId="0" borderId="4" xfId="0" quotePrefix="1" applyFont="1" applyFill="1" applyBorder="1" applyAlignment="1">
      <alignment horizontal="center" vertical="center"/>
    </xf>
    <xf numFmtId="0" fontId="0" fillId="0" borderId="5" xfId="0" quotePrefix="1" applyBorder="1" applyAlignment="1">
      <alignment horizontal="center" vertical="center"/>
    </xf>
    <xf numFmtId="0" fontId="7" fillId="0" borderId="0" xfId="0" applyFont="1"/>
    <xf numFmtId="172" fontId="45" fillId="0" borderId="0" xfId="0" applyNumberFormat="1" applyFont="1" applyAlignment="1">
      <alignment horizontal="center" vertical="center"/>
    </xf>
    <xf numFmtId="172" fontId="45" fillId="0" borderId="33" xfId="0" applyNumberFormat="1" applyFont="1" applyBorder="1" applyAlignment="1">
      <alignment horizontal="center" vertical="center"/>
    </xf>
    <xf numFmtId="4" fontId="45" fillId="0" borderId="33" xfId="0" applyNumberFormat="1" applyFont="1" applyBorder="1" applyAlignment="1">
      <alignment horizontal="center" vertical="center"/>
    </xf>
    <xf numFmtId="172" fontId="7" fillId="0" borderId="33" xfId="0" applyNumberFormat="1" applyFont="1" applyBorder="1" applyAlignment="1">
      <alignment horizontal="center" vertical="center"/>
    </xf>
    <xf numFmtId="0" fontId="8" fillId="0" borderId="4" xfId="0" applyFont="1" applyFill="1" applyBorder="1"/>
    <xf numFmtId="172" fontId="8" fillId="33" borderId="4" xfId="0" applyNumberFormat="1" applyFont="1" applyFill="1" applyBorder="1" applyAlignment="1">
      <alignment horizontal="center" vertical="center"/>
    </xf>
    <xf numFmtId="171" fontId="8" fillId="33" borderId="4" xfId="0" applyNumberFormat="1" applyFont="1" applyFill="1" applyBorder="1" applyAlignment="1">
      <alignment horizontal="center" vertical="center"/>
    </xf>
    <xf numFmtId="4" fontId="0" fillId="33" borderId="4" xfId="0" applyNumberFormat="1" applyFill="1" applyBorder="1" applyAlignment="1">
      <alignment horizontal="center" vertical="center"/>
    </xf>
    <xf numFmtId="4" fontId="8" fillId="33" borderId="4" xfId="0" applyNumberFormat="1" applyFont="1" applyFill="1" applyBorder="1" applyAlignment="1">
      <alignment horizontal="center" vertical="center"/>
    </xf>
    <xf numFmtId="172" fontId="0" fillId="33" borderId="4" xfId="0" applyNumberFormat="1" applyFill="1" applyBorder="1" applyAlignment="1">
      <alignment horizontal="center" vertical="center"/>
    </xf>
    <xf numFmtId="3" fontId="0" fillId="33" borderId="3" xfId="0" applyNumberFormat="1" applyFill="1" applyBorder="1" applyAlignment="1">
      <alignment horizontal="center"/>
    </xf>
    <xf numFmtId="0" fontId="0" fillId="33" borderId="4" xfId="0" applyFill="1" applyBorder="1" applyAlignment="1">
      <alignment horizontal="center"/>
    </xf>
    <xf numFmtId="177" fontId="8" fillId="33" borderId="4" xfId="0" applyNumberFormat="1" applyFont="1" applyFill="1" applyBorder="1" applyAlignment="1">
      <alignment horizontal="center" vertical="center"/>
    </xf>
    <xf numFmtId="177" fontId="8" fillId="33" borderId="5" xfId="0" applyNumberFormat="1" applyFont="1" applyFill="1" applyBorder="1" applyAlignment="1">
      <alignment horizontal="center" vertical="center"/>
    </xf>
    <xf numFmtId="3" fontId="8" fillId="33" borderId="3" xfId="0" applyNumberFormat="1" applyFont="1" applyFill="1" applyBorder="1" applyAlignment="1">
      <alignment horizontal="center"/>
    </xf>
    <xf numFmtId="0" fontId="8" fillId="33" borderId="4" xfId="0" applyFont="1" applyFill="1" applyBorder="1" applyAlignment="1">
      <alignment horizontal="center"/>
    </xf>
    <xf numFmtId="0" fontId="0" fillId="33" borderId="4" xfId="0" quotePrefix="1" applyFill="1" applyBorder="1" applyAlignment="1">
      <alignment horizontal="center" vertical="center"/>
    </xf>
    <xf numFmtId="0" fontId="8" fillId="33" borderId="4" xfId="0" quotePrefix="1" applyFont="1" applyFill="1" applyBorder="1" applyAlignment="1">
      <alignment horizontal="center" vertical="center"/>
    </xf>
    <xf numFmtId="0" fontId="8" fillId="0" borderId="4" xfId="0" applyFont="1" applyBorder="1" applyAlignment="1">
      <alignment horizontal="center"/>
    </xf>
    <xf numFmtId="0" fontId="0" fillId="0" borderId="0" xfId="0" applyAlignment="1">
      <alignment horizontal="right" vertical="center"/>
    </xf>
    <xf numFmtId="172" fontId="0" fillId="0" borderId="0" xfId="0" applyNumberFormat="1"/>
    <xf numFmtId="11" fontId="0" fillId="0" borderId="0" xfId="0" applyNumberFormat="1"/>
    <xf numFmtId="177" fontId="8" fillId="33" borderId="4" xfId="0" quotePrefix="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horizontal="left" vertical="center"/>
    </xf>
    <xf numFmtId="0" fontId="9" fillId="0" borderId="0" xfId="0" applyFont="1" applyAlignment="1">
      <alignment horizontal="left" vertical="center"/>
    </xf>
    <xf numFmtId="0" fontId="0" fillId="0" borderId="0" xfId="0" applyAlignment="1">
      <alignment horizontal="left" vertical="center"/>
    </xf>
  </cellXfs>
  <cellStyles count="56">
    <cellStyle name="=C:\WINNT35\SYSTEM32\COMMAND.COM" xfId="17"/>
    <cellStyle name="Background" xfId="18"/>
    <cellStyle name="calc" xfId="19"/>
    <cellStyle name="Comma [0]" xfId="10" builtinId="6"/>
    <cellStyle name="Comma [0] 2" xfId="14"/>
    <cellStyle name="Comma [0] 3" xfId="54"/>
    <cellStyle name="Comma 2" xfId="2"/>
    <cellStyle name="Data" xfId="3"/>
    <cellStyle name="Data2" xfId="20"/>
    <cellStyle name="Data5" xfId="21"/>
    <cellStyle name="Header" xfId="4"/>
    <cellStyle name="Hidden" xfId="22"/>
    <cellStyle name="InputDataRow" xfId="23"/>
    <cellStyle name="InputLabelRow" xfId="24"/>
    <cellStyle name="InputPc2Right" xfId="25"/>
    <cellStyle name="InputShortText" xfId="26"/>
    <cellStyle name="InputTextLeft" xfId="27"/>
    <cellStyle name="IntermediateLabelColumn" xfId="28"/>
    <cellStyle name="LabelLeft" xfId="29"/>
    <cellStyle name="LabelRight" xfId="30"/>
    <cellStyle name="Milliers [0]_Open&amp;Close" xfId="5"/>
    <cellStyle name="Milliers_Open&amp;Close" xfId="6"/>
    <cellStyle name="Mon?taire [0]_Open&amp;Close" xfId="31"/>
    <cellStyle name="Mon?taire_Open&amp;Close" xfId="32"/>
    <cellStyle name="Monétaire [0]_Open&amp;Close" xfId="7"/>
    <cellStyle name="Monétaire_Open&amp;Close" xfId="8"/>
    <cellStyle name="Normal" xfId="0" builtinId="0"/>
    <cellStyle name="Normal 2" xfId="1"/>
    <cellStyle name="Normal 3" xfId="15"/>
    <cellStyle name="Normal 4" xfId="53"/>
    <cellStyle name="Page 1" xfId="33"/>
    <cellStyle name="Page 2" xfId="34"/>
    <cellStyle name="Page 3" xfId="35"/>
    <cellStyle name="Page 4" xfId="36"/>
    <cellStyle name="Page 5" xfId="37"/>
    <cellStyle name="Page 6" xfId="38"/>
    <cellStyle name="Page 7" xfId="39"/>
    <cellStyle name="Page1" xfId="40"/>
    <cellStyle name="Page2" xfId="41"/>
    <cellStyle name="Page3" xfId="42"/>
    <cellStyle name="Page4" xfId="43"/>
    <cellStyle name="Page5" xfId="44"/>
    <cellStyle name="Page6" xfId="45"/>
    <cellStyle name="Percent 2" xfId="9"/>
    <cellStyle name="Percent 3" xfId="16"/>
    <cellStyle name="Percent 4" xfId="55"/>
    <cellStyle name="ResultDateCenter" xfId="46"/>
    <cellStyle name="Style 1" xfId="47"/>
    <cellStyle name="パーセント 2" xfId="48"/>
    <cellStyle name="桁区切り 2" xfId="49"/>
    <cellStyle name="桁区切り_DegitalOption_test" xfId="50"/>
    <cellStyle name="標準 2" xfId="51"/>
    <cellStyle name="標準 3" xfId="52"/>
    <cellStyle name="標準 4" xfId="12"/>
    <cellStyle name="標準_examplePortfolio" xfId="13"/>
    <cellStyle name="標準_Input_OutPut20060417" xfId="11"/>
  </cellStyles>
  <dxfs count="0"/>
  <tableStyles count="0" defaultTableStyle="TableStyleMedium2" defaultPivotStyle="PivotStyleLight16"/>
  <colors>
    <mruColors>
      <color rgb="FF006600"/>
      <color rgb="FFFFFFCC"/>
      <color rgb="FF0000FF"/>
      <color rgb="FF66FF33"/>
      <color rgb="FF00CC00"/>
      <color rgb="FFFF0066"/>
      <color rgb="FFBC04A6"/>
      <color rgb="FF00FF00"/>
      <color rgb="FF009900"/>
      <color rgb="FF3399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6</xdr:row>
          <xdr:rowOff>0</xdr:rowOff>
        </xdr:to>
        <xdr:sp macro="" textlink="">
          <xdr:nvSpPr>
            <xdr:cNvPr id="115714" name="Button 2" hidden="1">
              <a:extLst>
                <a:ext uri="{63B3BB69-23CF-44E3-9099-C40C66FF867C}">
                  <a14:compatExt spid="_x0000_s1157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Yield 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8546" name="Button 2" hidden="1">
              <a:extLst>
                <a:ext uri="{63B3BB69-23CF-44E3-9099-C40C66FF867C}">
                  <a14:compatExt spid="_x0000_s108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8547" name="Button 3" hidden="1">
              <a:extLst>
                <a:ext uri="{63B3BB69-23CF-44E3-9099-C40C66FF867C}">
                  <a14:compatExt spid="_x0000_s108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8548" name="Button 4" hidden="1">
              <a:extLst>
                <a:ext uri="{63B3BB69-23CF-44E3-9099-C40C66FF867C}">
                  <a14:compatExt spid="_x0000_s108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8549" name="Button 5" hidden="1">
              <a:extLst>
                <a:ext uri="{63B3BB69-23CF-44E3-9099-C40C66FF867C}">
                  <a14:compatExt spid="_x0000_s108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8550" name="Button 6" hidden="1">
              <a:extLst>
                <a:ext uri="{63B3BB69-23CF-44E3-9099-C40C66FF867C}">
                  <a14:compatExt spid="_x0000_s108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8551" name="Button 7" hidden="1">
              <a:extLst>
                <a:ext uri="{63B3BB69-23CF-44E3-9099-C40C66FF867C}">
                  <a14:compatExt spid="_x0000_s1085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7521" name="Button 1" hidden="1">
              <a:extLst>
                <a:ext uri="{63B3BB69-23CF-44E3-9099-C40C66FF867C}">
                  <a14:compatExt spid="_x0000_s1075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7522" name="Button 2" hidden="1">
              <a:extLst>
                <a:ext uri="{63B3BB69-23CF-44E3-9099-C40C66FF867C}">
                  <a14:compatExt spid="_x0000_s1075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7523" name="Button 3" hidden="1">
              <a:extLst>
                <a:ext uri="{63B3BB69-23CF-44E3-9099-C40C66FF867C}">
                  <a14:compatExt spid="_x0000_s1075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7524" name="Button 4" hidden="1">
              <a:extLst>
                <a:ext uri="{63B3BB69-23CF-44E3-9099-C40C66FF867C}">
                  <a14:compatExt spid="_x0000_s1075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7525" name="Button 5" hidden="1">
              <a:extLst>
                <a:ext uri="{63B3BB69-23CF-44E3-9099-C40C66FF867C}">
                  <a14:compatExt spid="_x0000_s1075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7526" name="Button 6" hidden="1">
              <a:extLst>
                <a:ext uri="{63B3BB69-23CF-44E3-9099-C40C66FF867C}">
                  <a14:compatExt spid="_x0000_s1075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7527" name="Button 7" hidden="1">
              <a:extLst>
                <a:ext uri="{63B3BB69-23CF-44E3-9099-C40C66FF867C}">
                  <a14:compatExt spid="_x0000_s1075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9569" name="Button 1" hidden="1">
              <a:extLst>
                <a:ext uri="{63B3BB69-23CF-44E3-9099-C40C66FF867C}">
                  <a14:compatExt spid="_x0000_s1095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9570" name="Button 2" hidden="1">
              <a:extLst>
                <a:ext uri="{63B3BB69-23CF-44E3-9099-C40C66FF867C}">
                  <a14:compatExt spid="_x0000_s1095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9571" name="Button 3" hidden="1">
              <a:extLst>
                <a:ext uri="{63B3BB69-23CF-44E3-9099-C40C66FF867C}">
                  <a14:compatExt spid="_x0000_s1095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9572" name="Button 4" hidden="1">
              <a:extLst>
                <a:ext uri="{63B3BB69-23CF-44E3-9099-C40C66FF867C}">
                  <a14:compatExt spid="_x0000_s1095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9573" name="Button 5" hidden="1">
              <a:extLst>
                <a:ext uri="{63B3BB69-23CF-44E3-9099-C40C66FF867C}">
                  <a14:compatExt spid="_x0000_s1095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9574" name="Button 6" hidden="1">
              <a:extLst>
                <a:ext uri="{63B3BB69-23CF-44E3-9099-C40C66FF867C}">
                  <a14:compatExt spid="_x0000_s1095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9575" name="Button 7" hidden="1">
              <a:extLst>
                <a:ext uri="{63B3BB69-23CF-44E3-9099-C40C66FF867C}">
                  <a14:compatExt spid="_x0000_s1095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10594" name="Button 2" hidden="1">
              <a:extLst>
                <a:ext uri="{63B3BB69-23CF-44E3-9099-C40C66FF867C}">
                  <a14:compatExt spid="_x0000_s1105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10595" name="Button 3" hidden="1">
              <a:extLst>
                <a:ext uri="{63B3BB69-23CF-44E3-9099-C40C66FF867C}">
                  <a14:compatExt spid="_x0000_s1105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10596" name="Button 4" hidden="1">
              <a:extLst>
                <a:ext uri="{63B3BB69-23CF-44E3-9099-C40C66FF867C}">
                  <a14:compatExt spid="_x0000_s1105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10597" name="Button 5" hidden="1">
              <a:extLst>
                <a:ext uri="{63B3BB69-23CF-44E3-9099-C40C66FF867C}">
                  <a14:compatExt spid="_x0000_s1105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10598" name="Button 6" hidden="1">
              <a:extLst>
                <a:ext uri="{63B3BB69-23CF-44E3-9099-C40C66FF867C}">
                  <a14:compatExt spid="_x0000_s1105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10599" name="Button 7" hidden="1">
              <a:extLst>
                <a:ext uri="{63B3BB69-23CF-44E3-9099-C40C66FF867C}">
                  <a14:compatExt spid="_x0000_s1105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266701</xdr:colOff>
      <xdr:row>0</xdr:row>
      <xdr:rowOff>114569</xdr:rowOff>
    </xdr:from>
    <xdr:to>
      <xdr:col>0</xdr:col>
      <xdr:colOff>533401</xdr:colOff>
      <xdr:row>2</xdr:row>
      <xdr:rowOff>1777</xdr:rowOff>
    </xdr:to>
    <xdr:pic macro="[0]!ShowMultiCurveLabels">
      <xdr:nvPicPr>
        <xdr:cNvPr id="3" name="Picture 2"/>
        <xdr:cNvPicPr>
          <a:picLocks noChangeAspect="1"/>
        </xdr:cNvPicPr>
      </xdr:nvPicPr>
      <xdr:blipFill>
        <a:blip xmlns:r="http://schemas.openxmlformats.org/officeDocument/2006/relationships" r:embed="rId1"/>
        <a:stretch>
          <a:fillRect/>
        </a:stretch>
      </xdr:blipFill>
      <xdr:spPr>
        <a:xfrm>
          <a:off x="266701" y="114569"/>
          <a:ext cx="266700" cy="26820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ctrlProp" Target="../ctrlProps/ctrlProp23.xml"/><Relationship Id="rId7" Type="http://schemas.openxmlformats.org/officeDocument/2006/relationships/ctrlProp" Target="../ctrlProps/ctrlProp2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B2:C9"/>
  <sheetViews>
    <sheetView showGridLines="0" workbookViewId="0"/>
  </sheetViews>
  <sheetFormatPr defaultRowHeight="15"/>
  <cols>
    <col min="2" max="2" width="15.140625" customWidth="1"/>
    <col min="3" max="3" width="16.5703125" customWidth="1"/>
  </cols>
  <sheetData>
    <row r="2" spans="2:3" ht="15" customHeight="1">
      <c r="B2" t="s">
        <v>423</v>
      </c>
      <c r="C2" s="218">
        <v>42200</v>
      </c>
    </row>
    <row r="3" spans="2:3" ht="15" customHeight="1"/>
    <row r="4" spans="2:3" ht="15" customHeight="1"/>
    <row r="5" spans="2:3" ht="15" customHeight="1"/>
    <row r="6" spans="2:3" ht="15" customHeight="1"/>
    <row r="9" spans="2:3">
      <c r="B9" s="23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4" r:id="rId4" name="Button 2">
              <controlPr defaultSize="0" print="0" autoFill="0" autoPict="0" macro="[0]!Refresh">
                <anchor moveWithCells="1" sizeWithCells="1">
                  <from>
                    <xdr:col>1</xdr:col>
                    <xdr:colOff>0</xdr:colOff>
                    <xdr:row>3</xdr:row>
                    <xdr:rowOff>0</xdr:rowOff>
                  </from>
                  <to>
                    <xdr:col>3</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tint="0.34998626667073579"/>
  </sheetPr>
  <dimension ref="B2:CQ75"/>
  <sheetViews>
    <sheetView showGridLines="0" topLeftCell="AG1" workbookViewId="0">
      <selection activeCell="AO9" sqref="AO9"/>
    </sheetView>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28.7109375"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7.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Y5"/>
      <c r="Z5"/>
      <c r="AA5"/>
      <c r="AB5"/>
      <c r="AC5"/>
      <c r="AJ5"/>
      <c r="AK5"/>
      <c r="AL5"/>
      <c r="AM5"/>
      <c r="AO5" s="141"/>
      <c r="AR5" s="139" t="s">
        <v>11</v>
      </c>
      <c r="AU5" s="139" t="s">
        <v>298</v>
      </c>
      <c r="AY5" s="141"/>
      <c r="BA5" s="139" t="s">
        <v>299</v>
      </c>
      <c r="BG5" s="139" t="s">
        <v>301</v>
      </c>
      <c r="BM5" s="139" t="s">
        <v>54</v>
      </c>
      <c r="BP5" s="13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179</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324</v>
      </c>
      <c r="D8" s="127"/>
      <c r="E8" s="128"/>
      <c r="F8" t="s">
        <v>12</v>
      </c>
      <c r="G8" s="55" t="s">
        <v>170</v>
      </c>
      <c r="H8" s="218">
        <v>42198</v>
      </c>
      <c r="J8" s="72" t="s">
        <v>174</v>
      </c>
      <c r="K8" s="34" t="s">
        <v>0</v>
      </c>
      <c r="M8" s="74" t="s">
        <v>76</v>
      </c>
      <c r="N8" s="75" t="s">
        <v>75</v>
      </c>
      <c r="O8" s="75" t="s">
        <v>139</v>
      </c>
      <c r="P8" s="75" t="s">
        <v>138</v>
      </c>
      <c r="Q8" s="76" t="s">
        <v>173</v>
      </c>
      <c r="S8" s="67" t="s">
        <v>172</v>
      </c>
      <c r="T8" s="68" t="s">
        <v>75</v>
      </c>
      <c r="V8" s="55" t="s">
        <v>170</v>
      </c>
      <c r="W8" s="218">
        <v>42198</v>
      </c>
      <c r="Y8" s="55" t="s">
        <v>117</v>
      </c>
      <c r="Z8" s="34" t="s">
        <v>0</v>
      </c>
      <c r="AB8" s="12" t="s">
        <v>117</v>
      </c>
      <c r="AC8" s="34" t="s">
        <v>0</v>
      </c>
      <c r="AE8" s="66"/>
      <c r="AF8" s="38"/>
      <c r="AG8" s="21"/>
      <c r="AH8" s="21"/>
      <c r="AI8" s="22"/>
      <c r="AK8" s="55" t="s">
        <v>117</v>
      </c>
      <c r="AL8" s="125" t="s">
        <v>0</v>
      </c>
      <c r="AN8" s="70" t="s">
        <v>76</v>
      </c>
      <c r="AO8" s="80" t="s">
        <v>75</v>
      </c>
      <c r="AP8" s="81" t="s">
        <v>175</v>
      </c>
      <c r="AQ8" s="6"/>
      <c r="AR8" s="55" t="s">
        <v>170</v>
      </c>
      <c r="AS8" s="218">
        <v>42198</v>
      </c>
      <c r="AU8" s="77" t="s">
        <v>171</v>
      </c>
      <c r="AV8" s="101" t="s">
        <v>196</v>
      </c>
      <c r="AX8" s="67" t="s">
        <v>76</v>
      </c>
      <c r="AY8" s="69" t="s">
        <v>75</v>
      </c>
      <c r="BA8" s="77" t="s">
        <v>171</v>
      </c>
      <c r="BB8" s="101" t="s">
        <v>195</v>
      </c>
      <c r="BD8" s="67" t="s">
        <v>76</v>
      </c>
      <c r="BE8" s="69" t="s">
        <v>75</v>
      </c>
      <c r="BG8" s="77" t="s">
        <v>171</v>
      </c>
      <c r="BH8" s="101" t="s">
        <v>293</v>
      </c>
      <c r="BJ8" s="67" t="s">
        <v>76</v>
      </c>
      <c r="BK8" s="69" t="s">
        <v>75</v>
      </c>
      <c r="BM8" s="55" t="s">
        <v>170</v>
      </c>
      <c r="BN8" s="218">
        <v>42198</v>
      </c>
      <c r="BP8" s="77" t="s">
        <v>171</v>
      </c>
      <c r="BQ8" s="101" t="s">
        <v>167</v>
      </c>
      <c r="BS8" s="77" t="s">
        <v>171</v>
      </c>
      <c r="BT8" s="101" t="s">
        <v>167</v>
      </c>
      <c r="BV8" s="77" t="s">
        <v>171</v>
      </c>
      <c r="BW8" s="101" t="s">
        <v>167</v>
      </c>
      <c r="BY8" s="77" t="s">
        <v>171</v>
      </c>
      <c r="BZ8" s="101" t="s">
        <v>167</v>
      </c>
      <c r="CB8" s="74" t="s">
        <v>76</v>
      </c>
      <c r="CC8" s="76" t="s">
        <v>75</v>
      </c>
      <c r="CE8" s="55" t="s">
        <v>170</v>
      </c>
      <c r="CF8" s="218">
        <v>42198</v>
      </c>
      <c r="CH8" s="55" t="s">
        <v>216</v>
      </c>
      <c r="CI8" s="33" t="s">
        <v>307</v>
      </c>
      <c r="CK8" s="55" t="s">
        <v>216</v>
      </c>
      <c r="CL8" s="33" t="s">
        <v>308</v>
      </c>
      <c r="CN8" s="55" t="s">
        <v>216</v>
      </c>
      <c r="CO8" s="33" t="s">
        <v>309</v>
      </c>
    </row>
    <row r="9" spans="2:93">
      <c r="B9" s="56" t="s">
        <v>63</v>
      </c>
      <c r="C9" s="129" t="s">
        <v>300</v>
      </c>
      <c r="D9" s="130"/>
      <c r="E9" s="131"/>
      <c r="F9" t="s">
        <v>12</v>
      </c>
      <c r="G9" s="56" t="s">
        <v>162</v>
      </c>
      <c r="H9" s="86" t="s">
        <v>2</v>
      </c>
      <c r="J9" s="73" t="s">
        <v>130</v>
      </c>
      <c r="K9" s="17" t="s">
        <v>3</v>
      </c>
      <c r="M9" s="87" t="s">
        <v>72</v>
      </c>
      <c r="N9" s="88">
        <v>-1.1999999999999999E-3</v>
      </c>
      <c r="O9" s="89"/>
      <c r="P9" s="89"/>
      <c r="Q9" s="90" t="b">
        <v>1</v>
      </c>
      <c r="S9" s="95"/>
      <c r="T9" s="96"/>
      <c r="V9" s="56" t="s">
        <v>162</v>
      </c>
      <c r="W9" s="86" t="s">
        <v>2</v>
      </c>
      <c r="Y9" s="56" t="s">
        <v>5</v>
      </c>
      <c r="Z9" s="17" t="s">
        <v>3</v>
      </c>
      <c r="AB9" s="13" t="s">
        <v>5</v>
      </c>
      <c r="AC9" s="17" t="s">
        <v>3</v>
      </c>
      <c r="AE9" s="57"/>
      <c r="AF9" s="39"/>
      <c r="AG9" s="23"/>
      <c r="AH9" s="23"/>
      <c r="AI9" s="24"/>
      <c r="AK9" s="56" t="s">
        <v>5</v>
      </c>
      <c r="AL9" s="86" t="s">
        <v>163</v>
      </c>
      <c r="AN9" s="71" t="s">
        <v>42</v>
      </c>
      <c r="AO9" s="82">
        <v>1.33E-3</v>
      </c>
      <c r="AP9" s="83" t="b">
        <v>1</v>
      </c>
      <c r="AQ9" s="6"/>
      <c r="AR9" s="56" t="s">
        <v>162</v>
      </c>
      <c r="AS9" s="86" t="s">
        <v>2</v>
      </c>
      <c r="AU9" s="78" t="s">
        <v>169</v>
      </c>
      <c r="AV9" s="102" t="b">
        <v>0</v>
      </c>
      <c r="AX9" s="87" t="s">
        <v>160</v>
      </c>
      <c r="AY9" s="103">
        <v>7.2000000000000005E-4</v>
      </c>
      <c r="BA9" s="78" t="s">
        <v>169</v>
      </c>
      <c r="BB9" s="102" t="b">
        <v>0</v>
      </c>
      <c r="BD9" s="87" t="s">
        <v>160</v>
      </c>
      <c r="BE9" s="103">
        <v>7.2000000000000005E-4</v>
      </c>
      <c r="BG9" s="78" t="s">
        <v>169</v>
      </c>
      <c r="BH9" s="102" t="b">
        <v>0</v>
      </c>
      <c r="BJ9" s="87" t="s">
        <v>160</v>
      </c>
      <c r="BK9" s="103">
        <v>1.0349999999999999E-3</v>
      </c>
      <c r="BM9" s="56" t="s">
        <v>162</v>
      </c>
      <c r="BN9" s="86" t="s">
        <v>2</v>
      </c>
      <c r="BP9" s="78" t="s">
        <v>255</v>
      </c>
      <c r="BQ9" s="102" t="s">
        <v>29</v>
      </c>
      <c r="BS9" s="78" t="s">
        <v>255</v>
      </c>
      <c r="BT9" s="102" t="s">
        <v>29</v>
      </c>
      <c r="BV9" s="78" t="s">
        <v>255</v>
      </c>
      <c r="BW9" s="102" t="s">
        <v>29</v>
      </c>
      <c r="BY9" s="78" t="s">
        <v>255</v>
      </c>
      <c r="BZ9" s="102" t="s">
        <v>29</v>
      </c>
      <c r="CB9" s="87" t="s">
        <v>160</v>
      </c>
      <c r="CC9" s="103">
        <v>-2.3249999999999998E-3</v>
      </c>
      <c r="CE9" s="56" t="s">
        <v>162</v>
      </c>
      <c r="CF9" s="86" t="s">
        <v>2</v>
      </c>
      <c r="CH9" s="56" t="s">
        <v>220</v>
      </c>
      <c r="CI9" s="31" t="s">
        <v>360</v>
      </c>
      <c r="CK9" s="56" t="s">
        <v>220</v>
      </c>
      <c r="CL9" s="31" t="s">
        <v>361</v>
      </c>
      <c r="CN9" s="56" t="s">
        <v>220</v>
      </c>
      <c r="CO9" s="31" t="s">
        <v>362</v>
      </c>
    </row>
    <row r="10" spans="2:93">
      <c r="B10" s="56" t="s">
        <v>206</v>
      </c>
      <c r="C10" s="129" t="s">
        <v>295</v>
      </c>
      <c r="D10" s="133"/>
      <c r="E10" s="134"/>
      <c r="F10" t="s">
        <v>12</v>
      </c>
      <c r="G10" s="56" t="s">
        <v>157</v>
      </c>
      <c r="H10" s="86" t="s">
        <v>29</v>
      </c>
      <c r="J10" s="73" t="s">
        <v>122</v>
      </c>
      <c r="K10" s="17" t="s">
        <v>152</v>
      </c>
      <c r="M10" s="87" t="s">
        <v>97</v>
      </c>
      <c r="N10" s="88">
        <v>-1.23E-3</v>
      </c>
      <c r="O10" s="89"/>
      <c r="P10" s="89"/>
      <c r="Q10" s="90" t="b">
        <v>1</v>
      </c>
      <c r="S10" s="97"/>
      <c r="T10" s="98"/>
      <c r="V10" s="56" t="s">
        <v>143</v>
      </c>
      <c r="W10" s="86" t="s">
        <v>29</v>
      </c>
      <c r="Y10" s="56" t="s">
        <v>194</v>
      </c>
      <c r="Z10" s="17" t="s">
        <v>166</v>
      </c>
      <c r="AB10" s="13" t="s">
        <v>165</v>
      </c>
      <c r="AC10" s="17">
        <v>2</v>
      </c>
      <c r="AE10" s="57"/>
      <c r="AF10" s="40"/>
      <c r="AG10" s="25"/>
      <c r="AH10" s="25"/>
      <c r="AI10" s="26"/>
      <c r="AK10" s="56" t="s">
        <v>164</v>
      </c>
      <c r="AL10" s="86" t="s">
        <v>163</v>
      </c>
      <c r="AN10" s="71" t="s">
        <v>39</v>
      </c>
      <c r="AO10" s="82">
        <v>2.4399999999999999E-3</v>
      </c>
      <c r="AP10" s="83" t="b">
        <v>1</v>
      </c>
      <c r="AQ10" s="6"/>
      <c r="AR10" s="56" t="s">
        <v>143</v>
      </c>
      <c r="AS10" s="86" t="s">
        <v>29</v>
      </c>
      <c r="AU10" s="56" t="s">
        <v>161</v>
      </c>
      <c r="AV10" s="17" t="s">
        <v>261</v>
      </c>
      <c r="AX10" s="87" t="s">
        <v>42</v>
      </c>
      <c r="AY10" s="103">
        <v>8.6249999999999999E-4</v>
      </c>
      <c r="BA10" s="56" t="s">
        <v>161</v>
      </c>
      <c r="BB10" s="17" t="s">
        <v>261</v>
      </c>
      <c r="BD10" s="87" t="s">
        <v>42</v>
      </c>
      <c r="BE10" s="103">
        <v>8.275E-4</v>
      </c>
      <c r="BG10" s="56" t="s">
        <v>161</v>
      </c>
      <c r="BH10" s="17" t="s">
        <v>261</v>
      </c>
      <c r="BJ10" s="87" t="s">
        <v>42</v>
      </c>
      <c r="BK10" s="103">
        <v>1.0150000000000001E-3</v>
      </c>
      <c r="BM10" s="56" t="s">
        <v>143</v>
      </c>
      <c r="BN10" s="86" t="s">
        <v>29</v>
      </c>
      <c r="BP10" s="56" t="s">
        <v>256</v>
      </c>
      <c r="BQ10" s="105" t="b">
        <v>1</v>
      </c>
      <c r="BS10" s="56" t="s">
        <v>256</v>
      </c>
      <c r="BT10" s="105" t="b">
        <v>1</v>
      </c>
      <c r="BV10" s="56" t="s">
        <v>256</v>
      </c>
      <c r="BW10" s="105" t="b">
        <v>1</v>
      </c>
      <c r="BY10" s="56" t="s">
        <v>256</v>
      </c>
      <c r="BZ10" s="105" t="b">
        <v>1</v>
      </c>
      <c r="CB10" s="87" t="s">
        <v>42</v>
      </c>
      <c r="CC10" s="103">
        <v>-2.5999999999999999E-3</v>
      </c>
      <c r="CE10" s="56" t="s">
        <v>143</v>
      </c>
      <c r="CF10" s="86" t="s">
        <v>29</v>
      </c>
      <c r="CH10" s="56" t="s">
        <v>224</v>
      </c>
      <c r="CI10" s="142" t="s">
        <v>354</v>
      </c>
      <c r="CK10" s="56" t="s">
        <v>224</v>
      </c>
      <c r="CL10" s="142" t="s">
        <v>354</v>
      </c>
      <c r="CN10" s="56" t="s">
        <v>224</v>
      </c>
      <c r="CO10" s="142" t="s">
        <v>354</v>
      </c>
    </row>
    <row r="11" spans="2:93">
      <c r="B11" s="56" t="s">
        <v>207</v>
      </c>
      <c r="C11" s="132" t="s">
        <v>296</v>
      </c>
      <c r="D11" s="133"/>
      <c r="E11" s="134"/>
      <c r="F11" t="s">
        <v>12</v>
      </c>
      <c r="G11" s="56" t="s">
        <v>100</v>
      </c>
      <c r="H11" s="86" t="s">
        <v>29</v>
      </c>
      <c r="J11" s="73" t="s">
        <v>150</v>
      </c>
      <c r="K11" s="17" t="s">
        <v>149</v>
      </c>
      <c r="M11" s="87" t="s">
        <v>93</v>
      </c>
      <c r="N11" s="88">
        <v>-1.245E-3</v>
      </c>
      <c r="O11" s="89"/>
      <c r="P11" s="89"/>
      <c r="Q11" s="90" t="b">
        <v>1</v>
      </c>
      <c r="S11" s="97"/>
      <c r="T11" s="98"/>
      <c r="V11" s="56" t="s">
        <v>136</v>
      </c>
      <c r="W11" s="86" t="s">
        <v>135</v>
      </c>
      <c r="Y11" s="56"/>
      <c r="Z11" s="17"/>
      <c r="AB11" s="13" t="s">
        <v>90</v>
      </c>
      <c r="AC11" s="17" t="s">
        <v>40</v>
      </c>
      <c r="AE11" s="13"/>
      <c r="AF11" s="39"/>
      <c r="AG11" s="23"/>
      <c r="AH11" s="23"/>
      <c r="AI11" s="24"/>
      <c r="AK11" s="56" t="s">
        <v>158</v>
      </c>
      <c r="AL11" s="86" t="s">
        <v>3</v>
      </c>
      <c r="AN11" s="71" t="s">
        <v>35</v>
      </c>
      <c r="AO11" s="82">
        <v>3.9199999999999999E-3</v>
      </c>
      <c r="AP11" s="83" t="b">
        <v>1</v>
      </c>
      <c r="AQ11" s="6"/>
      <c r="AR11" s="56" t="s">
        <v>136</v>
      </c>
      <c r="AS11" s="86" t="s">
        <v>135</v>
      </c>
      <c r="AU11" s="56" t="s">
        <v>154</v>
      </c>
      <c r="AV11" s="17" t="s">
        <v>55</v>
      </c>
      <c r="AX11" s="87" t="s">
        <v>39</v>
      </c>
      <c r="AY11" s="103">
        <v>9.1E-4</v>
      </c>
      <c r="BA11" s="56" t="s">
        <v>154</v>
      </c>
      <c r="BB11" s="17" t="s">
        <v>55</v>
      </c>
      <c r="BD11" s="87" t="s">
        <v>39</v>
      </c>
      <c r="BE11" s="103">
        <v>9.2750000000000005E-4</v>
      </c>
      <c r="BG11" s="56" t="s">
        <v>154</v>
      </c>
      <c r="BH11" s="17" t="s">
        <v>55</v>
      </c>
      <c r="BJ11" s="87" t="s">
        <v>39</v>
      </c>
      <c r="BK11" s="103">
        <v>1.0349999999999999E-3</v>
      </c>
      <c r="BM11" s="56" t="s">
        <v>136</v>
      </c>
      <c r="BN11" s="86" t="s">
        <v>135</v>
      </c>
      <c r="BP11" s="56" t="s">
        <v>218</v>
      </c>
      <c r="BQ11" s="86" t="s">
        <v>262</v>
      </c>
      <c r="BS11" s="56" t="s">
        <v>218</v>
      </c>
      <c r="BT11" s="86" t="s">
        <v>262</v>
      </c>
      <c r="BV11" s="56" t="s">
        <v>218</v>
      </c>
      <c r="BW11" s="86" t="s">
        <v>262</v>
      </c>
      <c r="BY11" s="56" t="s">
        <v>218</v>
      </c>
      <c r="BZ11" s="86" t="s">
        <v>262</v>
      </c>
      <c r="CB11" s="87" t="s">
        <v>39</v>
      </c>
      <c r="CC11" s="103">
        <v>-2.6749999999999999E-3</v>
      </c>
      <c r="CE11" s="56" t="s">
        <v>136</v>
      </c>
      <c r="CF11" s="86" t="s">
        <v>135</v>
      </c>
      <c r="CH11" s="56" t="s">
        <v>226</v>
      </c>
      <c r="CI11" s="142" t="s">
        <v>354</v>
      </c>
      <c r="CK11" s="56" t="s">
        <v>226</v>
      </c>
      <c r="CL11" s="142" t="s">
        <v>354</v>
      </c>
      <c r="CN11" s="56" t="s">
        <v>226</v>
      </c>
      <c r="CO11" s="142" t="s">
        <v>354</v>
      </c>
    </row>
    <row r="12" spans="2:93">
      <c r="B12" s="56" t="s">
        <v>288</v>
      </c>
      <c r="C12" s="132" t="s">
        <v>297</v>
      </c>
      <c r="D12" s="133"/>
      <c r="E12" s="134"/>
      <c r="F12" t="s">
        <v>12</v>
      </c>
      <c r="G12" s="56" t="s">
        <v>140</v>
      </c>
      <c r="H12" s="86" t="s">
        <v>29</v>
      </c>
      <c r="J12" s="73" t="s">
        <v>134</v>
      </c>
      <c r="K12" s="17" t="s">
        <v>133</v>
      </c>
      <c r="M12" s="87" t="s">
        <v>21</v>
      </c>
      <c r="N12" s="88">
        <v>-1.2099999999999999E-3</v>
      </c>
      <c r="O12" s="89"/>
      <c r="P12" s="89"/>
      <c r="Q12" s="90" t="b">
        <v>1</v>
      </c>
      <c r="S12" s="97"/>
      <c r="T12" s="98"/>
      <c r="V12" s="56" t="s">
        <v>130</v>
      </c>
      <c r="W12" s="86" t="s">
        <v>408</v>
      </c>
      <c r="Y12" s="62"/>
      <c r="Z12" s="18"/>
      <c r="AB12" s="63" t="s">
        <v>123</v>
      </c>
      <c r="AC12" s="18" t="b">
        <v>1</v>
      </c>
      <c r="AE12" s="14" t="s">
        <v>88</v>
      </c>
      <c r="AF12" s="147" t="s">
        <v>88</v>
      </c>
      <c r="AG12" s="27"/>
      <c r="AH12" s="27"/>
      <c r="AI12" s="28"/>
      <c r="AK12" s="56" t="s">
        <v>1</v>
      </c>
      <c r="AL12" s="86" t="s">
        <v>152</v>
      </c>
      <c r="AN12" s="71" t="s">
        <v>33</v>
      </c>
      <c r="AO12" s="82">
        <v>5.6110000000000005E-3</v>
      </c>
      <c r="AP12" s="83" t="b">
        <v>1</v>
      </c>
      <c r="AQ12" s="6"/>
      <c r="AR12" s="56" t="s">
        <v>130</v>
      </c>
      <c r="AS12" s="86" t="s">
        <v>129</v>
      </c>
      <c r="AU12" s="56" t="s">
        <v>151</v>
      </c>
      <c r="AV12" s="17" t="s">
        <v>78</v>
      </c>
      <c r="AX12" s="87" t="s">
        <v>35</v>
      </c>
      <c r="AY12" s="103">
        <v>9.4250000000000009E-4</v>
      </c>
      <c r="BA12" s="56" t="s">
        <v>151</v>
      </c>
      <c r="BB12" s="17" t="s">
        <v>77</v>
      </c>
      <c r="BD12" s="87" t="s">
        <v>35</v>
      </c>
      <c r="BE12" s="103">
        <v>9.7499999999999996E-4</v>
      </c>
      <c r="BG12" s="56" t="s">
        <v>151</v>
      </c>
      <c r="BH12" s="17" t="s">
        <v>152</v>
      </c>
      <c r="BJ12" s="87" t="s">
        <v>35</v>
      </c>
      <c r="BK12" s="103">
        <v>1.2199999999999999E-3</v>
      </c>
      <c r="BM12" s="56" t="s">
        <v>130</v>
      </c>
      <c r="BN12" s="86" t="s">
        <v>129</v>
      </c>
      <c r="BP12" s="56" t="s">
        <v>223</v>
      </c>
      <c r="BQ12" s="86" t="s">
        <v>55</v>
      </c>
      <c r="BS12" s="56" t="s">
        <v>223</v>
      </c>
      <c r="BT12" s="86" t="s">
        <v>55</v>
      </c>
      <c r="BV12" s="56" t="s">
        <v>223</v>
      </c>
      <c r="BW12" s="86" t="s">
        <v>55</v>
      </c>
      <c r="BY12" s="56" t="s">
        <v>223</v>
      </c>
      <c r="BZ12" s="86" t="s">
        <v>55</v>
      </c>
      <c r="CB12" s="87" t="s">
        <v>35</v>
      </c>
      <c r="CC12" s="103">
        <v>-2.7374999999999999E-3</v>
      </c>
      <c r="CE12" s="56" t="s">
        <v>130</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143</v>
      </c>
      <c r="H13" s="86" t="s">
        <v>142</v>
      </c>
      <c r="J13" s="73" t="s">
        <v>156</v>
      </c>
      <c r="K13" s="17" t="s">
        <v>155</v>
      </c>
      <c r="M13" s="87" t="s">
        <v>59</v>
      </c>
      <c r="N13" s="88">
        <v>-1.25E-3</v>
      </c>
      <c r="O13" s="89"/>
      <c r="P13" s="89"/>
      <c r="Q13" s="90" t="b">
        <v>1</v>
      </c>
      <c r="S13" s="97"/>
      <c r="T13" s="98"/>
      <c r="V13" s="56" t="s">
        <v>122</v>
      </c>
      <c r="W13" s="86" t="s">
        <v>121</v>
      </c>
      <c r="Y13" s="6"/>
      <c r="Z13" s="4"/>
      <c r="AA13" s="6"/>
      <c r="AB13" s="8"/>
      <c r="AC13" s="4"/>
      <c r="AE13" s="4"/>
      <c r="AF13" s="4"/>
      <c r="AK13" s="56" t="s">
        <v>144</v>
      </c>
      <c r="AL13" s="86" t="s">
        <v>78</v>
      </c>
      <c r="AN13" s="71" t="s">
        <v>131</v>
      </c>
      <c r="AO13" s="82">
        <v>7.3000000000000001E-3</v>
      </c>
      <c r="AP13" s="83" t="b">
        <v>1</v>
      </c>
      <c r="AQ13" s="6"/>
      <c r="AR13" s="56" t="s">
        <v>122</v>
      </c>
      <c r="AS13" s="86" t="s">
        <v>121</v>
      </c>
      <c r="AU13" s="56" t="s">
        <v>148</v>
      </c>
      <c r="AV13" s="17" t="s">
        <v>40</v>
      </c>
      <c r="AX13" s="87" t="s">
        <v>33</v>
      </c>
      <c r="AY13" s="103">
        <v>9.3499999999999996E-4</v>
      </c>
      <c r="BA13" s="56" t="s">
        <v>148</v>
      </c>
      <c r="BB13" s="17" t="s">
        <v>40</v>
      </c>
      <c r="BD13" s="87" t="s">
        <v>33</v>
      </c>
      <c r="BE13" s="103">
        <v>1.0025000000000001E-3</v>
      </c>
      <c r="BG13" s="56" t="s">
        <v>148</v>
      </c>
      <c r="BH13" s="17" t="s">
        <v>40</v>
      </c>
      <c r="BJ13" s="87" t="s">
        <v>33</v>
      </c>
      <c r="BK13" s="103">
        <v>1.2199999999999999E-3</v>
      </c>
      <c r="BM13" s="56" t="s">
        <v>122</v>
      </c>
      <c r="BN13" s="86" t="s">
        <v>121</v>
      </c>
      <c r="BP13" s="56" t="s">
        <v>225</v>
      </c>
      <c r="BQ13" s="86" t="s">
        <v>77</v>
      </c>
      <c r="BS13" s="56" t="s">
        <v>225</v>
      </c>
      <c r="BT13" s="86" t="s">
        <v>77</v>
      </c>
      <c r="BV13" s="56" t="s">
        <v>225</v>
      </c>
      <c r="BW13" s="86" t="s">
        <v>77</v>
      </c>
      <c r="BY13" s="56" t="s">
        <v>225</v>
      </c>
      <c r="BZ13" s="86" t="s">
        <v>77</v>
      </c>
      <c r="CB13" s="87" t="s">
        <v>33</v>
      </c>
      <c r="CC13" s="103">
        <v>-2.7750000000000001E-3</v>
      </c>
      <c r="CE13" s="56" t="s">
        <v>122</v>
      </c>
      <c r="CF13" s="86" t="s">
        <v>121</v>
      </c>
      <c r="CH13" s="56"/>
      <c r="CI13" s="86"/>
      <c r="CK13" s="56"/>
      <c r="CL13" s="86"/>
      <c r="CN13" s="56"/>
      <c r="CO13" s="86"/>
    </row>
    <row r="14" spans="2:93">
      <c r="B14" s="56"/>
      <c r="C14" s="132"/>
      <c r="D14" s="133"/>
      <c r="E14" s="134"/>
      <c r="F14" t="s">
        <v>12</v>
      </c>
      <c r="G14" s="56" t="s">
        <v>136</v>
      </c>
      <c r="H14" s="86" t="s">
        <v>135</v>
      </c>
      <c r="J14" s="73" t="s">
        <v>115</v>
      </c>
      <c r="K14" s="17" t="s">
        <v>40</v>
      </c>
      <c r="M14" s="87" t="s">
        <v>53</v>
      </c>
      <c r="N14" s="88">
        <v>-1.2600000000000001E-3</v>
      </c>
      <c r="O14" s="89"/>
      <c r="P14" s="89"/>
      <c r="Q14" s="90" t="b">
        <v>1</v>
      </c>
      <c r="S14" s="97"/>
      <c r="T14" s="98"/>
      <c r="V14" s="56" t="s">
        <v>140</v>
      </c>
      <c r="W14" s="86" t="s">
        <v>29</v>
      </c>
      <c r="Y14" s="7" t="s">
        <v>147</v>
      </c>
      <c r="Z14" s="4"/>
      <c r="AA14" s="6"/>
      <c r="AB14" s="5" t="s">
        <v>146</v>
      </c>
      <c r="AC14" s="4"/>
      <c r="AE14" s="2" t="s">
        <v>145</v>
      </c>
      <c r="AF14" s="4"/>
      <c r="AK14" s="56" t="s">
        <v>258</v>
      </c>
      <c r="AL14" s="86" t="s">
        <v>78</v>
      </c>
      <c r="AN14" s="71" t="s">
        <v>31</v>
      </c>
      <c r="AO14" s="82">
        <v>8.9020000000000002E-3</v>
      </c>
      <c r="AP14" s="83" t="b">
        <v>1</v>
      </c>
      <c r="AQ14" s="6"/>
      <c r="AR14" s="56" t="s">
        <v>140</v>
      </c>
      <c r="AS14" s="86" t="s">
        <v>29</v>
      </c>
      <c r="AU14" s="56" t="s">
        <v>141</v>
      </c>
      <c r="AV14" s="17" t="s">
        <v>43</v>
      </c>
      <c r="AX14" s="87" t="s">
        <v>131</v>
      </c>
      <c r="AY14" s="103">
        <v>9.3749999999999997E-4</v>
      </c>
      <c r="BA14" s="56" t="s">
        <v>141</v>
      </c>
      <c r="BB14" s="17" t="s">
        <v>43</v>
      </c>
      <c r="BD14" s="87" t="s">
        <v>131</v>
      </c>
      <c r="BE14" s="103">
        <v>1.0025000000000001E-3</v>
      </c>
      <c r="BG14" s="56" t="s">
        <v>141</v>
      </c>
      <c r="BH14" s="17" t="s">
        <v>43</v>
      </c>
      <c r="BJ14" s="87" t="s">
        <v>131</v>
      </c>
      <c r="BK14" s="103">
        <v>1.2099999999999999E-3</v>
      </c>
      <c r="BM14" s="56" t="s">
        <v>140</v>
      </c>
      <c r="BN14" s="86" t="s">
        <v>29</v>
      </c>
      <c r="BP14" s="56" t="s">
        <v>228</v>
      </c>
      <c r="BQ14" s="86" t="s">
        <v>40</v>
      </c>
      <c r="BS14" s="56" t="s">
        <v>228</v>
      </c>
      <c r="BT14" s="86" t="s">
        <v>40</v>
      </c>
      <c r="BV14" s="56" t="s">
        <v>228</v>
      </c>
      <c r="BW14" s="86" t="s">
        <v>40</v>
      </c>
      <c r="BY14" s="56" t="s">
        <v>228</v>
      </c>
      <c r="BZ14" s="86" t="s">
        <v>40</v>
      </c>
      <c r="CB14" s="87" t="s">
        <v>131</v>
      </c>
      <c r="CC14" s="103">
        <v>-2.7687499999999999E-3</v>
      </c>
      <c r="CE14" s="56" t="s">
        <v>140</v>
      </c>
      <c r="CF14" s="86" t="s">
        <v>29</v>
      </c>
      <c r="CH14" s="56"/>
      <c r="CI14" s="86"/>
      <c r="CK14" s="56"/>
      <c r="CL14" s="86"/>
      <c r="CN14" s="56"/>
      <c r="CO14" s="86"/>
    </row>
    <row r="15" spans="2:93">
      <c r="B15" s="62"/>
      <c r="C15" s="135"/>
      <c r="D15" s="136"/>
      <c r="E15" s="137"/>
      <c r="F15" t="s">
        <v>12</v>
      </c>
      <c r="G15" s="56" t="s">
        <v>130</v>
      </c>
      <c r="H15" s="86" t="s">
        <v>129</v>
      </c>
      <c r="J15" s="73" t="s">
        <v>128</v>
      </c>
      <c r="K15" s="17" t="s">
        <v>127</v>
      </c>
      <c r="M15" s="87" t="s">
        <v>74</v>
      </c>
      <c r="N15" s="88">
        <v>-1.2920000000000002E-3</v>
      </c>
      <c r="O15" s="89"/>
      <c r="P15" s="89"/>
      <c r="Q15" s="90" t="b">
        <v>1</v>
      </c>
      <c r="S15" s="97"/>
      <c r="T15" s="98"/>
      <c r="V15" s="56" t="s">
        <v>157</v>
      </c>
      <c r="W15" s="86" t="s">
        <v>29</v>
      </c>
      <c r="Y15" s="12" t="s">
        <v>117</v>
      </c>
      <c r="Z15" s="35" t="s">
        <v>0</v>
      </c>
      <c r="AB15" s="64" t="s">
        <v>76</v>
      </c>
      <c r="AC15" s="19" t="s">
        <v>75</v>
      </c>
      <c r="AE15" s="67" t="s">
        <v>76</v>
      </c>
      <c r="AF15" s="68" t="s">
        <v>139</v>
      </c>
      <c r="AG15" s="68" t="s">
        <v>138</v>
      </c>
      <c r="AH15" s="68" t="s">
        <v>75</v>
      </c>
      <c r="AI15" s="69" t="s">
        <v>137</v>
      </c>
      <c r="AK15" s="56" t="s">
        <v>4</v>
      </c>
      <c r="AL15" s="86" t="s">
        <v>29</v>
      </c>
      <c r="AN15" s="71" t="s">
        <v>119</v>
      </c>
      <c r="AO15" s="82">
        <v>1.038E-2</v>
      </c>
      <c r="AP15" s="83" t="b">
        <v>1</v>
      </c>
      <c r="AQ15" s="6"/>
      <c r="AR15" s="56" t="s">
        <v>157</v>
      </c>
      <c r="AS15" s="86" t="s">
        <v>29</v>
      </c>
      <c r="AU15" s="56" t="s">
        <v>132</v>
      </c>
      <c r="AV15" s="31" t="s">
        <v>201</v>
      </c>
      <c r="AX15" s="87" t="s">
        <v>31</v>
      </c>
      <c r="AY15" s="103">
        <v>9.2249999999999993E-4</v>
      </c>
      <c r="BA15" s="56" t="s">
        <v>132</v>
      </c>
      <c r="BB15" s="31" t="s">
        <v>201</v>
      </c>
      <c r="BD15" s="87" t="s">
        <v>31</v>
      </c>
      <c r="BE15" s="103">
        <v>1.0025000000000001E-3</v>
      </c>
      <c r="BG15" s="56" t="s">
        <v>132</v>
      </c>
      <c r="BH15" s="31" t="s">
        <v>201</v>
      </c>
      <c r="BJ15" s="87" t="s">
        <v>31</v>
      </c>
      <c r="BK15" s="103">
        <v>1.1999999999999999E-3</v>
      </c>
      <c r="BM15" s="56" t="s">
        <v>157</v>
      </c>
      <c r="BN15" s="86" t="s">
        <v>29</v>
      </c>
      <c r="BP15" s="56" t="s">
        <v>231</v>
      </c>
      <c r="BQ15" s="86" t="s">
        <v>133</v>
      </c>
      <c r="BS15" s="56" t="s">
        <v>231</v>
      </c>
      <c r="BT15" s="86" t="s">
        <v>133</v>
      </c>
      <c r="BV15" s="56" t="s">
        <v>231</v>
      </c>
      <c r="BW15" s="86" t="s">
        <v>133</v>
      </c>
      <c r="BY15" s="56" t="s">
        <v>231</v>
      </c>
      <c r="BZ15" s="86" t="s">
        <v>133</v>
      </c>
      <c r="CB15" s="87" t="s">
        <v>31</v>
      </c>
      <c r="CC15" s="103">
        <v>-2.7625000000000002E-3</v>
      </c>
      <c r="CE15" s="56" t="s">
        <v>157</v>
      </c>
      <c r="CF15" s="86" t="s">
        <v>29</v>
      </c>
      <c r="CH15" s="56"/>
      <c r="CI15" s="86"/>
      <c r="CK15" s="150"/>
      <c r="CL15" s="151"/>
      <c r="CN15" s="56"/>
      <c r="CO15" s="86"/>
    </row>
    <row r="16" spans="2:93">
      <c r="F16" t="s">
        <v>12</v>
      </c>
      <c r="G16" s="56" t="s">
        <v>122</v>
      </c>
      <c r="H16" s="86" t="s">
        <v>121</v>
      </c>
      <c r="J16" s="73"/>
      <c r="K16" s="17"/>
      <c r="M16" s="87" t="s">
        <v>70</v>
      </c>
      <c r="N16" s="88">
        <v>-1.305E-3</v>
      </c>
      <c r="O16" s="89"/>
      <c r="P16" s="89"/>
      <c r="Q16" s="90" t="b">
        <v>1</v>
      </c>
      <c r="S16" s="97"/>
      <c r="T16" s="98"/>
      <c r="V16" s="56" t="s">
        <v>230</v>
      </c>
      <c r="W16" s="86" t="b">
        <v>1</v>
      </c>
      <c r="Y16" s="13" t="s">
        <v>124</v>
      </c>
      <c r="Z16" s="17" t="s">
        <v>3</v>
      </c>
      <c r="AB16" s="54"/>
      <c r="AC16" s="36"/>
      <c r="AE16" s="42"/>
      <c r="AF16" s="43"/>
      <c r="AG16" s="43"/>
      <c r="AH16" s="44"/>
      <c r="AI16" s="184" t="s">
        <v>88</v>
      </c>
      <c r="AK16" s="56" t="s">
        <v>123</v>
      </c>
      <c r="AL16" s="86" t="b">
        <v>1</v>
      </c>
      <c r="AN16" s="71" t="s">
        <v>113</v>
      </c>
      <c r="AO16" s="82">
        <v>1.171E-2</v>
      </c>
      <c r="AP16" s="83" t="b">
        <v>1</v>
      </c>
      <c r="AQ16" s="6"/>
      <c r="AR16" s="56" t="s">
        <v>230</v>
      </c>
      <c r="AS16" s="86" t="b">
        <v>0</v>
      </c>
      <c r="AU16" s="56" t="s">
        <v>126</v>
      </c>
      <c r="AV16" s="31" t="s">
        <v>63</v>
      </c>
      <c r="AX16" s="87" t="s">
        <v>119</v>
      </c>
      <c r="AY16" s="103">
        <v>9.0249999999999998E-4</v>
      </c>
      <c r="BA16" s="56" t="s">
        <v>126</v>
      </c>
      <c r="BB16" s="109" t="s">
        <v>364</v>
      </c>
      <c r="BD16" s="87" t="s">
        <v>119</v>
      </c>
      <c r="BE16" s="103">
        <v>1.0025000000000001E-3</v>
      </c>
      <c r="BG16" s="56" t="s">
        <v>126</v>
      </c>
      <c r="BH16" s="31" t="s">
        <v>63</v>
      </c>
      <c r="BJ16" s="87" t="s">
        <v>119</v>
      </c>
      <c r="BK16" s="103">
        <v>1.1800000000000001E-3</v>
      </c>
      <c r="BM16" s="56" t="s">
        <v>230</v>
      </c>
      <c r="BN16" s="86" t="b">
        <v>0</v>
      </c>
      <c r="BP16" s="56" t="s">
        <v>216</v>
      </c>
      <c r="BQ16" s="31" t="s">
        <v>201</v>
      </c>
      <c r="BS16" s="56" t="s">
        <v>216</v>
      </c>
      <c r="BT16" s="31" t="s">
        <v>201</v>
      </c>
      <c r="BV16" s="56" t="s">
        <v>216</v>
      </c>
      <c r="BW16" s="31" t="s">
        <v>201</v>
      </c>
      <c r="BY16" s="56" t="s">
        <v>216</v>
      </c>
      <c r="BZ16" s="31" t="s">
        <v>201</v>
      </c>
      <c r="CB16" s="87" t="s">
        <v>119</v>
      </c>
      <c r="CC16" s="103">
        <v>-2.7000000000000001E-3</v>
      </c>
      <c r="CE16" s="56" t="s">
        <v>230</v>
      </c>
      <c r="CF16" s="86" t="b">
        <v>0</v>
      </c>
      <c r="CH16" s="56"/>
      <c r="CI16" s="86"/>
      <c r="CK16" s="150"/>
      <c r="CL16" s="151"/>
      <c r="CN16" s="56"/>
      <c r="CO16" s="86"/>
    </row>
    <row r="17" spans="2:95">
      <c r="B17" s="2" t="s">
        <v>355</v>
      </c>
      <c r="C17" s="9"/>
      <c r="F17" t="s">
        <v>12</v>
      </c>
      <c r="G17" s="56" t="s">
        <v>115</v>
      </c>
      <c r="H17" s="86" t="s">
        <v>104</v>
      </c>
      <c r="J17" s="73"/>
      <c r="K17" s="17"/>
      <c r="M17" s="87" t="s">
        <v>23</v>
      </c>
      <c r="N17" s="88">
        <v>-1.2999999999999999E-3</v>
      </c>
      <c r="O17" s="89"/>
      <c r="P17" s="89"/>
      <c r="Q17" s="90" t="b">
        <v>1</v>
      </c>
      <c r="S17" s="97"/>
      <c r="T17" s="98"/>
      <c r="V17" s="56" t="s">
        <v>232</v>
      </c>
      <c r="W17" s="86" t="b">
        <v>0</v>
      </c>
      <c r="Y17" s="13" t="s">
        <v>1</v>
      </c>
      <c r="Z17" s="17" t="s">
        <v>48</v>
      </c>
      <c r="AB17" s="54"/>
      <c r="AC17" s="36"/>
      <c r="AE17" s="42"/>
      <c r="AF17" s="43"/>
      <c r="AG17" s="43"/>
      <c r="AH17" s="44"/>
      <c r="AI17" s="184" t="s">
        <v>88</v>
      </c>
      <c r="AK17" s="56" t="s">
        <v>111</v>
      </c>
      <c r="AL17" s="86" t="b">
        <v>1</v>
      </c>
      <c r="AN17" s="71" t="s">
        <v>28</v>
      </c>
      <c r="AO17" s="82">
        <v>1.2851999999999999E-2</v>
      </c>
      <c r="AP17" s="83" t="b">
        <v>1</v>
      </c>
      <c r="AQ17" s="6"/>
      <c r="AR17" s="56" t="s">
        <v>232</v>
      </c>
      <c r="AS17" s="86" t="b">
        <v>0</v>
      </c>
      <c r="AU17" s="56" t="s">
        <v>120</v>
      </c>
      <c r="AV17" s="109" t="s">
        <v>23</v>
      </c>
      <c r="AX17" s="87" t="s">
        <v>113</v>
      </c>
      <c r="AY17" s="103">
        <v>8.7750000000000002E-4</v>
      </c>
      <c r="BA17" s="56" t="s">
        <v>120</v>
      </c>
      <c r="BB17" s="109" t="s">
        <v>53</v>
      </c>
      <c r="BD17" s="87" t="s">
        <v>113</v>
      </c>
      <c r="BE17" s="103">
        <v>9.9250000000000011E-4</v>
      </c>
      <c r="BG17" s="56" t="s">
        <v>120</v>
      </c>
      <c r="BH17" s="109" t="s">
        <v>265</v>
      </c>
      <c r="BJ17" s="87" t="s">
        <v>113</v>
      </c>
      <c r="BK17" s="103">
        <v>1.16E-3</v>
      </c>
      <c r="BM17" s="56" t="s">
        <v>232</v>
      </c>
      <c r="BN17" s="86" t="b">
        <v>0</v>
      </c>
      <c r="BP17" s="56" t="s">
        <v>220</v>
      </c>
      <c r="BQ17" s="31" t="s">
        <v>381</v>
      </c>
      <c r="BS17" s="56" t="s">
        <v>220</v>
      </c>
      <c r="BT17" s="31" t="s">
        <v>381</v>
      </c>
      <c r="BV17" s="56" t="s">
        <v>220</v>
      </c>
      <c r="BW17" s="31" t="s">
        <v>381</v>
      </c>
      <c r="BY17" s="56" t="s">
        <v>220</v>
      </c>
      <c r="BZ17" s="31" t="s">
        <v>381</v>
      </c>
      <c r="CB17" s="87" t="s">
        <v>113</v>
      </c>
      <c r="CC17" s="103">
        <v>-2.6375000000000001E-3</v>
      </c>
      <c r="CE17" s="56" t="s">
        <v>232</v>
      </c>
      <c r="CF17" s="86" t="b">
        <v>0</v>
      </c>
      <c r="CH17" s="56"/>
      <c r="CI17" s="86"/>
      <c r="CK17" s="150"/>
      <c r="CL17" s="151"/>
      <c r="CN17" s="56"/>
      <c r="CO17" s="86"/>
    </row>
    <row r="18" spans="2:95">
      <c r="B18" s="55" t="s">
        <v>201</v>
      </c>
      <c r="C18" s="126" t="s">
        <v>324</v>
      </c>
      <c r="D18" s="127"/>
      <c r="E18" s="128"/>
      <c r="F18" t="s">
        <v>12</v>
      </c>
      <c r="G18" s="56" t="s">
        <v>110</v>
      </c>
      <c r="H18" s="86" t="s">
        <v>106</v>
      </c>
      <c r="J18" s="56"/>
      <c r="K18" s="15"/>
      <c r="M18" s="87" t="s">
        <v>65</v>
      </c>
      <c r="N18" s="88">
        <v>-1.33E-3</v>
      </c>
      <c r="O18" s="89"/>
      <c r="P18" s="89"/>
      <c r="Q18" s="90" t="b">
        <v>1</v>
      </c>
      <c r="S18" s="97"/>
      <c r="T18" s="98"/>
      <c r="V18" s="56" t="s">
        <v>110</v>
      </c>
      <c r="W18" s="86" t="b">
        <v>0</v>
      </c>
      <c r="Y18" s="13" t="s">
        <v>94</v>
      </c>
      <c r="Z18" s="17">
        <v>2</v>
      </c>
      <c r="AB18" s="54"/>
      <c r="AC18" s="36"/>
      <c r="AE18" s="45"/>
      <c r="AF18" s="46"/>
      <c r="AG18" s="46"/>
      <c r="AH18" s="47"/>
      <c r="AI18" s="185" t="s">
        <v>88</v>
      </c>
      <c r="AK18" s="56" t="s">
        <v>102</v>
      </c>
      <c r="AL18" s="86" t="b">
        <v>1</v>
      </c>
      <c r="AN18" s="71" t="s">
        <v>366</v>
      </c>
      <c r="AO18" s="82">
        <v>1.3846000000000001E-2</v>
      </c>
      <c r="AP18" s="83" t="b">
        <v>1</v>
      </c>
      <c r="AQ18" s="6"/>
      <c r="AR18" s="56" t="s">
        <v>110</v>
      </c>
      <c r="AS18" s="86" t="b">
        <v>0</v>
      </c>
      <c r="AU18" s="56" t="s">
        <v>114</v>
      </c>
      <c r="AV18" s="17" t="s">
        <v>55</v>
      </c>
      <c r="AX18" s="87" t="s">
        <v>28</v>
      </c>
      <c r="AY18" s="103">
        <v>8.3000000000000012E-4</v>
      </c>
      <c r="BA18" s="56" t="s">
        <v>114</v>
      </c>
      <c r="BB18" s="17" t="s">
        <v>55</v>
      </c>
      <c r="BD18" s="87" t="s">
        <v>28</v>
      </c>
      <c r="BE18" s="103">
        <v>9.8249999999999987E-4</v>
      </c>
      <c r="BG18" s="56" t="s">
        <v>114</v>
      </c>
      <c r="BH18" s="17" t="s">
        <v>55</v>
      </c>
      <c r="BJ18" s="87" t="s">
        <v>28</v>
      </c>
      <c r="BK18" s="103">
        <v>1.1300000000000001E-3</v>
      </c>
      <c r="BM18" s="56" t="s">
        <v>110</v>
      </c>
      <c r="BN18" s="86" t="b">
        <v>0</v>
      </c>
      <c r="BP18" s="56" t="s">
        <v>233</v>
      </c>
      <c r="BQ18" s="86" t="s">
        <v>53</v>
      </c>
      <c r="BS18" s="56" t="s">
        <v>233</v>
      </c>
      <c r="BT18" s="86" t="s">
        <v>53</v>
      </c>
      <c r="BV18" s="56" t="s">
        <v>233</v>
      </c>
      <c r="BW18" s="86" t="s">
        <v>53</v>
      </c>
      <c r="BY18" s="56" t="s">
        <v>233</v>
      </c>
      <c r="BZ18" s="86" t="s">
        <v>53</v>
      </c>
      <c r="CB18" s="87" t="s">
        <v>28</v>
      </c>
      <c r="CC18" s="103">
        <v>-2.575E-3</v>
      </c>
      <c r="CE18" s="56" t="s">
        <v>110</v>
      </c>
      <c r="CF18" s="86" t="b">
        <v>0</v>
      </c>
      <c r="CH18" s="56"/>
      <c r="CI18" s="86"/>
      <c r="CK18" s="150"/>
      <c r="CL18" s="151"/>
      <c r="CN18" s="56"/>
      <c r="CO18" s="86"/>
    </row>
    <row r="19" spans="2:95">
      <c r="B19" s="56" t="s">
        <v>63</v>
      </c>
      <c r="C19" s="129" t="s">
        <v>300</v>
      </c>
      <c r="D19" s="130"/>
      <c r="E19" s="131"/>
      <c r="F19" t="s">
        <v>12</v>
      </c>
      <c r="G19" s="56" t="s">
        <v>107</v>
      </c>
      <c r="H19" s="86" t="s">
        <v>106</v>
      </c>
      <c r="J19" s="56"/>
      <c r="K19" s="15"/>
      <c r="M19" s="87" t="s">
        <v>61</v>
      </c>
      <c r="N19" s="88">
        <v>-1.3270000000000001E-3</v>
      </c>
      <c r="O19" s="89"/>
      <c r="P19" s="89"/>
      <c r="Q19" s="90" t="b">
        <v>1</v>
      </c>
      <c r="S19" s="97"/>
      <c r="T19" s="98"/>
      <c r="V19" s="56" t="s">
        <v>107</v>
      </c>
      <c r="W19" s="86" t="b">
        <v>0</v>
      </c>
      <c r="Y19" s="57" t="s">
        <v>90</v>
      </c>
      <c r="Z19" s="17" t="s">
        <v>40</v>
      </c>
      <c r="AB19" s="54"/>
      <c r="AC19" s="36"/>
      <c r="AE19" s="45"/>
      <c r="AF19" s="46"/>
      <c r="AG19" s="46"/>
      <c r="AH19" s="47"/>
      <c r="AI19" s="185" t="s">
        <v>88</v>
      </c>
      <c r="AK19" s="56" t="s">
        <v>165</v>
      </c>
      <c r="AL19" s="86">
        <v>2</v>
      </c>
      <c r="AN19" s="71" t="s">
        <v>26</v>
      </c>
      <c r="AO19" s="82">
        <v>1.4710000000000001E-2</v>
      </c>
      <c r="AP19" s="83" t="b">
        <v>1</v>
      </c>
      <c r="AQ19" s="6"/>
      <c r="AR19" s="56" t="s">
        <v>107</v>
      </c>
      <c r="AS19" s="86" t="b">
        <v>0</v>
      </c>
      <c r="AU19" s="56" t="s">
        <v>109</v>
      </c>
      <c r="AV19" s="17" t="s">
        <v>261</v>
      </c>
      <c r="AX19" s="87" t="s">
        <v>366</v>
      </c>
      <c r="AY19" s="103">
        <v>8.0999999999999996E-4</v>
      </c>
      <c r="BA19" s="56" t="s">
        <v>109</v>
      </c>
      <c r="BB19" s="17" t="s">
        <v>261</v>
      </c>
      <c r="BD19" s="87" t="s">
        <v>366</v>
      </c>
      <c r="BE19" s="103">
        <v>9.7249999999999995E-4</v>
      </c>
      <c r="BG19" s="56" t="s">
        <v>109</v>
      </c>
      <c r="BH19" s="17" t="s">
        <v>261</v>
      </c>
      <c r="BJ19" s="87" t="s">
        <v>366</v>
      </c>
      <c r="BK19" s="103">
        <v>1.1000000000000001E-3</v>
      </c>
      <c r="BM19" s="56" t="s">
        <v>107</v>
      </c>
      <c r="BN19" s="86" t="b">
        <v>0</v>
      </c>
      <c r="BP19" s="56" t="s">
        <v>234</v>
      </c>
      <c r="BQ19" s="86" t="s">
        <v>55</v>
      </c>
      <c r="BS19" s="56" t="s">
        <v>234</v>
      </c>
      <c r="BT19" s="86" t="s">
        <v>55</v>
      </c>
      <c r="BV19" s="56" t="s">
        <v>234</v>
      </c>
      <c r="BW19" s="86" t="s">
        <v>55</v>
      </c>
      <c r="BY19" s="56" t="s">
        <v>234</v>
      </c>
      <c r="BZ19" s="86" t="s">
        <v>55</v>
      </c>
      <c r="CB19" s="87" t="s">
        <v>366</v>
      </c>
      <c r="CC19" s="103">
        <v>-2.4875000000000001E-3</v>
      </c>
      <c r="CE19" s="56" t="s">
        <v>107</v>
      </c>
      <c r="CF19" s="86" t="b">
        <v>0</v>
      </c>
      <c r="CH19" s="56"/>
      <c r="CI19" s="86"/>
      <c r="CK19" s="150"/>
      <c r="CL19" s="151"/>
      <c r="CN19" s="56"/>
      <c r="CO19" s="86"/>
    </row>
    <row r="20" spans="2:95">
      <c r="B20" s="56" t="s">
        <v>363</v>
      </c>
      <c r="C20" s="129" t="s">
        <v>191</v>
      </c>
      <c r="D20" s="133"/>
      <c r="E20" s="134"/>
      <c r="F20" t="s">
        <v>12</v>
      </c>
      <c r="G20" s="56"/>
      <c r="H20" s="86"/>
      <c r="J20" s="56"/>
      <c r="K20" s="15"/>
      <c r="M20" s="87" t="s">
        <v>57</v>
      </c>
      <c r="N20" s="88">
        <v>-1.3500000000000001E-3</v>
      </c>
      <c r="O20" s="89"/>
      <c r="P20" s="89"/>
      <c r="Q20" s="90" t="b">
        <v>1</v>
      </c>
      <c r="S20" s="97"/>
      <c r="T20" s="98"/>
      <c r="V20" s="56" t="s">
        <v>115</v>
      </c>
      <c r="W20" s="86" t="s">
        <v>104</v>
      </c>
      <c r="Y20" s="57" t="s">
        <v>123</v>
      </c>
      <c r="Z20" s="17" t="b">
        <v>1</v>
      </c>
      <c r="AB20" s="54"/>
      <c r="AC20" s="36"/>
      <c r="AE20" s="45"/>
      <c r="AF20" s="46"/>
      <c r="AG20" s="46"/>
      <c r="AH20" s="47"/>
      <c r="AI20" s="185" t="s">
        <v>88</v>
      </c>
      <c r="AK20" s="56" t="s">
        <v>90</v>
      </c>
      <c r="AL20" s="86" t="s">
        <v>40</v>
      </c>
      <c r="AN20" s="71" t="s">
        <v>24</v>
      </c>
      <c r="AO20" s="82">
        <v>1.6576999999999998E-2</v>
      </c>
      <c r="AP20" s="83" t="b">
        <v>1</v>
      </c>
      <c r="AQ20" s="6"/>
      <c r="AR20" s="56" t="s">
        <v>115</v>
      </c>
      <c r="AS20" s="86" t="s">
        <v>104</v>
      </c>
      <c r="AU20" s="56" t="s">
        <v>105</v>
      </c>
      <c r="AV20" s="17" t="s">
        <v>48</v>
      </c>
      <c r="AX20" s="87" t="s">
        <v>26</v>
      </c>
      <c r="AY20" s="103">
        <v>7.7999999999999999E-4</v>
      </c>
      <c r="BA20" s="56" t="s">
        <v>105</v>
      </c>
      <c r="BB20" s="17" t="s">
        <v>48</v>
      </c>
      <c r="BD20" s="87" t="s">
        <v>26</v>
      </c>
      <c r="BE20" s="103">
        <v>9.6250000000000003E-4</v>
      </c>
      <c r="BG20" s="56" t="s">
        <v>105</v>
      </c>
      <c r="BH20" s="17" t="s">
        <v>48</v>
      </c>
      <c r="BJ20" s="87" t="s">
        <v>26</v>
      </c>
      <c r="BK20" s="103">
        <v>1.0499999999999999E-3</v>
      </c>
      <c r="BM20" s="56" t="s">
        <v>115</v>
      </c>
      <c r="BN20" s="86" t="s">
        <v>104</v>
      </c>
      <c r="BP20" s="56" t="s">
        <v>236</v>
      </c>
      <c r="BQ20" s="86" t="s">
        <v>46</v>
      </c>
      <c r="BS20" s="56" t="s">
        <v>236</v>
      </c>
      <c r="BT20" s="86" t="s">
        <v>46</v>
      </c>
      <c r="BV20" s="56" t="s">
        <v>236</v>
      </c>
      <c r="BW20" s="86" t="s">
        <v>46</v>
      </c>
      <c r="BY20" s="56" t="s">
        <v>236</v>
      </c>
      <c r="BZ20" s="86" t="s">
        <v>46</v>
      </c>
      <c r="CB20" s="87" t="s">
        <v>26</v>
      </c>
      <c r="CC20" s="103">
        <v>-2.39375E-3</v>
      </c>
      <c r="CE20" s="56" t="s">
        <v>115</v>
      </c>
      <c r="CF20" s="86" t="s">
        <v>104</v>
      </c>
      <c r="CH20" s="56"/>
      <c r="CI20" s="86"/>
      <c r="CK20" s="56"/>
      <c r="CL20" s="86"/>
      <c r="CN20" s="56"/>
      <c r="CO20" s="86"/>
    </row>
    <row r="21" spans="2:95">
      <c r="B21" s="56" t="s">
        <v>206</v>
      </c>
      <c r="C21" s="132" t="s">
        <v>295</v>
      </c>
      <c r="D21" s="133"/>
      <c r="E21" s="134"/>
      <c r="F21" t="s">
        <v>12</v>
      </c>
      <c r="G21" s="56"/>
      <c r="H21" s="86"/>
      <c r="J21" s="56"/>
      <c r="K21" s="15"/>
      <c r="M21" s="87" t="s">
        <v>52</v>
      </c>
      <c r="N21" s="88">
        <v>-1.34E-3</v>
      </c>
      <c r="O21" s="89"/>
      <c r="P21" s="89"/>
      <c r="Q21" s="90" t="b">
        <v>1</v>
      </c>
      <c r="S21" s="97"/>
      <c r="T21" s="98"/>
      <c r="V21" s="56" t="s">
        <v>100</v>
      </c>
      <c r="W21" s="86" t="s">
        <v>29</v>
      </c>
      <c r="Y21" s="57"/>
      <c r="Z21" s="17"/>
      <c r="AB21" s="54"/>
      <c r="AC21" s="36"/>
      <c r="AE21" s="45"/>
      <c r="AF21" s="46"/>
      <c r="AG21" s="46"/>
      <c r="AH21" s="47"/>
      <c r="AI21" s="185" t="s">
        <v>88</v>
      </c>
      <c r="AK21" s="56" t="s">
        <v>34</v>
      </c>
      <c r="AL21" s="86" t="b">
        <v>1</v>
      </c>
      <c r="AN21" s="71" t="s">
        <v>20</v>
      </c>
      <c r="AO21" s="82">
        <v>1.806E-2</v>
      </c>
      <c r="AP21" s="83" t="b">
        <v>1</v>
      </c>
      <c r="AQ21" s="6"/>
      <c r="AR21" s="56" t="s">
        <v>100</v>
      </c>
      <c r="AS21" s="86" t="s">
        <v>29</v>
      </c>
      <c r="AU21" s="56" t="s">
        <v>101</v>
      </c>
      <c r="AV21" s="17" t="s">
        <v>261</v>
      </c>
      <c r="AX21" s="87" t="s">
        <v>376</v>
      </c>
      <c r="AY21" s="103">
        <v>7.2999999999999996E-4</v>
      </c>
      <c r="BA21" s="56" t="s">
        <v>101</v>
      </c>
      <c r="BB21" s="17" t="s">
        <v>261</v>
      </c>
      <c r="BD21" s="87" t="s">
        <v>24</v>
      </c>
      <c r="BE21" s="103">
        <v>9.1250000000000001E-4</v>
      </c>
      <c r="BG21" s="56" t="s">
        <v>101</v>
      </c>
      <c r="BH21" s="17" t="s">
        <v>261</v>
      </c>
      <c r="BJ21" s="87" t="s">
        <v>24</v>
      </c>
      <c r="BK21" s="103">
        <v>9.4000000000000008E-4</v>
      </c>
      <c r="BM21" s="56" t="s">
        <v>100</v>
      </c>
      <c r="BN21" s="86" t="s">
        <v>29</v>
      </c>
      <c r="BP21" s="56" t="s">
        <v>237</v>
      </c>
      <c r="BQ21" s="86" t="s">
        <v>48</v>
      </c>
      <c r="BS21" s="56" t="s">
        <v>237</v>
      </c>
      <c r="BT21" s="86" t="s">
        <v>48</v>
      </c>
      <c r="BV21" s="56" t="s">
        <v>237</v>
      </c>
      <c r="BW21" s="86" t="s">
        <v>48</v>
      </c>
      <c r="BY21" s="56" t="s">
        <v>237</v>
      </c>
      <c r="BZ21" s="86" t="s">
        <v>48</v>
      </c>
      <c r="CB21" s="87" t="s">
        <v>376</v>
      </c>
      <c r="CC21" s="103">
        <v>-2.3625E-3</v>
      </c>
      <c r="CE21" s="56" t="s">
        <v>100</v>
      </c>
      <c r="CF21" s="86" t="s">
        <v>29</v>
      </c>
      <c r="CH21" s="56"/>
      <c r="CI21" s="86"/>
      <c r="CK21" s="56"/>
      <c r="CL21" s="86"/>
      <c r="CN21" s="56"/>
      <c r="CO21" s="86"/>
    </row>
    <row r="22" spans="2:95">
      <c r="B22" s="56" t="s">
        <v>207</v>
      </c>
      <c r="C22" s="132" t="s">
        <v>296</v>
      </c>
      <c r="D22" s="133"/>
      <c r="E22" s="134"/>
      <c r="F22" t="s">
        <v>12</v>
      </c>
      <c r="G22" s="56"/>
      <c r="H22" s="17"/>
      <c r="J22" s="56"/>
      <c r="K22" s="17"/>
      <c r="M22" s="87" t="s">
        <v>50</v>
      </c>
      <c r="N22" s="88">
        <v>-1.34E-3</v>
      </c>
      <c r="O22" s="89" t="s">
        <v>88</v>
      </c>
      <c r="P22" s="89" t="s">
        <v>88</v>
      </c>
      <c r="Q22" s="90" t="b">
        <v>1</v>
      </c>
      <c r="S22" s="97"/>
      <c r="T22" s="98"/>
      <c r="V22" s="56" t="s">
        <v>235</v>
      </c>
      <c r="W22" s="86" t="b">
        <v>1</v>
      </c>
      <c r="Y22" s="57"/>
      <c r="Z22" s="17"/>
      <c r="AB22" s="54"/>
      <c r="AC22" s="36"/>
      <c r="AE22" s="45"/>
      <c r="AF22" s="46"/>
      <c r="AG22" s="46"/>
      <c r="AH22" s="47"/>
      <c r="AI22" s="185" t="s">
        <v>88</v>
      </c>
      <c r="AK22" s="56"/>
      <c r="AL22" s="86"/>
      <c r="AN22" s="71" t="s">
        <v>18</v>
      </c>
      <c r="AO22" s="82">
        <v>1.8381999999999999E-2</v>
      </c>
      <c r="AP22" s="83" t="b">
        <v>1</v>
      </c>
      <c r="AQ22" s="6"/>
      <c r="AR22" s="56" t="s">
        <v>235</v>
      </c>
      <c r="AS22" s="86" t="b">
        <v>1</v>
      </c>
      <c r="AU22" s="56" t="s">
        <v>96</v>
      </c>
      <c r="AV22" s="17" t="s">
        <v>43</v>
      </c>
      <c r="AX22" s="87" t="s">
        <v>377</v>
      </c>
      <c r="AY22" s="103">
        <v>6.9999999999999999E-4</v>
      </c>
      <c r="BA22" s="56" t="s">
        <v>96</v>
      </c>
      <c r="BB22" s="17" t="s">
        <v>43</v>
      </c>
      <c r="BD22" s="87" t="s">
        <v>20</v>
      </c>
      <c r="BE22" s="103">
        <v>8.1249999999999996E-4</v>
      </c>
      <c r="BG22" s="56" t="s">
        <v>96</v>
      </c>
      <c r="BH22" s="17" t="s">
        <v>43</v>
      </c>
      <c r="BJ22" s="87" t="s">
        <v>20</v>
      </c>
      <c r="BK22" s="103">
        <v>8.3000000000000012E-4</v>
      </c>
      <c r="BM22" s="56" t="s">
        <v>235</v>
      </c>
      <c r="BN22" s="86" t="b">
        <v>1</v>
      </c>
      <c r="BP22" s="56" t="s">
        <v>238</v>
      </c>
      <c r="BQ22" s="86" t="s">
        <v>46</v>
      </c>
      <c r="BS22" s="56" t="s">
        <v>238</v>
      </c>
      <c r="BT22" s="86" t="s">
        <v>46</v>
      </c>
      <c r="BV22" s="56" t="s">
        <v>238</v>
      </c>
      <c r="BW22" s="86" t="s">
        <v>46</v>
      </c>
      <c r="BY22" s="56" t="s">
        <v>238</v>
      </c>
      <c r="BZ22" s="86" t="s">
        <v>46</v>
      </c>
      <c r="CB22" s="87" t="s">
        <v>377</v>
      </c>
      <c r="CC22" s="103">
        <v>-2.2875E-3</v>
      </c>
      <c r="CE22" s="56" t="s">
        <v>235</v>
      </c>
      <c r="CF22" s="86" t="b">
        <v>1</v>
      </c>
      <c r="CH22" s="56"/>
      <c r="CI22" s="86"/>
      <c r="CK22" s="56"/>
      <c r="CL22" s="86"/>
      <c r="CN22" s="56"/>
      <c r="CO22" s="86"/>
    </row>
    <row r="23" spans="2:95">
      <c r="B23" s="56" t="s">
        <v>288</v>
      </c>
      <c r="C23" s="132" t="s">
        <v>297</v>
      </c>
      <c r="D23" s="133"/>
      <c r="E23" s="134"/>
      <c r="F23" t="s">
        <v>12</v>
      </c>
      <c r="G23" s="13"/>
      <c r="H23" s="30"/>
      <c r="J23" s="13"/>
      <c r="K23" s="30"/>
      <c r="M23" s="87" t="s">
        <v>265</v>
      </c>
      <c r="N23" s="88">
        <v>-1.3500000000000001E-3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17</v>
      </c>
      <c r="AO23" s="82">
        <v>1.8489999999999999E-2</v>
      </c>
      <c r="AP23" s="83" t="b">
        <v>1</v>
      </c>
      <c r="AQ23" s="6"/>
      <c r="AR23" s="13" t="s">
        <v>91</v>
      </c>
      <c r="AS23" s="86" t="s">
        <v>29</v>
      </c>
      <c r="AU23" s="79" t="s">
        <v>92</v>
      </c>
      <c r="AV23" s="20" t="s">
        <v>40</v>
      </c>
      <c r="AX23" s="87" t="s">
        <v>24</v>
      </c>
      <c r="AY23" s="103">
        <v>6.7000000000000002E-4</v>
      </c>
      <c r="BA23" s="79" t="s">
        <v>92</v>
      </c>
      <c r="BB23" s="20" t="s">
        <v>40</v>
      </c>
      <c r="BD23" s="87" t="s">
        <v>18</v>
      </c>
      <c r="BE23" s="103">
        <v>7.2249999999999994E-4</v>
      </c>
      <c r="BG23" s="79" t="s">
        <v>92</v>
      </c>
      <c r="BH23" s="20" t="s">
        <v>40</v>
      </c>
      <c r="BJ23" s="87" t="s">
        <v>18</v>
      </c>
      <c r="BK23" s="103">
        <v>7.7000000000000007E-4</v>
      </c>
      <c r="BM23" s="13" t="s">
        <v>91</v>
      </c>
      <c r="BN23" s="86" t="s">
        <v>29</v>
      </c>
      <c r="BP23" s="56" t="s">
        <v>239</v>
      </c>
      <c r="BQ23" s="17">
        <v>2</v>
      </c>
      <c r="BS23" s="56" t="s">
        <v>239</v>
      </c>
      <c r="BT23" s="17">
        <v>2</v>
      </c>
      <c r="BV23" s="56" t="s">
        <v>239</v>
      </c>
      <c r="BW23" s="17">
        <v>2</v>
      </c>
      <c r="BY23" s="56" t="s">
        <v>239</v>
      </c>
      <c r="BZ23" s="17">
        <v>2</v>
      </c>
      <c r="CB23" s="87" t="s">
        <v>24</v>
      </c>
      <c r="CC23" s="103">
        <v>-2.2125000000000001E-3</v>
      </c>
      <c r="CE23" s="13" t="s">
        <v>91</v>
      </c>
      <c r="CF23" s="86" t="s">
        <v>29</v>
      </c>
      <c r="CH23" s="56"/>
      <c r="CI23" s="86"/>
      <c r="CK23" s="56"/>
      <c r="CL23" s="86"/>
      <c r="CN23" s="56"/>
      <c r="CO23" s="86"/>
    </row>
    <row r="24" spans="2:95">
      <c r="B24" s="56"/>
      <c r="C24" s="132"/>
      <c r="D24" s="133"/>
      <c r="E24" s="134"/>
      <c r="F24" t="s">
        <v>12</v>
      </c>
      <c r="G24" s="14"/>
      <c r="H24" s="32"/>
      <c r="J24" s="14"/>
      <c r="K24" s="32"/>
      <c r="M24" s="87" t="s">
        <v>45</v>
      </c>
      <c r="N24" s="88">
        <v>-1.2149999999999999E-3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16</v>
      </c>
      <c r="AO24" s="82">
        <v>1.8610000000000002E-2</v>
      </c>
      <c r="AP24" s="83" t="b">
        <v>1</v>
      </c>
      <c r="AQ24" s="6"/>
      <c r="AR24" s="13" t="s">
        <v>193</v>
      </c>
      <c r="AS24" s="86" t="s">
        <v>29</v>
      </c>
      <c r="AU24" s="78" t="s">
        <v>87</v>
      </c>
      <c r="AV24" s="102" t="s">
        <v>261</v>
      </c>
      <c r="AX24" s="87" t="s">
        <v>20</v>
      </c>
      <c r="AY24" s="103">
        <v>5.5999999999999995E-4</v>
      </c>
      <c r="BA24" s="78" t="s">
        <v>87</v>
      </c>
      <c r="BB24" s="102" t="s">
        <v>261</v>
      </c>
      <c r="BD24" s="87" t="s">
        <v>17</v>
      </c>
      <c r="BE24" s="103">
        <v>6.6500000000000001E-4</v>
      </c>
      <c r="BG24" s="78" t="s">
        <v>87</v>
      </c>
      <c r="BH24" s="102" t="s">
        <v>261</v>
      </c>
      <c r="BJ24" s="87" t="s">
        <v>17</v>
      </c>
      <c r="BK24" s="103">
        <v>7.2000000000000005E-4</v>
      </c>
      <c r="BM24" s="13" t="s">
        <v>193</v>
      </c>
      <c r="BN24" s="86" t="s">
        <v>29</v>
      </c>
      <c r="BP24" s="56" t="s">
        <v>240</v>
      </c>
      <c r="BQ24" s="86" t="s">
        <v>40</v>
      </c>
      <c r="BS24" s="56" t="s">
        <v>240</v>
      </c>
      <c r="BT24" s="86" t="s">
        <v>40</v>
      </c>
      <c r="BV24" s="56" t="s">
        <v>240</v>
      </c>
      <c r="BW24" s="86" t="s">
        <v>40</v>
      </c>
      <c r="BY24" s="56" t="s">
        <v>240</v>
      </c>
      <c r="BZ24" s="86" t="s">
        <v>40</v>
      </c>
      <c r="CB24" s="87" t="s">
        <v>20</v>
      </c>
      <c r="CC24" s="103">
        <v>-1.9124999999999999E-3</v>
      </c>
      <c r="CE24" s="13" t="s">
        <v>193</v>
      </c>
      <c r="CF24" s="86" t="s">
        <v>29</v>
      </c>
      <c r="CH24" s="56"/>
      <c r="CI24" s="86"/>
      <c r="CK24" s="56"/>
      <c r="CL24" s="86"/>
      <c r="CN24" s="56"/>
      <c r="CO24" s="86"/>
    </row>
    <row r="25" spans="2:95">
      <c r="B25" s="62"/>
      <c r="C25" s="135"/>
      <c r="D25" s="136"/>
      <c r="E25" s="137"/>
      <c r="F25" t="s">
        <v>12</v>
      </c>
      <c r="M25" s="87" t="s">
        <v>42</v>
      </c>
      <c r="N25" s="88">
        <v>-9.2000000000000003E-4</v>
      </c>
      <c r="O25" s="89"/>
      <c r="P25" s="89"/>
      <c r="Q25" s="90" t="b">
        <v>1</v>
      </c>
      <c r="S25" s="97"/>
      <c r="T25" s="98"/>
      <c r="V25" s="13" t="s">
        <v>263</v>
      </c>
      <c r="W25" s="86" t="b">
        <v>1</v>
      </c>
      <c r="Y25" s="58"/>
      <c r="Z25" s="20"/>
      <c r="AB25" s="65"/>
      <c r="AC25" s="41"/>
      <c r="AE25" s="48"/>
      <c r="AF25" s="46"/>
      <c r="AG25" s="46"/>
      <c r="AH25" s="49"/>
      <c r="AI25" s="185" t="s">
        <v>88</v>
      </c>
      <c r="AK25" s="56"/>
      <c r="AL25" s="86"/>
      <c r="AN25" s="71" t="s">
        <v>15</v>
      </c>
      <c r="AO25" s="82">
        <v>1.8595E-2</v>
      </c>
      <c r="AP25" s="83" t="b">
        <v>1</v>
      </c>
      <c r="AQ25" s="6"/>
      <c r="AR25" s="13" t="s">
        <v>263</v>
      </c>
      <c r="AS25" s="86" t="b">
        <v>1</v>
      </c>
      <c r="AU25" s="56" t="s">
        <v>85</v>
      </c>
      <c r="AV25" s="17" t="s">
        <v>55</v>
      </c>
      <c r="AX25" s="87" t="s">
        <v>18</v>
      </c>
      <c r="AY25" s="103">
        <v>4.75E-4</v>
      </c>
      <c r="BA25" s="56" t="s">
        <v>85</v>
      </c>
      <c r="BB25" s="17" t="s">
        <v>55</v>
      </c>
      <c r="BD25" s="87" t="s">
        <v>88</v>
      </c>
      <c r="BE25" s="103" t="s">
        <v>88</v>
      </c>
      <c r="BG25" s="56" t="s">
        <v>85</v>
      </c>
      <c r="BH25" s="17" t="s">
        <v>55</v>
      </c>
      <c r="BJ25" s="87" t="s">
        <v>88</v>
      </c>
      <c r="BK25" s="103" t="s">
        <v>88</v>
      </c>
      <c r="BM25" s="13" t="s">
        <v>263</v>
      </c>
      <c r="BN25" s="86" t="b">
        <v>1</v>
      </c>
      <c r="BP25" s="78" t="s">
        <v>241</v>
      </c>
      <c r="BQ25" s="106" t="s">
        <v>262</v>
      </c>
      <c r="BS25" s="78" t="s">
        <v>241</v>
      </c>
      <c r="BT25" s="106" t="s">
        <v>262</v>
      </c>
      <c r="BV25" s="78" t="s">
        <v>241</v>
      </c>
      <c r="BW25" s="106" t="s">
        <v>262</v>
      </c>
      <c r="BY25" s="78" t="s">
        <v>241</v>
      </c>
      <c r="BZ25" s="106" t="s">
        <v>262</v>
      </c>
      <c r="CB25" s="87" t="s">
        <v>18</v>
      </c>
      <c r="CC25" s="103">
        <v>-1.6624999999999999E-3</v>
      </c>
      <c r="CE25" s="13" t="s">
        <v>263</v>
      </c>
      <c r="CF25" s="86" t="b">
        <v>1</v>
      </c>
      <c r="CH25" s="56"/>
      <c r="CI25" s="86"/>
      <c r="CK25" s="56"/>
      <c r="CL25" s="86"/>
      <c r="CN25" s="56"/>
      <c r="CO25" s="86"/>
    </row>
    <row r="26" spans="2:95">
      <c r="F26" t="s">
        <v>12</v>
      </c>
      <c r="M26" s="87" t="s">
        <v>365</v>
      </c>
      <c r="N26" s="88">
        <v>-5.3499999999999999E-4</v>
      </c>
      <c r="O26" s="89"/>
      <c r="P26" s="89"/>
      <c r="Q26" s="90" t="b">
        <v>1</v>
      </c>
      <c r="S26" s="97"/>
      <c r="T26" s="98"/>
      <c r="V26" s="13" t="s">
        <v>81</v>
      </c>
      <c r="W26" s="86" t="s">
        <v>201</v>
      </c>
      <c r="Y26" s="215" t="s">
        <v>23</v>
      </c>
      <c r="Z26" s="216">
        <v>5.0999999999999993E-4</v>
      </c>
      <c r="AB26" s="54"/>
      <c r="AC26" s="36"/>
      <c r="AE26" s="50"/>
      <c r="AF26" s="51"/>
      <c r="AG26" s="51"/>
      <c r="AH26" s="51"/>
      <c r="AI26" s="186" t="s">
        <v>88</v>
      </c>
      <c r="AK26" s="56"/>
      <c r="AL26" s="86"/>
      <c r="AN26" s="71" t="s">
        <v>368</v>
      </c>
      <c r="AO26" s="82">
        <v>1.8402999999999999E-2</v>
      </c>
      <c r="AP26" s="83" t="b">
        <v>1</v>
      </c>
      <c r="AQ26" s="6"/>
      <c r="AR26" s="13" t="s">
        <v>81</v>
      </c>
      <c r="AS26" s="86" t="s">
        <v>201</v>
      </c>
      <c r="AU26" s="56" t="s">
        <v>83</v>
      </c>
      <c r="AV26" s="86" t="s">
        <v>77</v>
      </c>
      <c r="AX26" s="87" t="s">
        <v>17</v>
      </c>
      <c r="AY26" s="103">
        <v>4.2499999999999998E-4</v>
      </c>
      <c r="BA26" s="56" t="s">
        <v>83</v>
      </c>
      <c r="BB26" s="86" t="s">
        <v>82</v>
      </c>
      <c r="BD26" s="87" t="s">
        <v>88</v>
      </c>
      <c r="BE26" s="103" t="s">
        <v>88</v>
      </c>
      <c r="BG26" s="56" t="s">
        <v>83</v>
      </c>
      <c r="BH26" s="86" t="s">
        <v>78</v>
      </c>
      <c r="BJ26" s="87" t="s">
        <v>88</v>
      </c>
      <c r="BK26" s="103" t="s">
        <v>88</v>
      </c>
      <c r="BM26" s="13"/>
      <c r="BN26" s="86"/>
      <c r="BP26" s="56" t="s">
        <v>242</v>
      </c>
      <c r="BQ26" s="86" t="s">
        <v>55</v>
      </c>
      <c r="BS26" s="56" t="s">
        <v>242</v>
      </c>
      <c r="BT26" s="86" t="s">
        <v>55</v>
      </c>
      <c r="BV26" s="56" t="s">
        <v>242</v>
      </c>
      <c r="BW26" s="86" t="s">
        <v>55</v>
      </c>
      <c r="BY26" s="56" t="s">
        <v>242</v>
      </c>
      <c r="BZ26" s="86" t="s">
        <v>55</v>
      </c>
      <c r="CB26" s="87" t="s">
        <v>17</v>
      </c>
      <c r="CC26" s="103">
        <v>-1.4875000000000001E-3</v>
      </c>
      <c r="CE26" s="13"/>
      <c r="CF26" s="86"/>
      <c r="CH26" s="56"/>
      <c r="CI26" s="86"/>
      <c r="CK26" s="56"/>
      <c r="CL26" s="86"/>
      <c r="CN26" s="56"/>
      <c r="CO26" s="86"/>
    </row>
    <row r="27" spans="2:95">
      <c r="B27" s="2" t="s">
        <v>356</v>
      </c>
      <c r="C27" s="9"/>
      <c r="F27" t="s">
        <v>12</v>
      </c>
      <c r="M27" s="87" t="s">
        <v>39</v>
      </c>
      <c r="N27" s="88">
        <v>1.4E-5</v>
      </c>
      <c r="O27" s="89"/>
      <c r="P27" s="89"/>
      <c r="Q27" s="90" t="b">
        <v>1</v>
      </c>
      <c r="S27" s="97"/>
      <c r="T27" s="98"/>
      <c r="V27" s="13"/>
      <c r="W27" s="86"/>
      <c r="Y27" s="59" t="s">
        <v>80</v>
      </c>
      <c r="Z27" s="17"/>
      <c r="AB27" s="59" t="s">
        <v>79</v>
      </c>
      <c r="AC27" s="36"/>
      <c r="AE27" s="50"/>
      <c r="AF27" s="51"/>
      <c r="AG27" s="51"/>
      <c r="AH27" s="51"/>
      <c r="AI27" s="186" t="s">
        <v>88</v>
      </c>
      <c r="AK27" s="56"/>
      <c r="AL27" s="86"/>
      <c r="AN27" s="71" t="s">
        <v>14</v>
      </c>
      <c r="AO27" s="82">
        <v>1.8200000000000001E-2</v>
      </c>
      <c r="AP27" s="83" t="b">
        <v>1</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243</v>
      </c>
      <c r="BQ27" s="86" t="s">
        <v>77</v>
      </c>
      <c r="BS27" s="56" t="s">
        <v>243</v>
      </c>
      <c r="BT27" s="86" t="s">
        <v>77</v>
      </c>
      <c r="BV27" s="56" t="s">
        <v>243</v>
      </c>
      <c r="BW27" s="86" t="s">
        <v>77</v>
      </c>
      <c r="BY27" s="56" t="s">
        <v>243</v>
      </c>
      <c r="BZ27" s="86" t="s">
        <v>77</v>
      </c>
      <c r="CB27" s="87" t="s">
        <v>15</v>
      </c>
      <c r="CC27" s="103">
        <v>-1.6624999999999999E-3</v>
      </c>
      <c r="CE27" s="13"/>
      <c r="CF27" s="86"/>
      <c r="CH27" s="56"/>
      <c r="CI27" s="86"/>
      <c r="CK27" s="56"/>
      <c r="CL27" s="86"/>
      <c r="CN27" s="56"/>
      <c r="CO27" s="86"/>
    </row>
    <row r="28" spans="2:95">
      <c r="B28" s="55" t="s">
        <v>201</v>
      </c>
      <c r="C28" s="126" t="s">
        <v>203</v>
      </c>
      <c r="D28" s="127"/>
      <c r="E28" s="128"/>
      <c r="F28" t="s">
        <v>12</v>
      </c>
      <c r="M28" s="87" t="s">
        <v>35</v>
      </c>
      <c r="N28" s="88">
        <v>1.4299999999999998E-3</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t="s">
        <v>69</v>
      </c>
      <c r="BH28" s="17" t="s">
        <v>43</v>
      </c>
      <c r="BJ28" s="87" t="s">
        <v>88</v>
      </c>
      <c r="BK28" s="103" t="s">
        <v>88</v>
      </c>
      <c r="BM28" s="13"/>
      <c r="BN28" s="86"/>
      <c r="BP28" s="56" t="s">
        <v>244</v>
      </c>
      <c r="BQ28" s="86" t="s">
        <v>40</v>
      </c>
      <c r="BS28" s="56" t="s">
        <v>244</v>
      </c>
      <c r="BT28" s="86" t="s">
        <v>40</v>
      </c>
      <c r="BV28" s="56" t="s">
        <v>244</v>
      </c>
      <c r="BW28" s="86" t="s">
        <v>40</v>
      </c>
      <c r="BY28" s="56" t="s">
        <v>244</v>
      </c>
      <c r="BZ28" s="86" t="s">
        <v>40</v>
      </c>
      <c r="CB28" s="87" t="s">
        <v>14</v>
      </c>
      <c r="CC28" s="103">
        <v>-1.9499999999999999E-3</v>
      </c>
      <c r="CE28" s="13"/>
      <c r="CF28" s="86"/>
      <c r="CH28" s="56"/>
      <c r="CI28" s="86"/>
      <c r="CK28" s="56"/>
      <c r="CL28" s="86"/>
      <c r="CN28" s="56"/>
      <c r="CO28" s="86"/>
    </row>
    <row r="29" spans="2:95">
      <c r="B29" s="56" t="s">
        <v>63</v>
      </c>
      <c r="C29" s="129" t="s">
        <v>300</v>
      </c>
      <c r="D29" s="130"/>
      <c r="E29" s="131"/>
      <c r="F29" t="s">
        <v>12</v>
      </c>
      <c r="M29" s="87" t="s">
        <v>33</v>
      </c>
      <c r="N29" s="88">
        <v>3.075E-3</v>
      </c>
      <c r="O29" s="89"/>
      <c r="P29" s="89"/>
      <c r="Q29" s="90" t="b">
        <v>1</v>
      </c>
      <c r="S29" s="97"/>
      <c r="T29" s="98"/>
      <c r="V29" s="13"/>
      <c r="W29" s="86"/>
      <c r="Y29" s="54" t="s">
        <v>23</v>
      </c>
      <c r="Z29" s="36">
        <v>4.8999999999999998E-4</v>
      </c>
      <c r="AB29" s="54" t="s">
        <v>71</v>
      </c>
      <c r="AC29" s="36">
        <v>5.0999999999999993E-4</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245</v>
      </c>
      <c r="BQ29" s="86">
        <v>2</v>
      </c>
      <c r="BS29" s="56" t="s">
        <v>245</v>
      </c>
      <c r="BT29" s="86">
        <v>2</v>
      </c>
      <c r="BV29" s="56" t="s">
        <v>245</v>
      </c>
      <c r="BW29" s="86">
        <v>2</v>
      </c>
      <c r="BY29" s="56" t="s">
        <v>245</v>
      </c>
      <c r="BZ29" s="86">
        <v>2</v>
      </c>
      <c r="CB29" s="87" t="s">
        <v>88</v>
      </c>
      <c r="CC29" s="103" t="s">
        <v>88</v>
      </c>
      <c r="CE29" s="13"/>
      <c r="CF29" s="86"/>
      <c r="CH29" s="56"/>
      <c r="CI29" s="86"/>
      <c r="CK29" s="56"/>
      <c r="CL29" s="86"/>
      <c r="CN29" s="56"/>
      <c r="CO29" s="86"/>
      <c r="CQ29" t="s">
        <v>12</v>
      </c>
    </row>
    <row r="30" spans="2:95">
      <c r="B30" s="56" t="s">
        <v>206</v>
      </c>
      <c r="C30" s="132" t="s">
        <v>295</v>
      </c>
      <c r="D30" s="133"/>
      <c r="E30" s="134"/>
      <c r="F30" t="s">
        <v>12</v>
      </c>
      <c r="M30" s="87" t="s">
        <v>131</v>
      </c>
      <c r="N30" s="88">
        <v>4.7299999999999998E-3</v>
      </c>
      <c r="O30" s="89"/>
      <c r="P30" s="89"/>
      <c r="Q30" s="90" t="b">
        <v>1</v>
      </c>
      <c r="S30" s="97"/>
      <c r="T30" s="98"/>
      <c r="V30" s="13"/>
      <c r="W30" s="86"/>
      <c r="Y30" s="54"/>
      <c r="Z30" s="36"/>
      <c r="AB30" s="54" t="s">
        <v>68</v>
      </c>
      <c r="AC30" s="36">
        <v>5.2999999999999998E-4</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224</v>
      </c>
      <c r="BQ30" s="31" t="s">
        <v>325</v>
      </c>
      <c r="BS30" s="56" t="s">
        <v>224</v>
      </c>
      <c r="BT30" s="31" t="s">
        <v>321</v>
      </c>
      <c r="BV30" s="56" t="s">
        <v>224</v>
      </c>
      <c r="BW30" s="31" t="s">
        <v>322</v>
      </c>
      <c r="BY30" s="56" t="s">
        <v>224</v>
      </c>
      <c r="BZ30" s="31" t="s">
        <v>323</v>
      </c>
      <c r="CB30" s="87" t="s">
        <v>88</v>
      </c>
      <c r="CC30" s="103" t="s">
        <v>88</v>
      </c>
      <c r="CE30" s="13"/>
      <c r="CF30" s="86"/>
      <c r="CH30" s="56"/>
      <c r="CI30" s="86"/>
      <c r="CK30" s="56"/>
      <c r="CL30" s="86"/>
      <c r="CN30" s="56"/>
      <c r="CO30" s="86"/>
    </row>
    <row r="31" spans="2:95">
      <c r="B31" s="56" t="s">
        <v>207</v>
      </c>
      <c r="C31" s="132" t="s">
        <v>296</v>
      </c>
      <c r="D31" s="133"/>
      <c r="E31" s="134"/>
      <c r="F31" t="s">
        <v>12</v>
      </c>
      <c r="M31" s="87" t="s">
        <v>31</v>
      </c>
      <c r="N31" s="88">
        <v>6.3400000000000001E-3</v>
      </c>
      <c r="O31" s="89"/>
      <c r="P31" s="89"/>
      <c r="Q31" s="90" t="b">
        <v>1</v>
      </c>
      <c r="S31" s="97"/>
      <c r="T31" s="98"/>
      <c r="V31" s="13"/>
      <c r="W31" s="86"/>
      <c r="Y31" s="54"/>
      <c r="Z31" s="36"/>
      <c r="AB31" s="54" t="s">
        <v>66</v>
      </c>
      <c r="AC31" s="36">
        <v>5.9999999999999995E-4</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226</v>
      </c>
      <c r="BQ31" s="31" t="s">
        <v>326</v>
      </c>
      <c r="BS31" s="56" t="s">
        <v>226</v>
      </c>
      <c r="BT31" s="31" t="s">
        <v>350</v>
      </c>
      <c r="BV31" s="56" t="s">
        <v>226</v>
      </c>
      <c r="BW31" s="31" t="s">
        <v>351</v>
      </c>
      <c r="BY31" s="56" t="s">
        <v>226</v>
      </c>
      <c r="BZ31" s="31" t="s">
        <v>352</v>
      </c>
      <c r="CB31" s="87" t="s">
        <v>88</v>
      </c>
      <c r="CC31" s="103" t="s">
        <v>88</v>
      </c>
      <c r="CE31" s="13"/>
      <c r="CF31" s="86"/>
      <c r="CH31" s="56"/>
      <c r="CI31" s="86"/>
      <c r="CK31" s="56"/>
      <c r="CL31" s="86"/>
      <c r="CN31" s="56"/>
      <c r="CO31" s="86"/>
    </row>
    <row r="32" spans="2:95">
      <c r="B32" s="56" t="s">
        <v>288</v>
      </c>
      <c r="C32" s="132" t="s">
        <v>297</v>
      </c>
      <c r="D32" s="133"/>
      <c r="E32" s="134"/>
      <c r="F32" t="s">
        <v>12</v>
      </c>
      <c r="M32" s="87" t="s">
        <v>119</v>
      </c>
      <c r="N32" s="88">
        <v>7.835E-3</v>
      </c>
      <c r="O32" s="89"/>
      <c r="P32" s="89"/>
      <c r="Q32" s="90" t="b">
        <v>1</v>
      </c>
      <c r="S32" s="97"/>
      <c r="T32" s="98"/>
      <c r="V32" s="13"/>
      <c r="W32" s="86"/>
      <c r="Y32" s="54"/>
      <c r="Z32" s="36"/>
      <c r="AA32" s="3"/>
      <c r="AB32" s="54" t="s">
        <v>62</v>
      </c>
      <c r="AC32" s="36">
        <v>6.4000000000000005E-4</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t="s">
        <v>56</v>
      </c>
      <c r="BH32" s="17" t="s">
        <v>55</v>
      </c>
      <c r="BJ32" s="87" t="s">
        <v>88</v>
      </c>
      <c r="BK32" s="103" t="s">
        <v>88</v>
      </c>
      <c r="BM32" s="13"/>
      <c r="BN32" s="86"/>
      <c r="BP32" s="56" t="s">
        <v>246</v>
      </c>
      <c r="BQ32" s="86" t="s">
        <v>53</v>
      </c>
      <c r="BS32" s="56" t="s">
        <v>246</v>
      </c>
      <c r="BT32" s="86" t="s">
        <v>53</v>
      </c>
      <c r="BV32" s="56" t="s">
        <v>246</v>
      </c>
      <c r="BW32" s="86" t="s">
        <v>53</v>
      </c>
      <c r="BY32" s="56" t="s">
        <v>246</v>
      </c>
      <c r="BZ32" s="86" t="s">
        <v>53</v>
      </c>
      <c r="CB32" s="87" t="s">
        <v>88</v>
      </c>
      <c r="CC32" s="103" t="s">
        <v>88</v>
      </c>
      <c r="CE32" s="13"/>
      <c r="CF32" s="86"/>
      <c r="CH32" s="56"/>
      <c r="CI32" s="86"/>
      <c r="CK32" s="56"/>
      <c r="CL32" s="86"/>
      <c r="CN32" s="56"/>
      <c r="CO32" s="86"/>
    </row>
    <row r="33" spans="2:93">
      <c r="B33" s="56" t="s">
        <v>208</v>
      </c>
      <c r="C33" s="132" t="s">
        <v>320</v>
      </c>
      <c r="D33" s="133"/>
      <c r="E33" s="134"/>
      <c r="F33" t="s">
        <v>12</v>
      </c>
      <c r="M33" s="87" t="s">
        <v>113</v>
      </c>
      <c r="N33" s="88">
        <v>9.1700000000000011E-3</v>
      </c>
      <c r="O33" s="89"/>
      <c r="P33" s="89"/>
      <c r="Q33" s="90" t="b">
        <v>1</v>
      </c>
      <c r="S33" s="97"/>
      <c r="T33" s="98"/>
      <c r="V33" s="13"/>
      <c r="W33" s="86"/>
      <c r="Y33" s="54"/>
      <c r="Z33" s="36"/>
      <c r="AA33" s="3"/>
      <c r="AB33" s="54" t="s">
        <v>58</v>
      </c>
      <c r="AC33" s="36">
        <v>6.9000000000000008E-4</v>
      </c>
      <c r="AD33" s="3"/>
      <c r="AE33" s="50"/>
      <c r="AF33" s="51"/>
      <c r="AG33" s="51"/>
      <c r="AH33" s="51"/>
      <c r="AI33" s="186" t="s">
        <v>88</v>
      </c>
      <c r="AK33" s="56"/>
      <c r="AL33" s="86"/>
      <c r="AN33" s="71" t="s">
        <v>88</v>
      </c>
      <c r="AO33" s="82" t="s">
        <v>88</v>
      </c>
      <c r="AP33" s="83" t="b">
        <v>0</v>
      </c>
      <c r="AQ33" s="6"/>
      <c r="AR33" s="13"/>
      <c r="AS33" s="86"/>
      <c r="AU33" s="56" t="s">
        <v>51</v>
      </c>
      <c r="AV33" s="17" t="s">
        <v>261</v>
      </c>
      <c r="AX33" s="87" t="s">
        <v>88</v>
      </c>
      <c r="AY33" s="103" t="s">
        <v>88</v>
      </c>
      <c r="BA33" s="56" t="s">
        <v>51</v>
      </c>
      <c r="BB33" s="17" t="s">
        <v>261</v>
      </c>
      <c r="BD33" s="87" t="s">
        <v>88</v>
      </c>
      <c r="BE33" s="103" t="s">
        <v>88</v>
      </c>
      <c r="BG33" s="56" t="s">
        <v>51</v>
      </c>
      <c r="BH33" s="17" t="s">
        <v>261</v>
      </c>
      <c r="BJ33" s="87" t="s">
        <v>88</v>
      </c>
      <c r="BK33" s="103" t="s">
        <v>88</v>
      </c>
      <c r="BM33" s="13"/>
      <c r="BN33" s="86"/>
      <c r="BP33" s="56" t="s">
        <v>247</v>
      </c>
      <c r="BQ33" s="86" t="s">
        <v>55</v>
      </c>
      <c r="BS33" s="56" t="s">
        <v>247</v>
      </c>
      <c r="BT33" s="86" t="s">
        <v>55</v>
      </c>
      <c r="BV33" s="56" t="s">
        <v>247</v>
      </c>
      <c r="BW33" s="86" t="s">
        <v>55</v>
      </c>
      <c r="BY33" s="56" t="s">
        <v>247</v>
      </c>
      <c r="BZ33" s="86" t="s">
        <v>55</v>
      </c>
      <c r="CB33" s="87" t="s">
        <v>88</v>
      </c>
      <c r="CC33" s="103" t="s">
        <v>88</v>
      </c>
      <c r="CE33" s="13"/>
      <c r="CF33" s="86"/>
      <c r="CH33" s="56"/>
      <c r="CI33" s="86"/>
      <c r="CK33" s="56"/>
      <c r="CL33" s="86"/>
      <c r="CN33" s="56"/>
      <c r="CO33" s="86"/>
    </row>
    <row r="34" spans="2:93">
      <c r="B34" s="56"/>
      <c r="C34" s="132"/>
      <c r="D34" s="133"/>
      <c r="E34" s="134"/>
      <c r="F34" t="s">
        <v>12</v>
      </c>
      <c r="M34" s="87" t="s">
        <v>28</v>
      </c>
      <c r="N34" s="88">
        <v>1.0369999999999999E-2</v>
      </c>
      <c r="O34" s="89"/>
      <c r="P34" s="89"/>
      <c r="Q34" s="90" t="b">
        <v>1</v>
      </c>
      <c r="S34" s="97"/>
      <c r="T34" s="98"/>
      <c r="V34" s="13"/>
      <c r="W34" s="86"/>
      <c r="Y34" s="54"/>
      <c r="Z34" s="36"/>
      <c r="AA34" s="3"/>
      <c r="AB34" s="54" t="s">
        <v>369</v>
      </c>
      <c r="AC34" s="36">
        <v>7.6999999999999996E-4</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248</v>
      </c>
      <c r="BQ34" s="86" t="s">
        <v>46</v>
      </c>
      <c r="BS34" s="56" t="s">
        <v>248</v>
      </c>
      <c r="BT34" s="86" t="s">
        <v>46</v>
      </c>
      <c r="BV34" s="56" t="s">
        <v>248</v>
      </c>
      <c r="BW34" s="86" t="s">
        <v>46</v>
      </c>
      <c r="BY34" s="56" t="s">
        <v>248</v>
      </c>
      <c r="BZ34" s="86" t="s">
        <v>46</v>
      </c>
      <c r="CB34" s="87" t="s">
        <v>88</v>
      </c>
      <c r="CC34" s="103" t="s">
        <v>88</v>
      </c>
      <c r="CE34" s="13"/>
      <c r="CF34" s="86"/>
      <c r="CH34" s="56"/>
      <c r="CI34" s="86"/>
      <c r="CK34" s="56"/>
      <c r="CL34" s="86"/>
      <c r="CN34" s="56"/>
      <c r="CO34" s="86"/>
    </row>
    <row r="35" spans="2:93">
      <c r="B35" s="62"/>
      <c r="C35" s="135"/>
      <c r="D35" s="136"/>
      <c r="E35" s="137"/>
      <c r="F35" t="s">
        <v>12</v>
      </c>
      <c r="M35" s="87" t="s">
        <v>366</v>
      </c>
      <c r="N35" s="88">
        <v>1.142E-2</v>
      </c>
      <c r="O35" s="89"/>
      <c r="P35" s="89"/>
      <c r="Q35" s="90" t="b">
        <v>1</v>
      </c>
      <c r="S35" s="97"/>
      <c r="T35" s="98"/>
      <c r="V35" s="13"/>
      <c r="W35" s="86"/>
      <c r="Y35" s="54"/>
      <c r="Z35" s="36"/>
      <c r="AA35" s="3"/>
      <c r="AB35" s="54" t="s">
        <v>370</v>
      </c>
      <c r="AC35" s="36">
        <v>8.4000000000000003E-4</v>
      </c>
      <c r="AD35" s="3"/>
      <c r="AE35" s="50"/>
      <c r="AF35" s="51"/>
      <c r="AG35" s="51"/>
      <c r="AH35" s="51"/>
      <c r="AI35" s="186" t="s">
        <v>88</v>
      </c>
      <c r="AK35" s="56"/>
      <c r="AL35" s="17"/>
      <c r="AN35" s="71" t="s">
        <v>88</v>
      </c>
      <c r="AO35" s="82" t="s">
        <v>88</v>
      </c>
      <c r="AP35" s="83" t="b">
        <v>0</v>
      </c>
      <c r="AQ35" s="6"/>
      <c r="AR35" s="13"/>
      <c r="AS35" s="86"/>
      <c r="AU35" s="56" t="s">
        <v>47</v>
      </c>
      <c r="AV35" s="17" t="s">
        <v>261</v>
      </c>
      <c r="AX35" s="87" t="s">
        <v>88</v>
      </c>
      <c r="AY35" s="103" t="s">
        <v>88</v>
      </c>
      <c r="BA35" s="56" t="s">
        <v>47</v>
      </c>
      <c r="BB35" s="17" t="s">
        <v>261</v>
      </c>
      <c r="BD35" s="87" t="s">
        <v>88</v>
      </c>
      <c r="BE35" s="103" t="s">
        <v>88</v>
      </c>
      <c r="BG35" s="56" t="s">
        <v>47</v>
      </c>
      <c r="BH35" s="17" t="s">
        <v>261</v>
      </c>
      <c r="BJ35" s="87" t="s">
        <v>88</v>
      </c>
      <c r="BK35" s="103" t="s">
        <v>88</v>
      </c>
      <c r="BM35" s="13"/>
      <c r="BN35" s="86"/>
      <c r="BP35" s="56" t="s">
        <v>249</v>
      </c>
      <c r="BQ35" s="86" t="s">
        <v>48</v>
      </c>
      <c r="BS35" s="56" t="s">
        <v>249</v>
      </c>
      <c r="BT35" s="86" t="s">
        <v>48</v>
      </c>
      <c r="BV35" s="56" t="s">
        <v>249</v>
      </c>
      <c r="BW35" s="86" t="s">
        <v>48</v>
      </c>
      <c r="BY35" s="56" t="s">
        <v>249</v>
      </c>
      <c r="BZ35" s="86" t="s">
        <v>48</v>
      </c>
      <c r="CB35" s="87" t="s">
        <v>88</v>
      </c>
      <c r="CC35" s="103" t="s">
        <v>88</v>
      </c>
      <c r="CE35" s="13"/>
      <c r="CF35" s="86"/>
      <c r="CH35" s="56"/>
      <c r="CI35" s="86"/>
      <c r="CK35" s="56"/>
      <c r="CL35" s="86"/>
      <c r="CN35" s="56"/>
      <c r="CO35" s="86"/>
    </row>
    <row r="36" spans="2:93">
      <c r="F36" t="s">
        <v>12</v>
      </c>
      <c r="M36" s="87" t="s">
        <v>26</v>
      </c>
      <c r="N36" s="88">
        <v>1.2319999999999999E-2</v>
      </c>
      <c r="O36" s="89"/>
      <c r="P36" s="89"/>
      <c r="Q36" s="90" t="b">
        <v>1</v>
      </c>
      <c r="S36" s="97"/>
      <c r="T36" s="98"/>
      <c r="V36" s="13"/>
      <c r="W36" s="86"/>
      <c r="Y36" s="54"/>
      <c r="Z36" s="36"/>
      <c r="AA36" s="3"/>
      <c r="AB36" s="54" t="s">
        <v>371</v>
      </c>
      <c r="AC36" s="36">
        <v>9.1E-4</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t="s">
        <v>44</v>
      </c>
      <c r="BH36" s="17" t="s">
        <v>43</v>
      </c>
      <c r="BJ36" s="87" t="s">
        <v>88</v>
      </c>
      <c r="BK36" s="103" t="s">
        <v>88</v>
      </c>
      <c r="BM36" s="13"/>
      <c r="BN36" s="86"/>
      <c r="BP36" s="56" t="s">
        <v>250</v>
      </c>
      <c r="BQ36" s="86" t="s">
        <v>46</v>
      </c>
      <c r="BS36" s="56" t="s">
        <v>250</v>
      </c>
      <c r="BT36" s="86" t="s">
        <v>46</v>
      </c>
      <c r="BV36" s="56" t="s">
        <v>250</v>
      </c>
      <c r="BW36" s="86" t="s">
        <v>46</v>
      </c>
      <c r="BY36" s="56" t="s">
        <v>250</v>
      </c>
      <c r="BZ36" s="86" t="s">
        <v>46</v>
      </c>
      <c r="CB36" s="87" t="s">
        <v>88</v>
      </c>
      <c r="CC36" s="103" t="s">
        <v>88</v>
      </c>
      <c r="CE36" s="13"/>
      <c r="CF36" s="86"/>
      <c r="CH36" s="56"/>
      <c r="CI36" s="86"/>
      <c r="CK36" s="56"/>
      <c r="CL36" s="86"/>
      <c r="CN36" s="56"/>
      <c r="CO36" s="86"/>
    </row>
    <row r="37" spans="2:93">
      <c r="B37" s="2" t="s">
        <v>358</v>
      </c>
      <c r="C37" s="9"/>
      <c r="F37" t="s">
        <v>12</v>
      </c>
      <c r="M37" s="87" t="s">
        <v>24</v>
      </c>
      <c r="N37" s="88">
        <v>1.4339999999999999E-2</v>
      </c>
      <c r="O37" s="89"/>
      <c r="P37" s="89"/>
      <c r="Q37" s="90" t="b">
        <v>1</v>
      </c>
      <c r="S37" s="97"/>
      <c r="T37" s="98"/>
      <c r="V37" s="13"/>
      <c r="W37" s="86"/>
      <c r="Y37" s="54"/>
      <c r="Z37" s="36"/>
      <c r="AA37" s="3"/>
      <c r="AB37" s="54" t="s">
        <v>372</v>
      </c>
      <c r="AC37" s="36">
        <v>1.0199999999999999E-3</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251</v>
      </c>
      <c r="BQ37" s="86" t="s">
        <v>43</v>
      </c>
      <c r="BS37" s="56" t="s">
        <v>251</v>
      </c>
      <c r="BT37" s="86" t="s">
        <v>43</v>
      </c>
      <c r="BV37" s="56" t="s">
        <v>251</v>
      </c>
      <c r="BW37" s="86" t="s">
        <v>43</v>
      </c>
      <c r="BY37" s="56" t="s">
        <v>251</v>
      </c>
      <c r="BZ37" s="86" t="s">
        <v>43</v>
      </c>
      <c r="CB37" s="87" t="s">
        <v>88</v>
      </c>
      <c r="CC37" s="103" t="s">
        <v>88</v>
      </c>
      <c r="CE37" s="13"/>
      <c r="CF37" s="86"/>
      <c r="CH37" s="56"/>
      <c r="CI37" s="86"/>
      <c r="CK37" s="56"/>
      <c r="CL37" s="86"/>
      <c r="CN37" s="56"/>
      <c r="CO37" s="86"/>
    </row>
    <row r="38" spans="2:93">
      <c r="B38" s="55" t="s">
        <v>201</v>
      </c>
      <c r="C38" s="126" t="s">
        <v>203</v>
      </c>
      <c r="D38" s="127"/>
      <c r="E38" s="128"/>
      <c r="F38" t="s">
        <v>12</v>
      </c>
      <c r="M38" s="87" t="s">
        <v>20</v>
      </c>
      <c r="N38" s="88">
        <v>1.6091999999999999E-2</v>
      </c>
      <c r="O38" s="89"/>
      <c r="P38" s="89"/>
      <c r="Q38" s="90" t="b">
        <v>1</v>
      </c>
      <c r="S38" s="97"/>
      <c r="T38" s="98"/>
      <c r="V38" s="13"/>
      <c r="W38" s="86"/>
      <c r="Y38" s="54"/>
      <c r="Z38" s="36"/>
      <c r="AB38" s="54" t="s">
        <v>373</v>
      </c>
      <c r="AC38" s="36">
        <v>1.1299999999999999E-3</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252</v>
      </c>
      <c r="BQ38" s="86" t="s">
        <v>40</v>
      </c>
      <c r="BS38" s="56" t="s">
        <v>252</v>
      </c>
      <c r="BT38" s="86" t="s">
        <v>40</v>
      </c>
      <c r="BV38" s="56" t="s">
        <v>252</v>
      </c>
      <c r="BW38" s="86" t="s">
        <v>40</v>
      </c>
      <c r="BY38" s="56" t="s">
        <v>252</v>
      </c>
      <c r="BZ38" s="86" t="s">
        <v>40</v>
      </c>
      <c r="CB38" s="87" t="s">
        <v>88</v>
      </c>
      <c r="CC38" s="103" t="s">
        <v>88</v>
      </c>
      <c r="CE38" s="13"/>
      <c r="CF38" s="86"/>
      <c r="CH38" s="56"/>
      <c r="CI38" s="86"/>
      <c r="CK38" s="56"/>
      <c r="CL38" s="86"/>
      <c r="CN38" s="56"/>
      <c r="CO38" s="86"/>
    </row>
    <row r="39" spans="2:93">
      <c r="B39" s="56" t="s">
        <v>63</v>
      </c>
      <c r="C39" s="129" t="s">
        <v>300</v>
      </c>
      <c r="D39" s="130"/>
      <c r="E39" s="131"/>
      <c r="F39" t="s">
        <v>12</v>
      </c>
      <c r="M39" s="87" t="s">
        <v>18</v>
      </c>
      <c r="N39" s="88">
        <v>1.66E-2</v>
      </c>
      <c r="O39" s="89"/>
      <c r="P39" s="89"/>
      <c r="Q39" s="90" t="b">
        <v>1</v>
      </c>
      <c r="S39" s="97"/>
      <c r="T39" s="98"/>
      <c r="V39" s="13"/>
      <c r="W39" s="86"/>
      <c r="Y39" s="54"/>
      <c r="Z39" s="36"/>
      <c r="AB39" s="54" t="s">
        <v>374</v>
      </c>
      <c r="AC39" s="36">
        <v>1.24E-3</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t="s">
        <v>34</v>
      </c>
      <c r="BH39" s="17" t="b">
        <v>1</v>
      </c>
      <c r="BJ39" s="87" t="s">
        <v>88</v>
      </c>
      <c r="BK39" s="103" t="s">
        <v>88</v>
      </c>
      <c r="BM39" s="13"/>
      <c r="BN39" s="86"/>
      <c r="BP39" s="56" t="s">
        <v>229</v>
      </c>
      <c r="BQ39" s="86" t="s">
        <v>260</v>
      </c>
      <c r="BS39" s="56" t="s">
        <v>229</v>
      </c>
      <c r="BT39" s="86" t="s">
        <v>260</v>
      </c>
      <c r="BV39" s="56" t="s">
        <v>229</v>
      </c>
      <c r="BW39" s="86" t="s">
        <v>260</v>
      </c>
      <c r="BY39" s="56" t="s">
        <v>229</v>
      </c>
      <c r="BZ39" s="86" t="s">
        <v>260</v>
      </c>
      <c r="CB39" s="87" t="s">
        <v>88</v>
      </c>
      <c r="CC39" s="103" t="s">
        <v>88</v>
      </c>
      <c r="CE39" s="13"/>
      <c r="CF39" s="86"/>
      <c r="CH39" s="56"/>
      <c r="CI39" s="86"/>
      <c r="CK39" s="56"/>
      <c r="CL39" s="86"/>
      <c r="CN39" s="56"/>
      <c r="CO39" s="86"/>
    </row>
    <row r="40" spans="2:93">
      <c r="B40" s="56" t="s">
        <v>206</v>
      </c>
      <c r="C40" s="132" t="s">
        <v>295</v>
      </c>
      <c r="D40" s="133"/>
      <c r="E40" s="134"/>
      <c r="F40" t="s">
        <v>12</v>
      </c>
      <c r="M40" s="87" t="s">
        <v>17</v>
      </c>
      <c r="N40" s="88">
        <v>1.6827000000000002E-2</v>
      </c>
      <c r="O40" s="89"/>
      <c r="P40" s="89"/>
      <c r="Q40" s="90" t="b">
        <v>1</v>
      </c>
      <c r="S40" s="97"/>
      <c r="T40" s="98"/>
      <c r="V40" s="13"/>
      <c r="W40" s="86"/>
      <c r="Y40" s="54"/>
      <c r="Z40" s="36"/>
      <c r="AB40" s="54" t="s">
        <v>375</v>
      </c>
      <c r="AC40" s="36">
        <v>1.49E-3</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t="s">
        <v>30</v>
      </c>
      <c r="BH40" s="17" t="s">
        <v>29</v>
      </c>
      <c r="BJ40" s="87" t="s">
        <v>88</v>
      </c>
      <c r="BK40" s="103" t="s">
        <v>88</v>
      </c>
      <c r="BM40" s="13"/>
      <c r="BN40" s="86"/>
      <c r="BP40" s="56" t="s">
        <v>34</v>
      </c>
      <c r="BQ40" s="86" t="b">
        <v>1</v>
      </c>
      <c r="BS40" s="56" t="s">
        <v>34</v>
      </c>
      <c r="BT40" s="86" t="b">
        <v>1</v>
      </c>
      <c r="BV40" s="56" t="s">
        <v>34</v>
      </c>
      <c r="BW40" s="86" t="b">
        <v>1</v>
      </c>
      <c r="BY40" s="56" t="s">
        <v>34</v>
      </c>
      <c r="BZ40" s="86" t="b">
        <v>1</v>
      </c>
      <c r="CB40" s="87" t="s">
        <v>88</v>
      </c>
      <c r="CC40" s="103" t="s">
        <v>88</v>
      </c>
      <c r="CE40" s="13"/>
      <c r="CF40" s="86"/>
      <c r="CH40" s="56"/>
      <c r="CI40" s="86"/>
      <c r="CK40" s="56"/>
      <c r="CL40" s="86"/>
      <c r="CN40" s="56"/>
      <c r="CO40" s="86"/>
    </row>
    <row r="41" spans="2:93">
      <c r="B41" s="56" t="s">
        <v>207</v>
      </c>
      <c r="C41" s="132" t="s">
        <v>296</v>
      </c>
      <c r="D41" s="133"/>
      <c r="E41" s="134"/>
      <c r="F41" t="s">
        <v>12</v>
      </c>
      <c r="M41" s="87" t="s">
        <v>16</v>
      </c>
      <c r="N41" s="88">
        <v>1.6605000000000002E-2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297</v>
      </c>
      <c r="D42" s="133"/>
      <c r="E42" s="134"/>
      <c r="F42" t="s">
        <v>12</v>
      </c>
      <c r="M42" s="87" t="s">
        <v>15</v>
      </c>
      <c r="N42" s="88">
        <v>1.6695000000000002E-2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t="s">
        <v>27</v>
      </c>
      <c r="BH42" s="17" t="b">
        <v>1</v>
      </c>
      <c r="BJ42" s="87" t="s">
        <v>88</v>
      </c>
      <c r="BK42" s="103" t="s">
        <v>88</v>
      </c>
      <c r="BM42" s="13"/>
      <c r="BN42" s="86"/>
      <c r="BP42" s="56" t="s">
        <v>30</v>
      </c>
      <c r="BQ42" s="86" t="s">
        <v>29</v>
      </c>
      <c r="BS42" s="56" t="s">
        <v>30</v>
      </c>
      <c r="BT42" s="86" t="s">
        <v>29</v>
      </c>
      <c r="BV42" s="56" t="s">
        <v>30</v>
      </c>
      <c r="BW42" s="86" t="s">
        <v>29</v>
      </c>
      <c r="BY42" s="56" t="s">
        <v>30</v>
      </c>
      <c r="BZ42" s="86" t="s">
        <v>29</v>
      </c>
      <c r="CB42" s="87" t="s">
        <v>88</v>
      </c>
      <c r="CC42" s="103" t="s">
        <v>88</v>
      </c>
      <c r="CE42" s="13"/>
      <c r="CF42" s="86"/>
      <c r="CH42" s="56"/>
      <c r="CI42" s="86"/>
      <c r="CK42" s="56"/>
      <c r="CL42" s="86"/>
      <c r="CN42" s="56"/>
      <c r="CO42" s="86"/>
    </row>
    <row r="43" spans="2:93">
      <c r="B43" s="56" t="s">
        <v>209</v>
      </c>
      <c r="C43" s="132" t="s">
        <v>320</v>
      </c>
      <c r="D43" s="133"/>
      <c r="E43" s="134"/>
      <c r="F43" t="s">
        <v>12</v>
      </c>
      <c r="M43" s="87" t="s">
        <v>14</v>
      </c>
      <c r="N43" s="88">
        <v>1.6854999999999998E-2</v>
      </c>
      <c r="O43" s="89"/>
      <c r="P43" s="89"/>
      <c r="Q43" s="90" t="b">
        <v>1</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22</v>
      </c>
      <c r="AV43" s="17" t="s">
        <v>53</v>
      </c>
      <c r="AX43" s="87" t="s">
        <v>88</v>
      </c>
      <c r="AY43" s="103" t="s">
        <v>88</v>
      </c>
      <c r="BA43" s="56" t="s">
        <v>22</v>
      </c>
      <c r="BB43" s="17" t="s">
        <v>378</v>
      </c>
      <c r="BD43" s="87" t="s">
        <v>88</v>
      </c>
      <c r="BE43" s="103" t="s">
        <v>88</v>
      </c>
      <c r="BG43" s="56" t="s">
        <v>22</v>
      </c>
      <c r="BH43" s="17" t="s">
        <v>265</v>
      </c>
      <c r="BJ43" s="87" t="s">
        <v>88</v>
      </c>
      <c r="BK43" s="103" t="s">
        <v>88</v>
      </c>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25</v>
      </c>
      <c r="AV44" s="20" t="s">
        <v>168</v>
      </c>
      <c r="AX44" s="87" t="s">
        <v>88</v>
      </c>
      <c r="AY44" s="103" t="s">
        <v>88</v>
      </c>
      <c r="BA44" s="79" t="s">
        <v>25</v>
      </c>
      <c r="BB44" s="20" t="b">
        <v>0</v>
      </c>
      <c r="BD44" s="87" t="s">
        <v>88</v>
      </c>
      <c r="BE44" s="103" t="s">
        <v>88</v>
      </c>
      <c r="BG44" s="79" t="s">
        <v>25</v>
      </c>
      <c r="BH44" s="20" t="s">
        <v>168</v>
      </c>
      <c r="BJ44" s="87" t="s">
        <v>88</v>
      </c>
      <c r="BK44" s="103" t="s">
        <v>88</v>
      </c>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t="s">
        <v>88</v>
      </c>
      <c r="BK45" s="103" t="s">
        <v>88</v>
      </c>
      <c r="BM45" s="13"/>
      <c r="BN45" s="86"/>
      <c r="BP45" s="56"/>
      <c r="BQ45" s="86"/>
      <c r="BS45" s="56"/>
      <c r="BT45" s="86"/>
      <c r="BV45" s="56"/>
      <c r="BW45" s="86"/>
      <c r="BY45" s="56"/>
      <c r="BZ45" s="86"/>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t="s">
        <v>88</v>
      </c>
      <c r="BK46" s="103" t="s">
        <v>88</v>
      </c>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203</v>
      </c>
      <c r="D48" s="127"/>
      <c r="E48" s="128"/>
      <c r="F48" t="s">
        <v>12</v>
      </c>
      <c r="M48" s="87" t="s">
        <v>88</v>
      </c>
      <c r="N48" s="88" t="s">
        <v>88</v>
      </c>
      <c r="O48" s="89"/>
      <c r="P48" s="89"/>
      <c r="Q48" s="90" t="b">
        <v>0</v>
      </c>
      <c r="S48" s="97"/>
      <c r="T48" s="98"/>
      <c r="V48" s="13"/>
      <c r="W48" s="86"/>
      <c r="Y48" s="54"/>
      <c r="Z48" s="36"/>
      <c r="AB48" s="54"/>
      <c r="AC48" s="36"/>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300</v>
      </c>
      <c r="D49" s="130"/>
      <c r="E49" s="131"/>
      <c r="F49" t="s">
        <v>12</v>
      </c>
      <c r="M49" s="87"/>
      <c r="N49" s="88"/>
      <c r="O49" s="89"/>
      <c r="P49" s="89"/>
      <c r="Q49" s="90" t="b">
        <v>0</v>
      </c>
      <c r="S49" s="97"/>
      <c r="T49" s="98"/>
      <c r="V49" s="13"/>
      <c r="W49" s="86"/>
      <c r="Y49" s="54"/>
      <c r="Z49" s="36"/>
      <c r="AB49" s="54"/>
      <c r="AC49" s="36"/>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295</v>
      </c>
      <c r="D50" s="133"/>
      <c r="E50" s="134"/>
      <c r="F50" t="s">
        <v>12</v>
      </c>
      <c r="M50" s="87"/>
      <c r="N50" s="88"/>
      <c r="O50" s="89"/>
      <c r="P50" s="89"/>
      <c r="Q50" s="90" t="b">
        <v>0</v>
      </c>
      <c r="S50" s="97"/>
      <c r="T50" s="98"/>
      <c r="V50" s="13"/>
      <c r="W50" s="86"/>
      <c r="Y50" s="54"/>
      <c r="Z50" s="36"/>
      <c r="AB50" s="54"/>
      <c r="AC50" s="36"/>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207</v>
      </c>
      <c r="C51" s="132" t="s">
        <v>296</v>
      </c>
      <c r="D51" s="133"/>
      <c r="E51" s="134"/>
      <c r="F51" t="s">
        <v>12</v>
      </c>
      <c r="M51" s="87"/>
      <c r="N51" s="88"/>
      <c r="O51" s="89"/>
      <c r="P51" s="89"/>
      <c r="Q51" s="90" t="b">
        <v>0</v>
      </c>
      <c r="S51" s="99"/>
      <c r="T51" s="24"/>
      <c r="V51" s="13"/>
      <c r="W51" s="86"/>
      <c r="Y51" s="54"/>
      <c r="Z51" s="36"/>
      <c r="AB51" s="54"/>
      <c r="AC51" s="36"/>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297</v>
      </c>
      <c r="D52" s="133"/>
      <c r="E52" s="134"/>
      <c r="F52" t="s">
        <v>12</v>
      </c>
      <c r="M52" s="91"/>
      <c r="N52" s="92"/>
      <c r="O52" s="93"/>
      <c r="P52" s="93"/>
      <c r="Q52" s="94" t="b">
        <v>0</v>
      </c>
      <c r="S52" s="100"/>
      <c r="T52" s="28"/>
      <c r="V52" s="14"/>
      <c r="W52" s="108"/>
      <c r="Y52" s="61"/>
      <c r="Z52" s="37"/>
      <c r="AB52" s="61"/>
      <c r="AC52" s="37"/>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320</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8546"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8547"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8548"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8549"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8550"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8551"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tint="0.34998626667073579"/>
    <pageSetUpPr fitToPage="1"/>
  </sheetPr>
  <dimension ref="B3:CM5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11.140625" customWidth="1"/>
    <col min="34" max="34" width="10.140625" customWidth="1"/>
    <col min="35" max="35" width="10.57031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6" width="15.7109375" customWidth="1"/>
    <col min="67" max="67" width="2.7109375" customWidth="1"/>
    <col min="68" max="68" width="27" customWidth="1"/>
    <col min="69" max="69" width="22.85546875" customWidth="1"/>
    <col min="70" max="70" width="2.7109375" customWidth="1"/>
    <col min="71" max="72" width="12.7109375" customWidth="1"/>
    <col min="73" max="73" width="2.7109375" customWidth="1"/>
    <col min="74" max="74" width="28.7109375" customWidth="1"/>
    <col min="75" max="75" width="21.42578125" customWidth="1"/>
    <col min="76" max="76" width="2.7109375" customWidth="1"/>
    <col min="77" max="77" width="15.7109375" customWidth="1"/>
    <col min="78" max="78" width="29.85546875" customWidth="1"/>
    <col min="79" max="79" width="2.7109375" customWidth="1"/>
    <col min="80" max="80" width="15.7109375" customWidth="1"/>
    <col min="81" max="81" width="30.140625" customWidth="1"/>
    <col min="82" max="82" width="2.7109375" customWidth="1"/>
    <col min="83" max="83" width="15.7109375" customWidth="1"/>
    <col min="84" max="84" width="28.5703125" customWidth="1"/>
    <col min="85" max="85" width="2.7109375" customWidth="1"/>
    <col min="87" max="87" width="10.140625" bestFit="1" customWidth="1"/>
  </cols>
  <sheetData>
    <row r="3" spans="2:91">
      <c r="CI3" s="217"/>
      <c r="CJ3" s="214"/>
    </row>
    <row r="4" spans="2:91">
      <c r="CI4" s="217"/>
      <c r="CJ4" s="214"/>
    </row>
    <row r="5" spans="2:91" s="140" customFormat="1" ht="23.25">
      <c r="B5" s="139" t="s">
        <v>7</v>
      </c>
      <c r="G5" s="139" t="s">
        <v>10</v>
      </c>
      <c r="J5" s="139"/>
      <c r="M5" s="139"/>
      <c r="V5" s="139" t="s">
        <v>291</v>
      </c>
      <c r="AK5"/>
      <c r="AL5"/>
      <c r="AR5" s="139" t="s">
        <v>11</v>
      </c>
      <c r="AU5" s="139" t="s">
        <v>298</v>
      </c>
      <c r="BA5" s="139" t="s">
        <v>299</v>
      </c>
      <c r="BG5" s="139" t="s">
        <v>401</v>
      </c>
      <c r="BM5" s="139" t="s">
        <v>54</v>
      </c>
      <c r="BV5" s="139" t="s">
        <v>303</v>
      </c>
      <c r="CH5"/>
      <c r="CI5" s="217"/>
      <c r="CJ5" s="214"/>
    </row>
    <row r="6" spans="2:91">
      <c r="CI6" s="217"/>
      <c r="CJ6" s="214"/>
    </row>
    <row r="7" spans="2:91">
      <c r="B7" s="2" t="s">
        <v>400</v>
      </c>
      <c r="C7" s="9"/>
      <c r="G7" s="2" t="s">
        <v>292</v>
      </c>
      <c r="H7" s="9"/>
      <c r="J7" s="2" t="s">
        <v>184</v>
      </c>
      <c r="M7" s="2" t="s">
        <v>183</v>
      </c>
      <c r="S7" s="2" t="s">
        <v>182</v>
      </c>
      <c r="V7" s="2" t="s">
        <v>292</v>
      </c>
      <c r="W7" s="9"/>
      <c r="Y7" s="2" t="s">
        <v>189</v>
      </c>
      <c r="AB7" s="2" t="s">
        <v>188</v>
      </c>
      <c r="AE7" s="2" t="s">
        <v>187</v>
      </c>
      <c r="AK7" s="2" t="s">
        <v>186</v>
      </c>
      <c r="AN7" s="5" t="s">
        <v>185</v>
      </c>
      <c r="AO7" s="6"/>
      <c r="AP7" s="6"/>
      <c r="AR7" s="2" t="s">
        <v>292</v>
      </c>
      <c r="AS7" s="9"/>
      <c r="AU7" s="2" t="s">
        <v>181</v>
      </c>
      <c r="AX7" s="2" t="s">
        <v>180</v>
      </c>
      <c r="BA7" s="2" t="s">
        <v>179</v>
      </c>
      <c r="BD7" s="2" t="s">
        <v>178</v>
      </c>
      <c r="BG7" s="2" t="s">
        <v>402</v>
      </c>
      <c r="BJ7" s="2" t="s">
        <v>403</v>
      </c>
      <c r="BM7" s="2" t="s">
        <v>292</v>
      </c>
      <c r="BN7" s="9"/>
      <c r="BP7" s="2" t="s">
        <v>177</v>
      </c>
      <c r="BS7" s="2" t="s">
        <v>176</v>
      </c>
      <c r="BV7" s="2" t="s">
        <v>292</v>
      </c>
      <c r="BW7" s="9"/>
      <c r="BY7" s="2" t="s">
        <v>304</v>
      </c>
      <c r="CB7" s="2" t="s">
        <v>305</v>
      </c>
      <c r="CE7" s="2" t="s">
        <v>306</v>
      </c>
      <c r="CI7" s="217"/>
      <c r="CJ7" s="214"/>
    </row>
    <row r="8" spans="2:91">
      <c r="B8" s="55" t="s">
        <v>201</v>
      </c>
      <c r="C8" s="126" t="s">
        <v>349</v>
      </c>
      <c r="D8" s="127"/>
      <c r="E8" s="128"/>
      <c r="G8" s="55" t="s">
        <v>170</v>
      </c>
      <c r="H8" s="110">
        <v>42198</v>
      </c>
      <c r="J8" s="72" t="s">
        <v>174</v>
      </c>
      <c r="K8" s="34" t="s">
        <v>86</v>
      </c>
      <c r="M8" s="74" t="s">
        <v>76</v>
      </c>
      <c r="N8" s="75" t="s">
        <v>75</v>
      </c>
      <c r="O8" s="75" t="s">
        <v>139</v>
      </c>
      <c r="P8" s="75" t="s">
        <v>138</v>
      </c>
      <c r="Q8" s="76" t="s">
        <v>173</v>
      </c>
      <c r="S8" s="67" t="s">
        <v>172</v>
      </c>
      <c r="T8" s="68" t="s">
        <v>75</v>
      </c>
      <c r="V8" s="55" t="s">
        <v>170</v>
      </c>
      <c r="W8" s="110">
        <v>42198</v>
      </c>
      <c r="Y8" s="55" t="s">
        <v>174</v>
      </c>
      <c r="Z8" s="34" t="s">
        <v>86</v>
      </c>
      <c r="AB8" s="12" t="s">
        <v>174</v>
      </c>
      <c r="AC8" s="34" t="s">
        <v>86</v>
      </c>
      <c r="AE8" s="66" t="s">
        <v>174</v>
      </c>
      <c r="AF8" s="38" t="s">
        <v>86</v>
      </c>
      <c r="AG8" s="21"/>
      <c r="AH8" s="21"/>
      <c r="AI8" s="22"/>
      <c r="AK8" s="55" t="s">
        <v>117</v>
      </c>
      <c r="AL8" s="125" t="s">
        <v>116</v>
      </c>
      <c r="AN8" s="70" t="s">
        <v>76</v>
      </c>
      <c r="AO8" s="80" t="s">
        <v>75</v>
      </c>
      <c r="AP8" s="81" t="s">
        <v>175</v>
      </c>
      <c r="AR8" s="55" t="s">
        <v>170</v>
      </c>
      <c r="AS8" s="110">
        <v>42198</v>
      </c>
      <c r="AU8" s="77" t="s">
        <v>171</v>
      </c>
      <c r="AV8" s="101" t="s">
        <v>404</v>
      </c>
      <c r="AX8" s="67" t="s">
        <v>76</v>
      </c>
      <c r="AY8" s="69" t="s">
        <v>75</v>
      </c>
      <c r="BA8" s="77" t="s">
        <v>171</v>
      </c>
      <c r="BB8" s="101" t="s">
        <v>405</v>
      </c>
      <c r="BD8" s="67" t="s">
        <v>76</v>
      </c>
      <c r="BE8" s="69" t="s">
        <v>75</v>
      </c>
      <c r="BG8" s="77" t="s">
        <v>171</v>
      </c>
      <c r="BH8" s="101" t="s">
        <v>406</v>
      </c>
      <c r="BJ8" s="67" t="s">
        <v>76</v>
      </c>
      <c r="BK8" s="69" t="s">
        <v>75</v>
      </c>
      <c r="BM8" s="55"/>
      <c r="BN8" s="110"/>
      <c r="BP8" s="77" t="s">
        <v>171</v>
      </c>
      <c r="BQ8" s="101" t="s">
        <v>167</v>
      </c>
      <c r="BS8" s="74" t="s">
        <v>76</v>
      </c>
      <c r="BT8" s="76" t="s">
        <v>75</v>
      </c>
      <c r="BV8" s="55" t="s">
        <v>170</v>
      </c>
      <c r="BW8" s="110">
        <v>42198</v>
      </c>
      <c r="BY8" s="55" t="s">
        <v>216</v>
      </c>
      <c r="BZ8" s="33" t="s">
        <v>307</v>
      </c>
      <c r="CB8" s="55" t="s">
        <v>216</v>
      </c>
      <c r="CC8" s="33" t="s">
        <v>308</v>
      </c>
      <c r="CE8" s="55" t="s">
        <v>216</v>
      </c>
      <c r="CF8" s="33" t="s">
        <v>309</v>
      </c>
      <c r="CI8" s="217"/>
      <c r="CJ8" s="214"/>
    </row>
    <row r="9" spans="2:91">
      <c r="B9" s="56" t="s">
        <v>63</v>
      </c>
      <c r="C9" s="129" t="s">
        <v>9</v>
      </c>
      <c r="D9" s="130"/>
      <c r="E9" s="131"/>
      <c r="G9" s="56" t="s">
        <v>162</v>
      </c>
      <c r="H9" s="86" t="s">
        <v>190</v>
      </c>
      <c r="J9" s="73" t="s">
        <v>130</v>
      </c>
      <c r="K9" s="17" t="s">
        <v>3</v>
      </c>
      <c r="M9" s="87" t="s">
        <v>72</v>
      </c>
      <c r="N9" s="88">
        <v>1.2999999999999999E-3</v>
      </c>
      <c r="O9" s="89"/>
      <c r="P9" s="89"/>
      <c r="Q9" s="90" t="b">
        <f>IF(OR(N9="",N9=0),FALSE,TRUE)</f>
        <v>1</v>
      </c>
      <c r="S9" s="95"/>
      <c r="T9" s="96"/>
      <c r="V9" s="56" t="s">
        <v>162</v>
      </c>
      <c r="W9" s="86" t="s">
        <v>190</v>
      </c>
      <c r="Y9" s="56" t="s">
        <v>130</v>
      </c>
      <c r="Z9" s="17" t="s">
        <v>217</v>
      </c>
      <c r="AB9" s="13" t="s">
        <v>130</v>
      </c>
      <c r="AC9" s="17" t="s">
        <v>217</v>
      </c>
      <c r="AE9" s="57" t="s">
        <v>130</v>
      </c>
      <c r="AF9" s="39" t="s">
        <v>217</v>
      </c>
      <c r="AG9" s="23"/>
      <c r="AH9" s="23"/>
      <c r="AI9" s="24"/>
      <c r="AK9" s="56" t="s">
        <v>5</v>
      </c>
      <c r="AL9" s="86" t="s">
        <v>163</v>
      </c>
      <c r="AN9" s="71" t="s">
        <v>35</v>
      </c>
      <c r="AO9" s="82">
        <v>1.5833E-2</v>
      </c>
      <c r="AP9" s="83" t="b">
        <f t="shared" ref="AP9:AP52" si="0">IF(OR(AO9="",AO9=0),FALSE,IF(OR(RIGHT(AN9,1)="M",AND(RIGHT(AN9,1)="Y",VALUE(LEFT(AN9,LEN(AN9)-1))&lt;=2)),FALSE,TRUE))</f>
        <v>1</v>
      </c>
      <c r="AR9" s="56" t="s">
        <v>162</v>
      </c>
      <c r="AS9" s="86" t="s">
        <v>190</v>
      </c>
      <c r="AU9" s="78" t="s">
        <v>169</v>
      </c>
      <c r="AV9" s="102" t="s">
        <v>168</v>
      </c>
      <c r="AX9" s="87" t="s">
        <v>160</v>
      </c>
      <c r="AY9" s="103">
        <v>8.7500000000000002E-4</v>
      </c>
      <c r="BA9" s="78" t="s">
        <v>169</v>
      </c>
      <c r="BB9" s="102" t="s">
        <v>168</v>
      </c>
      <c r="BD9" s="87" t="s">
        <v>160</v>
      </c>
      <c r="BE9" s="103">
        <v>9.5E-4</v>
      </c>
      <c r="BG9" s="78" t="s">
        <v>169</v>
      </c>
      <c r="BH9" s="102" t="s">
        <v>168</v>
      </c>
      <c r="BJ9" s="87" t="s">
        <v>160</v>
      </c>
      <c r="BK9" s="103">
        <v>2.6749999999999999E-3</v>
      </c>
      <c r="BM9" s="56"/>
      <c r="BN9" s="86"/>
      <c r="BP9" s="78"/>
      <c r="BQ9" s="102"/>
      <c r="BS9" s="87"/>
      <c r="BT9" s="103"/>
      <c r="BV9" s="56" t="s">
        <v>162</v>
      </c>
      <c r="BW9" s="86" t="s">
        <v>190</v>
      </c>
      <c r="BY9" s="56" t="s">
        <v>220</v>
      </c>
      <c r="BZ9" s="31" t="s">
        <v>360</v>
      </c>
      <c r="CB9" s="56" t="s">
        <v>220</v>
      </c>
      <c r="CC9" s="31" t="s">
        <v>361</v>
      </c>
      <c r="CE9" s="56" t="s">
        <v>220</v>
      </c>
      <c r="CF9" s="31" t="s">
        <v>362</v>
      </c>
      <c r="CI9" s="217"/>
      <c r="CJ9" s="214"/>
    </row>
    <row r="10" spans="2:91">
      <c r="B10" s="56" t="s">
        <v>206</v>
      </c>
      <c r="C10" s="132" t="s">
        <v>318</v>
      </c>
      <c r="D10" s="133"/>
      <c r="E10" s="134"/>
      <c r="G10" s="56" t="s">
        <v>143</v>
      </c>
      <c r="H10" s="86" t="s">
        <v>29</v>
      </c>
      <c r="J10" s="73" t="s">
        <v>122</v>
      </c>
      <c r="K10" s="17" t="s">
        <v>152</v>
      </c>
      <c r="M10" s="87" t="s">
        <v>97</v>
      </c>
      <c r="N10" s="88">
        <v>1.237E-3</v>
      </c>
      <c r="O10" s="89"/>
      <c r="P10" s="89"/>
      <c r="Q10" s="90" t="b">
        <f t="shared" ref="Q10:Q52" si="1">IF(OR(N10="",N10=0),FALSE,TRUE)</f>
        <v>1</v>
      </c>
      <c r="S10" s="97"/>
      <c r="T10" s="98"/>
      <c r="V10" s="56" t="s">
        <v>143</v>
      </c>
      <c r="W10" s="86" t="s">
        <v>29</v>
      </c>
      <c r="Y10" s="56" t="s">
        <v>115</v>
      </c>
      <c r="Z10" s="17" t="s">
        <v>221</v>
      </c>
      <c r="AB10" s="13" t="s">
        <v>134</v>
      </c>
      <c r="AC10" s="17" t="s">
        <v>43</v>
      </c>
      <c r="AE10" s="57" t="s">
        <v>134</v>
      </c>
      <c r="AF10" s="40" t="s">
        <v>43</v>
      </c>
      <c r="AG10" s="25"/>
      <c r="AH10" s="25"/>
      <c r="AI10" s="26"/>
      <c r="AK10" s="56" t="s">
        <v>164</v>
      </c>
      <c r="AL10" s="86" t="s">
        <v>163</v>
      </c>
      <c r="AN10" s="71" t="s">
        <v>33</v>
      </c>
      <c r="AO10" s="82">
        <v>1.8329999999999999E-2</v>
      </c>
      <c r="AP10" s="83" t="b">
        <f t="shared" si="0"/>
        <v>1</v>
      </c>
      <c r="AR10" s="56" t="s">
        <v>143</v>
      </c>
      <c r="AS10" s="86" t="s">
        <v>29</v>
      </c>
      <c r="AU10" s="56" t="s">
        <v>161</v>
      </c>
      <c r="AV10" s="17" t="s">
        <v>86</v>
      </c>
      <c r="AX10" s="87" t="s">
        <v>42</v>
      </c>
      <c r="AY10" s="103">
        <v>7.8750000000000001E-4</v>
      </c>
      <c r="BA10" s="56" t="s">
        <v>161</v>
      </c>
      <c r="BB10" s="17" t="s">
        <v>86</v>
      </c>
      <c r="BD10" s="87" t="s">
        <v>42</v>
      </c>
      <c r="BE10" s="103">
        <v>1.1125E-3</v>
      </c>
      <c r="BG10" s="56" t="s">
        <v>161</v>
      </c>
      <c r="BH10" s="17" t="s">
        <v>86</v>
      </c>
      <c r="BJ10" s="87" t="s">
        <v>42</v>
      </c>
      <c r="BK10" s="103">
        <v>2.0999999999999999E-3</v>
      </c>
      <c r="BM10" s="56"/>
      <c r="BN10" s="86"/>
      <c r="BP10" s="56"/>
      <c r="BQ10" s="105"/>
      <c r="BS10" s="87"/>
      <c r="BT10" s="103"/>
      <c r="BV10" s="56" t="s">
        <v>143</v>
      </c>
      <c r="BW10" s="86" t="s">
        <v>29</v>
      </c>
      <c r="BY10" s="56" t="s">
        <v>224</v>
      </c>
      <c r="BZ10" s="142" t="s">
        <v>321</v>
      </c>
      <c r="CB10" s="56" t="s">
        <v>224</v>
      </c>
      <c r="CC10" s="142" t="s">
        <v>322</v>
      </c>
      <c r="CE10" s="56" t="s">
        <v>224</v>
      </c>
      <c r="CF10" s="142" t="s">
        <v>323</v>
      </c>
      <c r="CI10" s="217"/>
      <c r="CJ10" s="214"/>
    </row>
    <row r="11" spans="2:91">
      <c r="B11" s="56" t="s">
        <v>207</v>
      </c>
      <c r="C11" s="132" t="s">
        <v>316</v>
      </c>
      <c r="D11" s="133"/>
      <c r="E11" s="134"/>
      <c r="G11" s="56" t="s">
        <v>140</v>
      </c>
      <c r="H11" s="86" t="s">
        <v>29</v>
      </c>
      <c r="J11" s="73" t="s">
        <v>150</v>
      </c>
      <c r="K11" s="17" t="s">
        <v>149</v>
      </c>
      <c r="M11" s="87" t="s">
        <v>93</v>
      </c>
      <c r="N11" s="88">
        <v>1.2850000000000001E-3</v>
      </c>
      <c r="O11" s="89"/>
      <c r="P11" s="89"/>
      <c r="Q11" s="90" t="b">
        <f t="shared" si="1"/>
        <v>1</v>
      </c>
      <c r="S11" s="97"/>
      <c r="T11" s="98"/>
      <c r="V11" s="56" t="s">
        <v>140</v>
      </c>
      <c r="W11" s="86" t="s">
        <v>29</v>
      </c>
      <c r="Y11" s="56"/>
      <c r="Z11" s="17"/>
      <c r="AB11" s="13" t="s">
        <v>115</v>
      </c>
      <c r="AC11" s="17" t="s">
        <v>40</v>
      </c>
      <c r="AE11" s="13" t="s">
        <v>115</v>
      </c>
      <c r="AF11" s="39" t="s">
        <v>40</v>
      </c>
      <c r="AG11" s="23"/>
      <c r="AH11" s="23"/>
      <c r="AI11" s="24"/>
      <c r="AK11" s="56" t="s">
        <v>158</v>
      </c>
      <c r="AL11" s="86" t="s">
        <v>3</v>
      </c>
      <c r="AN11" s="71" t="s">
        <v>131</v>
      </c>
      <c r="AO11" s="82">
        <v>2.0375999999999998E-2</v>
      </c>
      <c r="AP11" s="83" t="b">
        <f t="shared" si="0"/>
        <v>1</v>
      </c>
      <c r="AR11" s="56" t="s">
        <v>140</v>
      </c>
      <c r="AS11" s="86" t="s">
        <v>29</v>
      </c>
      <c r="AU11" s="56" t="s">
        <v>154</v>
      </c>
      <c r="AV11" s="17" t="s">
        <v>55</v>
      </c>
      <c r="AX11" s="87" t="s">
        <v>39</v>
      </c>
      <c r="AY11" s="103">
        <v>7.3749999999999998E-4</v>
      </c>
      <c r="BA11" s="56" t="s">
        <v>154</v>
      </c>
      <c r="BB11" s="17" t="s">
        <v>55</v>
      </c>
      <c r="BD11" s="87" t="s">
        <v>39</v>
      </c>
      <c r="BE11" s="103">
        <v>1.225E-3</v>
      </c>
      <c r="BG11" s="56" t="s">
        <v>154</v>
      </c>
      <c r="BH11" s="17" t="s">
        <v>55</v>
      </c>
      <c r="BJ11" s="87" t="s">
        <v>39</v>
      </c>
      <c r="BK11" s="103">
        <v>2.3E-3</v>
      </c>
      <c r="BM11" s="56"/>
      <c r="BN11" s="86"/>
      <c r="BP11" s="56"/>
      <c r="BQ11" s="86"/>
      <c r="BS11" s="87"/>
      <c r="BT11" s="103"/>
      <c r="BV11" s="56" t="s">
        <v>140</v>
      </c>
      <c r="BW11" s="86" t="s">
        <v>29</v>
      </c>
      <c r="BY11" s="56" t="s">
        <v>226</v>
      </c>
      <c r="BZ11" s="142" t="s">
        <v>321</v>
      </c>
      <c r="CB11" s="56" t="s">
        <v>226</v>
      </c>
      <c r="CC11" s="142" t="s">
        <v>322</v>
      </c>
      <c r="CE11" s="56" t="s">
        <v>226</v>
      </c>
      <c r="CF11" s="142" t="s">
        <v>323</v>
      </c>
      <c r="CI11" s="217"/>
      <c r="CJ11" s="214"/>
    </row>
    <row r="12" spans="2:91">
      <c r="B12" s="152" t="s">
        <v>287</v>
      </c>
      <c r="C12" s="132" t="s">
        <v>317</v>
      </c>
      <c r="D12" s="133"/>
      <c r="E12" s="134"/>
      <c r="G12" s="56" t="s">
        <v>157</v>
      </c>
      <c r="H12" s="86" t="s">
        <v>29</v>
      </c>
      <c r="J12" s="73" t="s">
        <v>134</v>
      </c>
      <c r="K12" s="17" t="s">
        <v>133</v>
      </c>
      <c r="M12" s="87" t="s">
        <v>89</v>
      </c>
      <c r="N12" s="88">
        <v>1.31E-3</v>
      </c>
      <c r="O12" s="89"/>
      <c r="P12" s="89"/>
      <c r="Q12" s="90" t="b">
        <f t="shared" si="1"/>
        <v>1</v>
      </c>
      <c r="S12" s="97"/>
      <c r="T12" s="98"/>
      <c r="V12" s="56" t="s">
        <v>157</v>
      </c>
      <c r="W12" s="86" t="s">
        <v>29</v>
      </c>
      <c r="Y12" s="62"/>
      <c r="Z12" s="18"/>
      <c r="AB12" s="63" t="s">
        <v>123</v>
      </c>
      <c r="AC12" s="18" t="b">
        <v>1</v>
      </c>
      <c r="AE12" s="14"/>
      <c r="AF12" s="147"/>
      <c r="AG12" s="27"/>
      <c r="AH12" s="27"/>
      <c r="AI12" s="28"/>
      <c r="AK12" s="56" t="s">
        <v>1</v>
      </c>
      <c r="AL12" s="86" t="s">
        <v>78</v>
      </c>
      <c r="AN12" s="71" t="s">
        <v>31</v>
      </c>
      <c r="AO12" s="82">
        <v>2.2040000000000001E-2</v>
      </c>
      <c r="AP12" s="83" t="b">
        <f t="shared" si="0"/>
        <v>1</v>
      </c>
      <c r="AR12" s="56" t="s">
        <v>157</v>
      </c>
      <c r="AS12" s="86" t="s">
        <v>29</v>
      </c>
      <c r="AU12" s="56" t="s">
        <v>151</v>
      </c>
      <c r="AV12" s="17" t="s">
        <v>78</v>
      </c>
      <c r="AX12" s="87" t="s">
        <v>35</v>
      </c>
      <c r="AY12" s="103">
        <v>7.1374999999999997E-4</v>
      </c>
      <c r="BA12" s="56" t="s">
        <v>151</v>
      </c>
      <c r="BB12" s="17" t="s">
        <v>77</v>
      </c>
      <c r="BD12" s="87" t="s">
        <v>35</v>
      </c>
      <c r="BE12" s="103">
        <v>1.25E-3</v>
      </c>
      <c r="BG12" s="56" t="s">
        <v>151</v>
      </c>
      <c r="BH12" s="17" t="s">
        <v>152</v>
      </c>
      <c r="BJ12" s="87" t="s">
        <v>35</v>
      </c>
      <c r="BK12" s="103">
        <v>2.225E-3</v>
      </c>
      <c r="BM12" s="56"/>
      <c r="BN12" s="86"/>
      <c r="BP12" s="56"/>
      <c r="BQ12" s="86"/>
      <c r="BS12" s="87"/>
      <c r="BT12" s="103"/>
      <c r="BV12" s="56" t="s">
        <v>157</v>
      </c>
      <c r="BW12" s="86" t="s">
        <v>29</v>
      </c>
      <c r="BY12" s="56" t="s">
        <v>229</v>
      </c>
      <c r="BZ12" s="86" t="s">
        <v>192</v>
      </c>
      <c r="CB12" s="56" t="s">
        <v>229</v>
      </c>
      <c r="CC12" s="86" t="s">
        <v>192</v>
      </c>
      <c r="CE12" s="56" t="s">
        <v>229</v>
      </c>
      <c r="CF12" s="86" t="s">
        <v>192</v>
      </c>
      <c r="CI12" s="217"/>
      <c r="CJ12" s="214"/>
    </row>
    <row r="13" spans="2:91">
      <c r="B13" s="56" t="s">
        <v>208</v>
      </c>
      <c r="C13" s="132" t="s">
        <v>354</v>
      </c>
      <c r="D13" s="133"/>
      <c r="E13" s="134"/>
      <c r="G13" s="56" t="s">
        <v>230</v>
      </c>
      <c r="H13" s="86" t="b">
        <v>0</v>
      </c>
      <c r="J13" s="73" t="s">
        <v>156</v>
      </c>
      <c r="K13" s="17" t="s">
        <v>155</v>
      </c>
      <c r="M13" s="87" t="s">
        <v>21</v>
      </c>
      <c r="N13" s="88">
        <v>1.32E-3</v>
      </c>
      <c r="O13" s="89"/>
      <c r="P13" s="89"/>
      <c r="Q13" s="90" t="b">
        <f t="shared" si="1"/>
        <v>1</v>
      </c>
      <c r="S13" s="97"/>
      <c r="T13" s="98"/>
      <c r="V13" s="56" t="s">
        <v>230</v>
      </c>
      <c r="W13" s="86" t="b">
        <v>0</v>
      </c>
      <c r="Y13" s="6"/>
      <c r="Z13" s="4"/>
      <c r="AA13" s="6"/>
      <c r="AB13" s="8"/>
      <c r="AC13" s="4"/>
      <c r="AK13" s="56" t="s">
        <v>144</v>
      </c>
      <c r="AL13" s="86" t="s">
        <v>77</v>
      </c>
      <c r="AN13" s="71" t="s">
        <v>119</v>
      </c>
      <c r="AO13" s="82">
        <v>2.3375E-2</v>
      </c>
      <c r="AP13" s="83" t="b">
        <f t="shared" si="0"/>
        <v>1</v>
      </c>
      <c r="AR13" s="56" t="s">
        <v>230</v>
      </c>
      <c r="AS13" s="86" t="b">
        <v>0</v>
      </c>
      <c r="AU13" s="56" t="s">
        <v>148</v>
      </c>
      <c r="AV13" s="17" t="s">
        <v>40</v>
      </c>
      <c r="AX13" s="87" t="s">
        <v>33</v>
      </c>
      <c r="AY13" s="103">
        <v>7.1250000000000003E-4</v>
      </c>
      <c r="BA13" s="56" t="s">
        <v>148</v>
      </c>
      <c r="BB13" s="17" t="s">
        <v>40</v>
      </c>
      <c r="BD13" s="87" t="s">
        <v>33</v>
      </c>
      <c r="BE13" s="103">
        <v>1.2625E-3</v>
      </c>
      <c r="BG13" s="56" t="s">
        <v>148</v>
      </c>
      <c r="BH13" s="17" t="s">
        <v>40</v>
      </c>
      <c r="BJ13" s="87" t="s">
        <v>33</v>
      </c>
      <c r="BK13" s="103">
        <v>2.2000000000000001E-3</v>
      </c>
      <c r="BM13" s="56"/>
      <c r="BN13" s="86"/>
      <c r="BP13" s="56"/>
      <c r="BQ13" s="86"/>
      <c r="BS13" s="87"/>
      <c r="BT13" s="103"/>
      <c r="BV13" s="56" t="s">
        <v>230</v>
      </c>
      <c r="BW13" s="86" t="b">
        <v>0</v>
      </c>
      <c r="BY13" s="56"/>
      <c r="BZ13" s="86"/>
      <c r="CB13" s="56"/>
      <c r="CC13" s="86"/>
      <c r="CE13" s="56"/>
      <c r="CF13" s="86"/>
      <c r="CI13" s="217"/>
      <c r="CJ13" s="214"/>
    </row>
    <row r="14" spans="2:91">
      <c r="B14" s="56"/>
      <c r="C14" s="132"/>
      <c r="D14" s="133"/>
      <c r="E14" s="134"/>
      <c r="G14" s="56" t="s">
        <v>232</v>
      </c>
      <c r="H14" s="86" t="b">
        <v>1</v>
      </c>
      <c r="J14" s="73" t="s">
        <v>115</v>
      </c>
      <c r="K14" s="17" t="s">
        <v>40</v>
      </c>
      <c r="M14" s="87" t="s">
        <v>59</v>
      </c>
      <c r="N14" s="88">
        <v>1.34E-3</v>
      </c>
      <c r="O14" s="89"/>
      <c r="P14" s="89"/>
      <c r="Q14" s="90" t="b">
        <f t="shared" si="1"/>
        <v>1</v>
      </c>
      <c r="S14" s="97"/>
      <c r="T14" s="98"/>
      <c r="V14" s="56" t="s">
        <v>232</v>
      </c>
      <c r="W14" s="86" t="b">
        <v>1</v>
      </c>
      <c r="Y14" s="7" t="s">
        <v>147</v>
      </c>
      <c r="Z14" s="4"/>
      <c r="AA14" s="6"/>
      <c r="AB14" s="5" t="s">
        <v>146</v>
      </c>
      <c r="AC14" s="4"/>
      <c r="AE14" s="2" t="s">
        <v>145</v>
      </c>
      <c r="AF14" s="4"/>
      <c r="AK14" s="56" t="s">
        <v>4</v>
      </c>
      <c r="AL14" s="86" t="s">
        <v>29</v>
      </c>
      <c r="AN14" s="71" t="s">
        <v>113</v>
      </c>
      <c r="AO14" s="82">
        <v>2.4462999999999999E-2</v>
      </c>
      <c r="AP14" s="83" t="b">
        <f t="shared" si="0"/>
        <v>1</v>
      </c>
      <c r="AR14" s="56" t="s">
        <v>232</v>
      </c>
      <c r="AS14" s="86" t="b">
        <v>1</v>
      </c>
      <c r="AU14" s="56" t="s">
        <v>141</v>
      </c>
      <c r="AV14" s="17" t="s">
        <v>43</v>
      </c>
      <c r="AX14" s="87" t="s">
        <v>131</v>
      </c>
      <c r="AY14" s="103">
        <v>7.3749999999999998E-4</v>
      </c>
      <c r="BA14" s="56" t="s">
        <v>141</v>
      </c>
      <c r="BB14" s="17" t="s">
        <v>43</v>
      </c>
      <c r="BD14" s="87" t="s">
        <v>131</v>
      </c>
      <c r="BE14" s="103">
        <v>1.2375000000000001E-3</v>
      </c>
      <c r="BG14" s="56" t="s">
        <v>141</v>
      </c>
      <c r="BH14" s="17" t="s">
        <v>43</v>
      </c>
      <c r="BJ14" s="87" t="s">
        <v>31</v>
      </c>
      <c r="BK14" s="103">
        <v>2.2125000000000001E-3</v>
      </c>
      <c r="BM14" s="56"/>
      <c r="BN14" s="86"/>
      <c r="BP14" s="56"/>
      <c r="BQ14" s="86"/>
      <c r="BS14" s="87"/>
      <c r="BT14" s="103"/>
      <c r="BV14" s="56" t="s">
        <v>232</v>
      </c>
      <c r="BW14" s="86" t="b">
        <v>1</v>
      </c>
      <c r="BY14" s="56"/>
      <c r="BZ14" s="86"/>
      <c r="CB14" s="56"/>
      <c r="CC14" s="86"/>
      <c r="CE14" s="56"/>
      <c r="CF14" s="86"/>
      <c r="CI14" s="217"/>
      <c r="CJ14" s="217"/>
      <c r="CK14" s="217"/>
      <c r="CL14" s="217"/>
      <c r="CM14" s="217"/>
    </row>
    <row r="15" spans="2:91">
      <c r="B15" s="62"/>
      <c r="C15" s="135"/>
      <c r="D15" s="136"/>
      <c r="E15" s="137"/>
      <c r="G15" s="56" t="s">
        <v>110</v>
      </c>
      <c r="H15" s="86" t="b">
        <v>0</v>
      </c>
      <c r="J15" s="73" t="s">
        <v>128</v>
      </c>
      <c r="K15" s="17" t="s">
        <v>127</v>
      </c>
      <c r="M15" s="87" t="s">
        <v>53</v>
      </c>
      <c r="N15" s="88">
        <v>1.6000000000000001E-3</v>
      </c>
      <c r="O15" s="89"/>
      <c r="P15" s="89"/>
      <c r="Q15" s="90" t="b">
        <f t="shared" si="1"/>
        <v>1</v>
      </c>
      <c r="S15" s="97"/>
      <c r="T15" s="98"/>
      <c r="V15" s="56" t="s">
        <v>110</v>
      </c>
      <c r="W15" s="86" t="b">
        <v>0</v>
      </c>
      <c r="Y15" s="12" t="s">
        <v>174</v>
      </c>
      <c r="Z15" s="35" t="s">
        <v>264</v>
      </c>
      <c r="AB15" s="64" t="s">
        <v>76</v>
      </c>
      <c r="AC15" s="19" t="s">
        <v>75</v>
      </c>
      <c r="AE15" s="67" t="s">
        <v>76</v>
      </c>
      <c r="AF15" s="68" t="s">
        <v>139</v>
      </c>
      <c r="AG15" s="68" t="s">
        <v>138</v>
      </c>
      <c r="AH15" s="68" t="s">
        <v>75</v>
      </c>
      <c r="AI15" s="69" t="s">
        <v>137</v>
      </c>
      <c r="AK15" s="56" t="s">
        <v>123</v>
      </c>
      <c r="AL15" s="86" t="b">
        <v>1</v>
      </c>
      <c r="AN15" s="71" t="s">
        <v>28</v>
      </c>
      <c r="AO15" s="82">
        <v>2.5365000000000002E-2</v>
      </c>
      <c r="AP15" s="83" t="b">
        <f t="shared" si="0"/>
        <v>1</v>
      </c>
      <c r="AR15" s="56" t="s">
        <v>110</v>
      </c>
      <c r="AS15" s="86" t="b">
        <v>0</v>
      </c>
      <c r="AU15" s="56" t="s">
        <v>132</v>
      </c>
      <c r="AV15" s="31" t="s">
        <v>201</v>
      </c>
      <c r="AX15" s="87" t="s">
        <v>31</v>
      </c>
      <c r="AY15" s="103">
        <v>7.5000000000000002E-4</v>
      </c>
      <c r="BA15" s="56" t="s">
        <v>132</v>
      </c>
      <c r="BB15" s="31" t="s">
        <v>201</v>
      </c>
      <c r="BD15" s="87" t="s">
        <v>31</v>
      </c>
      <c r="BE15" s="103">
        <v>1.1999999999999999E-3</v>
      </c>
      <c r="BG15" s="56" t="s">
        <v>132</v>
      </c>
      <c r="BH15" s="31" t="s">
        <v>201</v>
      </c>
      <c r="BJ15" s="87" t="s">
        <v>28</v>
      </c>
      <c r="BK15" s="103">
        <v>2.2499999999999998E-3</v>
      </c>
      <c r="BM15" s="56"/>
      <c r="BN15" s="86"/>
      <c r="BP15" s="56"/>
      <c r="BQ15" s="86"/>
      <c r="BS15" s="87"/>
      <c r="BT15" s="103"/>
      <c r="BV15" s="56" t="s">
        <v>110</v>
      </c>
      <c r="BW15" s="86" t="b">
        <v>0</v>
      </c>
      <c r="BY15" s="56"/>
      <c r="BZ15" s="86"/>
      <c r="CB15" s="56"/>
      <c r="CC15" s="86"/>
      <c r="CE15" s="56"/>
      <c r="CF15" s="86"/>
      <c r="CI15" s="217"/>
      <c r="CJ15" s="217"/>
      <c r="CK15" s="217"/>
      <c r="CL15" s="217"/>
      <c r="CM15" s="217"/>
    </row>
    <row r="16" spans="2:91">
      <c r="G16" s="56" t="s">
        <v>107</v>
      </c>
      <c r="H16" s="86" t="b">
        <v>0</v>
      </c>
      <c r="J16" s="73" t="s">
        <v>19</v>
      </c>
      <c r="K16" s="17">
        <v>31</v>
      </c>
      <c r="M16" s="87" t="s">
        <v>74</v>
      </c>
      <c r="N16" s="88">
        <v>1.7699999999999999E-3</v>
      </c>
      <c r="O16" s="89"/>
      <c r="P16" s="89"/>
      <c r="Q16" s="90" t="b">
        <f t="shared" si="1"/>
        <v>1</v>
      </c>
      <c r="S16" s="97"/>
      <c r="T16" s="98"/>
      <c r="V16" s="56" t="s">
        <v>107</v>
      </c>
      <c r="W16" s="86" t="b">
        <v>0</v>
      </c>
      <c r="Y16" s="13" t="s">
        <v>130</v>
      </c>
      <c r="Z16" s="17" t="s">
        <v>217</v>
      </c>
      <c r="AB16" s="54"/>
      <c r="AC16" s="36"/>
      <c r="AE16" s="181" t="s">
        <v>409</v>
      </c>
      <c r="AF16" s="43">
        <v>42235</v>
      </c>
      <c r="AG16" s="43">
        <v>42326</v>
      </c>
      <c r="AH16" s="176">
        <v>99.68</v>
      </c>
      <c r="AI16" s="184"/>
      <c r="AK16" s="56" t="s">
        <v>111</v>
      </c>
      <c r="AL16" s="86" t="b">
        <v>1</v>
      </c>
      <c r="AN16" s="71" t="s">
        <v>366</v>
      </c>
      <c r="AO16" s="82">
        <v>2.6099999999999998E-2</v>
      </c>
      <c r="AP16" s="83" t="b">
        <f t="shared" si="0"/>
        <v>1</v>
      </c>
      <c r="AR16" s="56" t="s">
        <v>107</v>
      </c>
      <c r="AS16" s="86" t="b">
        <v>0</v>
      </c>
      <c r="AU16" s="56" t="s">
        <v>126</v>
      </c>
      <c r="AV16" s="31" t="s">
        <v>63</v>
      </c>
      <c r="AX16" s="87" t="s">
        <v>119</v>
      </c>
      <c r="AY16" s="103">
        <v>7.7999999999999999E-4</v>
      </c>
      <c r="BA16" s="56" t="s">
        <v>126</v>
      </c>
      <c r="BB16" s="31" t="s">
        <v>63</v>
      </c>
      <c r="BD16" s="87" t="s">
        <v>119</v>
      </c>
      <c r="BE16" s="103">
        <v>1.1624999999999999E-3</v>
      </c>
      <c r="BG16" s="56" t="s">
        <v>126</v>
      </c>
      <c r="BH16" s="31" t="s">
        <v>63</v>
      </c>
      <c r="BJ16" s="87" t="s">
        <v>26</v>
      </c>
      <c r="BK16" s="103">
        <v>2.2374999999999999E-3</v>
      </c>
      <c r="BM16" s="56"/>
      <c r="BN16" s="86"/>
      <c r="BP16" s="78"/>
      <c r="BQ16" s="106"/>
      <c r="BS16" s="87"/>
      <c r="BT16" s="103"/>
      <c r="BV16" s="56" t="s">
        <v>107</v>
      </c>
      <c r="BW16" s="86" t="b">
        <v>0</v>
      </c>
      <c r="BY16" s="56"/>
      <c r="BZ16" s="86"/>
      <c r="CB16" s="56"/>
      <c r="CC16" s="86"/>
      <c r="CE16" s="56"/>
      <c r="CF16" s="86"/>
      <c r="CI16" s="217"/>
      <c r="CJ16" s="217"/>
      <c r="CK16" s="217"/>
      <c r="CL16" s="217"/>
      <c r="CM16" s="217"/>
    </row>
    <row r="17" spans="2:91">
      <c r="B17" s="2" t="s">
        <v>355</v>
      </c>
      <c r="C17" s="9"/>
      <c r="G17" s="56" t="s">
        <v>100</v>
      </c>
      <c r="H17" s="86" t="s">
        <v>29</v>
      </c>
      <c r="J17" s="73" t="s">
        <v>103</v>
      </c>
      <c r="K17" s="17" t="b">
        <v>1</v>
      </c>
      <c r="M17" s="87" t="s">
        <v>70</v>
      </c>
      <c r="N17" s="88">
        <v>1.92E-3</v>
      </c>
      <c r="O17" s="89"/>
      <c r="P17" s="89"/>
      <c r="Q17" s="90" t="b">
        <f t="shared" si="1"/>
        <v>1</v>
      </c>
      <c r="S17" s="97"/>
      <c r="T17" s="98"/>
      <c r="V17" s="56" t="s">
        <v>100</v>
      </c>
      <c r="W17" s="86" t="s">
        <v>29</v>
      </c>
      <c r="Y17" s="13" t="s">
        <v>122</v>
      </c>
      <c r="Z17" s="17" t="s">
        <v>222</v>
      </c>
      <c r="AB17" s="54"/>
      <c r="AC17" s="36"/>
      <c r="AE17" s="42" t="s">
        <v>410</v>
      </c>
      <c r="AF17" s="43">
        <v>42263</v>
      </c>
      <c r="AG17" s="43">
        <v>42354</v>
      </c>
      <c r="AH17" s="176">
        <v>99.625</v>
      </c>
      <c r="AI17" s="184"/>
      <c r="AK17" s="56" t="s">
        <v>102</v>
      </c>
      <c r="AL17" s="86" t="b">
        <v>1</v>
      </c>
      <c r="AN17" s="71" t="s">
        <v>26</v>
      </c>
      <c r="AO17" s="82">
        <v>2.6724999999999999E-2</v>
      </c>
      <c r="AP17" s="83" t="b">
        <f t="shared" si="0"/>
        <v>1</v>
      </c>
      <c r="AR17" s="56" t="s">
        <v>100</v>
      </c>
      <c r="AS17" s="86" t="s">
        <v>29</v>
      </c>
      <c r="AU17" s="56" t="s">
        <v>120</v>
      </c>
      <c r="AV17" s="109" t="s">
        <v>23</v>
      </c>
      <c r="AX17" s="87" t="s">
        <v>113</v>
      </c>
      <c r="AY17" s="103">
        <v>8.0999999999999996E-4</v>
      </c>
      <c r="BA17" s="56" t="s">
        <v>120</v>
      </c>
      <c r="BB17" s="109" t="s">
        <v>53</v>
      </c>
      <c r="BD17" s="87" t="s">
        <v>113</v>
      </c>
      <c r="BE17" s="103">
        <v>1.1249999999999999E-3</v>
      </c>
      <c r="BG17" s="56" t="s">
        <v>120</v>
      </c>
      <c r="BH17" s="109" t="s">
        <v>265</v>
      </c>
      <c r="BJ17" s="87" t="s">
        <v>24</v>
      </c>
      <c r="BK17" s="103">
        <v>2.2374999999999999E-3</v>
      </c>
      <c r="BM17" s="56"/>
      <c r="BN17" s="86"/>
      <c r="BP17" s="79"/>
      <c r="BQ17" s="107"/>
      <c r="BS17" s="87"/>
      <c r="BT17" s="103"/>
      <c r="BV17" s="56" t="s">
        <v>100</v>
      </c>
      <c r="BW17" s="86" t="s">
        <v>29</v>
      </c>
      <c r="BY17" s="56"/>
      <c r="BZ17" s="86"/>
      <c r="CB17" s="56"/>
      <c r="CC17" s="86"/>
      <c r="CE17" s="56"/>
      <c r="CF17" s="86"/>
      <c r="CI17" s="217"/>
      <c r="CJ17" s="217"/>
      <c r="CK17" s="217"/>
      <c r="CL17" s="217"/>
      <c r="CM17" s="217"/>
    </row>
    <row r="18" spans="2:91">
      <c r="B18" s="55" t="s">
        <v>201</v>
      </c>
      <c r="C18" s="126" t="s">
        <v>349</v>
      </c>
      <c r="D18" s="127"/>
      <c r="E18" s="128"/>
      <c r="G18" s="56" t="s">
        <v>235</v>
      </c>
      <c r="H18" s="86" t="b">
        <v>0</v>
      </c>
      <c r="J18" s="56"/>
      <c r="K18" s="15"/>
      <c r="M18" s="87" t="s">
        <v>23</v>
      </c>
      <c r="N18" s="88">
        <v>2.1800000000000001E-3</v>
      </c>
      <c r="O18" s="89"/>
      <c r="P18" s="89"/>
      <c r="Q18" s="90" t="b">
        <f t="shared" si="1"/>
        <v>1</v>
      </c>
      <c r="S18" s="97"/>
      <c r="T18" s="98"/>
      <c r="V18" s="56" t="s">
        <v>235</v>
      </c>
      <c r="W18" s="86" t="b">
        <v>0</v>
      </c>
      <c r="Y18" s="13" t="s">
        <v>134</v>
      </c>
      <c r="Z18" s="17" t="s">
        <v>43</v>
      </c>
      <c r="AB18" s="54"/>
      <c r="AC18" s="36"/>
      <c r="AE18" s="45" t="s">
        <v>411</v>
      </c>
      <c r="AF18" s="46">
        <v>42298</v>
      </c>
      <c r="AG18" s="46">
        <v>42389</v>
      </c>
      <c r="AH18" s="177">
        <v>99.575000000000003</v>
      </c>
      <c r="AI18" s="185"/>
      <c r="AK18" s="56" t="s">
        <v>94</v>
      </c>
      <c r="AL18" s="86">
        <v>2</v>
      </c>
      <c r="AN18" s="71" t="s">
        <v>24</v>
      </c>
      <c r="AO18" s="82">
        <v>2.8036999999999999E-2</v>
      </c>
      <c r="AP18" s="83" t="b">
        <f t="shared" si="0"/>
        <v>1</v>
      </c>
      <c r="AR18" s="56" t="s">
        <v>235</v>
      </c>
      <c r="AS18" s="86" t="b">
        <v>0</v>
      </c>
      <c r="AU18" s="56" t="s">
        <v>114</v>
      </c>
      <c r="AV18" s="17" t="s">
        <v>55</v>
      </c>
      <c r="AX18" s="87" t="s">
        <v>28</v>
      </c>
      <c r="AY18" s="103">
        <v>8.0000000000000004E-4</v>
      </c>
      <c r="BA18" s="56" t="s">
        <v>114</v>
      </c>
      <c r="BB18" s="17" t="s">
        <v>55</v>
      </c>
      <c r="BD18" s="87" t="s">
        <v>28</v>
      </c>
      <c r="BE18" s="103">
        <v>1.1000000000000001E-3</v>
      </c>
      <c r="BG18" s="56" t="s">
        <v>114</v>
      </c>
      <c r="BH18" s="17" t="s">
        <v>55</v>
      </c>
      <c r="BJ18" s="87" t="s">
        <v>20</v>
      </c>
      <c r="BK18" s="103">
        <v>2.225E-3</v>
      </c>
      <c r="BM18" s="56"/>
      <c r="BN18" s="86"/>
      <c r="BP18" s="56"/>
      <c r="BQ18" s="86"/>
      <c r="BS18" s="87"/>
      <c r="BT18" s="103"/>
      <c r="BV18" s="56" t="s">
        <v>235</v>
      </c>
      <c r="BW18" s="86" t="b">
        <v>0</v>
      </c>
      <c r="BY18" s="56"/>
      <c r="BZ18" s="86"/>
      <c r="CB18" s="56"/>
      <c r="CC18" s="86"/>
      <c r="CE18" s="56"/>
      <c r="CF18" s="86"/>
      <c r="CI18" s="217"/>
      <c r="CJ18" s="217"/>
      <c r="CK18" s="217"/>
      <c r="CL18" s="217"/>
      <c r="CM18" s="217"/>
    </row>
    <row r="19" spans="2:91">
      <c r="B19" s="56" t="s">
        <v>63</v>
      </c>
      <c r="C19" s="129" t="s">
        <v>9</v>
      </c>
      <c r="D19" s="130"/>
      <c r="E19" s="131"/>
      <c r="G19" s="56" t="s">
        <v>254</v>
      </c>
      <c r="H19" s="86" t="b">
        <v>1</v>
      </c>
      <c r="J19" s="56"/>
      <c r="K19" s="15"/>
      <c r="M19" s="87" t="s">
        <v>57</v>
      </c>
      <c r="N19" s="88">
        <v>2.8999999999999998E-3</v>
      </c>
      <c r="O19" s="89"/>
      <c r="P19" s="89"/>
      <c r="Q19" s="90" t="b">
        <f t="shared" si="1"/>
        <v>1</v>
      </c>
      <c r="S19" s="97"/>
      <c r="T19" s="98"/>
      <c r="V19" s="56" t="s">
        <v>254</v>
      </c>
      <c r="W19" s="86" t="b">
        <v>1</v>
      </c>
      <c r="Y19" s="57" t="s">
        <v>115</v>
      </c>
      <c r="Z19" s="17" t="s">
        <v>227</v>
      </c>
      <c r="AB19" s="54"/>
      <c r="AC19" s="36"/>
      <c r="AE19" s="45" t="s">
        <v>412</v>
      </c>
      <c r="AF19" s="46">
        <v>42326</v>
      </c>
      <c r="AG19" s="46">
        <v>42417</v>
      </c>
      <c r="AH19" s="177">
        <v>99.525000000000006</v>
      </c>
      <c r="AI19" s="185"/>
      <c r="AK19" s="56" t="s">
        <v>90</v>
      </c>
      <c r="AL19" s="86" t="s">
        <v>40</v>
      </c>
      <c r="AN19" s="71" t="s">
        <v>20</v>
      </c>
      <c r="AO19" s="82">
        <v>2.9229999999999999E-2</v>
      </c>
      <c r="AP19" s="83" t="b">
        <f t="shared" si="0"/>
        <v>1</v>
      </c>
      <c r="AR19" s="56" t="s">
        <v>254</v>
      </c>
      <c r="AS19" s="86" t="b">
        <v>1</v>
      </c>
      <c r="AU19" s="56" t="s">
        <v>109</v>
      </c>
      <c r="AV19" s="17" t="s">
        <v>46</v>
      </c>
      <c r="AX19" s="87" t="s">
        <v>26</v>
      </c>
      <c r="AY19" s="103">
        <v>8.3750000000000003E-4</v>
      </c>
      <c r="BA19" s="56" t="s">
        <v>109</v>
      </c>
      <c r="BB19" s="17" t="s">
        <v>46</v>
      </c>
      <c r="BD19" s="87" t="s">
        <v>26</v>
      </c>
      <c r="BE19" s="103">
        <v>1.0625000000000001E-3</v>
      </c>
      <c r="BG19" s="56" t="s">
        <v>109</v>
      </c>
      <c r="BH19" s="17" t="s">
        <v>46</v>
      </c>
      <c r="BJ19" s="87" t="s">
        <v>18</v>
      </c>
      <c r="BK19" s="103">
        <v>2.2000000000000001E-3</v>
      </c>
      <c r="BM19" s="56"/>
      <c r="BN19" s="86"/>
      <c r="BP19" s="56"/>
      <c r="BQ19" s="86"/>
      <c r="BS19" s="87"/>
      <c r="BT19" s="103"/>
      <c r="BV19" s="56" t="s">
        <v>254</v>
      </c>
      <c r="BW19" s="86" t="b">
        <v>1</v>
      </c>
      <c r="BY19" s="56"/>
      <c r="BZ19" s="86"/>
      <c r="CB19" s="56"/>
      <c r="CC19" s="86"/>
      <c r="CE19" s="56"/>
      <c r="CF19" s="86"/>
      <c r="CI19" s="217"/>
      <c r="CJ19" s="217"/>
      <c r="CK19" s="217"/>
      <c r="CL19" s="217"/>
      <c r="CM19" s="217"/>
    </row>
    <row r="20" spans="2:91">
      <c r="B20" s="56" t="s">
        <v>363</v>
      </c>
      <c r="C20" s="129" t="s">
        <v>8</v>
      </c>
      <c r="D20" s="133"/>
      <c r="E20" s="134"/>
      <c r="G20" s="56" t="s">
        <v>91</v>
      </c>
      <c r="H20" s="86" t="s">
        <v>29</v>
      </c>
      <c r="J20" s="56"/>
      <c r="K20" s="15"/>
      <c r="M20" s="87" t="s">
        <v>265</v>
      </c>
      <c r="N20" s="88">
        <v>3.6800000000000001E-3</v>
      </c>
      <c r="O20" s="89"/>
      <c r="P20" s="89"/>
      <c r="Q20" s="90" t="b">
        <f t="shared" si="1"/>
        <v>1</v>
      </c>
      <c r="S20" s="97"/>
      <c r="T20" s="98"/>
      <c r="V20" s="56" t="s">
        <v>91</v>
      </c>
      <c r="W20" s="86" t="s">
        <v>29</v>
      </c>
      <c r="Y20" s="57" t="s">
        <v>123</v>
      </c>
      <c r="Z20" s="17" t="b">
        <v>1</v>
      </c>
      <c r="AB20" s="54"/>
      <c r="AC20" s="36"/>
      <c r="AE20" s="45" t="s">
        <v>413</v>
      </c>
      <c r="AF20" s="46">
        <v>42354</v>
      </c>
      <c r="AG20" s="46">
        <v>42445</v>
      </c>
      <c r="AH20" s="177">
        <v>99.454999999999998</v>
      </c>
      <c r="AI20" s="185"/>
      <c r="AK20" s="56" t="s">
        <v>34</v>
      </c>
      <c r="AL20" s="86" t="b">
        <v>1</v>
      </c>
      <c r="AN20" s="71" t="s">
        <v>18</v>
      </c>
      <c r="AO20" s="82">
        <v>2.9790000000000001E-2</v>
      </c>
      <c r="AP20" s="83" t="b">
        <f t="shared" si="0"/>
        <v>1</v>
      </c>
      <c r="AR20" s="56" t="s">
        <v>91</v>
      </c>
      <c r="AS20" s="86" t="s">
        <v>29</v>
      </c>
      <c r="AU20" s="56" t="s">
        <v>105</v>
      </c>
      <c r="AV20" s="17" t="s">
        <v>48</v>
      </c>
      <c r="AX20" s="87" t="s">
        <v>24</v>
      </c>
      <c r="AY20" s="103">
        <v>8.7874999999999997E-4</v>
      </c>
      <c r="BA20" s="56" t="s">
        <v>105</v>
      </c>
      <c r="BB20" s="17" t="s">
        <v>48</v>
      </c>
      <c r="BD20" s="87" t="s">
        <v>24</v>
      </c>
      <c r="BE20" s="103">
        <v>1.0375E-3</v>
      </c>
      <c r="BG20" s="56" t="s">
        <v>105</v>
      </c>
      <c r="BH20" s="17" t="s">
        <v>48</v>
      </c>
      <c r="BJ20" s="87" t="s">
        <v>17</v>
      </c>
      <c r="BK20" s="103">
        <v>2.2125000000000001E-3</v>
      </c>
      <c r="BM20" s="56"/>
      <c r="BN20" s="86"/>
      <c r="BP20" s="56"/>
      <c r="BQ20" s="86"/>
      <c r="BS20" s="87"/>
      <c r="BT20" s="103"/>
      <c r="BV20" s="56" t="s">
        <v>91</v>
      </c>
      <c r="BW20" s="86" t="s">
        <v>29</v>
      </c>
      <c r="BY20" s="56"/>
      <c r="BZ20" s="86"/>
      <c r="CB20" s="56"/>
      <c r="CC20" s="86"/>
      <c r="CE20" s="56"/>
      <c r="CF20" s="86"/>
      <c r="CI20" s="217"/>
      <c r="CJ20" s="217"/>
      <c r="CK20" s="217"/>
      <c r="CL20" s="217"/>
      <c r="CM20" s="217"/>
    </row>
    <row r="21" spans="2:91">
      <c r="B21" s="56" t="s">
        <v>206</v>
      </c>
      <c r="C21" s="132" t="s">
        <v>318</v>
      </c>
      <c r="D21" s="133"/>
      <c r="E21" s="134"/>
      <c r="G21" s="56"/>
      <c r="H21" s="86"/>
      <c r="J21" s="56"/>
      <c r="K21" s="15"/>
      <c r="M21" s="87" t="s">
        <v>45</v>
      </c>
      <c r="N21" s="88">
        <v>5.4400000000000004E-3</v>
      </c>
      <c r="O21" s="89"/>
      <c r="P21" s="89"/>
      <c r="Q21" s="90" t="b">
        <f t="shared" si="1"/>
        <v>1</v>
      </c>
      <c r="S21" s="97"/>
      <c r="T21" s="98"/>
      <c r="V21" s="56" t="s">
        <v>81</v>
      </c>
      <c r="W21" s="86" t="s">
        <v>201</v>
      </c>
      <c r="Y21" s="57"/>
      <c r="Z21" s="17"/>
      <c r="AB21" s="54"/>
      <c r="AC21" s="36"/>
      <c r="AE21" s="45" t="s">
        <v>414</v>
      </c>
      <c r="AF21" s="46">
        <v>42445</v>
      </c>
      <c r="AG21" s="46">
        <v>42536</v>
      </c>
      <c r="AH21" s="177">
        <v>99.265000000000001</v>
      </c>
      <c r="AI21" s="185"/>
      <c r="AK21" s="56" t="s">
        <v>99</v>
      </c>
      <c r="AL21" s="86" t="s">
        <v>98</v>
      </c>
      <c r="AN21" s="71" t="s">
        <v>17</v>
      </c>
      <c r="AO21" s="82">
        <v>3.0135000000000002E-2</v>
      </c>
      <c r="AP21" s="83" t="b">
        <f t="shared" si="0"/>
        <v>1</v>
      </c>
      <c r="AR21" s="56" t="s">
        <v>81</v>
      </c>
      <c r="AS21" s="86" t="s">
        <v>201</v>
      </c>
      <c r="AU21" s="56" t="s">
        <v>101</v>
      </c>
      <c r="AV21" s="17" t="s">
        <v>46</v>
      </c>
      <c r="AX21" s="87" t="s">
        <v>20</v>
      </c>
      <c r="AY21" s="103">
        <v>8.9999999999999998E-4</v>
      </c>
      <c r="BA21" s="56" t="s">
        <v>101</v>
      </c>
      <c r="BB21" s="17" t="s">
        <v>46</v>
      </c>
      <c r="BD21" s="87" t="s">
        <v>20</v>
      </c>
      <c r="BE21" s="103">
        <v>1.0499999999999999E-3</v>
      </c>
      <c r="BG21" s="56" t="s">
        <v>101</v>
      </c>
      <c r="BH21" s="17" t="s">
        <v>46</v>
      </c>
      <c r="BJ21" s="87" t="s">
        <v>88</v>
      </c>
      <c r="BK21" s="103" t="s">
        <v>88</v>
      </c>
      <c r="BM21" s="56"/>
      <c r="BN21" s="86"/>
      <c r="BP21" s="56"/>
      <c r="BQ21" s="86"/>
      <c r="BS21" s="87"/>
      <c r="BT21" s="103"/>
      <c r="BV21" s="56" t="s">
        <v>81</v>
      </c>
      <c r="BW21" s="86" t="s">
        <v>201</v>
      </c>
      <c r="BY21" s="56"/>
      <c r="BZ21" s="86"/>
      <c r="CB21" s="56"/>
      <c r="CC21" s="86"/>
      <c r="CE21" s="56"/>
      <c r="CF21" s="86"/>
      <c r="CI21" s="217"/>
      <c r="CJ21" s="217"/>
      <c r="CK21" s="217"/>
      <c r="CL21" s="217"/>
      <c r="CM21" s="217"/>
    </row>
    <row r="22" spans="2:91">
      <c r="B22" s="56" t="s">
        <v>207</v>
      </c>
      <c r="C22" s="132" t="s">
        <v>316</v>
      </c>
      <c r="D22" s="133"/>
      <c r="E22" s="134"/>
      <c r="G22" s="56"/>
      <c r="H22" s="17"/>
      <c r="J22" s="56"/>
      <c r="K22" s="17"/>
      <c r="M22" s="87" t="s">
        <v>42</v>
      </c>
      <c r="N22" s="88">
        <v>7.28E-3</v>
      </c>
      <c r="O22" s="89" t="s">
        <v>88</v>
      </c>
      <c r="P22" s="89" t="s">
        <v>88</v>
      </c>
      <c r="Q22" s="90" t="b">
        <f t="shared" si="1"/>
        <v>1</v>
      </c>
      <c r="S22" s="97"/>
      <c r="T22" s="98"/>
      <c r="V22" s="56"/>
      <c r="W22" s="86"/>
      <c r="Y22" s="57"/>
      <c r="Z22" s="17"/>
      <c r="AB22" s="54"/>
      <c r="AC22" s="36"/>
      <c r="AE22" s="45" t="s">
        <v>415</v>
      </c>
      <c r="AF22" s="46">
        <v>42536</v>
      </c>
      <c r="AG22" s="46">
        <v>42634</v>
      </c>
      <c r="AH22" s="177">
        <v>99.06</v>
      </c>
      <c r="AI22" s="185"/>
      <c r="AK22" s="56"/>
      <c r="AL22" s="86"/>
      <c r="AN22" s="71" t="s">
        <v>15</v>
      </c>
      <c r="AO22" s="82">
        <v>3.0314999999999998E-2</v>
      </c>
      <c r="AP22" s="83" t="b">
        <f t="shared" si="0"/>
        <v>1</v>
      </c>
      <c r="AR22" s="56"/>
      <c r="AS22" s="17"/>
      <c r="AU22" s="56" t="s">
        <v>96</v>
      </c>
      <c r="AV22" s="17" t="s">
        <v>43</v>
      </c>
      <c r="AX22" s="87" t="s">
        <v>18</v>
      </c>
      <c r="AY22" s="103">
        <v>9.1250000000000001E-4</v>
      </c>
      <c r="BA22" s="56" t="s">
        <v>96</v>
      </c>
      <c r="BB22" s="17" t="s">
        <v>43</v>
      </c>
      <c r="BD22" s="87" t="s">
        <v>18</v>
      </c>
      <c r="BE22" s="103">
        <v>1.075E-3</v>
      </c>
      <c r="BG22" s="56" t="s">
        <v>96</v>
      </c>
      <c r="BH22" s="17" t="s">
        <v>43</v>
      </c>
      <c r="BJ22" s="87" t="s">
        <v>88</v>
      </c>
      <c r="BK22" s="103" t="s">
        <v>88</v>
      </c>
      <c r="BM22" s="56"/>
      <c r="BN22" s="86"/>
      <c r="BP22" s="56"/>
      <c r="BQ22" s="86"/>
      <c r="BS22" s="87"/>
      <c r="BT22" s="103"/>
      <c r="BV22" s="56"/>
      <c r="BW22" s="86"/>
      <c r="BY22" s="56"/>
      <c r="BZ22" s="86"/>
      <c r="CB22" s="56"/>
      <c r="CC22" s="86"/>
      <c r="CE22" s="56"/>
      <c r="CF22" s="86"/>
      <c r="CI22" s="217"/>
      <c r="CJ22" s="217"/>
      <c r="CK22" s="217"/>
      <c r="CL22" s="217"/>
      <c r="CM22" s="217"/>
    </row>
    <row r="23" spans="2:91">
      <c r="B23" s="152" t="s">
        <v>287</v>
      </c>
      <c r="C23" s="132" t="s">
        <v>317</v>
      </c>
      <c r="D23" s="133"/>
      <c r="E23" s="134"/>
      <c r="G23" s="13"/>
      <c r="H23" s="30"/>
      <c r="J23" s="13"/>
      <c r="K23" s="30"/>
      <c r="M23" s="87" t="s">
        <v>39</v>
      </c>
      <c r="N23" s="88">
        <v>1.0620000000000001E-2</v>
      </c>
      <c r="O23" s="89" t="s">
        <v>88</v>
      </c>
      <c r="P23" s="89" t="s">
        <v>88</v>
      </c>
      <c r="Q23" s="90" t="b">
        <f t="shared" si="1"/>
        <v>1</v>
      </c>
      <c r="S23" s="97"/>
      <c r="T23" s="98"/>
      <c r="V23" s="56"/>
      <c r="W23" s="86"/>
      <c r="Y23" s="57"/>
      <c r="Z23" s="17"/>
      <c r="AB23" s="54"/>
      <c r="AC23" s="36"/>
      <c r="AE23" s="45" t="s">
        <v>416</v>
      </c>
      <c r="AF23" s="46">
        <v>42634</v>
      </c>
      <c r="AG23" s="46">
        <v>42725</v>
      </c>
      <c r="AH23" s="177">
        <v>98.83</v>
      </c>
      <c r="AI23" s="185"/>
      <c r="AK23" s="56"/>
      <c r="AL23" s="86"/>
      <c r="AN23" s="71" t="s">
        <v>14</v>
      </c>
      <c r="AO23" s="82">
        <v>3.0139999999999997E-2</v>
      </c>
      <c r="AP23" s="83" t="b">
        <f t="shared" si="0"/>
        <v>1</v>
      </c>
      <c r="AR23" s="13"/>
      <c r="AS23" s="30"/>
      <c r="AU23" s="79" t="s">
        <v>92</v>
      </c>
      <c r="AV23" s="20" t="s">
        <v>40</v>
      </c>
      <c r="AX23" s="87" t="s">
        <v>17</v>
      </c>
      <c r="AY23" s="103">
        <v>9.1250000000000001E-4</v>
      </c>
      <c r="BA23" s="79" t="s">
        <v>92</v>
      </c>
      <c r="BB23" s="20" t="s">
        <v>40</v>
      </c>
      <c r="BD23" s="87" t="s">
        <v>17</v>
      </c>
      <c r="BE23" s="103">
        <v>1.0874999999999999E-3</v>
      </c>
      <c r="BG23" s="79" t="s">
        <v>92</v>
      </c>
      <c r="BH23" s="20" t="s">
        <v>40</v>
      </c>
      <c r="BJ23" s="87" t="s">
        <v>88</v>
      </c>
      <c r="BK23" s="103" t="s">
        <v>88</v>
      </c>
      <c r="BM23" s="13"/>
      <c r="BN23" s="86"/>
      <c r="BP23" s="79"/>
      <c r="BQ23" s="20"/>
      <c r="BS23" s="87"/>
      <c r="BT23" s="103"/>
      <c r="BV23" s="13"/>
      <c r="BW23" s="86"/>
      <c r="BY23" s="56"/>
      <c r="BZ23" s="86"/>
      <c r="CB23" s="56"/>
      <c r="CC23" s="86"/>
      <c r="CE23" s="56"/>
      <c r="CF23" s="86"/>
      <c r="CI23" s="217"/>
      <c r="CJ23" s="217"/>
      <c r="CK23" s="217"/>
      <c r="CL23" s="217"/>
      <c r="CM23" s="217"/>
    </row>
    <row r="24" spans="2:91">
      <c r="B24" s="56"/>
      <c r="C24" s="132"/>
      <c r="D24" s="133"/>
      <c r="E24" s="134"/>
      <c r="G24" s="14"/>
      <c r="H24" s="32"/>
      <c r="J24" s="14"/>
      <c r="K24" s="32"/>
      <c r="M24" s="87" t="s">
        <v>35</v>
      </c>
      <c r="N24" s="88">
        <v>1.3469999999999999E-2</v>
      </c>
      <c r="O24" s="89" t="s">
        <v>88</v>
      </c>
      <c r="P24" s="89" t="s">
        <v>88</v>
      </c>
      <c r="Q24" s="90" t="b">
        <f t="shared" si="1"/>
        <v>1</v>
      </c>
      <c r="S24" s="97"/>
      <c r="T24" s="98"/>
      <c r="V24" s="56"/>
      <c r="W24" s="86"/>
      <c r="Y24" s="57"/>
      <c r="Z24" s="17"/>
      <c r="AB24" s="54"/>
      <c r="AC24" s="36"/>
      <c r="AE24" s="45" t="s">
        <v>417</v>
      </c>
      <c r="AF24" s="46">
        <v>42725</v>
      </c>
      <c r="AG24" s="46">
        <v>42809</v>
      </c>
      <c r="AH24" s="177">
        <v>98.605000000000004</v>
      </c>
      <c r="AI24" s="185"/>
      <c r="AK24" s="56"/>
      <c r="AL24" s="86"/>
      <c r="AN24" s="71" t="s">
        <v>88</v>
      </c>
      <c r="AO24" s="82" t="s">
        <v>88</v>
      </c>
      <c r="AP24" s="83" t="b">
        <f t="shared" si="0"/>
        <v>0</v>
      </c>
      <c r="AR24" s="13"/>
      <c r="AS24" s="30"/>
      <c r="AU24" s="78" t="s">
        <v>87</v>
      </c>
      <c r="AV24" s="102" t="s">
        <v>86</v>
      </c>
      <c r="AX24" s="87" t="s">
        <v>88</v>
      </c>
      <c r="AY24" s="103" t="s">
        <v>88</v>
      </c>
      <c r="BA24" s="78" t="s">
        <v>87</v>
      </c>
      <c r="BB24" s="102" t="s">
        <v>86</v>
      </c>
      <c r="BD24" s="87" t="s">
        <v>88</v>
      </c>
      <c r="BE24" s="103" t="s">
        <v>88</v>
      </c>
      <c r="BG24" s="78" t="s">
        <v>87</v>
      </c>
      <c r="BH24" s="102" t="s">
        <v>86</v>
      </c>
      <c r="BJ24" s="87" t="s">
        <v>88</v>
      </c>
      <c r="BK24" s="103" t="s">
        <v>88</v>
      </c>
      <c r="BM24" s="13"/>
      <c r="BN24" s="86"/>
      <c r="BP24" s="56"/>
      <c r="BQ24" s="86"/>
      <c r="BS24" s="87"/>
      <c r="BT24" s="103"/>
      <c r="BV24" s="13"/>
      <c r="BW24" s="86"/>
      <c r="BY24" s="56"/>
      <c r="BZ24" s="86"/>
      <c r="CB24" s="56"/>
      <c r="CC24" s="86"/>
      <c r="CE24" s="56"/>
      <c r="CF24" s="86"/>
      <c r="CI24" s="217"/>
      <c r="CJ24" s="217"/>
      <c r="CK24" s="217"/>
      <c r="CL24" s="217"/>
      <c r="CM24" s="217"/>
    </row>
    <row r="25" spans="2:91">
      <c r="B25" s="62"/>
      <c r="C25" s="135"/>
      <c r="D25" s="136"/>
      <c r="E25" s="137"/>
      <c r="M25" s="87" t="s">
        <v>33</v>
      </c>
      <c r="N25" s="88">
        <v>1.5910000000000001E-2</v>
      </c>
      <c r="O25" s="89"/>
      <c r="P25" s="89"/>
      <c r="Q25" s="90" t="b">
        <f t="shared" si="1"/>
        <v>1</v>
      </c>
      <c r="S25" s="97"/>
      <c r="T25" s="98"/>
      <c r="V25" s="56"/>
      <c r="W25" s="86"/>
      <c r="Y25" s="58"/>
      <c r="Z25" s="20"/>
      <c r="AB25" s="65"/>
      <c r="AC25" s="41"/>
      <c r="AE25" s="48" t="s">
        <v>418</v>
      </c>
      <c r="AF25" s="46">
        <v>42809</v>
      </c>
      <c r="AG25" s="46">
        <v>42907</v>
      </c>
      <c r="AH25" s="178">
        <v>98.415000000000006</v>
      </c>
      <c r="AI25" s="185"/>
      <c r="AK25" s="56"/>
      <c r="AL25" s="86"/>
      <c r="AN25" s="71" t="s">
        <v>88</v>
      </c>
      <c r="AO25" s="82" t="s">
        <v>88</v>
      </c>
      <c r="AP25" s="83" t="b">
        <f t="shared" si="0"/>
        <v>0</v>
      </c>
      <c r="AR25" s="13"/>
      <c r="AS25" s="30"/>
      <c r="AU25" s="56" t="s">
        <v>85</v>
      </c>
      <c r="AV25" s="17" t="s">
        <v>55</v>
      </c>
      <c r="AX25" s="87" t="s">
        <v>88</v>
      </c>
      <c r="AY25" s="103" t="s">
        <v>88</v>
      </c>
      <c r="BA25" s="56" t="s">
        <v>85</v>
      </c>
      <c r="BB25" s="17" t="s">
        <v>55</v>
      </c>
      <c r="BD25" s="87" t="s">
        <v>88</v>
      </c>
      <c r="BE25" s="103" t="s">
        <v>88</v>
      </c>
      <c r="BG25" s="56" t="s">
        <v>85</v>
      </c>
      <c r="BH25" s="17" t="s">
        <v>55</v>
      </c>
      <c r="BJ25" s="87" t="s">
        <v>88</v>
      </c>
      <c r="BK25" s="103" t="s">
        <v>88</v>
      </c>
      <c r="BM25" s="13"/>
      <c r="BN25" s="86"/>
      <c r="BP25" s="56"/>
      <c r="BQ25" s="86"/>
      <c r="BS25" s="87"/>
      <c r="BT25" s="103"/>
      <c r="BV25" s="13"/>
      <c r="BW25" s="86"/>
      <c r="BY25" s="56"/>
      <c r="BZ25" s="86"/>
      <c r="CB25" s="56"/>
      <c r="CC25" s="86"/>
      <c r="CE25" s="56"/>
      <c r="CF25" s="86"/>
      <c r="CI25" s="217"/>
      <c r="CJ25" s="217"/>
      <c r="CK25" s="217"/>
      <c r="CL25" s="217"/>
      <c r="CM25" s="217"/>
    </row>
    <row r="26" spans="2:91">
      <c r="M26" s="87" t="s">
        <v>31</v>
      </c>
      <c r="N26" s="88">
        <v>1.9562800000000002E-2</v>
      </c>
      <c r="O26" s="89"/>
      <c r="P26" s="89"/>
      <c r="Q26" s="90" t="b">
        <f t="shared" si="1"/>
        <v>1</v>
      </c>
      <c r="S26" s="97"/>
      <c r="T26" s="98"/>
      <c r="V26" s="13"/>
      <c r="W26" s="30"/>
      <c r="Y26" s="57"/>
      <c r="Z26" s="17"/>
      <c r="AB26" s="54"/>
      <c r="AC26" s="36"/>
      <c r="AE26" s="50" t="s">
        <v>419</v>
      </c>
      <c r="AF26" s="182">
        <v>42907</v>
      </c>
      <c r="AG26" s="182">
        <v>42998</v>
      </c>
      <c r="AH26" s="178">
        <v>98.23</v>
      </c>
      <c r="AI26" s="186"/>
      <c r="AK26" s="56"/>
      <c r="AL26" s="86"/>
      <c r="AN26" s="71" t="s">
        <v>88</v>
      </c>
      <c r="AO26" s="82" t="s">
        <v>88</v>
      </c>
      <c r="AP26" s="83" t="b">
        <f t="shared" si="0"/>
        <v>0</v>
      </c>
      <c r="AR26" s="13"/>
      <c r="AS26" s="30"/>
      <c r="AU26" s="56" t="s">
        <v>83</v>
      </c>
      <c r="AV26" s="86" t="s">
        <v>77</v>
      </c>
      <c r="AX26" s="87" t="s">
        <v>88</v>
      </c>
      <c r="AY26" s="103" t="s">
        <v>88</v>
      </c>
      <c r="BA26" s="56" t="s">
        <v>83</v>
      </c>
      <c r="BB26" s="86" t="s">
        <v>82</v>
      </c>
      <c r="BD26" s="87" t="s">
        <v>88</v>
      </c>
      <c r="BE26" s="103" t="s">
        <v>88</v>
      </c>
      <c r="BG26" s="56" t="s">
        <v>83</v>
      </c>
      <c r="BH26" s="86" t="s">
        <v>77</v>
      </c>
      <c r="BJ26" s="87" t="s">
        <v>88</v>
      </c>
      <c r="BK26" s="103" t="s">
        <v>88</v>
      </c>
      <c r="BM26" s="13"/>
      <c r="BN26" s="86"/>
      <c r="BP26" s="56"/>
      <c r="BQ26" s="86"/>
      <c r="BS26" s="87"/>
      <c r="BT26" s="103"/>
      <c r="BV26" s="13"/>
      <c r="BW26" s="86"/>
      <c r="BY26" s="56"/>
      <c r="BZ26" s="86"/>
      <c r="CB26" s="56"/>
      <c r="CC26" s="86"/>
      <c r="CE26" s="56"/>
      <c r="CF26" s="86"/>
      <c r="CI26" s="217"/>
      <c r="CJ26" s="217"/>
      <c r="CK26" s="217"/>
      <c r="CL26" s="217"/>
      <c r="CM26" s="217"/>
    </row>
    <row r="27" spans="2:91">
      <c r="B27" s="2" t="s">
        <v>356</v>
      </c>
      <c r="C27" s="9"/>
      <c r="M27" s="87" t="s">
        <v>28</v>
      </c>
      <c r="N27" s="88">
        <v>2.2876500000000001E-2</v>
      </c>
      <c r="O27" s="89"/>
      <c r="P27" s="89"/>
      <c r="Q27" s="90" t="b">
        <f t="shared" si="1"/>
        <v>1</v>
      </c>
      <c r="S27" s="97"/>
      <c r="T27" s="98"/>
      <c r="V27" s="13"/>
      <c r="W27" s="30"/>
      <c r="Y27" s="59" t="s">
        <v>80</v>
      </c>
      <c r="Z27" s="17"/>
      <c r="AB27" s="59" t="s">
        <v>79</v>
      </c>
      <c r="AC27" s="36"/>
      <c r="AE27" s="50" t="s">
        <v>420</v>
      </c>
      <c r="AF27" s="182">
        <v>42998</v>
      </c>
      <c r="AG27" s="182">
        <v>43089</v>
      </c>
      <c r="AH27" s="178">
        <v>98.07</v>
      </c>
      <c r="AI27" s="186"/>
      <c r="AK27" s="56"/>
      <c r="AL27" s="86"/>
      <c r="AN27" s="71" t="s">
        <v>88</v>
      </c>
      <c r="AO27" s="82" t="s">
        <v>88</v>
      </c>
      <c r="AP27" s="83" t="b">
        <f t="shared" si="0"/>
        <v>0</v>
      </c>
      <c r="AR27" s="13"/>
      <c r="AS27" s="30"/>
      <c r="AU27" s="56" t="s">
        <v>407</v>
      </c>
      <c r="AV27" s="86" t="s">
        <v>78</v>
      </c>
      <c r="AX27" s="87" t="s">
        <v>88</v>
      </c>
      <c r="AY27" s="103" t="s">
        <v>88</v>
      </c>
      <c r="BA27" s="56" t="s">
        <v>407</v>
      </c>
      <c r="BB27" s="86" t="s">
        <v>77</v>
      </c>
      <c r="BD27" s="87" t="s">
        <v>88</v>
      </c>
      <c r="BE27" s="103" t="s">
        <v>88</v>
      </c>
      <c r="BG27" s="56" t="s">
        <v>407</v>
      </c>
      <c r="BH27" s="86" t="s">
        <v>152</v>
      </c>
      <c r="BJ27" s="87" t="s">
        <v>88</v>
      </c>
      <c r="BK27" s="103" t="s">
        <v>88</v>
      </c>
      <c r="BM27" s="13"/>
      <c r="BN27" s="86"/>
      <c r="BP27" s="56"/>
      <c r="BQ27" s="86"/>
      <c r="BS27" s="87"/>
      <c r="BT27" s="103"/>
      <c r="BV27" s="13"/>
      <c r="BW27" s="86"/>
      <c r="BY27" s="56"/>
      <c r="BZ27" s="86"/>
      <c r="CB27" s="56"/>
      <c r="CC27" s="86"/>
      <c r="CE27" s="56"/>
      <c r="CF27" s="86"/>
      <c r="CI27" s="217"/>
      <c r="CJ27" s="217"/>
      <c r="CK27" s="217"/>
      <c r="CL27" s="217"/>
      <c r="CM27" s="217"/>
    </row>
    <row r="28" spans="2:91">
      <c r="B28" s="55" t="s">
        <v>201</v>
      </c>
      <c r="C28" s="126" t="s">
        <v>202</v>
      </c>
      <c r="D28" s="127"/>
      <c r="E28" s="128"/>
      <c r="M28" s="87" t="s">
        <v>26</v>
      </c>
      <c r="N28" s="88">
        <v>2.4225799999999999E-2</v>
      </c>
      <c r="O28" s="89"/>
      <c r="P28" s="89"/>
      <c r="Q28" s="90" t="b">
        <f t="shared" si="1"/>
        <v>1</v>
      </c>
      <c r="S28" s="97"/>
      <c r="T28" s="98"/>
      <c r="V28" s="13"/>
      <c r="W28" s="30"/>
      <c r="Y28" s="60" t="s">
        <v>76</v>
      </c>
      <c r="Z28" s="16" t="s">
        <v>75</v>
      </c>
      <c r="AB28" s="60" t="s">
        <v>76</v>
      </c>
      <c r="AC28" s="16" t="s">
        <v>75</v>
      </c>
      <c r="AE28" s="50" t="s">
        <v>421</v>
      </c>
      <c r="AF28" s="182">
        <v>43089</v>
      </c>
      <c r="AG28" s="182">
        <v>43180</v>
      </c>
      <c r="AH28" s="178">
        <v>97.915000000000006</v>
      </c>
      <c r="AI28" s="186"/>
      <c r="AK28" s="56"/>
      <c r="AL28" s="86"/>
      <c r="AN28" s="71" t="s">
        <v>88</v>
      </c>
      <c r="AO28" s="82" t="s">
        <v>88</v>
      </c>
      <c r="AP28" s="83" t="b">
        <f t="shared" si="0"/>
        <v>0</v>
      </c>
      <c r="AR28" s="13"/>
      <c r="AS28" s="30"/>
      <c r="AU28" s="56" t="s">
        <v>73</v>
      </c>
      <c r="AV28" s="17" t="s">
        <v>40</v>
      </c>
      <c r="AX28" s="87" t="s">
        <v>88</v>
      </c>
      <c r="AY28" s="103" t="s">
        <v>88</v>
      </c>
      <c r="BA28" s="56" t="s">
        <v>73</v>
      </c>
      <c r="BB28" s="17" t="s">
        <v>40</v>
      </c>
      <c r="BD28" s="87" t="s">
        <v>88</v>
      </c>
      <c r="BE28" s="103" t="s">
        <v>88</v>
      </c>
      <c r="BG28" s="56" t="s">
        <v>73</v>
      </c>
      <c r="BH28" s="17" t="s">
        <v>40</v>
      </c>
      <c r="BJ28" s="87" t="s">
        <v>88</v>
      </c>
      <c r="BK28" s="103" t="s">
        <v>88</v>
      </c>
      <c r="BM28" s="13"/>
      <c r="BN28" s="86"/>
      <c r="BP28" s="56"/>
      <c r="BQ28" s="86"/>
      <c r="BS28" s="87"/>
      <c r="BT28" s="103"/>
      <c r="BV28" s="13"/>
      <c r="BW28" s="86"/>
      <c r="BY28" s="56"/>
      <c r="BZ28" s="86"/>
      <c r="CB28" s="56"/>
      <c r="CC28" s="86"/>
      <c r="CE28" s="56"/>
      <c r="CF28" s="86"/>
      <c r="CI28" s="217"/>
      <c r="CJ28" s="217"/>
      <c r="CK28" s="217"/>
      <c r="CL28" s="217"/>
      <c r="CM28" s="217"/>
    </row>
    <row r="29" spans="2:91">
      <c r="B29" s="56" t="s">
        <v>63</v>
      </c>
      <c r="C29" s="129" t="s">
        <v>9</v>
      </c>
      <c r="D29" s="130"/>
      <c r="E29" s="131"/>
      <c r="M29" s="87" t="s">
        <v>24</v>
      </c>
      <c r="N29" s="88">
        <v>2.5529099999999999E-2</v>
      </c>
      <c r="O29" s="89"/>
      <c r="P29" s="89"/>
      <c r="Q29" s="90" t="b">
        <f t="shared" si="1"/>
        <v>1</v>
      </c>
      <c r="S29" s="97"/>
      <c r="T29" s="98"/>
      <c r="V29" s="13"/>
      <c r="W29" s="30"/>
      <c r="Y29" s="54" t="s">
        <v>53</v>
      </c>
      <c r="Z29" s="188">
        <v>2.8579999999999999E-3</v>
      </c>
      <c r="AB29" s="54"/>
      <c r="AC29" s="36"/>
      <c r="AE29" s="50" t="s">
        <v>422</v>
      </c>
      <c r="AF29" s="182">
        <v>43180</v>
      </c>
      <c r="AG29" s="182">
        <v>43271</v>
      </c>
      <c r="AH29" s="178">
        <v>97.784999999999997</v>
      </c>
      <c r="AI29" s="186"/>
      <c r="AK29" s="56"/>
      <c r="AL29" s="86"/>
      <c r="AN29" s="71" t="s">
        <v>88</v>
      </c>
      <c r="AO29" s="82" t="s">
        <v>88</v>
      </c>
      <c r="AP29" s="83" t="b">
        <f t="shared" si="0"/>
        <v>0</v>
      </c>
      <c r="AR29" s="13"/>
      <c r="AS29" s="30"/>
      <c r="AU29" s="56" t="s">
        <v>69</v>
      </c>
      <c r="AV29" s="17" t="s">
        <v>43</v>
      </c>
      <c r="AX29" s="87" t="s">
        <v>88</v>
      </c>
      <c r="AY29" s="103" t="s">
        <v>88</v>
      </c>
      <c r="BA29" s="56" t="s">
        <v>69</v>
      </c>
      <c r="BB29" s="17" t="s">
        <v>43</v>
      </c>
      <c r="BD29" s="87" t="s">
        <v>88</v>
      </c>
      <c r="BE29" s="103" t="s">
        <v>88</v>
      </c>
      <c r="BG29" s="56" t="s">
        <v>69</v>
      </c>
      <c r="BH29" s="17" t="s">
        <v>43</v>
      </c>
      <c r="BJ29" s="87" t="s">
        <v>88</v>
      </c>
      <c r="BK29" s="103" t="s">
        <v>88</v>
      </c>
      <c r="BM29" s="13"/>
      <c r="BN29" s="86"/>
      <c r="BP29" s="56"/>
      <c r="BQ29" s="86"/>
      <c r="BS29" s="87"/>
      <c r="BT29" s="103"/>
      <c r="BV29" s="13"/>
      <c r="BW29" s="86"/>
      <c r="BY29" s="56"/>
      <c r="BZ29" s="86"/>
      <c r="CB29" s="56"/>
      <c r="CC29" s="86"/>
      <c r="CE29" s="56"/>
      <c r="CF29" s="86"/>
      <c r="CI29" s="217"/>
      <c r="CJ29" s="217"/>
      <c r="CK29" s="217"/>
      <c r="CL29" s="217"/>
      <c r="CM29" s="217"/>
    </row>
    <row r="30" spans="2:91">
      <c r="B30" s="56" t="s">
        <v>206</v>
      </c>
      <c r="C30" s="132" t="s">
        <v>318</v>
      </c>
      <c r="D30" s="133"/>
      <c r="E30" s="134"/>
      <c r="M30" s="87" t="s">
        <v>20</v>
      </c>
      <c r="N30" s="88">
        <v>2.6720399999999998E-2</v>
      </c>
      <c r="O30" s="89"/>
      <c r="P30" s="89"/>
      <c r="Q30" s="90" t="b">
        <f t="shared" si="1"/>
        <v>1</v>
      </c>
      <c r="S30" s="97"/>
      <c r="T30" s="98"/>
      <c r="V30" s="13"/>
      <c r="W30" s="30"/>
      <c r="Y30" s="54"/>
      <c r="Z30" s="36"/>
      <c r="AB30" s="54"/>
      <c r="AC30" s="36"/>
      <c r="AE30" s="50" t="s">
        <v>12</v>
      </c>
      <c r="AF30" s="182" t="s">
        <v>12</v>
      </c>
      <c r="AG30" s="182" t="s">
        <v>12</v>
      </c>
      <c r="AH30" s="178" t="s">
        <v>88</v>
      </c>
      <c r="AI30" s="186"/>
      <c r="AK30" s="56"/>
      <c r="AL30" s="86"/>
      <c r="AN30" s="71" t="s">
        <v>88</v>
      </c>
      <c r="AO30" s="82" t="s">
        <v>88</v>
      </c>
      <c r="AP30" s="83" t="b">
        <f t="shared" si="0"/>
        <v>0</v>
      </c>
      <c r="AR30" s="13"/>
      <c r="AS30" s="30"/>
      <c r="AU30" s="56" t="s">
        <v>67</v>
      </c>
      <c r="AV30" s="31" t="s">
        <v>201</v>
      </c>
      <c r="AX30" s="87" t="s">
        <v>88</v>
      </c>
      <c r="AY30" s="103" t="s">
        <v>88</v>
      </c>
      <c r="BA30" s="56" t="s">
        <v>67</v>
      </c>
      <c r="BB30" s="31" t="s">
        <v>201</v>
      </c>
      <c r="BD30" s="87" t="s">
        <v>88</v>
      </c>
      <c r="BE30" s="103" t="s">
        <v>88</v>
      </c>
      <c r="BG30" s="56" t="s">
        <v>67</v>
      </c>
      <c r="BH30" s="31" t="s">
        <v>201</v>
      </c>
      <c r="BJ30" s="87" t="s">
        <v>88</v>
      </c>
      <c r="BK30" s="103" t="s">
        <v>88</v>
      </c>
      <c r="BM30" s="13"/>
      <c r="BN30" s="86"/>
      <c r="BP30" s="56"/>
      <c r="BQ30" s="86"/>
      <c r="BS30" s="87"/>
      <c r="BT30" s="103"/>
      <c r="BV30" s="13"/>
      <c r="BW30" s="86"/>
      <c r="BY30" s="56"/>
      <c r="BZ30" s="86"/>
      <c r="CB30" s="56"/>
      <c r="CC30" s="86"/>
      <c r="CE30" s="56"/>
      <c r="CF30" s="86"/>
      <c r="CI30" s="217"/>
      <c r="CJ30" s="217"/>
      <c r="CK30" s="217"/>
      <c r="CL30" s="217"/>
      <c r="CM30" s="217"/>
    </row>
    <row r="31" spans="2:91">
      <c r="B31" s="56" t="s">
        <v>207</v>
      </c>
      <c r="C31" s="132" t="s">
        <v>316</v>
      </c>
      <c r="D31" s="133"/>
      <c r="E31" s="134"/>
      <c r="M31" s="87" t="s">
        <v>18</v>
      </c>
      <c r="N31" s="88">
        <v>2.72845E-2</v>
      </c>
      <c r="O31" s="89"/>
      <c r="P31" s="89"/>
      <c r="Q31" s="90" t="b">
        <f t="shared" si="1"/>
        <v>1</v>
      </c>
      <c r="S31" s="97"/>
      <c r="T31" s="98"/>
      <c r="V31" s="13"/>
      <c r="W31" s="30"/>
      <c r="Y31" s="54"/>
      <c r="Z31" s="36"/>
      <c r="AB31" s="54"/>
      <c r="AC31" s="36"/>
      <c r="AE31" s="50" t="s">
        <v>12</v>
      </c>
      <c r="AF31" s="182" t="s">
        <v>12</v>
      </c>
      <c r="AG31" s="182" t="s">
        <v>12</v>
      </c>
      <c r="AH31" s="178" t="s">
        <v>88</v>
      </c>
      <c r="AI31" s="186"/>
      <c r="AK31" s="56"/>
      <c r="AL31" s="86"/>
      <c r="AN31" s="71" t="s">
        <v>88</v>
      </c>
      <c r="AO31" s="82" t="s">
        <v>88</v>
      </c>
      <c r="AP31" s="83" t="b">
        <f t="shared" si="0"/>
        <v>0</v>
      </c>
      <c r="AR31" s="13"/>
      <c r="AS31" s="30"/>
      <c r="AU31" s="56" t="s">
        <v>64</v>
      </c>
      <c r="AV31" s="31" t="s">
        <v>63</v>
      </c>
      <c r="AX31" s="87" t="s">
        <v>88</v>
      </c>
      <c r="AY31" s="103" t="s">
        <v>88</v>
      </c>
      <c r="BA31" s="56" t="s">
        <v>64</v>
      </c>
      <c r="BB31" s="31" t="s">
        <v>63</v>
      </c>
      <c r="BD31" s="87" t="s">
        <v>88</v>
      </c>
      <c r="BE31" s="103" t="s">
        <v>88</v>
      </c>
      <c r="BG31" s="56" t="s">
        <v>64</v>
      </c>
      <c r="BH31" s="31" t="s">
        <v>63</v>
      </c>
      <c r="BJ31" s="87" t="s">
        <v>88</v>
      </c>
      <c r="BK31" s="103" t="s">
        <v>88</v>
      </c>
      <c r="BM31" s="13"/>
      <c r="BN31" s="86"/>
      <c r="BP31" s="56"/>
      <c r="BQ31" s="86"/>
      <c r="BS31" s="87"/>
      <c r="BT31" s="103"/>
      <c r="BV31" s="13"/>
      <c r="BW31" s="86"/>
      <c r="BY31" s="56"/>
      <c r="BZ31" s="86"/>
      <c r="CB31" s="56"/>
      <c r="CC31" s="86"/>
      <c r="CE31" s="56"/>
      <c r="CF31" s="86"/>
    </row>
    <row r="32" spans="2:91">
      <c r="B32" s="152" t="s">
        <v>287</v>
      </c>
      <c r="C32" s="132" t="s">
        <v>317</v>
      </c>
      <c r="D32" s="133"/>
      <c r="E32" s="134"/>
      <c r="M32" s="87" t="s">
        <v>17</v>
      </c>
      <c r="N32" s="88">
        <v>2.7620599999999999E-2</v>
      </c>
      <c r="O32" s="89"/>
      <c r="P32" s="89"/>
      <c r="Q32" s="90" t="b">
        <f t="shared" si="1"/>
        <v>1</v>
      </c>
      <c r="S32" s="97"/>
      <c r="T32" s="98"/>
      <c r="V32" s="13"/>
      <c r="W32" s="30"/>
      <c r="Y32" s="54"/>
      <c r="Z32" s="36"/>
      <c r="AA32" s="3"/>
      <c r="AB32" s="54"/>
      <c r="AC32" s="36"/>
      <c r="AD32" s="3"/>
      <c r="AE32" s="50" t="s">
        <v>12</v>
      </c>
      <c r="AF32" s="182" t="s">
        <v>12</v>
      </c>
      <c r="AG32" s="182" t="s">
        <v>12</v>
      </c>
      <c r="AH32" s="178" t="s">
        <v>88</v>
      </c>
      <c r="AI32" s="186"/>
      <c r="AK32" s="56"/>
      <c r="AL32" s="86"/>
      <c r="AN32" s="71" t="s">
        <v>88</v>
      </c>
      <c r="AO32" s="82" t="s">
        <v>88</v>
      </c>
      <c r="AP32" s="83" t="b">
        <f t="shared" si="0"/>
        <v>0</v>
      </c>
      <c r="AR32" s="13"/>
      <c r="AS32" s="30"/>
      <c r="AU32" s="56" t="s">
        <v>60</v>
      </c>
      <c r="AV32" s="109" t="s">
        <v>53</v>
      </c>
      <c r="AX32" s="87" t="s">
        <v>88</v>
      </c>
      <c r="AY32" s="103" t="s">
        <v>88</v>
      </c>
      <c r="BA32" s="56" t="s">
        <v>60</v>
      </c>
      <c r="BB32" s="109" t="s">
        <v>21</v>
      </c>
      <c r="BD32" s="87" t="s">
        <v>88</v>
      </c>
      <c r="BE32" s="103" t="s">
        <v>88</v>
      </c>
      <c r="BG32" s="56" t="s">
        <v>60</v>
      </c>
      <c r="BH32" s="109" t="s">
        <v>53</v>
      </c>
      <c r="BJ32" s="87" t="s">
        <v>88</v>
      </c>
      <c r="BK32" s="103" t="s">
        <v>88</v>
      </c>
      <c r="BM32" s="13"/>
      <c r="BN32" s="86"/>
      <c r="BP32" s="56"/>
      <c r="BQ32" s="86"/>
      <c r="BS32" s="87"/>
      <c r="BT32" s="103"/>
      <c r="BV32" s="13"/>
      <c r="BW32" s="86"/>
      <c r="BY32" s="56"/>
      <c r="BZ32" s="86"/>
      <c r="CB32" s="56"/>
      <c r="CC32" s="86"/>
      <c r="CE32" s="56"/>
      <c r="CF32" s="86"/>
    </row>
    <row r="33" spans="2:84">
      <c r="B33" s="56" t="s">
        <v>208</v>
      </c>
      <c r="C33" s="132" t="s">
        <v>319</v>
      </c>
      <c r="D33" s="133"/>
      <c r="E33" s="134"/>
      <c r="M33" s="87" t="s">
        <v>15</v>
      </c>
      <c r="N33" s="88">
        <v>2.77956E-2</v>
      </c>
      <c r="O33" s="89"/>
      <c r="P33" s="89"/>
      <c r="Q33" s="90" t="b">
        <f t="shared" si="1"/>
        <v>1</v>
      </c>
      <c r="S33" s="97"/>
      <c r="T33" s="98"/>
      <c r="V33" s="13"/>
      <c r="W33" s="30"/>
      <c r="Y33" s="54"/>
      <c r="Z33" s="36"/>
      <c r="AA33" s="3"/>
      <c r="AB33" s="54"/>
      <c r="AC33" s="36"/>
      <c r="AD33" s="3"/>
      <c r="AE33" s="50" t="s">
        <v>12</v>
      </c>
      <c r="AF33" s="182" t="s">
        <v>12</v>
      </c>
      <c r="AG33" s="182" t="s">
        <v>12</v>
      </c>
      <c r="AH33" s="178" t="s">
        <v>88</v>
      </c>
      <c r="AI33" s="186"/>
      <c r="AK33" s="56"/>
      <c r="AL33" s="86"/>
      <c r="AN33" s="71" t="s">
        <v>88</v>
      </c>
      <c r="AO33" s="82" t="s">
        <v>88</v>
      </c>
      <c r="AP33" s="83" t="b">
        <f t="shared" si="0"/>
        <v>0</v>
      </c>
      <c r="AR33" s="13"/>
      <c r="AS33" s="30"/>
      <c r="AU33" s="56" t="s">
        <v>56</v>
      </c>
      <c r="AV33" s="17" t="s">
        <v>55</v>
      </c>
      <c r="AX33" s="87" t="s">
        <v>88</v>
      </c>
      <c r="AY33" s="103" t="s">
        <v>88</v>
      </c>
      <c r="BA33" s="56" t="s">
        <v>56</v>
      </c>
      <c r="BB33" s="17" t="s">
        <v>55</v>
      </c>
      <c r="BD33" s="87" t="s">
        <v>88</v>
      </c>
      <c r="BE33" s="103" t="s">
        <v>88</v>
      </c>
      <c r="BG33" s="56" t="s">
        <v>56</v>
      </c>
      <c r="BH33" s="17" t="s">
        <v>55</v>
      </c>
      <c r="BJ33" s="87" t="s">
        <v>88</v>
      </c>
      <c r="BK33" s="103" t="s">
        <v>88</v>
      </c>
      <c r="BM33" s="13"/>
      <c r="BN33" s="86"/>
      <c r="BP33" s="56"/>
      <c r="BQ33" s="86"/>
      <c r="BS33" s="87"/>
      <c r="BT33" s="103"/>
      <c r="BV33" s="13"/>
      <c r="BW33" s="86"/>
      <c r="BY33" s="56"/>
      <c r="BZ33" s="86"/>
      <c r="CB33" s="56"/>
      <c r="CC33" s="86"/>
      <c r="CE33" s="56"/>
      <c r="CF33" s="86"/>
    </row>
    <row r="34" spans="2:84">
      <c r="B34" s="56"/>
      <c r="C34" s="132"/>
      <c r="D34" s="133"/>
      <c r="E34" s="134"/>
      <c r="M34" s="87" t="s">
        <v>14</v>
      </c>
      <c r="N34" s="88">
        <v>2.7630599999999998E-2</v>
      </c>
      <c r="O34" s="89"/>
      <c r="P34" s="89"/>
      <c r="Q34" s="90" t="b">
        <f t="shared" si="1"/>
        <v>1</v>
      </c>
      <c r="S34" s="97"/>
      <c r="T34" s="98"/>
      <c r="V34" s="13"/>
      <c r="W34" s="30"/>
      <c r="Y34" s="54"/>
      <c r="Z34" s="36"/>
      <c r="AA34" s="3"/>
      <c r="AB34" s="54"/>
      <c r="AC34" s="36"/>
      <c r="AD34" s="3"/>
      <c r="AE34" s="50" t="s">
        <v>12</v>
      </c>
      <c r="AF34" s="182" t="s">
        <v>12</v>
      </c>
      <c r="AG34" s="182" t="s">
        <v>12</v>
      </c>
      <c r="AH34" s="178" t="s">
        <v>88</v>
      </c>
      <c r="AI34" s="186"/>
      <c r="AK34" s="56"/>
      <c r="AL34" s="86"/>
      <c r="AN34" s="71" t="s">
        <v>88</v>
      </c>
      <c r="AO34" s="82" t="s">
        <v>88</v>
      </c>
      <c r="AP34" s="83" t="b">
        <f t="shared" si="0"/>
        <v>0</v>
      </c>
      <c r="AR34" s="13"/>
      <c r="AS34" s="30"/>
      <c r="AU34" s="56" t="s">
        <v>51</v>
      </c>
      <c r="AV34" s="17" t="s">
        <v>46</v>
      </c>
      <c r="AX34" s="87" t="s">
        <v>88</v>
      </c>
      <c r="AY34" s="103" t="s">
        <v>88</v>
      </c>
      <c r="BA34" s="56" t="s">
        <v>51</v>
      </c>
      <c r="BB34" s="17" t="s">
        <v>46</v>
      </c>
      <c r="BD34" s="87" t="s">
        <v>88</v>
      </c>
      <c r="BE34" s="103" t="s">
        <v>88</v>
      </c>
      <c r="BG34" s="56" t="s">
        <v>51</v>
      </c>
      <c r="BH34" s="17" t="s">
        <v>46</v>
      </c>
      <c r="BJ34" s="87" t="s">
        <v>88</v>
      </c>
      <c r="BK34" s="103" t="s">
        <v>88</v>
      </c>
      <c r="BM34" s="13"/>
      <c r="BN34" s="86"/>
      <c r="BP34" s="56"/>
      <c r="BQ34" s="86"/>
      <c r="BS34" s="87"/>
      <c r="BT34" s="103"/>
      <c r="BV34" s="13"/>
      <c r="BW34" s="86"/>
      <c r="BY34" s="56"/>
      <c r="BZ34" s="86"/>
      <c r="CB34" s="56"/>
      <c r="CC34" s="86"/>
      <c r="CE34" s="56"/>
      <c r="CF34" s="86"/>
    </row>
    <row r="35" spans="2:84">
      <c r="B35" s="62"/>
      <c r="C35" s="135"/>
      <c r="D35" s="136"/>
      <c r="E35" s="137"/>
      <c r="M35" s="87" t="s">
        <v>88</v>
      </c>
      <c r="N35" s="88" t="s">
        <v>88</v>
      </c>
      <c r="O35" s="89"/>
      <c r="P35" s="89"/>
      <c r="Q35" s="90" t="b">
        <f>IF(OR(N35="",N35=0),FALSE,TRUE)</f>
        <v>0</v>
      </c>
      <c r="S35" s="97"/>
      <c r="T35" s="98"/>
      <c r="V35" s="13"/>
      <c r="W35" s="30"/>
      <c r="Y35" s="54"/>
      <c r="Z35" s="36"/>
      <c r="AA35" s="3"/>
      <c r="AB35" s="54"/>
      <c r="AC35" s="36"/>
      <c r="AD35" s="3"/>
      <c r="AE35" s="50" t="s">
        <v>12</v>
      </c>
      <c r="AF35" s="182" t="s">
        <v>12</v>
      </c>
      <c r="AG35" s="182" t="s">
        <v>12</v>
      </c>
      <c r="AH35" s="178" t="s">
        <v>88</v>
      </c>
      <c r="AI35" s="186"/>
      <c r="AK35" s="56"/>
      <c r="AL35" s="17"/>
      <c r="AN35" s="71" t="s">
        <v>88</v>
      </c>
      <c r="AO35" s="82" t="s">
        <v>88</v>
      </c>
      <c r="AP35" s="83" t="b">
        <f t="shared" si="0"/>
        <v>0</v>
      </c>
      <c r="AR35" s="13"/>
      <c r="AS35" s="30"/>
      <c r="AU35" s="56" t="s">
        <v>49</v>
      </c>
      <c r="AV35" s="17" t="s">
        <v>48</v>
      </c>
      <c r="AX35" s="87" t="s">
        <v>88</v>
      </c>
      <c r="AY35" s="103" t="s">
        <v>88</v>
      </c>
      <c r="BA35" s="56" t="s">
        <v>49</v>
      </c>
      <c r="BB35" s="17" t="s">
        <v>48</v>
      </c>
      <c r="BD35" s="87" t="s">
        <v>88</v>
      </c>
      <c r="BE35" s="103" t="s">
        <v>88</v>
      </c>
      <c r="BG35" s="56" t="s">
        <v>49</v>
      </c>
      <c r="BH35" s="17" t="s">
        <v>48</v>
      </c>
      <c r="BJ35" s="87" t="s">
        <v>88</v>
      </c>
      <c r="BK35" s="103" t="s">
        <v>88</v>
      </c>
      <c r="BM35" s="13"/>
      <c r="BN35" s="86"/>
      <c r="BP35" s="56"/>
      <c r="BQ35" s="86"/>
      <c r="BS35" s="87"/>
      <c r="BT35" s="103"/>
      <c r="BV35" s="13"/>
      <c r="BW35" s="86"/>
      <c r="BY35" s="56"/>
      <c r="BZ35" s="86"/>
      <c r="CB35" s="56"/>
      <c r="CC35" s="86"/>
      <c r="CE35" s="56"/>
      <c r="CF35" s="86"/>
    </row>
    <row r="36" spans="2:84">
      <c r="M36" s="87" t="s">
        <v>88</v>
      </c>
      <c r="N36" s="88" t="s">
        <v>88</v>
      </c>
      <c r="O36" s="89"/>
      <c r="P36" s="89"/>
      <c r="Q36" s="90" t="b">
        <f t="shared" si="1"/>
        <v>0</v>
      </c>
      <c r="S36" s="97"/>
      <c r="T36" s="98"/>
      <c r="V36" s="13"/>
      <c r="W36" s="30"/>
      <c r="Y36" s="54"/>
      <c r="Z36" s="36"/>
      <c r="AA36" s="3"/>
      <c r="AB36" s="54"/>
      <c r="AC36" s="36"/>
      <c r="AD36" s="3"/>
      <c r="AE36" s="50" t="s">
        <v>12</v>
      </c>
      <c r="AF36" s="182" t="s">
        <v>12</v>
      </c>
      <c r="AG36" s="182" t="s">
        <v>12</v>
      </c>
      <c r="AH36" s="178" t="s">
        <v>88</v>
      </c>
      <c r="AI36" s="186"/>
      <c r="AK36" s="56"/>
      <c r="AL36" s="17"/>
      <c r="AN36" s="71" t="s">
        <v>88</v>
      </c>
      <c r="AO36" s="82" t="s">
        <v>88</v>
      </c>
      <c r="AP36" s="83" t="b">
        <f t="shared" si="0"/>
        <v>0</v>
      </c>
      <c r="AR36" s="13"/>
      <c r="AS36" s="30"/>
      <c r="AU36" s="56" t="s">
        <v>47</v>
      </c>
      <c r="AV36" s="17" t="s">
        <v>46</v>
      </c>
      <c r="AX36" s="87" t="s">
        <v>88</v>
      </c>
      <c r="AY36" s="103" t="s">
        <v>88</v>
      </c>
      <c r="BA36" s="56" t="s">
        <v>47</v>
      </c>
      <c r="BB36" s="17" t="s">
        <v>46</v>
      </c>
      <c r="BD36" s="87" t="s">
        <v>88</v>
      </c>
      <c r="BE36" s="103" t="s">
        <v>88</v>
      </c>
      <c r="BG36" s="56" t="s">
        <v>47</v>
      </c>
      <c r="BH36" s="17" t="s">
        <v>46</v>
      </c>
      <c r="BJ36" s="87" t="s">
        <v>88</v>
      </c>
      <c r="BK36" s="103" t="s">
        <v>88</v>
      </c>
      <c r="BM36" s="13"/>
      <c r="BN36" s="86"/>
      <c r="BP36" s="56"/>
      <c r="BQ36" s="86"/>
      <c r="BS36" s="87"/>
      <c r="BT36" s="103"/>
      <c r="BV36" s="13"/>
      <c r="BW36" s="86"/>
      <c r="BY36" s="56"/>
      <c r="BZ36" s="86"/>
      <c r="CB36" s="56"/>
      <c r="CC36" s="86"/>
      <c r="CE36" s="56"/>
      <c r="CF36" s="86"/>
    </row>
    <row r="37" spans="2:84">
      <c r="B37" s="2" t="s">
        <v>358</v>
      </c>
      <c r="C37" s="9"/>
      <c r="M37" s="87" t="s">
        <v>88</v>
      </c>
      <c r="N37" s="88" t="s">
        <v>88</v>
      </c>
      <c r="O37" s="89"/>
      <c r="P37" s="89"/>
      <c r="Q37" s="90" t="b">
        <f t="shared" si="1"/>
        <v>0</v>
      </c>
      <c r="S37" s="97"/>
      <c r="T37" s="98"/>
      <c r="V37" s="13"/>
      <c r="W37" s="30"/>
      <c r="Y37" s="54"/>
      <c r="Z37" s="36"/>
      <c r="AA37" s="3"/>
      <c r="AB37" s="54"/>
      <c r="AC37" s="36"/>
      <c r="AD37" s="3"/>
      <c r="AE37" s="50" t="s">
        <v>12</v>
      </c>
      <c r="AF37" s="182" t="s">
        <v>12</v>
      </c>
      <c r="AG37" s="182" t="s">
        <v>12</v>
      </c>
      <c r="AH37" s="178" t="s">
        <v>88</v>
      </c>
      <c r="AI37" s="186"/>
      <c r="AK37" s="56"/>
      <c r="AL37" s="17"/>
      <c r="AN37" s="71" t="s">
        <v>88</v>
      </c>
      <c r="AO37" s="82" t="s">
        <v>88</v>
      </c>
      <c r="AP37" s="83" t="b">
        <f t="shared" si="0"/>
        <v>0</v>
      </c>
      <c r="AR37" s="13"/>
      <c r="AS37" s="30"/>
      <c r="AU37" s="56" t="s">
        <v>44</v>
      </c>
      <c r="AV37" s="17" t="s">
        <v>43</v>
      </c>
      <c r="AX37" s="87" t="s">
        <v>88</v>
      </c>
      <c r="AY37" s="103" t="s">
        <v>88</v>
      </c>
      <c r="BA37" s="56" t="s">
        <v>44</v>
      </c>
      <c r="BB37" s="17" t="s">
        <v>43</v>
      </c>
      <c r="BD37" s="87" t="s">
        <v>88</v>
      </c>
      <c r="BE37" s="103" t="s">
        <v>88</v>
      </c>
      <c r="BG37" s="56" t="s">
        <v>44</v>
      </c>
      <c r="BH37" s="17" t="s">
        <v>43</v>
      </c>
      <c r="BJ37" s="87" t="s">
        <v>88</v>
      </c>
      <c r="BK37" s="103" t="s">
        <v>88</v>
      </c>
      <c r="BM37" s="13"/>
      <c r="BN37" s="86"/>
      <c r="BP37" s="56"/>
      <c r="BQ37" s="86"/>
      <c r="BS37" s="87"/>
      <c r="BT37" s="103"/>
      <c r="BV37" s="13"/>
      <c r="BW37" s="86"/>
      <c r="BY37" s="56"/>
      <c r="BZ37" s="86"/>
      <c r="CB37" s="56"/>
      <c r="CC37" s="86"/>
      <c r="CE37" s="56"/>
      <c r="CF37" s="86"/>
    </row>
    <row r="38" spans="2:84">
      <c r="B38" s="55" t="s">
        <v>201</v>
      </c>
      <c r="C38" s="126" t="s">
        <v>202</v>
      </c>
      <c r="D38" s="127"/>
      <c r="E38" s="128"/>
      <c r="M38" s="87" t="s">
        <v>88</v>
      </c>
      <c r="N38" s="88" t="s">
        <v>88</v>
      </c>
      <c r="O38" s="89"/>
      <c r="P38" s="89"/>
      <c r="Q38" s="90" t="b">
        <f t="shared" si="1"/>
        <v>0</v>
      </c>
      <c r="S38" s="97"/>
      <c r="T38" s="98"/>
      <c r="V38" s="13"/>
      <c r="W38" s="30"/>
      <c r="Y38" s="54"/>
      <c r="Z38" s="36"/>
      <c r="AB38" s="54"/>
      <c r="AC38" s="36"/>
      <c r="AE38" s="50" t="s">
        <v>12</v>
      </c>
      <c r="AF38" s="182" t="s">
        <v>12</v>
      </c>
      <c r="AG38" s="182" t="s">
        <v>12</v>
      </c>
      <c r="AH38" s="178" t="s">
        <v>88</v>
      </c>
      <c r="AI38" s="186"/>
      <c r="AK38" s="56"/>
      <c r="AL38" s="17"/>
      <c r="AN38" s="71" t="s">
        <v>88</v>
      </c>
      <c r="AO38" s="82" t="s">
        <v>88</v>
      </c>
      <c r="AP38" s="83" t="b">
        <f t="shared" si="0"/>
        <v>0</v>
      </c>
      <c r="AR38" s="13"/>
      <c r="AS38" s="30"/>
      <c r="AU38" s="56" t="s">
        <v>41</v>
      </c>
      <c r="AV38" s="17" t="s">
        <v>40</v>
      </c>
      <c r="AX38" s="87" t="s">
        <v>88</v>
      </c>
      <c r="AY38" s="103" t="s">
        <v>88</v>
      </c>
      <c r="BA38" s="56" t="s">
        <v>41</v>
      </c>
      <c r="BB38" s="17" t="s">
        <v>40</v>
      </c>
      <c r="BD38" s="87" t="s">
        <v>88</v>
      </c>
      <c r="BE38" s="103" t="s">
        <v>88</v>
      </c>
      <c r="BG38" s="56" t="s">
        <v>41</v>
      </c>
      <c r="BH38" s="17" t="s">
        <v>40</v>
      </c>
      <c r="BJ38" s="87" t="s">
        <v>88</v>
      </c>
      <c r="BK38" s="103" t="s">
        <v>88</v>
      </c>
      <c r="BM38" s="13"/>
      <c r="BN38" s="86"/>
      <c r="BP38" s="56"/>
      <c r="BQ38" s="86"/>
      <c r="BS38" s="87"/>
      <c r="BT38" s="103"/>
      <c r="BV38" s="13"/>
      <c r="BW38" s="86"/>
      <c r="BY38" s="56"/>
      <c r="BZ38" s="86"/>
      <c r="CB38" s="56"/>
      <c r="CC38" s="86"/>
      <c r="CE38" s="56"/>
      <c r="CF38" s="86"/>
    </row>
    <row r="39" spans="2:84">
      <c r="B39" s="56" t="s">
        <v>63</v>
      </c>
      <c r="C39" s="129" t="s">
        <v>9</v>
      </c>
      <c r="D39" s="130"/>
      <c r="E39" s="131"/>
      <c r="M39" s="87" t="s">
        <v>88</v>
      </c>
      <c r="N39" s="88" t="s">
        <v>88</v>
      </c>
      <c r="O39" s="89"/>
      <c r="P39" s="89"/>
      <c r="Q39" s="90" t="b">
        <f t="shared" si="1"/>
        <v>0</v>
      </c>
      <c r="S39" s="97"/>
      <c r="T39" s="98"/>
      <c r="V39" s="13"/>
      <c r="W39" s="30"/>
      <c r="Y39" s="54"/>
      <c r="Z39" s="36"/>
      <c r="AB39" s="54"/>
      <c r="AC39" s="36"/>
      <c r="AE39" s="50" t="s">
        <v>12</v>
      </c>
      <c r="AF39" s="182" t="s">
        <v>12</v>
      </c>
      <c r="AG39" s="182" t="s">
        <v>12</v>
      </c>
      <c r="AH39" s="178" t="s">
        <v>88</v>
      </c>
      <c r="AI39" s="186"/>
      <c r="AK39" s="56"/>
      <c r="AL39" s="17"/>
      <c r="AN39" s="71" t="s">
        <v>88</v>
      </c>
      <c r="AO39" s="82" t="s">
        <v>88</v>
      </c>
      <c r="AP39" s="83" t="b">
        <f t="shared" si="0"/>
        <v>0</v>
      </c>
      <c r="AR39" s="13"/>
      <c r="AS39" s="30"/>
      <c r="AU39" s="56" t="s">
        <v>37</v>
      </c>
      <c r="AV39" s="17" t="s">
        <v>38</v>
      </c>
      <c r="AX39" s="87" t="s">
        <v>88</v>
      </c>
      <c r="AY39" s="103" t="s">
        <v>88</v>
      </c>
      <c r="BA39" s="56" t="s">
        <v>37</v>
      </c>
      <c r="BB39" s="17" t="s">
        <v>36</v>
      </c>
      <c r="BD39" s="87" t="s">
        <v>88</v>
      </c>
      <c r="BE39" s="103" t="s">
        <v>88</v>
      </c>
      <c r="BG39" s="56" t="s">
        <v>37</v>
      </c>
      <c r="BH39" s="17" t="s">
        <v>38</v>
      </c>
      <c r="BJ39" s="87" t="s">
        <v>88</v>
      </c>
      <c r="BK39" s="103" t="s">
        <v>88</v>
      </c>
      <c r="BM39" s="13"/>
      <c r="BN39" s="86"/>
      <c r="BP39" s="56"/>
      <c r="BQ39" s="86"/>
      <c r="BS39" s="87"/>
      <c r="BT39" s="103"/>
      <c r="BV39" s="13"/>
      <c r="BW39" s="86"/>
      <c r="BY39" s="56"/>
      <c r="BZ39" s="86"/>
      <c r="CB39" s="56"/>
      <c r="CC39" s="86"/>
      <c r="CE39" s="56"/>
      <c r="CF39" s="86"/>
    </row>
    <row r="40" spans="2:84">
      <c r="B40" s="56" t="s">
        <v>206</v>
      </c>
      <c r="C40" s="132" t="s">
        <v>318</v>
      </c>
      <c r="D40" s="133"/>
      <c r="E40" s="134"/>
      <c r="M40" s="87" t="s">
        <v>88</v>
      </c>
      <c r="N40" s="88" t="s">
        <v>88</v>
      </c>
      <c r="O40" s="89"/>
      <c r="P40" s="89"/>
      <c r="Q40" s="90" t="b">
        <f t="shared" si="1"/>
        <v>0</v>
      </c>
      <c r="S40" s="97"/>
      <c r="T40" s="98"/>
      <c r="V40" s="13"/>
      <c r="W40" s="30"/>
      <c r="Y40" s="54"/>
      <c r="Z40" s="36"/>
      <c r="AB40" s="54"/>
      <c r="AC40" s="36"/>
      <c r="AE40" s="50" t="s">
        <v>12</v>
      </c>
      <c r="AF40" s="182" t="s">
        <v>12</v>
      </c>
      <c r="AG40" s="182" t="s">
        <v>12</v>
      </c>
      <c r="AH40" s="178" t="s">
        <v>88</v>
      </c>
      <c r="AI40" s="186"/>
      <c r="AK40" s="56"/>
      <c r="AL40" s="17"/>
      <c r="AN40" s="71" t="s">
        <v>88</v>
      </c>
      <c r="AO40" s="82" t="s">
        <v>88</v>
      </c>
      <c r="AP40" s="83" t="b">
        <f t="shared" si="0"/>
        <v>0</v>
      </c>
      <c r="AR40" s="13"/>
      <c r="AS40" s="30"/>
      <c r="AU40" s="56" t="s">
        <v>34</v>
      </c>
      <c r="AV40" s="31" t="b">
        <v>1</v>
      </c>
      <c r="AX40" s="87" t="s">
        <v>88</v>
      </c>
      <c r="AY40" s="103" t="s">
        <v>88</v>
      </c>
      <c r="BA40" s="56" t="s">
        <v>34</v>
      </c>
      <c r="BB40" s="31" t="b">
        <v>1</v>
      </c>
      <c r="BD40" s="87" t="s">
        <v>88</v>
      </c>
      <c r="BE40" s="103" t="s">
        <v>88</v>
      </c>
      <c r="BG40" s="56" t="s">
        <v>34</v>
      </c>
      <c r="BH40" s="31" t="b">
        <v>1</v>
      </c>
      <c r="BJ40" s="87" t="s">
        <v>88</v>
      </c>
      <c r="BK40" s="103" t="s">
        <v>88</v>
      </c>
      <c r="BM40" s="13"/>
      <c r="BN40" s="86"/>
      <c r="BP40" s="56"/>
      <c r="BQ40" s="86"/>
      <c r="BS40" s="87"/>
      <c r="BT40" s="103"/>
      <c r="BV40" s="13"/>
      <c r="BW40" s="86"/>
      <c r="BY40" s="56"/>
      <c r="BZ40" s="86"/>
      <c r="CB40" s="56"/>
      <c r="CC40" s="86"/>
      <c r="CE40" s="56"/>
      <c r="CF40" s="86"/>
    </row>
    <row r="41" spans="2:84">
      <c r="B41" s="56" t="s">
        <v>207</v>
      </c>
      <c r="C41" s="132" t="s">
        <v>316</v>
      </c>
      <c r="D41" s="133"/>
      <c r="E41" s="134"/>
      <c r="M41" s="87" t="s">
        <v>88</v>
      </c>
      <c r="N41" s="88" t="s">
        <v>88</v>
      </c>
      <c r="O41" s="89"/>
      <c r="P41" s="89"/>
      <c r="Q41" s="90" t="b">
        <f t="shared" si="1"/>
        <v>0</v>
      </c>
      <c r="S41" s="97"/>
      <c r="T41" s="98"/>
      <c r="V41" s="13"/>
      <c r="W41" s="30"/>
      <c r="Y41" s="54"/>
      <c r="Z41" s="36"/>
      <c r="AB41" s="54"/>
      <c r="AC41" s="36"/>
      <c r="AE41" s="50" t="s">
        <v>12</v>
      </c>
      <c r="AF41" s="182" t="s">
        <v>12</v>
      </c>
      <c r="AG41" s="182" t="s">
        <v>12</v>
      </c>
      <c r="AH41" s="178" t="s">
        <v>88</v>
      </c>
      <c r="AI41" s="186"/>
      <c r="AK41" s="56"/>
      <c r="AL41" s="17"/>
      <c r="AN41" s="71" t="s">
        <v>88</v>
      </c>
      <c r="AO41" s="82" t="s">
        <v>88</v>
      </c>
      <c r="AP41" s="83" t="b">
        <f t="shared" si="0"/>
        <v>0</v>
      </c>
      <c r="AR41" s="13"/>
      <c r="AS41" s="30"/>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c r="BQ41" s="86"/>
      <c r="BS41" s="87"/>
      <c r="BT41" s="103"/>
      <c r="BV41" s="13"/>
      <c r="BW41" s="86"/>
      <c r="BY41" s="56"/>
      <c r="BZ41" s="86"/>
      <c r="CB41" s="56"/>
      <c r="CC41" s="86"/>
      <c r="CE41" s="56"/>
      <c r="CF41" s="86"/>
    </row>
    <row r="42" spans="2:84">
      <c r="B42" s="152" t="s">
        <v>287</v>
      </c>
      <c r="C42" s="132" t="s">
        <v>317</v>
      </c>
      <c r="D42" s="133"/>
      <c r="E42" s="134"/>
      <c r="M42" s="87" t="s">
        <v>88</v>
      </c>
      <c r="N42" s="88" t="s">
        <v>88</v>
      </c>
      <c r="O42" s="89"/>
      <c r="P42" s="89"/>
      <c r="Q42" s="90" t="b">
        <f t="shared" si="1"/>
        <v>0</v>
      </c>
      <c r="S42" s="97"/>
      <c r="T42" s="98"/>
      <c r="V42" s="13"/>
      <c r="W42" s="30"/>
      <c r="Y42" s="54"/>
      <c r="Z42" s="36"/>
      <c r="AB42" s="54"/>
      <c r="AC42" s="36"/>
      <c r="AE42" s="50" t="s">
        <v>12</v>
      </c>
      <c r="AF42" s="182" t="s">
        <v>12</v>
      </c>
      <c r="AG42" s="182" t="s">
        <v>12</v>
      </c>
      <c r="AH42" s="178" t="s">
        <v>88</v>
      </c>
      <c r="AI42" s="186"/>
      <c r="AK42" s="56"/>
      <c r="AL42" s="17"/>
      <c r="AN42" s="71" t="s">
        <v>88</v>
      </c>
      <c r="AO42" s="82" t="s">
        <v>88</v>
      </c>
      <c r="AP42" s="83" t="b">
        <f t="shared" si="0"/>
        <v>0</v>
      </c>
      <c r="AR42" s="13"/>
      <c r="AS42" s="30"/>
      <c r="AU42" s="56" t="s">
        <v>30</v>
      </c>
      <c r="AV42" s="17" t="s">
        <v>29</v>
      </c>
      <c r="AX42" s="87" t="s">
        <v>88</v>
      </c>
      <c r="AY42" s="103" t="s">
        <v>88</v>
      </c>
      <c r="BA42" s="56" t="s">
        <v>30</v>
      </c>
      <c r="BB42" s="17" t="s">
        <v>29</v>
      </c>
      <c r="BD42" s="87" t="s">
        <v>88</v>
      </c>
      <c r="BE42" s="103" t="s">
        <v>88</v>
      </c>
      <c r="BG42" s="56" t="s">
        <v>30</v>
      </c>
      <c r="BH42" s="17" t="s">
        <v>29</v>
      </c>
      <c r="BJ42" s="87" t="s">
        <v>88</v>
      </c>
      <c r="BK42" s="103" t="s">
        <v>88</v>
      </c>
      <c r="BM42" s="13"/>
      <c r="BN42" s="86"/>
      <c r="BP42" s="56"/>
      <c r="BQ42" s="86"/>
      <c r="BS42" s="87"/>
      <c r="BT42" s="103"/>
      <c r="BV42" s="13"/>
      <c r="BW42" s="86"/>
      <c r="BY42" s="56"/>
      <c r="BZ42" s="86"/>
      <c r="CB42" s="56"/>
      <c r="CC42" s="86"/>
      <c r="CE42" s="56"/>
      <c r="CF42" s="86"/>
    </row>
    <row r="43" spans="2:84">
      <c r="B43" s="56" t="s">
        <v>209</v>
      </c>
      <c r="C43" s="132" t="s">
        <v>319</v>
      </c>
      <c r="D43" s="133"/>
      <c r="E43" s="134"/>
      <c r="M43" s="87" t="s">
        <v>88</v>
      </c>
      <c r="N43" s="88" t="s">
        <v>88</v>
      </c>
      <c r="O43" s="89"/>
      <c r="P43" s="89"/>
      <c r="Q43" s="90" t="b">
        <f t="shared" si="1"/>
        <v>0</v>
      </c>
      <c r="S43" s="97"/>
      <c r="T43" s="98"/>
      <c r="V43" s="13"/>
      <c r="W43" s="30"/>
      <c r="Y43" s="54"/>
      <c r="Z43" s="36"/>
      <c r="AB43" s="54"/>
      <c r="AC43" s="36"/>
      <c r="AE43" s="50" t="s">
        <v>12</v>
      </c>
      <c r="AF43" s="182" t="s">
        <v>12</v>
      </c>
      <c r="AG43" s="182" t="s">
        <v>12</v>
      </c>
      <c r="AH43" s="178" t="s">
        <v>88</v>
      </c>
      <c r="AI43" s="186"/>
      <c r="AK43" s="56"/>
      <c r="AL43" s="17"/>
      <c r="AN43" s="71" t="s">
        <v>88</v>
      </c>
      <c r="AO43" s="82" t="s">
        <v>88</v>
      </c>
      <c r="AP43" s="83" t="b">
        <f t="shared" si="0"/>
        <v>0</v>
      </c>
      <c r="AR43" s="13"/>
      <c r="AS43" s="30"/>
      <c r="AU43" s="56" t="s">
        <v>27</v>
      </c>
      <c r="AV43" s="17" t="b">
        <v>1</v>
      </c>
      <c r="AX43" s="87" t="s">
        <v>88</v>
      </c>
      <c r="AY43" s="103" t="s">
        <v>88</v>
      </c>
      <c r="BA43" s="56" t="s">
        <v>27</v>
      </c>
      <c r="BB43" s="17" t="b">
        <v>1</v>
      </c>
      <c r="BD43" s="87" t="s">
        <v>88</v>
      </c>
      <c r="BE43" s="103" t="s">
        <v>88</v>
      </c>
      <c r="BG43" s="56" t="s">
        <v>27</v>
      </c>
      <c r="BH43" s="17" t="b">
        <v>1</v>
      </c>
      <c r="BJ43" s="87" t="s">
        <v>88</v>
      </c>
      <c r="BK43" s="103" t="s">
        <v>88</v>
      </c>
      <c r="BM43" s="13"/>
      <c r="BN43" s="86"/>
      <c r="BP43" s="56"/>
      <c r="BQ43" s="86"/>
      <c r="BS43" s="87"/>
      <c r="BT43" s="103"/>
      <c r="BV43" s="13"/>
      <c r="BW43" s="86"/>
      <c r="BY43" s="56"/>
      <c r="BZ43" s="86"/>
      <c r="CB43" s="56"/>
      <c r="CC43" s="86"/>
      <c r="CE43" s="56"/>
      <c r="CF43" s="86"/>
    </row>
    <row r="44" spans="2:84">
      <c r="B44" s="56"/>
      <c r="C44" s="132"/>
      <c r="D44" s="133"/>
      <c r="E44" s="134"/>
      <c r="M44" s="87" t="s">
        <v>88</v>
      </c>
      <c r="N44" s="88" t="s">
        <v>88</v>
      </c>
      <c r="O44" s="89"/>
      <c r="P44" s="89"/>
      <c r="Q44" s="90" t="b">
        <f t="shared" si="1"/>
        <v>0</v>
      </c>
      <c r="S44" s="97"/>
      <c r="T44" s="98"/>
      <c r="V44" s="13"/>
      <c r="W44" s="30"/>
      <c r="Y44" s="54"/>
      <c r="Z44" s="36"/>
      <c r="AB44" s="54"/>
      <c r="AC44" s="36"/>
      <c r="AE44" s="50" t="s">
        <v>12</v>
      </c>
      <c r="AF44" s="182" t="s">
        <v>12</v>
      </c>
      <c r="AG44" s="182" t="s">
        <v>12</v>
      </c>
      <c r="AH44" s="178" t="s">
        <v>88</v>
      </c>
      <c r="AI44" s="186"/>
      <c r="AK44" s="56"/>
      <c r="AL44" s="17"/>
      <c r="AN44" s="71" t="s">
        <v>88</v>
      </c>
      <c r="AO44" s="82" t="s">
        <v>88</v>
      </c>
      <c r="AP44" s="83" t="b">
        <f t="shared" si="0"/>
        <v>0</v>
      </c>
      <c r="AR44" s="13"/>
      <c r="AS44" s="30"/>
      <c r="AU44" s="79" t="s">
        <v>25</v>
      </c>
      <c r="AV44" s="20" t="b">
        <v>0</v>
      </c>
      <c r="AX44" s="87" t="s">
        <v>88</v>
      </c>
      <c r="AY44" s="103" t="s">
        <v>88</v>
      </c>
      <c r="BA44" s="79" t="s">
        <v>25</v>
      </c>
      <c r="BB44" s="20" t="b">
        <v>0</v>
      </c>
      <c r="BD44" s="87" t="s">
        <v>88</v>
      </c>
      <c r="BE44" s="103" t="s">
        <v>88</v>
      </c>
      <c r="BG44" s="79" t="s">
        <v>25</v>
      </c>
      <c r="BH44" s="20" t="b">
        <v>0</v>
      </c>
      <c r="BJ44" s="87" t="s">
        <v>88</v>
      </c>
      <c r="BK44" s="103" t="s">
        <v>88</v>
      </c>
      <c r="BM44" s="13"/>
      <c r="BN44" s="86"/>
      <c r="BP44" s="56"/>
      <c r="BQ44" s="86"/>
      <c r="BS44" s="87"/>
      <c r="BT44" s="103"/>
      <c r="BV44" s="13"/>
      <c r="BW44" s="86"/>
      <c r="BY44" s="56"/>
      <c r="BZ44" s="86"/>
      <c r="CB44" s="56"/>
      <c r="CC44" s="86"/>
      <c r="CE44" s="56"/>
      <c r="CF44" s="86"/>
    </row>
    <row r="45" spans="2:84">
      <c r="B45" s="62"/>
      <c r="C45" s="135"/>
      <c r="D45" s="136"/>
      <c r="E45" s="137"/>
      <c r="M45" s="87" t="s">
        <v>88</v>
      </c>
      <c r="N45" s="88" t="s">
        <v>88</v>
      </c>
      <c r="O45" s="89"/>
      <c r="P45" s="89"/>
      <c r="Q45" s="90" t="b">
        <f t="shared" si="1"/>
        <v>0</v>
      </c>
      <c r="S45" s="97"/>
      <c r="T45" s="98"/>
      <c r="V45" s="13"/>
      <c r="W45" s="30"/>
      <c r="Y45" s="54"/>
      <c r="Z45" s="36"/>
      <c r="AB45" s="54"/>
      <c r="AC45" s="36"/>
      <c r="AE45" s="50" t="s">
        <v>12</v>
      </c>
      <c r="AF45" s="182" t="s">
        <v>12</v>
      </c>
      <c r="AG45" s="182" t="s">
        <v>12</v>
      </c>
      <c r="AH45" s="178" t="s">
        <v>88</v>
      </c>
      <c r="AI45" s="186"/>
      <c r="AK45" s="56"/>
      <c r="AL45" s="17"/>
      <c r="AN45" s="71" t="s">
        <v>88</v>
      </c>
      <c r="AO45" s="82" t="s">
        <v>88</v>
      </c>
      <c r="AP45" s="83" t="b">
        <f t="shared" si="0"/>
        <v>0</v>
      </c>
      <c r="AR45" s="13"/>
      <c r="AS45" s="30"/>
      <c r="AU45" s="56" t="s">
        <v>22</v>
      </c>
      <c r="AV45" s="17" t="s">
        <v>23</v>
      </c>
      <c r="AX45" s="87" t="s">
        <v>88</v>
      </c>
      <c r="AY45" s="103" t="s">
        <v>88</v>
      </c>
      <c r="BA45" s="56" t="s">
        <v>22</v>
      </c>
      <c r="BB45" s="17" t="s">
        <v>21</v>
      </c>
      <c r="BD45" s="87" t="s">
        <v>88</v>
      </c>
      <c r="BE45" s="103" t="s">
        <v>88</v>
      </c>
      <c r="BG45" s="56" t="s">
        <v>22</v>
      </c>
      <c r="BH45" s="17" t="s">
        <v>265</v>
      </c>
      <c r="BJ45" s="87" t="s">
        <v>88</v>
      </c>
      <c r="BK45" s="103" t="s">
        <v>88</v>
      </c>
      <c r="BM45" s="13"/>
      <c r="BN45" s="86"/>
      <c r="BP45" s="56"/>
      <c r="BQ45" s="86"/>
      <c r="BS45" s="87"/>
      <c r="BT45" s="103"/>
      <c r="BV45" s="13"/>
      <c r="BW45" s="86"/>
      <c r="BY45" s="56"/>
      <c r="BZ45" s="86"/>
      <c r="CB45" s="56"/>
      <c r="CC45" s="86"/>
      <c r="CE45" s="56"/>
      <c r="CF45" s="86"/>
    </row>
    <row r="46" spans="2:84">
      <c r="M46" s="87" t="s">
        <v>88</v>
      </c>
      <c r="N46" s="88" t="s">
        <v>88</v>
      </c>
      <c r="O46" s="89"/>
      <c r="P46" s="89"/>
      <c r="Q46" s="90" t="b">
        <f t="shared" si="1"/>
        <v>0</v>
      </c>
      <c r="S46" s="97"/>
      <c r="T46" s="98"/>
      <c r="V46" s="13"/>
      <c r="W46" s="30"/>
      <c r="Y46" s="54"/>
      <c r="Z46" s="36"/>
      <c r="AB46" s="54"/>
      <c r="AC46" s="36"/>
      <c r="AE46" s="50" t="s">
        <v>12</v>
      </c>
      <c r="AF46" s="182" t="s">
        <v>12</v>
      </c>
      <c r="AG46" s="182" t="s">
        <v>12</v>
      </c>
      <c r="AH46" s="178" t="s">
        <v>88</v>
      </c>
      <c r="AI46" s="186"/>
      <c r="AK46" s="56"/>
      <c r="AL46" s="17"/>
      <c r="AN46" s="71" t="s">
        <v>88</v>
      </c>
      <c r="AO46" s="82" t="s">
        <v>88</v>
      </c>
      <c r="AP46" s="83" t="b">
        <f t="shared" si="0"/>
        <v>0</v>
      </c>
      <c r="AR46" s="13"/>
      <c r="AS46" s="30"/>
      <c r="AU46" s="56" t="s">
        <v>19</v>
      </c>
      <c r="AV46" s="17">
        <v>31</v>
      </c>
      <c r="AX46" s="87" t="s">
        <v>88</v>
      </c>
      <c r="AY46" s="103" t="s">
        <v>88</v>
      </c>
      <c r="BA46" s="56" t="s">
        <v>19</v>
      </c>
      <c r="BB46" s="17">
        <v>31</v>
      </c>
      <c r="BD46" s="87" t="s">
        <v>88</v>
      </c>
      <c r="BE46" s="103" t="s">
        <v>88</v>
      </c>
      <c r="BG46" s="56" t="s">
        <v>19</v>
      </c>
      <c r="BH46" s="17">
        <v>31</v>
      </c>
      <c r="BJ46" s="87" t="s">
        <v>88</v>
      </c>
      <c r="BK46" s="103" t="s">
        <v>88</v>
      </c>
      <c r="BM46" s="13"/>
      <c r="BN46" s="86"/>
      <c r="BP46" s="56"/>
      <c r="BQ46" s="86"/>
      <c r="BS46" s="87"/>
      <c r="BT46" s="103"/>
      <c r="BV46" s="13"/>
      <c r="BW46" s="86"/>
      <c r="BY46" s="56"/>
      <c r="BZ46" s="86"/>
      <c r="CB46" s="56"/>
      <c r="CC46" s="86"/>
      <c r="CE46" s="56"/>
      <c r="CF46" s="86"/>
    </row>
    <row r="47" spans="2:84">
      <c r="B47" s="2" t="s">
        <v>357</v>
      </c>
      <c r="C47" s="9"/>
      <c r="M47" s="87" t="s">
        <v>88</v>
      </c>
      <c r="N47" s="88" t="s">
        <v>88</v>
      </c>
      <c r="O47" s="89"/>
      <c r="P47" s="89"/>
      <c r="Q47" s="90" t="b">
        <f t="shared" si="1"/>
        <v>0</v>
      </c>
      <c r="S47" s="97"/>
      <c r="T47" s="98"/>
      <c r="V47" s="13"/>
      <c r="W47" s="30"/>
      <c r="Y47" s="54"/>
      <c r="Z47" s="36"/>
      <c r="AB47" s="54"/>
      <c r="AC47" s="36"/>
      <c r="AE47" s="50" t="s">
        <v>12</v>
      </c>
      <c r="AF47" s="182" t="s">
        <v>12</v>
      </c>
      <c r="AG47" s="182" t="s">
        <v>12</v>
      </c>
      <c r="AH47" s="178" t="s">
        <v>88</v>
      </c>
      <c r="AI47" s="186"/>
      <c r="AK47" s="56"/>
      <c r="AL47" s="17"/>
      <c r="AN47" s="71" t="s">
        <v>88</v>
      </c>
      <c r="AO47" s="82" t="s">
        <v>88</v>
      </c>
      <c r="AP47" s="83" t="b">
        <f t="shared" si="0"/>
        <v>0</v>
      </c>
      <c r="AR47" s="13"/>
      <c r="AS47" s="30"/>
      <c r="AU47" s="56"/>
      <c r="AV47" s="17"/>
      <c r="AX47" s="87" t="s">
        <v>88</v>
      </c>
      <c r="AY47" s="103" t="s">
        <v>88</v>
      </c>
      <c r="BA47" s="56"/>
      <c r="BB47" s="17"/>
      <c r="BD47" s="87" t="s">
        <v>88</v>
      </c>
      <c r="BE47" s="103" t="s">
        <v>88</v>
      </c>
      <c r="BG47" s="56"/>
      <c r="BH47" s="17"/>
      <c r="BJ47" s="87" t="s">
        <v>88</v>
      </c>
      <c r="BK47" s="103" t="s">
        <v>88</v>
      </c>
      <c r="BM47" s="13"/>
      <c r="BN47" s="86"/>
      <c r="BP47" s="56"/>
      <c r="BQ47" s="86"/>
      <c r="BS47" s="87"/>
      <c r="BT47" s="103"/>
      <c r="BV47" s="13"/>
      <c r="BW47" s="86"/>
      <c r="BY47" s="56"/>
      <c r="BZ47" s="86"/>
      <c r="CB47" s="56"/>
      <c r="CC47" s="86"/>
      <c r="CE47" s="56"/>
      <c r="CF47" s="86"/>
    </row>
    <row r="48" spans="2:84">
      <c r="B48" s="55" t="s">
        <v>201</v>
      </c>
      <c r="C48" s="126" t="s">
        <v>202</v>
      </c>
      <c r="D48" s="127"/>
      <c r="E48" s="128"/>
      <c r="M48" s="87" t="s">
        <v>88</v>
      </c>
      <c r="N48" s="88" t="s">
        <v>88</v>
      </c>
      <c r="O48" s="89"/>
      <c r="P48" s="89"/>
      <c r="Q48" s="90" t="b">
        <f t="shared" si="1"/>
        <v>0</v>
      </c>
      <c r="S48" s="97"/>
      <c r="T48" s="98"/>
      <c r="V48" s="13"/>
      <c r="W48" s="30"/>
      <c r="Y48" s="54"/>
      <c r="Z48" s="36"/>
      <c r="AB48" s="54"/>
      <c r="AC48" s="36"/>
      <c r="AE48" s="50" t="s">
        <v>12</v>
      </c>
      <c r="AF48" s="182" t="s">
        <v>12</v>
      </c>
      <c r="AG48" s="182" t="s">
        <v>12</v>
      </c>
      <c r="AH48" s="178" t="s">
        <v>88</v>
      </c>
      <c r="AI48" s="186"/>
      <c r="AK48" s="56"/>
      <c r="AL48" s="17"/>
      <c r="AN48" s="71" t="s">
        <v>88</v>
      </c>
      <c r="AO48" s="82" t="s">
        <v>88</v>
      </c>
      <c r="AP48" s="83" t="b">
        <f t="shared" si="0"/>
        <v>0</v>
      </c>
      <c r="AR48" s="13"/>
      <c r="AS48" s="30"/>
      <c r="AU48" s="56"/>
      <c r="AV48" s="17"/>
      <c r="AX48" s="87" t="s">
        <v>88</v>
      </c>
      <c r="AY48" s="103" t="s">
        <v>88</v>
      </c>
      <c r="BA48" s="56"/>
      <c r="BB48" s="17"/>
      <c r="BD48" s="87" t="s">
        <v>88</v>
      </c>
      <c r="BE48" s="103" t="s">
        <v>88</v>
      </c>
      <c r="BG48" s="56"/>
      <c r="BH48" s="17"/>
      <c r="BJ48" s="87" t="s">
        <v>88</v>
      </c>
      <c r="BK48" s="103" t="s">
        <v>88</v>
      </c>
      <c r="BM48" s="13"/>
      <c r="BN48" s="86"/>
      <c r="BP48" s="56"/>
      <c r="BQ48" s="86"/>
      <c r="BS48" s="87"/>
      <c r="BT48" s="103"/>
      <c r="BV48" s="13"/>
      <c r="BW48" s="86"/>
      <c r="BY48" s="56"/>
      <c r="BZ48" s="86"/>
      <c r="CB48" s="56"/>
      <c r="CC48" s="86"/>
      <c r="CE48" s="56"/>
      <c r="CF48" s="86"/>
    </row>
    <row r="49" spans="2:84">
      <c r="B49" s="56" t="s">
        <v>63</v>
      </c>
      <c r="C49" s="129" t="s">
        <v>9</v>
      </c>
      <c r="D49" s="130"/>
      <c r="E49" s="131"/>
      <c r="M49" s="87"/>
      <c r="N49" s="88"/>
      <c r="O49" s="89"/>
      <c r="P49" s="89"/>
      <c r="Q49" s="90" t="b">
        <f t="shared" si="1"/>
        <v>0</v>
      </c>
      <c r="S49" s="97"/>
      <c r="T49" s="98"/>
      <c r="V49" s="13"/>
      <c r="W49" s="30"/>
      <c r="Y49" s="54"/>
      <c r="Z49" s="36"/>
      <c r="AB49" s="54"/>
      <c r="AC49" s="36"/>
      <c r="AE49" s="50" t="s">
        <v>12</v>
      </c>
      <c r="AF49" s="182" t="s">
        <v>12</v>
      </c>
      <c r="AG49" s="182" t="s">
        <v>12</v>
      </c>
      <c r="AH49" s="178" t="s">
        <v>88</v>
      </c>
      <c r="AI49" s="186"/>
      <c r="AK49" s="56"/>
      <c r="AL49" s="17"/>
      <c r="AN49" s="71"/>
      <c r="AO49" s="82"/>
      <c r="AP49" s="83" t="b">
        <f t="shared" si="0"/>
        <v>0</v>
      </c>
      <c r="AR49" s="13"/>
      <c r="AS49" s="30"/>
      <c r="AU49" s="56"/>
      <c r="AV49" s="17"/>
      <c r="AX49" s="87"/>
      <c r="AY49" s="103"/>
      <c r="BA49" s="56"/>
      <c r="BB49" s="17"/>
      <c r="BD49" s="87"/>
      <c r="BE49" s="103"/>
      <c r="BG49" s="56"/>
      <c r="BH49" s="17"/>
      <c r="BJ49" s="87"/>
      <c r="BK49" s="103"/>
      <c r="BM49" s="13"/>
      <c r="BN49" s="86"/>
      <c r="BP49" s="56"/>
      <c r="BQ49" s="86"/>
      <c r="BS49" s="87"/>
      <c r="BT49" s="103"/>
      <c r="BV49" s="13"/>
      <c r="BW49" s="86"/>
      <c r="BY49" s="56"/>
      <c r="BZ49" s="86"/>
      <c r="CB49" s="56"/>
      <c r="CC49" s="86"/>
      <c r="CE49" s="56"/>
      <c r="CF49" s="86"/>
    </row>
    <row r="50" spans="2:84">
      <c r="B50" s="56" t="s">
        <v>206</v>
      </c>
      <c r="C50" s="132" t="s">
        <v>318</v>
      </c>
      <c r="D50" s="133"/>
      <c r="E50" s="134"/>
      <c r="M50" s="87"/>
      <c r="N50" s="88"/>
      <c r="O50" s="89"/>
      <c r="P50" s="89"/>
      <c r="Q50" s="90" t="b">
        <f t="shared" si="1"/>
        <v>0</v>
      </c>
      <c r="S50" s="97"/>
      <c r="T50" s="98"/>
      <c r="V50" s="13"/>
      <c r="W50" s="30"/>
      <c r="Y50" s="54"/>
      <c r="Z50" s="36"/>
      <c r="AB50" s="54"/>
      <c r="AC50" s="36"/>
      <c r="AE50" s="50" t="s">
        <v>12</v>
      </c>
      <c r="AF50" s="182" t="s">
        <v>12</v>
      </c>
      <c r="AG50" s="182" t="s">
        <v>12</v>
      </c>
      <c r="AH50" s="179" t="s">
        <v>88</v>
      </c>
      <c r="AI50" s="186"/>
      <c r="AK50" s="56"/>
      <c r="AL50" s="17"/>
      <c r="AN50" s="71"/>
      <c r="AO50" s="82"/>
      <c r="AP50" s="83" t="b">
        <f t="shared" si="0"/>
        <v>0</v>
      </c>
      <c r="AR50" s="13"/>
      <c r="AS50" s="30"/>
      <c r="AU50" s="56"/>
      <c r="AV50" s="17"/>
      <c r="AX50" s="87"/>
      <c r="AY50" s="103"/>
      <c r="BA50" s="56"/>
      <c r="BB50" s="17"/>
      <c r="BD50" s="87"/>
      <c r="BE50" s="103"/>
      <c r="BG50" s="56"/>
      <c r="BH50" s="17"/>
      <c r="BJ50" s="87"/>
      <c r="BK50" s="103"/>
      <c r="BM50" s="13"/>
      <c r="BN50" s="86"/>
      <c r="BP50" s="56"/>
      <c r="BQ50" s="86"/>
      <c r="BS50" s="87"/>
      <c r="BT50" s="103"/>
      <c r="BV50" s="13"/>
      <c r="BW50" s="86"/>
      <c r="BY50" s="56"/>
      <c r="BZ50" s="86"/>
      <c r="CB50" s="56"/>
      <c r="CC50" s="86"/>
      <c r="CE50" s="56"/>
      <c r="CF50" s="86"/>
    </row>
    <row r="51" spans="2:84">
      <c r="B51" s="56" t="s">
        <v>207</v>
      </c>
      <c r="C51" s="132" t="s">
        <v>316</v>
      </c>
      <c r="D51" s="133"/>
      <c r="E51" s="134"/>
      <c r="M51" s="87"/>
      <c r="N51" s="88"/>
      <c r="O51" s="89"/>
      <c r="P51" s="89"/>
      <c r="Q51" s="90" t="b">
        <f t="shared" si="1"/>
        <v>0</v>
      </c>
      <c r="S51" s="99"/>
      <c r="T51" s="24"/>
      <c r="V51" s="13"/>
      <c r="W51" s="30"/>
      <c r="Y51" s="54"/>
      <c r="Z51" s="36"/>
      <c r="AB51" s="54"/>
      <c r="AC51" s="36"/>
      <c r="AE51" s="50" t="s">
        <v>12</v>
      </c>
      <c r="AF51" s="182" t="s">
        <v>12</v>
      </c>
      <c r="AG51" s="182" t="s">
        <v>12</v>
      </c>
      <c r="AH51" s="179" t="s">
        <v>88</v>
      </c>
      <c r="AI51" s="186"/>
      <c r="AK51" s="56"/>
      <c r="AL51" s="17"/>
      <c r="AN51" s="71"/>
      <c r="AO51" s="82"/>
      <c r="AP51" s="83" t="b">
        <f t="shared" si="0"/>
        <v>0</v>
      </c>
      <c r="AR51" s="13"/>
      <c r="AS51" s="30"/>
      <c r="AU51" s="56"/>
      <c r="AV51" s="17"/>
      <c r="AX51" s="87"/>
      <c r="AY51" s="103"/>
      <c r="BA51" s="56"/>
      <c r="BB51" s="17"/>
      <c r="BD51" s="87"/>
      <c r="BE51" s="103"/>
      <c r="BG51" s="56"/>
      <c r="BH51" s="17"/>
      <c r="BJ51" s="87"/>
      <c r="BK51" s="103"/>
      <c r="BM51" s="13"/>
      <c r="BN51" s="86"/>
      <c r="BP51" s="56"/>
      <c r="BQ51" s="86"/>
      <c r="BS51" s="87"/>
      <c r="BT51" s="103"/>
      <c r="BV51" s="13"/>
      <c r="BW51" s="86"/>
      <c r="BY51" s="56"/>
      <c r="BZ51" s="86"/>
      <c r="CB51" s="56"/>
      <c r="CC51" s="86"/>
      <c r="CE51" s="56"/>
      <c r="CF51" s="86"/>
    </row>
    <row r="52" spans="2:84">
      <c r="B52" s="152" t="s">
        <v>287</v>
      </c>
      <c r="C52" s="132" t="s">
        <v>317</v>
      </c>
      <c r="D52" s="133"/>
      <c r="E52" s="134"/>
      <c r="M52" s="91"/>
      <c r="N52" s="92"/>
      <c r="O52" s="93"/>
      <c r="P52" s="93"/>
      <c r="Q52" s="94" t="b">
        <f t="shared" si="1"/>
        <v>0</v>
      </c>
      <c r="S52" s="100"/>
      <c r="T52" s="28"/>
      <c r="V52" s="14"/>
      <c r="W52" s="32"/>
      <c r="Y52" s="61"/>
      <c r="Z52" s="37"/>
      <c r="AB52" s="61"/>
      <c r="AC52" s="37"/>
      <c r="AE52" s="52" t="s">
        <v>12</v>
      </c>
      <c r="AF52" s="183" t="s">
        <v>12</v>
      </c>
      <c r="AG52" s="183" t="s">
        <v>12</v>
      </c>
      <c r="AH52" s="180" t="s">
        <v>88</v>
      </c>
      <c r="AI52" s="187"/>
      <c r="AK52" s="62"/>
      <c r="AL52" s="18"/>
      <c r="AN52" s="29"/>
      <c r="AO52" s="84"/>
      <c r="AP52" s="85" t="b">
        <f t="shared" si="0"/>
        <v>0</v>
      </c>
      <c r="AR52" s="14"/>
      <c r="AS52" s="32"/>
      <c r="AU52" s="62"/>
      <c r="AV52" s="18"/>
      <c r="AX52" s="91"/>
      <c r="AY52" s="104"/>
      <c r="BA52" s="62"/>
      <c r="BB52" s="18"/>
      <c r="BD52" s="91"/>
      <c r="BE52" s="104"/>
      <c r="BG52" s="62"/>
      <c r="BH52" s="18"/>
      <c r="BJ52" s="91"/>
      <c r="BK52" s="104"/>
      <c r="BM52" s="14"/>
      <c r="BN52" s="108"/>
      <c r="BP52" s="62"/>
      <c r="BQ52" s="108"/>
      <c r="BS52" s="91"/>
      <c r="BT52" s="104"/>
      <c r="BV52" s="14"/>
      <c r="BW52" s="108"/>
      <c r="BY52" s="62"/>
      <c r="BZ52" s="108"/>
      <c r="CB52" s="62"/>
      <c r="CC52" s="108"/>
      <c r="CE52" s="62"/>
      <c r="CF52" s="108"/>
    </row>
    <row r="53" spans="2:84">
      <c r="B53" s="56" t="s">
        <v>208</v>
      </c>
      <c r="C53" s="132" t="s">
        <v>354</v>
      </c>
      <c r="D53" s="133"/>
      <c r="E53" s="134"/>
    </row>
    <row r="54" spans="2:84">
      <c r="B54" s="56" t="s">
        <v>209</v>
      </c>
      <c r="C54" s="132" t="s">
        <v>319</v>
      </c>
      <c r="D54" s="133"/>
      <c r="E54" s="134"/>
    </row>
    <row r="55" spans="2:84">
      <c r="B55" s="62"/>
      <c r="C55" s="135"/>
      <c r="D55" s="136"/>
      <c r="E55" s="137"/>
    </row>
  </sheetData>
  <dataValidations disablePrompts="1" count="1">
    <dataValidation imeMode="halfAlpha" allowBlank="1" showInputMessage="1" showErrorMessage="1" sqref="Y35"/>
  </dataValidations>
  <pageMargins left="0.70866141732283472" right="0.70866141732283472" top="0.74803149606299213" bottom="0.74803149606299213" header="0.31496062992125984" footer="0.31496062992125984"/>
  <pageSetup paperSize="9" scale="45" fitToWidth="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7522" r:id="rId5"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7523" r:id="rId6"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7524" r:id="rId7"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7525" r:id="rId8"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7526" r:id="rId9"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7527" r:id="rId10"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tint="0.34998626667073579"/>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O5" s="141"/>
      <c r="AR5" s="139" t="s">
        <v>11</v>
      </c>
      <c r="AU5" s="139" t="s">
        <v>298</v>
      </c>
      <c r="AY5" s="141"/>
      <c r="BA5" s="139" t="s">
        <v>387</v>
      </c>
      <c r="BG5" s="139" t="s">
        <v>301</v>
      </c>
      <c r="BM5" s="139" t="s">
        <v>54</v>
      </c>
      <c r="BP5" s="139"/>
      <c r="BW5" s="14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329</v>
      </c>
      <c r="D8" s="127"/>
      <c r="E8" s="128"/>
      <c r="F8" t="s">
        <v>12</v>
      </c>
      <c r="G8" s="55" t="s">
        <v>170</v>
      </c>
      <c r="H8" s="110">
        <v>42198</v>
      </c>
      <c r="J8" s="72" t="s">
        <v>174</v>
      </c>
      <c r="K8" s="34" t="s">
        <v>259</v>
      </c>
      <c r="M8" s="74" t="s">
        <v>76</v>
      </c>
      <c r="N8" s="75" t="s">
        <v>75</v>
      </c>
      <c r="O8" s="75" t="s">
        <v>139</v>
      </c>
      <c r="P8" s="75" t="s">
        <v>138</v>
      </c>
      <c r="Q8" s="76" t="s">
        <v>173</v>
      </c>
      <c r="S8" s="67" t="s">
        <v>172</v>
      </c>
      <c r="T8" s="68" t="s">
        <v>75</v>
      </c>
      <c r="V8" s="55" t="s">
        <v>170</v>
      </c>
      <c r="W8" s="110">
        <v>42198</v>
      </c>
      <c r="Y8" s="55" t="s">
        <v>117</v>
      </c>
      <c r="Z8" s="34" t="s">
        <v>197</v>
      </c>
      <c r="AB8" s="12" t="s">
        <v>117</v>
      </c>
      <c r="AC8" s="34" t="s">
        <v>197</v>
      </c>
      <c r="AE8" s="66"/>
      <c r="AF8" s="38"/>
      <c r="AG8" s="21"/>
      <c r="AH8" s="21"/>
      <c r="AI8" s="22"/>
      <c r="AK8" s="55" t="s">
        <v>117</v>
      </c>
      <c r="AL8" s="125" t="s">
        <v>197</v>
      </c>
      <c r="AN8" s="70" t="s">
        <v>76</v>
      </c>
      <c r="AO8" s="80" t="s">
        <v>75</v>
      </c>
      <c r="AP8" s="81" t="s">
        <v>175</v>
      </c>
      <c r="AQ8" s="6"/>
      <c r="AR8" s="55" t="s">
        <v>170</v>
      </c>
      <c r="AS8" s="110">
        <v>42198</v>
      </c>
      <c r="AU8" s="77" t="s">
        <v>171</v>
      </c>
      <c r="AV8" s="101" t="s">
        <v>344</v>
      </c>
      <c r="AX8" s="67" t="s">
        <v>76</v>
      </c>
      <c r="AY8" s="69" t="s">
        <v>75</v>
      </c>
      <c r="BA8" s="77" t="s">
        <v>171</v>
      </c>
      <c r="BB8" s="101" t="s">
        <v>388</v>
      </c>
      <c r="BD8" s="67" t="s">
        <v>76</v>
      </c>
      <c r="BE8" s="69" t="s">
        <v>75</v>
      </c>
      <c r="BG8" s="77" t="s">
        <v>171</v>
      </c>
      <c r="BH8" s="101" t="s">
        <v>345</v>
      </c>
      <c r="BJ8" s="67" t="s">
        <v>76</v>
      </c>
      <c r="BK8" s="69" t="s">
        <v>75</v>
      </c>
      <c r="BM8" s="55" t="s">
        <v>170</v>
      </c>
      <c r="BN8" s="110">
        <v>42198</v>
      </c>
      <c r="BP8" s="77" t="s">
        <v>171</v>
      </c>
      <c r="BQ8" s="101" t="s">
        <v>167</v>
      </c>
      <c r="BS8" s="77" t="s">
        <v>171</v>
      </c>
      <c r="BT8" s="101" t="s">
        <v>167</v>
      </c>
      <c r="BV8" s="77" t="s">
        <v>171</v>
      </c>
      <c r="BW8" s="101" t="s">
        <v>167</v>
      </c>
      <c r="BY8" s="77" t="s">
        <v>171</v>
      </c>
      <c r="BZ8" s="101" t="s">
        <v>167</v>
      </c>
      <c r="CB8" s="74" t="s">
        <v>76</v>
      </c>
      <c r="CC8" s="76" t="s">
        <v>75</v>
      </c>
      <c r="CE8" s="55" t="s">
        <v>170</v>
      </c>
      <c r="CF8" s="110">
        <v>42198</v>
      </c>
      <c r="CH8" s="55" t="s">
        <v>216</v>
      </c>
      <c r="CI8" s="33" t="s">
        <v>307</v>
      </c>
      <c r="CK8" s="55" t="s">
        <v>216</v>
      </c>
      <c r="CL8" s="33" t="s">
        <v>308</v>
      </c>
      <c r="CN8" s="55" t="s">
        <v>216</v>
      </c>
      <c r="CO8" s="33" t="s">
        <v>309</v>
      </c>
    </row>
    <row r="9" spans="2:93">
      <c r="B9" s="56" t="s">
        <v>63</v>
      </c>
      <c r="C9" s="129" t="s">
        <v>310</v>
      </c>
      <c r="D9" s="130"/>
      <c r="E9" s="131"/>
      <c r="F9" t="s">
        <v>12</v>
      </c>
      <c r="G9" s="56" t="s">
        <v>162</v>
      </c>
      <c r="H9" s="86" t="s">
        <v>199</v>
      </c>
      <c r="J9" s="73" t="s">
        <v>130</v>
      </c>
      <c r="K9" s="17" t="s">
        <v>198</v>
      </c>
      <c r="M9" s="87" t="s">
        <v>72</v>
      </c>
      <c r="N9" s="88">
        <v>4.5250000000000004E-3</v>
      </c>
      <c r="O9" s="89"/>
      <c r="P9" s="89"/>
      <c r="Q9" s="90" t="b">
        <v>1</v>
      </c>
      <c r="S9" s="95"/>
      <c r="T9" s="96"/>
      <c r="V9" s="56" t="s">
        <v>162</v>
      </c>
      <c r="W9" s="86" t="s">
        <v>199</v>
      </c>
      <c r="Y9" s="56" t="s">
        <v>5</v>
      </c>
      <c r="Z9" s="17" t="s">
        <v>3</v>
      </c>
      <c r="AB9" s="13" t="s">
        <v>5</v>
      </c>
      <c r="AC9" s="17" t="s">
        <v>198</v>
      </c>
      <c r="AE9" s="57"/>
      <c r="AF9" s="39"/>
      <c r="AG9" s="23"/>
      <c r="AH9" s="23"/>
      <c r="AI9" s="24"/>
      <c r="AK9" s="56" t="s">
        <v>5</v>
      </c>
      <c r="AL9" s="86" t="s">
        <v>198</v>
      </c>
      <c r="AN9" s="71" t="s">
        <v>42</v>
      </c>
      <c r="AO9" s="82">
        <v>1.1200000000000002E-2</v>
      </c>
      <c r="AP9" s="83" t="b">
        <v>1</v>
      </c>
      <c r="AQ9" s="6"/>
      <c r="AR9" s="56" t="s">
        <v>162</v>
      </c>
      <c r="AS9" s="86" t="s">
        <v>199</v>
      </c>
      <c r="AU9" s="78" t="s">
        <v>169</v>
      </c>
      <c r="AV9" s="102" t="b">
        <v>0</v>
      </c>
      <c r="AX9" s="87" t="s">
        <v>160</v>
      </c>
      <c r="AY9" s="103">
        <v>1.15E-3</v>
      </c>
      <c r="BA9" s="78" t="s">
        <v>169</v>
      </c>
      <c r="BB9" s="102" t="b">
        <v>0</v>
      </c>
      <c r="BD9" s="87" t="s">
        <v>160</v>
      </c>
      <c r="BE9" s="103">
        <v>1.9624999999999998E-3</v>
      </c>
      <c r="BG9" s="78" t="s">
        <v>169</v>
      </c>
      <c r="BH9" s="102" t="b">
        <v>0</v>
      </c>
      <c r="BJ9" s="87" t="s">
        <v>160</v>
      </c>
      <c r="BK9" s="103">
        <v>1.9499999999999999E-3</v>
      </c>
      <c r="BM9" s="56" t="s">
        <v>162</v>
      </c>
      <c r="BN9" s="86" t="s">
        <v>199</v>
      </c>
      <c r="BP9" s="78" t="s">
        <v>169</v>
      </c>
      <c r="BQ9" s="102" t="s">
        <v>168</v>
      </c>
      <c r="BS9" s="78" t="s">
        <v>169</v>
      </c>
      <c r="BT9" s="102" t="s">
        <v>168</v>
      </c>
      <c r="BV9" s="78" t="s">
        <v>169</v>
      </c>
      <c r="BW9" s="102" t="s">
        <v>168</v>
      </c>
      <c r="BY9" s="78" t="s">
        <v>169</v>
      </c>
      <c r="BZ9" s="102" t="s">
        <v>168</v>
      </c>
      <c r="CB9" s="87" t="s">
        <v>160</v>
      </c>
      <c r="CC9" s="103">
        <v>-1.75E-4</v>
      </c>
      <c r="CE9" s="56" t="s">
        <v>162</v>
      </c>
      <c r="CF9" s="86" t="s">
        <v>199</v>
      </c>
      <c r="CH9" s="56" t="s">
        <v>220</v>
      </c>
      <c r="CI9" s="31" t="s">
        <v>360</v>
      </c>
      <c r="CK9" s="56" t="s">
        <v>220</v>
      </c>
      <c r="CL9" s="31" t="s">
        <v>361</v>
      </c>
      <c r="CN9" s="56" t="s">
        <v>220</v>
      </c>
      <c r="CO9" s="31" t="s">
        <v>362</v>
      </c>
    </row>
    <row r="10" spans="2:93">
      <c r="B10" s="56" t="s">
        <v>206</v>
      </c>
      <c r="C10" s="129" t="s">
        <v>311</v>
      </c>
      <c r="D10" s="133"/>
      <c r="E10" s="134"/>
      <c r="F10" t="s">
        <v>12</v>
      </c>
      <c r="G10" s="56" t="s">
        <v>159</v>
      </c>
      <c r="H10" s="86" t="s">
        <v>29</v>
      </c>
      <c r="J10" s="73" t="s">
        <v>122</v>
      </c>
      <c r="K10" s="17" t="s">
        <v>152</v>
      </c>
      <c r="M10" s="87" t="s">
        <v>97</v>
      </c>
      <c r="N10" s="88">
        <v>4.5620000000000001E-3</v>
      </c>
      <c r="O10" s="89"/>
      <c r="P10" s="89"/>
      <c r="Q10" s="90" t="b">
        <v>1</v>
      </c>
      <c r="S10" s="97"/>
      <c r="T10" s="98"/>
      <c r="V10" s="56" t="s">
        <v>159</v>
      </c>
      <c r="W10" s="86" t="s">
        <v>29</v>
      </c>
      <c r="Y10" s="56" t="s">
        <v>194</v>
      </c>
      <c r="Z10" s="17" t="s">
        <v>166</v>
      </c>
      <c r="AB10" s="13" t="s">
        <v>165</v>
      </c>
      <c r="AC10" s="17">
        <v>0</v>
      </c>
      <c r="AE10" s="57"/>
      <c r="AF10" s="40"/>
      <c r="AG10" s="25"/>
      <c r="AH10" s="25"/>
      <c r="AI10" s="26"/>
      <c r="AK10" s="56" t="s">
        <v>164</v>
      </c>
      <c r="AL10" s="86" t="s">
        <v>198</v>
      </c>
      <c r="AN10" s="71" t="s">
        <v>39</v>
      </c>
      <c r="AO10" s="82">
        <v>1.3849999999999999E-2</v>
      </c>
      <c r="AP10" s="83" t="b">
        <v>1</v>
      </c>
      <c r="AQ10" s="6"/>
      <c r="AR10" s="56" t="s">
        <v>159</v>
      </c>
      <c r="AS10" s="86" t="s">
        <v>29</v>
      </c>
      <c r="AU10" s="56" t="s">
        <v>161</v>
      </c>
      <c r="AV10" s="17" t="s">
        <v>197</v>
      </c>
      <c r="AX10" s="87" t="s">
        <v>42</v>
      </c>
      <c r="AY10" s="103">
        <v>1.1249999999999999E-3</v>
      </c>
      <c r="BA10" s="56" t="s">
        <v>161</v>
      </c>
      <c r="BB10" s="17" t="s">
        <v>197</v>
      </c>
      <c r="BD10" s="87" t="s">
        <v>42</v>
      </c>
      <c r="BE10" s="103">
        <v>2.0249999999999999E-3</v>
      </c>
      <c r="BG10" s="56" t="s">
        <v>161</v>
      </c>
      <c r="BH10" s="17" t="s">
        <v>197</v>
      </c>
      <c r="BJ10" s="87" t="s">
        <v>42</v>
      </c>
      <c r="BK10" s="103">
        <v>2.1124999999999998E-3</v>
      </c>
      <c r="BM10" s="56" t="s">
        <v>159</v>
      </c>
      <c r="BN10" s="86" t="s">
        <v>29</v>
      </c>
      <c r="BP10" s="56" t="s">
        <v>161</v>
      </c>
      <c r="BQ10" s="105" t="s">
        <v>264</v>
      </c>
      <c r="BS10" s="56" t="s">
        <v>161</v>
      </c>
      <c r="BT10" s="105" t="s">
        <v>264</v>
      </c>
      <c r="BV10" s="56" t="s">
        <v>161</v>
      </c>
      <c r="BW10" s="105" t="s">
        <v>264</v>
      </c>
      <c r="BY10" s="56" t="s">
        <v>161</v>
      </c>
      <c r="BZ10" s="105" t="s">
        <v>264</v>
      </c>
      <c r="CB10" s="87" t="s">
        <v>42</v>
      </c>
      <c r="CC10" s="103">
        <v>-2.2499999999999999E-4</v>
      </c>
      <c r="CE10" s="56" t="s">
        <v>159</v>
      </c>
      <c r="CF10" s="86" t="s">
        <v>29</v>
      </c>
      <c r="CH10" s="56" t="s">
        <v>224</v>
      </c>
      <c r="CI10" s="142" t="s">
        <v>354</v>
      </c>
      <c r="CK10" s="56" t="s">
        <v>224</v>
      </c>
      <c r="CL10" s="142" t="s">
        <v>354</v>
      </c>
      <c r="CN10" s="56" t="s">
        <v>224</v>
      </c>
      <c r="CO10" s="142" t="s">
        <v>354</v>
      </c>
    </row>
    <row r="11" spans="2:93">
      <c r="B11" s="56" t="s">
        <v>211</v>
      </c>
      <c r="C11" s="132" t="s">
        <v>389</v>
      </c>
      <c r="D11" s="133"/>
      <c r="E11" s="134"/>
      <c r="F11" t="s">
        <v>12</v>
      </c>
      <c r="G11" s="56" t="s">
        <v>153</v>
      </c>
      <c r="H11" s="86" t="s">
        <v>135</v>
      </c>
      <c r="J11" s="73" t="s">
        <v>150</v>
      </c>
      <c r="K11" s="17" t="s">
        <v>149</v>
      </c>
      <c r="M11" s="87" t="s">
        <v>93</v>
      </c>
      <c r="N11" s="88">
        <v>4.5599999999999998E-3</v>
      </c>
      <c r="O11" s="89"/>
      <c r="P11" s="89"/>
      <c r="Q11" s="90" t="b">
        <v>1</v>
      </c>
      <c r="S11" s="97"/>
      <c r="T11" s="98"/>
      <c r="V11" s="56" t="s">
        <v>153</v>
      </c>
      <c r="W11" s="86" t="s">
        <v>135</v>
      </c>
      <c r="Y11" s="56"/>
      <c r="Z11" s="17"/>
      <c r="AB11" s="13" t="s">
        <v>90</v>
      </c>
      <c r="AC11" s="17" t="s">
        <v>40</v>
      </c>
      <c r="AE11" s="13"/>
      <c r="AF11" s="39"/>
      <c r="AG11" s="23"/>
      <c r="AH11" s="23"/>
      <c r="AI11" s="24"/>
      <c r="AK11" s="56" t="s">
        <v>158</v>
      </c>
      <c r="AL11" s="86" t="s">
        <v>198</v>
      </c>
      <c r="AN11" s="71" t="s">
        <v>35</v>
      </c>
      <c r="AO11" s="82">
        <v>1.6001000000000001E-2</v>
      </c>
      <c r="AP11" s="83" t="b">
        <v>1</v>
      </c>
      <c r="AQ11" s="6"/>
      <c r="AR11" s="56" t="s">
        <v>153</v>
      </c>
      <c r="AS11" s="86" t="s">
        <v>135</v>
      </c>
      <c r="AU11" s="56" t="s">
        <v>154</v>
      </c>
      <c r="AV11" s="17" t="s">
        <v>198</v>
      </c>
      <c r="AX11" s="87" t="s">
        <v>39</v>
      </c>
      <c r="AY11" s="103">
        <v>1.1300000000000001E-3</v>
      </c>
      <c r="BA11" s="56" t="s">
        <v>154</v>
      </c>
      <c r="BB11" s="17" t="s">
        <v>198</v>
      </c>
      <c r="BD11" s="87" t="s">
        <v>39</v>
      </c>
      <c r="BE11" s="103">
        <v>2.0625000000000001E-3</v>
      </c>
      <c r="BG11" s="56" t="s">
        <v>154</v>
      </c>
      <c r="BH11" s="17" t="s">
        <v>198</v>
      </c>
      <c r="BJ11" s="87" t="s">
        <v>39</v>
      </c>
      <c r="BK11" s="103">
        <v>1.9250000000000001E-3</v>
      </c>
      <c r="BM11" s="56" t="s">
        <v>153</v>
      </c>
      <c r="BN11" s="86" t="s">
        <v>135</v>
      </c>
      <c r="BP11" s="56" t="s">
        <v>154</v>
      </c>
      <c r="BQ11" s="86" t="s">
        <v>55</v>
      </c>
      <c r="BS11" s="56" t="s">
        <v>154</v>
      </c>
      <c r="BT11" s="86" t="s">
        <v>55</v>
      </c>
      <c r="BV11" s="56" t="s">
        <v>154</v>
      </c>
      <c r="BW11" s="86" t="s">
        <v>55</v>
      </c>
      <c r="BY11" s="56" t="s">
        <v>154</v>
      </c>
      <c r="BZ11" s="86" t="s">
        <v>55</v>
      </c>
      <c r="CB11" s="87" t="s">
        <v>39</v>
      </c>
      <c r="CC11" s="103">
        <v>-2.9999999999999997E-4</v>
      </c>
      <c r="CE11" s="56" t="s">
        <v>153</v>
      </c>
      <c r="CF11" s="86" t="s">
        <v>135</v>
      </c>
      <c r="CH11" s="56" t="s">
        <v>226</v>
      </c>
      <c r="CI11" s="142" t="s">
        <v>354</v>
      </c>
      <c r="CK11" s="56" t="s">
        <v>226</v>
      </c>
      <c r="CL11" s="142" t="s">
        <v>354</v>
      </c>
      <c r="CN11" s="56" t="s">
        <v>226</v>
      </c>
      <c r="CO11" s="142" t="s">
        <v>354</v>
      </c>
    </row>
    <row r="12" spans="2:93">
      <c r="B12" s="56" t="s">
        <v>288</v>
      </c>
      <c r="C12" s="132" t="s">
        <v>312</v>
      </c>
      <c r="D12" s="133"/>
      <c r="E12" s="134"/>
      <c r="F12" t="s">
        <v>12</v>
      </c>
      <c r="G12" s="56" t="s">
        <v>5</v>
      </c>
      <c r="H12" s="86" t="s">
        <v>129</v>
      </c>
      <c r="J12" s="73" t="s">
        <v>134</v>
      </c>
      <c r="K12" s="17" t="s">
        <v>337</v>
      </c>
      <c r="M12" s="87" t="s">
        <v>21</v>
      </c>
      <c r="N12" s="88">
        <v>4.5650000000000005E-3</v>
      </c>
      <c r="O12" s="89"/>
      <c r="P12" s="89"/>
      <c r="Q12" s="90" t="b">
        <v>1</v>
      </c>
      <c r="S12" s="97"/>
      <c r="T12" s="98"/>
      <c r="V12" s="56" t="s">
        <v>5</v>
      </c>
      <c r="W12" s="86" t="s">
        <v>129</v>
      </c>
      <c r="Y12" s="62"/>
      <c r="Z12" s="18"/>
      <c r="AB12" s="63"/>
      <c r="AC12" s="18"/>
      <c r="AE12" s="14" t="s">
        <v>88</v>
      </c>
      <c r="AF12" s="147" t="s">
        <v>88</v>
      </c>
      <c r="AG12" s="27"/>
      <c r="AH12" s="27"/>
      <c r="AI12" s="28"/>
      <c r="AK12" s="56" t="s">
        <v>1</v>
      </c>
      <c r="AL12" s="86" t="s">
        <v>78</v>
      </c>
      <c r="AN12" s="71" t="s">
        <v>33</v>
      </c>
      <c r="AO12" s="82">
        <v>1.7749999999999998E-2</v>
      </c>
      <c r="AP12" s="83" t="b">
        <v>1</v>
      </c>
      <c r="AQ12" s="6"/>
      <c r="AR12" s="56" t="s">
        <v>5</v>
      </c>
      <c r="AS12" s="86" t="s">
        <v>129</v>
      </c>
      <c r="AU12" s="56" t="s">
        <v>151</v>
      </c>
      <c r="AV12" s="17" t="s">
        <v>78</v>
      </c>
      <c r="AX12" s="87" t="s">
        <v>35</v>
      </c>
      <c r="AY12" s="103">
        <v>1.16E-3</v>
      </c>
      <c r="BA12" s="56" t="s">
        <v>151</v>
      </c>
      <c r="BB12" s="17" t="s">
        <v>78</v>
      </c>
      <c r="BD12" s="87" t="s">
        <v>35</v>
      </c>
      <c r="BE12" s="103">
        <v>2.0500000000000002E-3</v>
      </c>
      <c r="BG12" s="56" t="s">
        <v>151</v>
      </c>
      <c r="BH12" s="17" t="s">
        <v>152</v>
      </c>
      <c r="BJ12" s="87" t="s">
        <v>35</v>
      </c>
      <c r="BK12" s="103">
        <v>1.8125000000000001E-3</v>
      </c>
      <c r="BM12" s="56" t="s">
        <v>5</v>
      </c>
      <c r="BN12" s="86" t="s">
        <v>129</v>
      </c>
      <c r="BP12" s="56" t="s">
        <v>151</v>
      </c>
      <c r="BQ12" s="86" t="s">
        <v>77</v>
      </c>
      <c r="BS12" s="56" t="s">
        <v>151</v>
      </c>
      <c r="BT12" s="86" t="s">
        <v>77</v>
      </c>
      <c r="BV12" s="56" t="s">
        <v>151</v>
      </c>
      <c r="BW12" s="86" t="s">
        <v>77</v>
      </c>
      <c r="BY12" s="56" t="s">
        <v>151</v>
      </c>
      <c r="BZ12" s="86" t="s">
        <v>77</v>
      </c>
      <c r="CB12" s="87" t="s">
        <v>35</v>
      </c>
      <c r="CC12" s="103">
        <v>-2.9999999999999997E-4</v>
      </c>
      <c r="CE12" s="56" t="s">
        <v>5</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v>
      </c>
      <c r="H13" s="86" t="s">
        <v>121</v>
      </c>
      <c r="J13" s="73" t="s">
        <v>115</v>
      </c>
      <c r="K13" s="17" t="s">
        <v>40</v>
      </c>
      <c r="M13" s="87" t="s">
        <v>59</v>
      </c>
      <c r="N13" s="88">
        <v>4.5700000000000003E-3</v>
      </c>
      <c r="O13" s="89"/>
      <c r="P13" s="89"/>
      <c r="Q13" s="90" t="b">
        <v>1</v>
      </c>
      <c r="S13" s="97"/>
      <c r="T13" s="98"/>
      <c r="V13" s="56" t="s">
        <v>1</v>
      </c>
      <c r="W13" s="86" t="s">
        <v>121</v>
      </c>
      <c r="Y13" s="6"/>
      <c r="Z13" s="4"/>
      <c r="AA13" s="6"/>
      <c r="AB13" s="8"/>
      <c r="AC13" s="4"/>
      <c r="AE13" s="4"/>
      <c r="AF13" s="4"/>
      <c r="AK13" s="56" t="s">
        <v>144</v>
      </c>
      <c r="AL13" s="86" t="s">
        <v>78</v>
      </c>
      <c r="AN13" s="71" t="s">
        <v>131</v>
      </c>
      <c r="AO13" s="82">
        <v>1.9130000000000001E-2</v>
      </c>
      <c r="AP13" s="83" t="b">
        <v>1</v>
      </c>
      <c r="AQ13" s="6"/>
      <c r="AR13" s="56" t="s">
        <v>1</v>
      </c>
      <c r="AS13" s="86" t="s">
        <v>121</v>
      </c>
      <c r="AU13" s="56" t="s">
        <v>148</v>
      </c>
      <c r="AV13" s="17" t="s">
        <v>40</v>
      </c>
      <c r="AX13" s="87" t="s">
        <v>33</v>
      </c>
      <c r="AY13" s="103">
        <v>1.175E-3</v>
      </c>
      <c r="BA13" s="56" t="s">
        <v>148</v>
      </c>
      <c r="BB13" s="17" t="s">
        <v>40</v>
      </c>
      <c r="BD13" s="87" t="s">
        <v>33</v>
      </c>
      <c r="BE13" s="103">
        <v>2.0500000000000002E-3</v>
      </c>
      <c r="BG13" s="56" t="s">
        <v>148</v>
      </c>
      <c r="BH13" s="17" t="s">
        <v>40</v>
      </c>
      <c r="BJ13" s="87" t="s">
        <v>33</v>
      </c>
      <c r="BK13" s="103">
        <v>1.6750000000000001E-3</v>
      </c>
      <c r="BM13" s="56" t="s">
        <v>1</v>
      </c>
      <c r="BN13" s="86" t="s">
        <v>121</v>
      </c>
      <c r="BP13" s="56" t="s">
        <v>148</v>
      </c>
      <c r="BQ13" s="86" t="s">
        <v>40</v>
      </c>
      <c r="BS13" s="56" t="s">
        <v>148</v>
      </c>
      <c r="BT13" s="86" t="s">
        <v>40</v>
      </c>
      <c r="BV13" s="56" t="s">
        <v>148</v>
      </c>
      <c r="BW13" s="86" t="s">
        <v>40</v>
      </c>
      <c r="BY13" s="56" t="s">
        <v>148</v>
      </c>
      <c r="BZ13" s="86" t="s">
        <v>40</v>
      </c>
      <c r="CB13" s="87" t="s">
        <v>33</v>
      </c>
      <c r="CC13" s="103">
        <v>-3.5E-4</v>
      </c>
      <c r="CE13" s="56" t="s">
        <v>1</v>
      </c>
      <c r="CF13" s="86" t="s">
        <v>121</v>
      </c>
      <c r="CH13" s="56"/>
      <c r="CI13" s="86"/>
      <c r="CK13" s="56"/>
      <c r="CL13" s="86"/>
      <c r="CN13" s="56"/>
      <c r="CO13" s="86"/>
    </row>
    <row r="14" spans="2:93">
      <c r="B14" s="56"/>
      <c r="C14" s="132"/>
      <c r="D14" s="133"/>
      <c r="E14" s="134"/>
      <c r="F14" t="s">
        <v>12</v>
      </c>
      <c r="G14" s="56" t="s">
        <v>140</v>
      </c>
      <c r="H14" s="86" t="s">
        <v>29</v>
      </c>
      <c r="J14" s="73"/>
      <c r="K14" s="17"/>
      <c r="M14" s="87" t="s">
        <v>53</v>
      </c>
      <c r="N14" s="88">
        <v>4.5850000000000005E-3</v>
      </c>
      <c r="O14" s="89"/>
      <c r="P14" s="89"/>
      <c r="Q14" s="90" t="b">
        <v>1</v>
      </c>
      <c r="S14" s="97"/>
      <c r="T14" s="98"/>
      <c r="V14" s="56" t="s">
        <v>140</v>
      </c>
      <c r="W14" s="86" t="s">
        <v>29</v>
      </c>
      <c r="Y14" s="7" t="s">
        <v>147</v>
      </c>
      <c r="Z14" s="4"/>
      <c r="AA14" s="6"/>
      <c r="AB14" s="5" t="s">
        <v>146</v>
      </c>
      <c r="AC14" s="4"/>
      <c r="AE14" s="2" t="s">
        <v>145</v>
      </c>
      <c r="AF14" s="4"/>
      <c r="AK14" s="56" t="s">
        <v>4</v>
      </c>
      <c r="AL14" s="86" t="s">
        <v>29</v>
      </c>
      <c r="AN14" s="71" t="s">
        <v>31</v>
      </c>
      <c r="AO14" s="82">
        <v>2.0259999999999997E-2</v>
      </c>
      <c r="AP14" s="83" t="b">
        <v>1</v>
      </c>
      <c r="AQ14" s="6"/>
      <c r="AR14" s="56" t="s">
        <v>140</v>
      </c>
      <c r="AS14" s="86" t="s">
        <v>29</v>
      </c>
      <c r="AU14" s="56" t="s">
        <v>141</v>
      </c>
      <c r="AV14" s="17">
        <v>0</v>
      </c>
      <c r="AX14" s="87" t="s">
        <v>131</v>
      </c>
      <c r="AY14" s="103">
        <v>1.1900000000000001E-3</v>
      </c>
      <c r="BA14" s="56" t="s">
        <v>141</v>
      </c>
      <c r="BB14" s="17">
        <v>0</v>
      </c>
      <c r="BD14" s="87" t="s">
        <v>131</v>
      </c>
      <c r="BE14" s="103">
        <v>2.0374999999999998E-3</v>
      </c>
      <c r="BG14" s="56" t="s">
        <v>141</v>
      </c>
      <c r="BH14" s="17">
        <v>0</v>
      </c>
      <c r="BJ14" s="87" t="s">
        <v>131</v>
      </c>
      <c r="BK14" s="103">
        <v>1.6000000000000001E-3</v>
      </c>
      <c r="BM14" s="56" t="s">
        <v>140</v>
      </c>
      <c r="BN14" s="86" t="s">
        <v>29</v>
      </c>
      <c r="BP14" s="56" t="s">
        <v>141</v>
      </c>
      <c r="BQ14" s="86">
        <v>2</v>
      </c>
      <c r="BS14" s="56" t="s">
        <v>141</v>
      </c>
      <c r="BT14" s="86">
        <v>2</v>
      </c>
      <c r="BV14" s="56" t="s">
        <v>141</v>
      </c>
      <c r="BW14" s="86">
        <v>2</v>
      </c>
      <c r="BY14" s="56" t="s">
        <v>141</v>
      </c>
      <c r="BZ14" s="86">
        <v>2</v>
      </c>
      <c r="CB14" s="87" t="s">
        <v>131</v>
      </c>
      <c r="CC14" s="103">
        <v>-3.6000000000000002E-4</v>
      </c>
      <c r="CE14" s="56" t="s">
        <v>140</v>
      </c>
      <c r="CF14" s="86" t="s">
        <v>29</v>
      </c>
      <c r="CH14" s="56"/>
      <c r="CI14" s="86"/>
      <c r="CK14" s="56"/>
      <c r="CL14" s="86"/>
      <c r="CN14" s="56"/>
      <c r="CO14" s="86"/>
    </row>
    <row r="15" spans="2:93">
      <c r="B15" s="62"/>
      <c r="C15" s="135"/>
      <c r="D15" s="136"/>
      <c r="E15" s="137"/>
      <c r="F15" t="s">
        <v>12</v>
      </c>
      <c r="G15" s="56" t="s">
        <v>4</v>
      </c>
      <c r="H15" s="86" t="s">
        <v>29</v>
      </c>
      <c r="J15" s="73"/>
      <c r="K15" s="17"/>
      <c r="M15" s="87" t="s">
        <v>74</v>
      </c>
      <c r="N15" s="88">
        <v>4.6250000000000006E-3</v>
      </c>
      <c r="O15" s="89"/>
      <c r="P15" s="89"/>
      <c r="Q15" s="90" t="b">
        <v>1</v>
      </c>
      <c r="S15" s="97"/>
      <c r="T15" s="98"/>
      <c r="V15" s="56" t="s">
        <v>4</v>
      </c>
      <c r="W15" s="86" t="s">
        <v>29</v>
      </c>
      <c r="Y15" s="12" t="s">
        <v>117</v>
      </c>
      <c r="Z15" s="35" t="s">
        <v>197</v>
      </c>
      <c r="AB15" s="64" t="s">
        <v>76</v>
      </c>
      <c r="AC15" s="19" t="s">
        <v>75</v>
      </c>
      <c r="AE15" s="67" t="s">
        <v>76</v>
      </c>
      <c r="AF15" s="68" t="s">
        <v>139</v>
      </c>
      <c r="AG15" s="68" t="s">
        <v>138</v>
      </c>
      <c r="AH15" s="68" t="s">
        <v>75</v>
      </c>
      <c r="AI15" s="69" t="s">
        <v>137</v>
      </c>
      <c r="AK15" s="56" t="s">
        <v>123</v>
      </c>
      <c r="AL15" s="86" t="b">
        <v>1</v>
      </c>
      <c r="AN15" s="71" t="s">
        <v>119</v>
      </c>
      <c r="AO15" s="82">
        <v>2.1190000000000001E-2</v>
      </c>
      <c r="AP15" s="83" t="b">
        <v>1</v>
      </c>
      <c r="AQ15" s="6"/>
      <c r="AR15" s="56" t="s">
        <v>4</v>
      </c>
      <c r="AS15" s="86" t="s">
        <v>29</v>
      </c>
      <c r="AU15" s="56" t="s">
        <v>132</v>
      </c>
      <c r="AV15" s="31" t="s">
        <v>201</v>
      </c>
      <c r="AX15" s="87" t="s">
        <v>31</v>
      </c>
      <c r="AY15" s="103">
        <v>1.1900000000000001E-3</v>
      </c>
      <c r="BA15" s="56" t="s">
        <v>132</v>
      </c>
      <c r="BB15" s="31" t="s">
        <v>201</v>
      </c>
      <c r="BD15" s="87" t="s">
        <v>31</v>
      </c>
      <c r="BE15" s="103">
        <v>2E-3</v>
      </c>
      <c r="BG15" s="56" t="s">
        <v>132</v>
      </c>
      <c r="BH15" s="31" t="s">
        <v>201</v>
      </c>
      <c r="BJ15" s="87" t="s">
        <v>31</v>
      </c>
      <c r="BK15" s="103">
        <v>1.5499999999999999E-3</v>
      </c>
      <c r="BM15" s="56" t="s">
        <v>4</v>
      </c>
      <c r="BN15" s="86" t="s">
        <v>29</v>
      </c>
      <c r="BP15" s="56" t="s">
        <v>216</v>
      </c>
      <c r="BQ15" s="31" t="s">
        <v>325</v>
      </c>
      <c r="BS15" s="56" t="s">
        <v>216</v>
      </c>
      <c r="BT15" s="31" t="s">
        <v>321</v>
      </c>
      <c r="BV15" s="56" t="s">
        <v>216</v>
      </c>
      <c r="BW15" s="31" t="s">
        <v>322</v>
      </c>
      <c r="BY15" s="56" t="s">
        <v>216</v>
      </c>
      <c r="BZ15" s="31" t="s">
        <v>323</v>
      </c>
      <c r="CB15" s="87" t="s">
        <v>31</v>
      </c>
      <c r="CC15" s="103">
        <v>-4.4999999999999999E-4</v>
      </c>
      <c r="CE15" s="56" t="s">
        <v>4</v>
      </c>
      <c r="CF15" s="86" t="s">
        <v>29</v>
      </c>
      <c r="CH15" s="56"/>
      <c r="CI15" s="86"/>
      <c r="CK15" s="56"/>
      <c r="CL15" s="86"/>
      <c r="CN15" s="56"/>
      <c r="CO15" s="86"/>
    </row>
    <row r="16" spans="2:93">
      <c r="F16" t="s">
        <v>12</v>
      </c>
      <c r="G16" s="56" t="s">
        <v>125</v>
      </c>
      <c r="H16" s="86" t="b">
        <v>0</v>
      </c>
      <c r="J16" s="73"/>
      <c r="K16" s="17"/>
      <c r="M16" s="87" t="s">
        <v>70</v>
      </c>
      <c r="N16" s="88">
        <v>4.725E-3</v>
      </c>
      <c r="O16" s="89"/>
      <c r="P16" s="89"/>
      <c r="Q16" s="90" t="b">
        <v>1</v>
      </c>
      <c r="S16" s="97"/>
      <c r="T16" s="98"/>
      <c r="V16" s="56" t="s">
        <v>125</v>
      </c>
      <c r="W16" s="86" t="b">
        <v>0</v>
      </c>
      <c r="Y16" s="13" t="s">
        <v>124</v>
      </c>
      <c r="Z16" s="17" t="s">
        <v>198</v>
      </c>
      <c r="AB16" s="54"/>
      <c r="AC16" s="36"/>
      <c r="AE16" s="42"/>
      <c r="AF16" s="43"/>
      <c r="AG16" s="43"/>
      <c r="AH16" s="44"/>
      <c r="AI16" s="184"/>
      <c r="AK16" s="56" t="s">
        <v>111</v>
      </c>
      <c r="AL16" s="86" t="b">
        <v>1</v>
      </c>
      <c r="AN16" s="71" t="s">
        <v>113</v>
      </c>
      <c r="AO16" s="82">
        <v>2.197E-2</v>
      </c>
      <c r="AP16" s="83" t="b">
        <v>1</v>
      </c>
      <c r="AQ16" s="6"/>
      <c r="AR16" s="56" t="s">
        <v>125</v>
      </c>
      <c r="AS16" s="86" t="b">
        <v>0</v>
      </c>
      <c r="AU16" s="56" t="s">
        <v>126</v>
      </c>
      <c r="AV16" s="31" t="s">
        <v>63</v>
      </c>
      <c r="AX16" s="87" t="s">
        <v>119</v>
      </c>
      <c r="AY16" s="103">
        <v>1.1900000000000001E-3</v>
      </c>
      <c r="BA16" s="56" t="s">
        <v>126</v>
      </c>
      <c r="BB16" s="31" t="s">
        <v>63</v>
      </c>
      <c r="BD16" s="87" t="s">
        <v>119</v>
      </c>
      <c r="BE16" s="103">
        <v>1.9750000000000002E-3</v>
      </c>
      <c r="BG16" s="56" t="s">
        <v>126</v>
      </c>
      <c r="BH16" s="31" t="s">
        <v>63</v>
      </c>
      <c r="BJ16" s="87" t="s">
        <v>119</v>
      </c>
      <c r="BK16" s="103">
        <v>1.4875000000000001E-3</v>
      </c>
      <c r="BM16" s="56" t="s">
        <v>125</v>
      </c>
      <c r="BN16" s="86" t="b">
        <v>0</v>
      </c>
      <c r="BP16" s="56" t="s">
        <v>220</v>
      </c>
      <c r="BQ16" s="31" t="s">
        <v>326</v>
      </c>
      <c r="BS16" s="56" t="s">
        <v>220</v>
      </c>
      <c r="BT16" s="31" t="s">
        <v>350</v>
      </c>
      <c r="BV16" s="56" t="s">
        <v>220</v>
      </c>
      <c r="BW16" s="31" t="s">
        <v>351</v>
      </c>
      <c r="BY16" s="56" t="s">
        <v>220</v>
      </c>
      <c r="BZ16" s="31" t="s">
        <v>352</v>
      </c>
      <c r="CB16" s="87" t="s">
        <v>119</v>
      </c>
      <c r="CC16" s="103">
        <v>-4.4000000000000002E-4</v>
      </c>
      <c r="CE16" s="56" t="s">
        <v>125</v>
      </c>
      <c r="CF16" s="86" t="b">
        <v>0</v>
      </c>
      <c r="CH16" s="56"/>
      <c r="CI16" s="86"/>
      <c r="CK16" s="56"/>
      <c r="CL16" s="86"/>
      <c r="CN16" s="56"/>
      <c r="CO16" s="86"/>
    </row>
    <row r="17" spans="2:93">
      <c r="B17" s="2" t="s">
        <v>355</v>
      </c>
      <c r="C17" s="9"/>
      <c r="F17" t="s">
        <v>12</v>
      </c>
      <c r="G17" s="56" t="s">
        <v>118</v>
      </c>
      <c r="H17" s="86" t="b">
        <v>0</v>
      </c>
      <c r="J17" s="73"/>
      <c r="K17" s="17"/>
      <c r="M17" s="87" t="s">
        <v>23</v>
      </c>
      <c r="N17" s="88">
        <v>4.8130000000000004E-3</v>
      </c>
      <c r="O17" s="89"/>
      <c r="P17" s="89"/>
      <c r="Q17" s="90" t="b">
        <v>1</v>
      </c>
      <c r="S17" s="97"/>
      <c r="T17" s="98"/>
      <c r="V17" s="56" t="s">
        <v>118</v>
      </c>
      <c r="W17" s="86" t="b">
        <v>0</v>
      </c>
      <c r="Y17" s="13" t="s">
        <v>1</v>
      </c>
      <c r="Z17" s="17" t="s">
        <v>48</v>
      </c>
      <c r="AB17" s="54"/>
      <c r="AC17" s="36"/>
      <c r="AE17" s="42"/>
      <c r="AF17" s="43"/>
      <c r="AG17" s="43"/>
      <c r="AH17" s="44"/>
      <c r="AI17" s="184" t="s">
        <v>88</v>
      </c>
      <c r="AK17" s="56" t="s">
        <v>102</v>
      </c>
      <c r="AL17" s="86" t="b">
        <v>1</v>
      </c>
      <c r="AN17" s="71" t="s">
        <v>28</v>
      </c>
      <c r="AO17" s="82">
        <v>2.2620000000000001E-2</v>
      </c>
      <c r="AP17" s="83" t="b">
        <v>1</v>
      </c>
      <c r="AQ17" s="6"/>
      <c r="AR17" s="56" t="s">
        <v>118</v>
      </c>
      <c r="AS17" s="86" t="b">
        <v>0</v>
      </c>
      <c r="AU17" s="56" t="s">
        <v>120</v>
      </c>
      <c r="AV17" s="109" t="s">
        <v>23</v>
      </c>
      <c r="AX17" s="87" t="s">
        <v>113</v>
      </c>
      <c r="AY17" s="103">
        <v>1.1800000000000001E-3</v>
      </c>
      <c r="BA17" s="56" t="s">
        <v>120</v>
      </c>
      <c r="BB17" s="109" t="s">
        <v>23</v>
      </c>
      <c r="BD17" s="87" t="s">
        <v>113</v>
      </c>
      <c r="BE17" s="103">
        <v>1.9375E-3</v>
      </c>
      <c r="BG17" s="56" t="s">
        <v>120</v>
      </c>
      <c r="BH17" s="109" t="s">
        <v>265</v>
      </c>
      <c r="BJ17" s="87" t="s">
        <v>113</v>
      </c>
      <c r="BK17" s="103">
        <v>1.4124999999999999E-3</v>
      </c>
      <c r="BM17" s="56" t="s">
        <v>118</v>
      </c>
      <c r="BN17" s="86" t="b">
        <v>0</v>
      </c>
      <c r="BP17" s="56" t="s">
        <v>120</v>
      </c>
      <c r="BQ17" s="31" t="s">
        <v>53</v>
      </c>
      <c r="BS17" s="56" t="s">
        <v>120</v>
      </c>
      <c r="BT17" s="31" t="s">
        <v>53</v>
      </c>
      <c r="BV17" s="56" t="s">
        <v>120</v>
      </c>
      <c r="BW17" s="31" t="s">
        <v>53</v>
      </c>
      <c r="BY17" s="56" t="s">
        <v>120</v>
      </c>
      <c r="BZ17" s="31" t="s">
        <v>53</v>
      </c>
      <c r="CB17" s="87" t="s">
        <v>113</v>
      </c>
      <c r="CC17" s="103">
        <v>-4.8999999999999998E-4</v>
      </c>
      <c r="CE17" s="56" t="s">
        <v>118</v>
      </c>
      <c r="CF17" s="86" t="b">
        <v>0</v>
      </c>
      <c r="CH17" s="56"/>
      <c r="CI17" s="86"/>
      <c r="CK17" s="56"/>
      <c r="CL17" s="86"/>
      <c r="CN17" s="56"/>
      <c r="CO17" s="86"/>
    </row>
    <row r="18" spans="2:93">
      <c r="B18" s="55" t="s">
        <v>201</v>
      </c>
      <c r="C18" s="126" t="s">
        <v>329</v>
      </c>
      <c r="D18" s="127"/>
      <c r="E18" s="128"/>
      <c r="F18" t="s">
        <v>12</v>
      </c>
      <c r="G18" s="56" t="s">
        <v>112</v>
      </c>
      <c r="H18" s="86" t="b">
        <v>0</v>
      </c>
      <c r="J18" s="56"/>
      <c r="K18" s="15"/>
      <c r="M18" s="87" t="s">
        <v>65</v>
      </c>
      <c r="N18" s="88">
        <v>4.96E-3</v>
      </c>
      <c r="O18" s="89"/>
      <c r="P18" s="89"/>
      <c r="Q18" s="90" t="b">
        <v>1</v>
      </c>
      <c r="S18" s="97"/>
      <c r="T18" s="98"/>
      <c r="V18" s="56" t="s">
        <v>112</v>
      </c>
      <c r="W18" s="86" t="b">
        <v>0</v>
      </c>
      <c r="Y18" s="13" t="s">
        <v>94</v>
      </c>
      <c r="Z18" s="17">
        <v>0</v>
      </c>
      <c r="AB18" s="54"/>
      <c r="AC18" s="36"/>
      <c r="AE18" s="45"/>
      <c r="AF18" s="46"/>
      <c r="AG18" s="46"/>
      <c r="AH18" s="47"/>
      <c r="AI18" s="185" t="s">
        <v>88</v>
      </c>
      <c r="AK18" s="56" t="s">
        <v>165</v>
      </c>
      <c r="AL18" s="86">
        <v>0</v>
      </c>
      <c r="AN18" s="71" t="s">
        <v>26</v>
      </c>
      <c r="AO18" s="82">
        <v>2.3620000000000002E-2</v>
      </c>
      <c r="AP18" s="83" t="b">
        <v>1</v>
      </c>
      <c r="AQ18" s="6"/>
      <c r="AR18" s="56" t="s">
        <v>112</v>
      </c>
      <c r="AS18" s="86" t="b">
        <v>0</v>
      </c>
      <c r="AU18" s="56" t="s">
        <v>114</v>
      </c>
      <c r="AV18" s="17" t="s">
        <v>198</v>
      </c>
      <c r="AX18" s="87" t="s">
        <v>28</v>
      </c>
      <c r="AY18" s="103">
        <v>1.17E-3</v>
      </c>
      <c r="BA18" s="56" t="s">
        <v>114</v>
      </c>
      <c r="BB18" s="17" t="s">
        <v>198</v>
      </c>
      <c r="BD18" s="87" t="s">
        <v>28</v>
      </c>
      <c r="BE18" s="103">
        <v>1.9250000000000001E-3</v>
      </c>
      <c r="BG18" s="56" t="s">
        <v>114</v>
      </c>
      <c r="BH18" s="17" t="s">
        <v>198</v>
      </c>
      <c r="BJ18" s="87" t="s">
        <v>28</v>
      </c>
      <c r="BK18" s="103">
        <v>1.3500000000000001E-3</v>
      </c>
      <c r="BM18" s="56" t="s">
        <v>112</v>
      </c>
      <c r="BN18" s="86" t="b">
        <v>0</v>
      </c>
      <c r="BP18" s="56" t="s">
        <v>114</v>
      </c>
      <c r="BQ18" s="86" t="s">
        <v>55</v>
      </c>
      <c r="BS18" s="56" t="s">
        <v>114</v>
      </c>
      <c r="BT18" s="86" t="s">
        <v>55</v>
      </c>
      <c r="BV18" s="56" t="s">
        <v>114</v>
      </c>
      <c r="BW18" s="86" t="s">
        <v>55</v>
      </c>
      <c r="BY18" s="56" t="s">
        <v>114</v>
      </c>
      <c r="BZ18" s="86" t="s">
        <v>55</v>
      </c>
      <c r="CB18" s="87" t="s">
        <v>28</v>
      </c>
      <c r="CC18" s="103">
        <v>-5.6500000000000007E-4</v>
      </c>
      <c r="CE18" s="56" t="s">
        <v>112</v>
      </c>
      <c r="CF18" s="86" t="b">
        <v>0</v>
      </c>
      <c r="CH18" s="56"/>
      <c r="CI18" s="86"/>
      <c r="CK18" s="56"/>
      <c r="CL18" s="86"/>
      <c r="CN18" s="56"/>
      <c r="CO18" s="86"/>
    </row>
    <row r="19" spans="2:93">
      <c r="B19" s="56" t="s">
        <v>63</v>
      </c>
      <c r="C19" s="129" t="s">
        <v>310</v>
      </c>
      <c r="D19" s="130"/>
      <c r="E19" s="131"/>
      <c r="F19" t="s">
        <v>12</v>
      </c>
      <c r="G19" s="56" t="s">
        <v>108</v>
      </c>
      <c r="H19" s="86" t="b">
        <v>0</v>
      </c>
      <c r="J19" s="56"/>
      <c r="K19" s="15"/>
      <c r="M19" s="87" t="s">
        <v>61</v>
      </c>
      <c r="N19" s="88">
        <v>5.11E-3</v>
      </c>
      <c r="O19" s="89"/>
      <c r="P19" s="89"/>
      <c r="Q19" s="90" t="b">
        <v>1</v>
      </c>
      <c r="S19" s="97"/>
      <c r="T19" s="98"/>
      <c r="V19" s="56" t="s">
        <v>108</v>
      </c>
      <c r="W19" s="86" t="b">
        <v>0</v>
      </c>
      <c r="Y19" s="57" t="s">
        <v>90</v>
      </c>
      <c r="Z19" s="17" t="s">
        <v>40</v>
      </c>
      <c r="AB19" s="54"/>
      <c r="AC19" s="36"/>
      <c r="AE19" s="45"/>
      <c r="AF19" s="46"/>
      <c r="AG19" s="46"/>
      <c r="AH19" s="47"/>
      <c r="AI19" s="185" t="s">
        <v>88</v>
      </c>
      <c r="AK19" s="56" t="s">
        <v>90</v>
      </c>
      <c r="AL19" s="86" t="s">
        <v>40</v>
      </c>
      <c r="AN19" s="71" t="s">
        <v>24</v>
      </c>
      <c r="AO19" s="82">
        <v>2.4550000000000002E-2</v>
      </c>
      <c r="AP19" s="83" t="b">
        <v>1</v>
      </c>
      <c r="AQ19" s="6"/>
      <c r="AR19" s="56" t="s">
        <v>108</v>
      </c>
      <c r="AS19" s="86" t="b">
        <v>0</v>
      </c>
      <c r="AU19" s="56" t="s">
        <v>109</v>
      </c>
      <c r="AV19" s="17" t="s">
        <v>197</v>
      </c>
      <c r="AX19" s="87" t="s">
        <v>26</v>
      </c>
      <c r="AY19" s="103">
        <v>1.06E-3</v>
      </c>
      <c r="BA19" s="56" t="s">
        <v>109</v>
      </c>
      <c r="BB19" s="17" t="s">
        <v>197</v>
      </c>
      <c r="BD19" s="87" t="s">
        <v>26</v>
      </c>
      <c r="BE19" s="103">
        <v>1.7750000000000001E-3</v>
      </c>
      <c r="BG19" s="56" t="s">
        <v>109</v>
      </c>
      <c r="BH19" s="17" t="s">
        <v>197</v>
      </c>
      <c r="BJ19" s="87" t="s">
        <v>26</v>
      </c>
      <c r="BK19" s="103">
        <v>1.225E-3</v>
      </c>
      <c r="BM19" s="56" t="s">
        <v>108</v>
      </c>
      <c r="BN19" s="86" t="b">
        <v>0</v>
      </c>
      <c r="BP19" s="56" t="s">
        <v>109</v>
      </c>
      <c r="BQ19" s="86" t="s">
        <v>46</v>
      </c>
      <c r="BS19" s="56" t="s">
        <v>109</v>
      </c>
      <c r="BT19" s="86" t="s">
        <v>46</v>
      </c>
      <c r="BV19" s="56" t="s">
        <v>109</v>
      </c>
      <c r="BW19" s="86" t="s">
        <v>46</v>
      </c>
      <c r="BY19" s="56" t="s">
        <v>109</v>
      </c>
      <c r="BZ19" s="86" t="s">
        <v>46</v>
      </c>
      <c r="CB19" s="87" t="s">
        <v>366</v>
      </c>
      <c r="CC19" s="103">
        <v>-6.3499999999999993E-4</v>
      </c>
      <c r="CE19" s="56" t="s">
        <v>108</v>
      </c>
      <c r="CF19" s="86" t="b">
        <v>0</v>
      </c>
      <c r="CH19" s="56"/>
      <c r="CI19" s="86"/>
      <c r="CK19" s="56"/>
      <c r="CL19" s="86"/>
      <c r="CN19" s="56"/>
      <c r="CO19" s="86"/>
    </row>
    <row r="20" spans="2:93">
      <c r="B20" s="56" t="s">
        <v>363</v>
      </c>
      <c r="C20" s="129" t="s">
        <v>205</v>
      </c>
      <c r="D20" s="133"/>
      <c r="E20" s="134"/>
      <c r="F20" t="s">
        <v>12</v>
      </c>
      <c r="G20" s="56" t="s">
        <v>90</v>
      </c>
      <c r="H20" s="86" t="s">
        <v>104</v>
      </c>
      <c r="J20" s="56"/>
      <c r="K20" s="15"/>
      <c r="M20" s="87" t="s">
        <v>57</v>
      </c>
      <c r="N20" s="88">
        <v>5.2500000000000003E-3</v>
      </c>
      <c r="O20" s="89"/>
      <c r="P20" s="89"/>
      <c r="Q20" s="90" t="b">
        <v>1</v>
      </c>
      <c r="S20" s="97"/>
      <c r="T20" s="98"/>
      <c r="V20" s="56" t="s">
        <v>90</v>
      </c>
      <c r="W20" s="86" t="s">
        <v>104</v>
      </c>
      <c r="Y20" s="57"/>
      <c r="Z20" s="17"/>
      <c r="AB20" s="54"/>
      <c r="AC20" s="36"/>
      <c r="AE20" s="45"/>
      <c r="AF20" s="46"/>
      <c r="AG20" s="46"/>
      <c r="AH20" s="47"/>
      <c r="AI20" s="185" t="s">
        <v>88</v>
      </c>
      <c r="AK20" s="56" t="s">
        <v>34</v>
      </c>
      <c r="AL20" s="86" t="b">
        <v>1</v>
      </c>
      <c r="AN20" s="71" t="s">
        <v>20</v>
      </c>
      <c r="AO20" s="82">
        <v>2.5075E-2</v>
      </c>
      <c r="AP20" s="83" t="b">
        <v>1</v>
      </c>
      <c r="AQ20" s="6"/>
      <c r="AR20" s="56" t="s">
        <v>90</v>
      </c>
      <c r="AS20" s="86" t="s">
        <v>104</v>
      </c>
      <c r="AU20" s="56" t="s">
        <v>105</v>
      </c>
      <c r="AV20" s="17" t="s">
        <v>48</v>
      </c>
      <c r="AX20" s="87" t="s">
        <v>24</v>
      </c>
      <c r="AY20" s="103">
        <v>9.1E-4</v>
      </c>
      <c r="BA20" s="56" t="s">
        <v>105</v>
      </c>
      <c r="BB20" s="17" t="s">
        <v>48</v>
      </c>
      <c r="BD20" s="87" t="s">
        <v>24</v>
      </c>
      <c r="BE20" s="103">
        <v>1.5874999999999999E-3</v>
      </c>
      <c r="BG20" s="56" t="s">
        <v>105</v>
      </c>
      <c r="BH20" s="17" t="s">
        <v>48</v>
      </c>
      <c r="BJ20" s="87" t="s">
        <v>24</v>
      </c>
      <c r="BK20" s="103">
        <v>1.0874999999999999E-3</v>
      </c>
      <c r="BM20" s="56" t="s">
        <v>90</v>
      </c>
      <c r="BN20" s="86" t="s">
        <v>104</v>
      </c>
      <c r="BP20" s="56" t="s">
        <v>105</v>
      </c>
      <c r="BQ20" s="86" t="s">
        <v>48</v>
      </c>
      <c r="BS20" s="56" t="s">
        <v>105</v>
      </c>
      <c r="BT20" s="86" t="s">
        <v>48</v>
      </c>
      <c r="BV20" s="56" t="s">
        <v>105</v>
      </c>
      <c r="BW20" s="86" t="s">
        <v>48</v>
      </c>
      <c r="BY20" s="56" t="s">
        <v>105</v>
      </c>
      <c r="BZ20" s="86" t="s">
        <v>48</v>
      </c>
      <c r="CB20" s="87" t="s">
        <v>26</v>
      </c>
      <c r="CC20" s="103">
        <v>-7.2999999999999996E-4</v>
      </c>
      <c r="CE20" s="56" t="s">
        <v>90</v>
      </c>
      <c r="CF20" s="86" t="s">
        <v>104</v>
      </c>
      <c r="CH20" s="56"/>
      <c r="CI20" s="86"/>
      <c r="CK20" s="56"/>
      <c r="CL20" s="86"/>
      <c r="CN20" s="56"/>
      <c r="CO20" s="86"/>
    </row>
    <row r="21" spans="2:93">
      <c r="B21" s="56" t="s">
        <v>206</v>
      </c>
      <c r="C21" s="132" t="s">
        <v>311</v>
      </c>
      <c r="D21" s="133"/>
      <c r="E21" s="134"/>
      <c r="F21" t="s">
        <v>12</v>
      </c>
      <c r="G21" s="56" t="s">
        <v>100</v>
      </c>
      <c r="H21" s="86" t="s">
        <v>29</v>
      </c>
      <c r="J21" s="56"/>
      <c r="K21" s="15"/>
      <c r="M21" s="87" t="s">
        <v>52</v>
      </c>
      <c r="N21" s="88">
        <v>5.4000000000000003E-3</v>
      </c>
      <c r="O21" s="89"/>
      <c r="P21" s="89"/>
      <c r="Q21" s="90" t="b">
        <v>1</v>
      </c>
      <c r="S21" s="97"/>
      <c r="T21" s="98"/>
      <c r="V21" s="56" t="s">
        <v>100</v>
      </c>
      <c r="W21" s="86" t="s">
        <v>29</v>
      </c>
      <c r="Y21" s="57"/>
      <c r="Z21" s="17"/>
      <c r="AB21" s="54"/>
      <c r="AC21" s="36"/>
      <c r="AE21" s="45"/>
      <c r="AF21" s="46"/>
      <c r="AG21" s="46"/>
      <c r="AH21" s="47"/>
      <c r="AI21" s="185" t="s">
        <v>88</v>
      </c>
      <c r="AK21" s="56"/>
      <c r="AL21" s="86"/>
      <c r="AN21" s="71" t="s">
        <v>18</v>
      </c>
      <c r="AO21" s="82">
        <v>2.5049999999999999E-2</v>
      </c>
      <c r="AP21" s="83" t="b">
        <v>1</v>
      </c>
      <c r="AQ21" s="6"/>
      <c r="AR21" s="56" t="s">
        <v>100</v>
      </c>
      <c r="AS21" s="86" t="s">
        <v>29</v>
      </c>
      <c r="AU21" s="56" t="s">
        <v>101</v>
      </c>
      <c r="AV21" s="17" t="s">
        <v>197</v>
      </c>
      <c r="AX21" s="87" t="s">
        <v>20</v>
      </c>
      <c r="AY21" s="103">
        <v>7.2999999999999996E-4</v>
      </c>
      <c r="BA21" s="56" t="s">
        <v>101</v>
      </c>
      <c r="BB21" s="17" t="s">
        <v>197</v>
      </c>
      <c r="BD21" s="87" t="s">
        <v>20</v>
      </c>
      <c r="BE21" s="103">
        <v>1.3875000000000001E-3</v>
      </c>
      <c r="BG21" s="56" t="s">
        <v>101</v>
      </c>
      <c r="BH21" s="17" t="s">
        <v>197</v>
      </c>
      <c r="BJ21" s="87" t="s">
        <v>20</v>
      </c>
      <c r="BK21" s="103">
        <v>9.5E-4</v>
      </c>
      <c r="BM21" s="56" t="s">
        <v>100</v>
      </c>
      <c r="BN21" s="86" t="s">
        <v>29</v>
      </c>
      <c r="BP21" s="56" t="s">
        <v>101</v>
      </c>
      <c r="BQ21" s="86" t="s">
        <v>46</v>
      </c>
      <c r="BS21" s="56" t="s">
        <v>101</v>
      </c>
      <c r="BT21" s="86" t="s">
        <v>46</v>
      </c>
      <c r="BV21" s="56" t="s">
        <v>101</v>
      </c>
      <c r="BW21" s="86" t="s">
        <v>46</v>
      </c>
      <c r="BY21" s="56" t="s">
        <v>101</v>
      </c>
      <c r="BZ21" s="86" t="s">
        <v>46</v>
      </c>
      <c r="CB21" s="87" t="s">
        <v>376</v>
      </c>
      <c r="CC21" s="103">
        <v>-8.25E-4</v>
      </c>
      <c r="CE21" s="56" t="s">
        <v>100</v>
      </c>
      <c r="CF21" s="86" t="s">
        <v>29</v>
      </c>
      <c r="CH21" s="56"/>
      <c r="CI21" s="86"/>
      <c r="CK21" s="56"/>
      <c r="CL21" s="86"/>
      <c r="CN21" s="56"/>
      <c r="CO21" s="86"/>
    </row>
    <row r="22" spans="2:93">
      <c r="B22" s="56" t="s">
        <v>211</v>
      </c>
      <c r="C22" s="132" t="s">
        <v>389</v>
      </c>
      <c r="D22" s="133"/>
      <c r="E22" s="134"/>
      <c r="F22" t="s">
        <v>12</v>
      </c>
      <c r="G22" s="56" t="s">
        <v>95</v>
      </c>
      <c r="H22" s="17" t="b">
        <v>1</v>
      </c>
      <c r="J22" s="56"/>
      <c r="K22" s="17"/>
      <c r="M22" s="87" t="s">
        <v>50</v>
      </c>
      <c r="N22" s="88">
        <v>5.6000000000000008E-3</v>
      </c>
      <c r="O22" s="89"/>
      <c r="P22" s="89"/>
      <c r="Q22" s="90" t="b">
        <v>1</v>
      </c>
      <c r="S22" s="97"/>
      <c r="T22" s="98"/>
      <c r="V22" s="56" t="s">
        <v>95</v>
      </c>
      <c r="W22" s="86" t="b">
        <v>1</v>
      </c>
      <c r="Y22" s="57"/>
      <c r="Z22" s="17"/>
      <c r="AB22" s="54"/>
      <c r="AC22" s="36"/>
      <c r="AE22" s="45"/>
      <c r="AF22" s="46"/>
      <c r="AG22" s="46"/>
      <c r="AH22" s="47"/>
      <c r="AI22" s="185" t="s">
        <v>88</v>
      </c>
      <c r="AK22" s="56"/>
      <c r="AL22" s="86"/>
      <c r="AN22" s="71" t="s">
        <v>17</v>
      </c>
      <c r="AO22" s="82">
        <v>2.4900000000000002E-2</v>
      </c>
      <c r="AP22" s="83" t="b">
        <v>1</v>
      </c>
      <c r="AQ22" s="6"/>
      <c r="AR22" s="56" t="s">
        <v>95</v>
      </c>
      <c r="AS22" s="86" t="b">
        <v>1</v>
      </c>
      <c r="AU22" s="56" t="s">
        <v>96</v>
      </c>
      <c r="AV22" s="17">
        <v>0</v>
      </c>
      <c r="AX22" s="87" t="s">
        <v>18</v>
      </c>
      <c r="AY22" s="103">
        <v>6.3000000000000003E-4</v>
      </c>
      <c r="BA22" s="56" t="s">
        <v>96</v>
      </c>
      <c r="BB22" s="17">
        <v>0</v>
      </c>
      <c r="BD22" s="87" t="s">
        <v>18</v>
      </c>
      <c r="BE22" s="103">
        <v>1.2625E-3</v>
      </c>
      <c r="BG22" s="56" t="s">
        <v>96</v>
      </c>
      <c r="BH22" s="17">
        <v>0</v>
      </c>
      <c r="BJ22" s="87" t="s">
        <v>18</v>
      </c>
      <c r="BK22" s="103">
        <v>8.3750000000000003E-4</v>
      </c>
      <c r="BM22" s="56" t="s">
        <v>95</v>
      </c>
      <c r="BN22" s="86" t="b">
        <v>1</v>
      </c>
      <c r="BP22" s="56" t="s">
        <v>96</v>
      </c>
      <c r="BQ22" s="86">
        <v>2</v>
      </c>
      <c r="BS22" s="56" t="s">
        <v>96</v>
      </c>
      <c r="BT22" s="86">
        <v>2</v>
      </c>
      <c r="BV22" s="56" t="s">
        <v>96</v>
      </c>
      <c r="BW22" s="86">
        <v>2</v>
      </c>
      <c r="BY22" s="56" t="s">
        <v>96</v>
      </c>
      <c r="BZ22" s="86">
        <v>2</v>
      </c>
      <c r="CB22" s="87" t="s">
        <v>377</v>
      </c>
      <c r="CC22" s="103">
        <v>-9.1E-4</v>
      </c>
      <c r="CE22" s="56" t="s">
        <v>95</v>
      </c>
      <c r="CF22" s="86" t="b">
        <v>1</v>
      </c>
      <c r="CH22" s="56"/>
      <c r="CI22" s="86"/>
      <c r="CK22" s="56"/>
      <c r="CL22" s="86"/>
      <c r="CN22" s="56"/>
      <c r="CO22" s="86"/>
    </row>
    <row r="23" spans="2:93">
      <c r="B23" s="56" t="s">
        <v>288</v>
      </c>
      <c r="C23" s="132" t="s">
        <v>312</v>
      </c>
      <c r="D23" s="133"/>
      <c r="E23" s="134"/>
      <c r="F23" t="s">
        <v>12</v>
      </c>
      <c r="G23" s="56" t="s">
        <v>91</v>
      </c>
      <c r="H23" s="17" t="s">
        <v>29</v>
      </c>
      <c r="J23" s="13"/>
      <c r="K23" s="30"/>
      <c r="M23" s="87" t="s">
        <v>160</v>
      </c>
      <c r="N23" s="88">
        <v>5.77E-3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15</v>
      </c>
      <c r="AO23" s="82">
        <v>2.4399999999999998E-2</v>
      </c>
      <c r="AP23" s="83" t="b">
        <v>1</v>
      </c>
      <c r="AQ23" s="6"/>
      <c r="AR23" s="13" t="s">
        <v>91</v>
      </c>
      <c r="AS23" s="86" t="s">
        <v>29</v>
      </c>
      <c r="AU23" s="79" t="s">
        <v>92</v>
      </c>
      <c r="AV23" s="20" t="s">
        <v>40</v>
      </c>
      <c r="AX23" s="87" t="s">
        <v>17</v>
      </c>
      <c r="AY23" s="103">
        <v>5.6999999999999998E-4</v>
      </c>
      <c r="BA23" s="79" t="s">
        <v>92</v>
      </c>
      <c r="BB23" s="20" t="s">
        <v>40</v>
      </c>
      <c r="BD23" s="87" t="s">
        <v>17</v>
      </c>
      <c r="BE23" s="103">
        <v>1.15E-3</v>
      </c>
      <c r="BG23" s="79" t="s">
        <v>92</v>
      </c>
      <c r="BH23" s="20" t="s">
        <v>40</v>
      </c>
      <c r="BJ23" s="87" t="s">
        <v>17</v>
      </c>
      <c r="BK23" s="103">
        <v>7.6250000000000005E-4</v>
      </c>
      <c r="BM23" s="13" t="s">
        <v>91</v>
      </c>
      <c r="BN23" s="86" t="s">
        <v>29</v>
      </c>
      <c r="BP23" s="56" t="s">
        <v>92</v>
      </c>
      <c r="BQ23" s="17" t="s">
        <v>40</v>
      </c>
      <c r="BS23" s="56" t="s">
        <v>92</v>
      </c>
      <c r="BT23" s="17" t="s">
        <v>40</v>
      </c>
      <c r="BV23" s="56" t="s">
        <v>92</v>
      </c>
      <c r="BW23" s="17" t="s">
        <v>40</v>
      </c>
      <c r="BY23" s="56" t="s">
        <v>92</v>
      </c>
      <c r="BZ23" s="17" t="s">
        <v>40</v>
      </c>
      <c r="CB23" s="87" t="s">
        <v>24</v>
      </c>
      <c r="CC23" s="103">
        <v>-1E-3</v>
      </c>
      <c r="CE23" s="13" t="s">
        <v>91</v>
      </c>
      <c r="CF23" s="86" t="s">
        <v>29</v>
      </c>
      <c r="CH23" s="56"/>
      <c r="CI23" s="86"/>
      <c r="CK23" s="56"/>
      <c r="CL23" s="86"/>
      <c r="CN23" s="56"/>
      <c r="CO23" s="86"/>
    </row>
    <row r="24" spans="2:93">
      <c r="B24" s="56"/>
      <c r="C24" s="132"/>
      <c r="D24" s="133"/>
      <c r="E24" s="134"/>
      <c r="F24" t="s">
        <v>12</v>
      </c>
      <c r="G24" s="79" t="s">
        <v>193</v>
      </c>
      <c r="H24" s="20" t="s">
        <v>29</v>
      </c>
      <c r="J24" s="14"/>
      <c r="K24" s="32"/>
      <c r="M24" s="87" t="s">
        <v>45</v>
      </c>
      <c r="N24" s="88">
        <v>7.0169999999999998E-3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14</v>
      </c>
      <c r="AO24" s="82">
        <v>2.4055E-2</v>
      </c>
      <c r="AP24" s="83" t="b">
        <v>1</v>
      </c>
      <c r="AQ24" s="6"/>
      <c r="AR24" s="13" t="s">
        <v>193</v>
      </c>
      <c r="AS24" s="86" t="s">
        <v>29</v>
      </c>
      <c r="AU24" s="78" t="s">
        <v>87</v>
      </c>
      <c r="AV24" s="102" t="s">
        <v>197</v>
      </c>
      <c r="AX24" s="87" t="s">
        <v>15</v>
      </c>
      <c r="AY24" s="103">
        <v>4.8749999999999998E-4</v>
      </c>
      <c r="BA24" s="78" t="s">
        <v>87</v>
      </c>
      <c r="BB24" s="102" t="s">
        <v>197</v>
      </c>
      <c r="BD24" s="87" t="s">
        <v>15</v>
      </c>
      <c r="BE24" s="103">
        <v>1.0250000000000001E-3</v>
      </c>
      <c r="BG24" s="78" t="s">
        <v>87</v>
      </c>
      <c r="BH24" s="102" t="s">
        <v>197</v>
      </c>
      <c r="BJ24" s="87" t="s">
        <v>15</v>
      </c>
      <c r="BK24" s="103">
        <v>6.625E-4</v>
      </c>
      <c r="BM24" s="13" t="s">
        <v>193</v>
      </c>
      <c r="BN24" s="86" t="s">
        <v>29</v>
      </c>
      <c r="BP24" s="56" t="s">
        <v>87</v>
      </c>
      <c r="BQ24" s="86" t="s">
        <v>264</v>
      </c>
      <c r="BS24" s="56" t="s">
        <v>87</v>
      </c>
      <c r="BT24" s="86" t="s">
        <v>264</v>
      </c>
      <c r="BV24" s="56" t="s">
        <v>87</v>
      </c>
      <c r="BW24" s="86" t="s">
        <v>264</v>
      </c>
      <c r="BY24" s="56" t="s">
        <v>87</v>
      </c>
      <c r="BZ24" s="86" t="s">
        <v>264</v>
      </c>
      <c r="CB24" s="87" t="s">
        <v>20</v>
      </c>
      <c r="CC24" s="103">
        <v>-1E-3</v>
      </c>
      <c r="CE24" s="13" t="s">
        <v>193</v>
      </c>
      <c r="CF24" s="86" t="s">
        <v>29</v>
      </c>
      <c r="CH24" s="56"/>
      <c r="CI24" s="86"/>
      <c r="CK24" s="56"/>
      <c r="CL24" s="86"/>
      <c r="CN24" s="56"/>
      <c r="CO24" s="86"/>
    </row>
    <row r="25" spans="2:93">
      <c r="B25" s="62"/>
      <c r="C25" s="135"/>
      <c r="D25" s="136"/>
      <c r="E25" s="137"/>
      <c r="F25" t="s">
        <v>12</v>
      </c>
      <c r="G25" s="14" t="s">
        <v>84</v>
      </c>
      <c r="H25" s="108" t="b">
        <v>1</v>
      </c>
      <c r="M25" s="87" t="s">
        <v>42</v>
      </c>
      <c r="N25" s="88">
        <v>8.3800000000000003E-3</v>
      </c>
      <c r="O25" s="89"/>
      <c r="P25" s="89"/>
      <c r="Q25" s="90" t="b">
        <v>1</v>
      </c>
      <c r="S25" s="97"/>
      <c r="T25" s="98"/>
      <c r="V25" s="13" t="s">
        <v>84</v>
      </c>
      <c r="W25" s="86" t="b">
        <v>1</v>
      </c>
      <c r="Y25" s="58"/>
      <c r="Z25" s="20"/>
      <c r="AB25" s="65"/>
      <c r="AC25" s="41"/>
      <c r="AE25" s="48"/>
      <c r="AF25" s="46"/>
      <c r="AG25" s="46"/>
      <c r="AH25" s="49"/>
      <c r="AI25" s="185" t="s">
        <v>88</v>
      </c>
      <c r="AK25" s="56"/>
      <c r="AL25" s="86"/>
      <c r="AN25" s="71" t="s">
        <v>88</v>
      </c>
      <c r="AO25" s="82" t="s">
        <v>88</v>
      </c>
      <c r="AP25" s="83" t="b">
        <v>0</v>
      </c>
      <c r="AQ25" s="6"/>
      <c r="AR25" s="13" t="s">
        <v>84</v>
      </c>
      <c r="AS25" s="86" t="b">
        <v>1</v>
      </c>
      <c r="AU25" s="56" t="s">
        <v>85</v>
      </c>
      <c r="AV25" s="17" t="s">
        <v>198</v>
      </c>
      <c r="AX25" s="87" t="s">
        <v>14</v>
      </c>
      <c r="AY25" s="103">
        <v>4.4999999999999999E-4</v>
      </c>
      <c r="BA25" s="56" t="s">
        <v>85</v>
      </c>
      <c r="BB25" s="17" t="s">
        <v>198</v>
      </c>
      <c r="BD25" s="87" t="s">
        <v>14</v>
      </c>
      <c r="BE25" s="103">
        <v>9.6250000000000003E-4</v>
      </c>
      <c r="BG25" s="56" t="s">
        <v>85</v>
      </c>
      <c r="BH25" s="17" t="s">
        <v>198</v>
      </c>
      <c r="BJ25" s="87" t="s">
        <v>14</v>
      </c>
      <c r="BK25" s="103">
        <v>5.8750000000000002E-4</v>
      </c>
      <c r="BM25" s="13" t="s">
        <v>84</v>
      </c>
      <c r="BN25" s="86" t="b">
        <v>1</v>
      </c>
      <c r="BP25" s="78" t="s">
        <v>85</v>
      </c>
      <c r="BQ25" s="106" t="s">
        <v>198</v>
      </c>
      <c r="BS25" s="78" t="s">
        <v>85</v>
      </c>
      <c r="BT25" s="106" t="s">
        <v>198</v>
      </c>
      <c r="BV25" s="78" t="s">
        <v>85</v>
      </c>
      <c r="BW25" s="106" t="s">
        <v>198</v>
      </c>
      <c r="BY25" s="78" t="s">
        <v>85</v>
      </c>
      <c r="BZ25" s="106" t="s">
        <v>198</v>
      </c>
      <c r="CB25" s="87" t="s">
        <v>18</v>
      </c>
      <c r="CC25" s="103">
        <v>-8.4499999999999994E-4</v>
      </c>
      <c r="CE25" s="13" t="s">
        <v>84</v>
      </c>
      <c r="CF25" s="86" t="b">
        <v>1</v>
      </c>
      <c r="CH25" s="56"/>
      <c r="CI25" s="86"/>
      <c r="CK25" s="56"/>
      <c r="CL25" s="86"/>
      <c r="CN25" s="56"/>
      <c r="CO25" s="86"/>
    </row>
    <row r="26" spans="2:93">
      <c r="F26" t="s">
        <v>12</v>
      </c>
      <c r="M26" s="87" t="s">
        <v>39</v>
      </c>
      <c r="N26" s="88">
        <v>1.085E-2</v>
      </c>
      <c r="O26" s="89"/>
      <c r="P26" s="89"/>
      <c r="Q26" s="90" t="b">
        <v>1</v>
      </c>
      <c r="S26" s="97"/>
      <c r="T26" s="98"/>
      <c r="V26" s="13" t="s">
        <v>81</v>
      </c>
      <c r="W26" s="86" t="s">
        <v>201</v>
      </c>
      <c r="Y26" s="215" t="s">
        <v>23</v>
      </c>
      <c r="Z26" s="216">
        <v>7.5900000000000004E-3</v>
      </c>
      <c r="AB26" s="54"/>
      <c r="AC26" s="36"/>
      <c r="AE26" s="50"/>
      <c r="AF26" s="51"/>
      <c r="AG26" s="51"/>
      <c r="AH26" s="51"/>
      <c r="AI26" s="186" t="s">
        <v>88</v>
      </c>
      <c r="AK26" s="56"/>
      <c r="AL26" s="86"/>
      <c r="AN26" s="71" t="s">
        <v>88</v>
      </c>
      <c r="AO26" s="82" t="s">
        <v>88</v>
      </c>
      <c r="AP26" s="83" t="b">
        <v>0</v>
      </c>
      <c r="AQ26" s="6"/>
      <c r="AR26" s="13" t="s">
        <v>81</v>
      </c>
      <c r="AS26" s="86" t="s">
        <v>201</v>
      </c>
      <c r="AU26" s="56" t="s">
        <v>83</v>
      </c>
      <c r="AV26" s="86" t="s">
        <v>77</v>
      </c>
      <c r="AX26" s="87" t="s">
        <v>88</v>
      </c>
      <c r="AY26" s="103" t="s">
        <v>88</v>
      </c>
      <c r="BA26" s="56" t="s">
        <v>83</v>
      </c>
      <c r="BB26" s="86" t="s">
        <v>82</v>
      </c>
      <c r="BD26" s="87" t="s">
        <v>13</v>
      </c>
      <c r="BE26" s="103">
        <v>8.9999999999999998E-4</v>
      </c>
      <c r="BG26" s="56" t="s">
        <v>83</v>
      </c>
      <c r="BH26" s="86" t="s">
        <v>78</v>
      </c>
      <c r="BJ26" s="87" t="s">
        <v>13</v>
      </c>
      <c r="BK26" s="103">
        <v>5.375E-4</v>
      </c>
      <c r="BM26" s="13" t="s">
        <v>81</v>
      </c>
      <c r="BN26" s="86" t="s">
        <v>201</v>
      </c>
      <c r="BP26" s="56" t="s">
        <v>83</v>
      </c>
      <c r="BQ26" s="86" t="s">
        <v>77</v>
      </c>
      <c r="BS26" s="56" t="s">
        <v>83</v>
      </c>
      <c r="BT26" s="86" t="s">
        <v>77</v>
      </c>
      <c r="BV26" s="56" t="s">
        <v>83</v>
      </c>
      <c r="BW26" s="86" t="s">
        <v>77</v>
      </c>
      <c r="BY26" s="56" t="s">
        <v>83</v>
      </c>
      <c r="BZ26" s="86" t="s">
        <v>77</v>
      </c>
      <c r="CB26" s="87" t="s">
        <v>17</v>
      </c>
      <c r="CC26" s="103">
        <v>-6.4999999999999997E-4</v>
      </c>
      <c r="CE26" s="13" t="s">
        <v>81</v>
      </c>
      <c r="CF26" s="86" t="s">
        <v>201</v>
      </c>
      <c r="CH26" s="56"/>
      <c r="CI26" s="86"/>
      <c r="CK26" s="56"/>
      <c r="CL26" s="86"/>
      <c r="CN26" s="56"/>
      <c r="CO26" s="86"/>
    </row>
    <row r="27" spans="2:93">
      <c r="B27" s="2" t="s">
        <v>356</v>
      </c>
      <c r="C27" s="9"/>
      <c r="F27" t="s">
        <v>12</v>
      </c>
      <c r="M27" s="87" t="s">
        <v>35</v>
      </c>
      <c r="N27" s="88">
        <v>1.2895E-2</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73</v>
      </c>
      <c r="BQ27" s="86" t="s">
        <v>40</v>
      </c>
      <c r="BS27" s="56" t="s">
        <v>73</v>
      </c>
      <c r="BT27" s="86" t="s">
        <v>40</v>
      </c>
      <c r="BV27" s="56" t="s">
        <v>73</v>
      </c>
      <c r="BW27" s="86" t="s">
        <v>40</v>
      </c>
      <c r="BY27" s="56" t="s">
        <v>73</v>
      </c>
      <c r="BZ27" s="86" t="s">
        <v>40</v>
      </c>
      <c r="CB27" s="87" t="s">
        <v>15</v>
      </c>
      <c r="CC27" s="103">
        <v>-2.5000000000000001E-5</v>
      </c>
      <c r="CE27" s="13"/>
      <c r="CF27" s="86"/>
      <c r="CH27" s="56"/>
      <c r="CI27" s="86"/>
      <c r="CK27" s="56"/>
      <c r="CL27" s="86"/>
      <c r="CN27" s="56"/>
      <c r="CO27" s="86"/>
    </row>
    <row r="28" spans="2:93">
      <c r="B28" s="55" t="s">
        <v>201</v>
      </c>
      <c r="C28" s="126" t="s">
        <v>204</v>
      </c>
      <c r="D28" s="127"/>
      <c r="E28" s="128"/>
      <c r="F28" t="s">
        <v>12</v>
      </c>
      <c r="M28" s="87" t="s">
        <v>33</v>
      </c>
      <c r="N28" s="88">
        <v>1.4574999999999999E-2</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v>0</v>
      </c>
      <c r="AX28" s="87" t="s">
        <v>88</v>
      </c>
      <c r="AY28" s="103" t="s">
        <v>88</v>
      </c>
      <c r="BA28" s="56" t="s">
        <v>69</v>
      </c>
      <c r="BB28" s="17">
        <v>0</v>
      </c>
      <c r="BD28" s="87" t="s">
        <v>88</v>
      </c>
      <c r="BE28" s="103" t="s">
        <v>88</v>
      </c>
      <c r="BG28" s="56" t="s">
        <v>69</v>
      </c>
      <c r="BH28" s="17">
        <v>0</v>
      </c>
      <c r="BJ28" s="87" t="s">
        <v>88</v>
      </c>
      <c r="BK28" s="103" t="s">
        <v>88</v>
      </c>
      <c r="BM28" s="13"/>
      <c r="BN28" s="86"/>
      <c r="BP28" s="56" t="s">
        <v>69</v>
      </c>
      <c r="BQ28" s="86">
        <v>2</v>
      </c>
      <c r="BS28" s="56" t="s">
        <v>69</v>
      </c>
      <c r="BT28" s="86">
        <v>2</v>
      </c>
      <c r="BV28" s="56" t="s">
        <v>69</v>
      </c>
      <c r="BW28" s="86">
        <v>2</v>
      </c>
      <c r="BY28" s="56" t="s">
        <v>69</v>
      </c>
      <c r="BZ28" s="86">
        <v>2</v>
      </c>
      <c r="CB28" s="87" t="s">
        <v>14</v>
      </c>
      <c r="CC28" s="103">
        <v>3.7500000000000001E-4</v>
      </c>
      <c r="CE28" s="13"/>
      <c r="CF28" s="86"/>
      <c r="CH28" s="56"/>
      <c r="CI28" s="86"/>
      <c r="CK28" s="56"/>
      <c r="CL28" s="86"/>
      <c r="CN28" s="56"/>
      <c r="CO28" s="86"/>
    </row>
    <row r="29" spans="2:93">
      <c r="B29" s="56" t="s">
        <v>63</v>
      </c>
      <c r="C29" s="129" t="s">
        <v>310</v>
      </c>
      <c r="D29" s="130"/>
      <c r="E29" s="131"/>
      <c r="F29" t="s">
        <v>12</v>
      </c>
      <c r="M29" s="87" t="s">
        <v>131</v>
      </c>
      <c r="N29" s="88">
        <v>1.5925000000000002E-2</v>
      </c>
      <c r="O29" s="89"/>
      <c r="P29" s="89"/>
      <c r="Q29" s="90" t="b">
        <v>1</v>
      </c>
      <c r="S29" s="97"/>
      <c r="T29" s="98"/>
      <c r="V29" s="13"/>
      <c r="W29" s="86"/>
      <c r="Y29" s="54" t="s">
        <v>23</v>
      </c>
      <c r="Z29" s="36">
        <v>7.3312999999999998E-3</v>
      </c>
      <c r="AB29" s="54" t="s">
        <v>71</v>
      </c>
      <c r="AC29" s="36">
        <v>7.5900000000000004E-3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224</v>
      </c>
      <c r="BQ29" s="31" t="s">
        <v>201</v>
      </c>
      <c r="BS29" s="56" t="s">
        <v>224</v>
      </c>
      <c r="BT29" s="31" t="s">
        <v>201</v>
      </c>
      <c r="BV29" s="56" t="s">
        <v>224</v>
      </c>
      <c r="BW29" s="31" t="s">
        <v>201</v>
      </c>
      <c r="BY29" s="56" t="s">
        <v>224</v>
      </c>
      <c r="BZ29" s="31" t="s">
        <v>201</v>
      </c>
      <c r="CB29" s="87" t="s">
        <v>88</v>
      </c>
      <c r="CC29" s="103" t="s">
        <v>88</v>
      </c>
      <c r="CE29" s="13"/>
      <c r="CF29" s="86"/>
      <c r="CH29" s="56"/>
      <c r="CI29" s="86"/>
      <c r="CK29" s="56"/>
      <c r="CL29" s="86"/>
      <c r="CN29" s="56"/>
      <c r="CO29" s="86"/>
    </row>
    <row r="30" spans="2:93">
      <c r="B30" s="56" t="s">
        <v>206</v>
      </c>
      <c r="C30" s="132" t="s">
        <v>311</v>
      </c>
      <c r="D30" s="133"/>
      <c r="E30" s="134"/>
      <c r="F30" t="s">
        <v>12</v>
      </c>
      <c r="M30" s="87" t="s">
        <v>31</v>
      </c>
      <c r="N30" s="88">
        <v>1.7059999999999999E-2</v>
      </c>
      <c r="O30" s="89"/>
      <c r="P30" s="89"/>
      <c r="Q30" s="90" t="b">
        <v>1</v>
      </c>
      <c r="S30" s="97"/>
      <c r="T30" s="98"/>
      <c r="V30" s="13"/>
      <c r="W30" s="86"/>
      <c r="Y30" s="54"/>
      <c r="Z30" s="36"/>
      <c r="AB30" s="54" t="s">
        <v>68</v>
      </c>
      <c r="AC30" s="36">
        <v>7.8799999999999999E-3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226</v>
      </c>
      <c r="BQ30" s="31" t="s">
        <v>380</v>
      </c>
      <c r="BS30" s="56" t="s">
        <v>226</v>
      </c>
      <c r="BT30" s="31" t="s">
        <v>380</v>
      </c>
      <c r="BV30" s="56" t="s">
        <v>226</v>
      </c>
      <c r="BW30" s="31" t="s">
        <v>380</v>
      </c>
      <c r="BY30" s="56" t="s">
        <v>226</v>
      </c>
      <c r="BZ30" s="31" t="s">
        <v>380</v>
      </c>
      <c r="CB30" s="87" t="s">
        <v>88</v>
      </c>
      <c r="CC30" s="103" t="s">
        <v>88</v>
      </c>
      <c r="CE30" s="13"/>
      <c r="CF30" s="86"/>
      <c r="CH30" s="56"/>
      <c r="CI30" s="86"/>
      <c r="CK30" s="56"/>
      <c r="CL30" s="86"/>
      <c r="CN30" s="56"/>
      <c r="CO30" s="86"/>
    </row>
    <row r="31" spans="2:93">
      <c r="B31" s="56" t="s">
        <v>211</v>
      </c>
      <c r="C31" s="132" t="s">
        <v>389</v>
      </c>
      <c r="D31" s="133"/>
      <c r="E31" s="134"/>
      <c r="F31" t="s">
        <v>12</v>
      </c>
      <c r="M31" s="87" t="s">
        <v>119</v>
      </c>
      <c r="N31" s="88">
        <v>1.8005E-2</v>
      </c>
      <c r="O31" s="89"/>
      <c r="P31" s="89"/>
      <c r="Q31" s="90" t="b">
        <v>1</v>
      </c>
      <c r="S31" s="97"/>
      <c r="T31" s="98"/>
      <c r="V31" s="13"/>
      <c r="W31" s="86"/>
      <c r="Y31" s="54"/>
      <c r="Z31" s="36"/>
      <c r="AB31" s="54" t="s">
        <v>66</v>
      </c>
      <c r="AC31" s="36">
        <v>8.199999999999999E-3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60</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312</v>
      </c>
      <c r="D32" s="133"/>
      <c r="E32" s="134"/>
      <c r="F32" t="s">
        <v>12</v>
      </c>
      <c r="M32" s="87" t="s">
        <v>113</v>
      </c>
      <c r="N32" s="88">
        <v>1.8787000000000002E-2</v>
      </c>
      <c r="O32" s="89"/>
      <c r="P32" s="89"/>
      <c r="Q32" s="90" t="b">
        <v>1</v>
      </c>
      <c r="S32" s="97"/>
      <c r="T32" s="98"/>
      <c r="V32" s="13"/>
      <c r="W32" s="86"/>
      <c r="Y32" s="54"/>
      <c r="Z32" s="36"/>
      <c r="AA32" s="3"/>
      <c r="AB32" s="54" t="s">
        <v>62</v>
      </c>
      <c r="AC32" s="36">
        <v>8.6E-3</v>
      </c>
      <c r="AD32" s="3"/>
      <c r="AE32" s="50"/>
      <c r="AF32" s="51"/>
      <c r="AG32" s="51"/>
      <c r="AH32" s="51"/>
      <c r="AI32" s="186" t="s">
        <v>88</v>
      </c>
      <c r="AK32" s="56"/>
      <c r="AL32" s="86"/>
      <c r="AN32" s="71" t="s">
        <v>88</v>
      </c>
      <c r="AO32" s="82" t="s">
        <v>88</v>
      </c>
      <c r="AP32" s="83" t="b">
        <v>0</v>
      </c>
      <c r="AQ32" s="6"/>
      <c r="AR32" s="13"/>
      <c r="AS32" s="86"/>
      <c r="AU32" s="56" t="s">
        <v>56</v>
      </c>
      <c r="AV32" s="17" t="s">
        <v>198</v>
      </c>
      <c r="AX32" s="87" t="s">
        <v>88</v>
      </c>
      <c r="AY32" s="103" t="s">
        <v>88</v>
      </c>
      <c r="BA32" s="56" t="s">
        <v>56</v>
      </c>
      <c r="BB32" s="17" t="s">
        <v>198</v>
      </c>
      <c r="BD32" s="87" t="s">
        <v>88</v>
      </c>
      <c r="BE32" s="103" t="s">
        <v>88</v>
      </c>
      <c r="BG32" s="56" t="s">
        <v>56</v>
      </c>
      <c r="BH32" s="17" t="s">
        <v>198</v>
      </c>
      <c r="BJ32" s="87" t="s">
        <v>88</v>
      </c>
      <c r="BK32" s="103" t="s">
        <v>88</v>
      </c>
      <c r="BM32" s="13"/>
      <c r="BN32" s="86"/>
      <c r="BP32" s="56" t="s">
        <v>56</v>
      </c>
      <c r="BQ32" s="86" t="s">
        <v>257</v>
      </c>
      <c r="BS32" s="56" t="s">
        <v>56</v>
      </c>
      <c r="BT32" s="86" t="s">
        <v>257</v>
      </c>
      <c r="BV32" s="56" t="s">
        <v>56</v>
      </c>
      <c r="BW32" s="86" t="s">
        <v>257</v>
      </c>
      <c r="BY32" s="56" t="s">
        <v>56</v>
      </c>
      <c r="BZ32" s="86" t="s">
        <v>257</v>
      </c>
      <c r="CB32" s="87" t="s">
        <v>88</v>
      </c>
      <c r="CC32" s="103" t="s">
        <v>88</v>
      </c>
      <c r="CE32" s="13"/>
      <c r="CF32" s="86"/>
      <c r="CH32" s="56"/>
      <c r="CI32" s="86"/>
      <c r="CK32" s="56"/>
      <c r="CL32" s="86"/>
      <c r="CN32" s="56"/>
      <c r="CO32" s="86"/>
    </row>
    <row r="33" spans="2:93">
      <c r="B33" s="56" t="s">
        <v>208</v>
      </c>
      <c r="C33" s="132" t="s">
        <v>328</v>
      </c>
      <c r="D33" s="133"/>
      <c r="E33" s="134"/>
      <c r="F33" t="s">
        <v>12</v>
      </c>
      <c r="M33" s="87" t="s">
        <v>28</v>
      </c>
      <c r="N33" s="88">
        <v>1.9474999999999999E-2</v>
      </c>
      <c r="O33" s="89"/>
      <c r="P33" s="89"/>
      <c r="Q33" s="90" t="b">
        <v>1</v>
      </c>
      <c r="S33" s="97"/>
      <c r="T33" s="98"/>
      <c r="V33" s="13"/>
      <c r="W33" s="86"/>
      <c r="Y33" s="54"/>
      <c r="Z33" s="36"/>
      <c r="AA33" s="3"/>
      <c r="AB33" s="54" t="s">
        <v>58</v>
      </c>
      <c r="AC33" s="36">
        <v>9.0000000000000011E-3</v>
      </c>
      <c r="AD33" s="3"/>
      <c r="AE33" s="50"/>
      <c r="AF33" s="51"/>
      <c r="AG33" s="51"/>
      <c r="AH33" s="51"/>
      <c r="AI33" s="186" t="s">
        <v>88</v>
      </c>
      <c r="AK33" s="56"/>
      <c r="AL33" s="86"/>
      <c r="AN33" s="71" t="s">
        <v>88</v>
      </c>
      <c r="AO33" s="82" t="s">
        <v>88</v>
      </c>
      <c r="AP33" s="83" t="b">
        <v>0</v>
      </c>
      <c r="AQ33" s="6"/>
      <c r="AR33" s="13"/>
      <c r="AS33" s="86"/>
      <c r="AU33" s="56" t="s">
        <v>51</v>
      </c>
      <c r="AV33" s="17" t="s">
        <v>197</v>
      </c>
      <c r="AX33" s="87" t="s">
        <v>88</v>
      </c>
      <c r="AY33" s="103" t="s">
        <v>88</v>
      </c>
      <c r="BA33" s="56" t="s">
        <v>51</v>
      </c>
      <c r="BB33" s="17" t="s">
        <v>197</v>
      </c>
      <c r="BD33" s="87" t="s">
        <v>88</v>
      </c>
      <c r="BE33" s="103" t="s">
        <v>88</v>
      </c>
      <c r="BG33" s="56" t="s">
        <v>51</v>
      </c>
      <c r="BH33" s="17" t="s">
        <v>197</v>
      </c>
      <c r="BJ33" s="87" t="s">
        <v>88</v>
      </c>
      <c r="BK33" s="103" t="s">
        <v>88</v>
      </c>
      <c r="BM33" s="13"/>
      <c r="BN33" s="86"/>
      <c r="BP33" s="56" t="s">
        <v>51</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26</v>
      </c>
      <c r="N34" s="88">
        <v>2.0659999999999998E-2</v>
      </c>
      <c r="O34" s="89"/>
      <c r="P34" s="89"/>
      <c r="Q34" s="90" t="b">
        <v>1</v>
      </c>
      <c r="S34" s="97"/>
      <c r="T34" s="98"/>
      <c r="V34" s="13"/>
      <c r="W34" s="86"/>
      <c r="Y34" s="54"/>
      <c r="Z34" s="36"/>
      <c r="AA34" s="3"/>
      <c r="AB34" s="54" t="s">
        <v>369</v>
      </c>
      <c r="AC34" s="36">
        <v>9.4999999999999998E-3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24</v>
      </c>
      <c r="N35" s="88">
        <v>2.1909999999999999E-2</v>
      </c>
      <c r="O35" s="89"/>
      <c r="P35" s="89"/>
      <c r="Q35" s="90" t="b">
        <v>1</v>
      </c>
      <c r="S35" s="97"/>
      <c r="T35" s="98"/>
      <c r="V35" s="13"/>
      <c r="W35" s="86"/>
      <c r="Y35" s="54"/>
      <c r="Z35" s="36"/>
      <c r="AA35" s="3"/>
      <c r="AB35" s="54" t="s">
        <v>372</v>
      </c>
      <c r="AC35" s="36">
        <v>1.0800000000000001E-2</v>
      </c>
      <c r="AD35" s="3"/>
      <c r="AE35" s="50"/>
      <c r="AF35" s="51"/>
      <c r="AG35" s="51"/>
      <c r="AH35" s="51"/>
      <c r="AI35" s="186" t="s">
        <v>88</v>
      </c>
      <c r="AK35" s="56"/>
      <c r="AL35" s="17"/>
      <c r="AN35" s="71" t="s">
        <v>88</v>
      </c>
      <c r="AO35" s="82" t="s">
        <v>88</v>
      </c>
      <c r="AP35" s="83" t="b">
        <v>0</v>
      </c>
      <c r="AQ35" s="6"/>
      <c r="AR35" s="13"/>
      <c r="AS35" s="86"/>
      <c r="AU35" s="56" t="s">
        <v>47</v>
      </c>
      <c r="AV35" s="17" t="s">
        <v>197</v>
      </c>
      <c r="AX35" s="87" t="s">
        <v>88</v>
      </c>
      <c r="AY35" s="103" t="s">
        <v>88</v>
      </c>
      <c r="BA35" s="56" t="s">
        <v>47</v>
      </c>
      <c r="BB35" s="17" t="s">
        <v>197</v>
      </c>
      <c r="BD35" s="87" t="s">
        <v>88</v>
      </c>
      <c r="BE35" s="103" t="s">
        <v>88</v>
      </c>
      <c r="BG35" s="56" t="s">
        <v>47</v>
      </c>
      <c r="BH35" s="17" t="s">
        <v>197</v>
      </c>
      <c r="BJ35" s="87" t="s">
        <v>88</v>
      </c>
      <c r="BK35" s="103" t="s">
        <v>88</v>
      </c>
      <c r="BM35" s="13"/>
      <c r="BN35" s="86"/>
      <c r="BP35" s="56" t="s">
        <v>47</v>
      </c>
      <c r="BQ35" s="86" t="s">
        <v>197</v>
      </c>
      <c r="BS35" s="56" t="s">
        <v>47</v>
      </c>
      <c r="BT35" s="86" t="s">
        <v>197</v>
      </c>
      <c r="BV35" s="56" t="s">
        <v>47</v>
      </c>
      <c r="BW35" s="86" t="s">
        <v>197</v>
      </c>
      <c r="BY35" s="56" t="s">
        <v>47</v>
      </c>
      <c r="BZ35" s="86" t="s">
        <v>197</v>
      </c>
      <c r="CB35" s="87" t="s">
        <v>88</v>
      </c>
      <c r="CC35" s="103" t="s">
        <v>88</v>
      </c>
      <c r="CE35" s="13"/>
      <c r="CF35" s="86"/>
      <c r="CH35" s="56"/>
      <c r="CI35" s="86"/>
      <c r="CK35" s="56"/>
      <c r="CL35" s="86"/>
      <c r="CN35" s="56"/>
      <c r="CO35" s="86"/>
    </row>
    <row r="36" spans="2:93">
      <c r="F36" t="s">
        <v>12</v>
      </c>
      <c r="M36" s="87" t="s">
        <v>20</v>
      </c>
      <c r="N36" s="88">
        <v>2.2858E-2</v>
      </c>
      <c r="O36" s="89"/>
      <c r="P36" s="89"/>
      <c r="Q36" s="90" t="b">
        <v>1</v>
      </c>
      <c r="S36" s="97"/>
      <c r="T36" s="98"/>
      <c r="V36" s="13"/>
      <c r="W36" s="86"/>
      <c r="Y36" s="54"/>
      <c r="Z36" s="36"/>
      <c r="AA36" s="3"/>
      <c r="AB36" s="54" t="s">
        <v>375</v>
      </c>
      <c r="AC36" s="36">
        <v>1.248E-2</v>
      </c>
      <c r="AD36" s="3"/>
      <c r="AE36" s="50"/>
      <c r="AF36" s="51"/>
      <c r="AG36" s="51"/>
      <c r="AH36" s="51"/>
      <c r="AI36" s="186" t="s">
        <v>88</v>
      </c>
      <c r="AK36" s="56"/>
      <c r="AL36" s="17"/>
      <c r="AN36" s="71" t="s">
        <v>88</v>
      </c>
      <c r="AO36" s="82" t="s">
        <v>88</v>
      </c>
      <c r="AP36" s="83" t="b">
        <v>0</v>
      </c>
      <c r="AQ36" s="6"/>
      <c r="AR36" s="13"/>
      <c r="AS36" s="86"/>
      <c r="AU36" s="56" t="s">
        <v>44</v>
      </c>
      <c r="AV36" s="17">
        <v>0</v>
      </c>
      <c r="AX36" s="87" t="s">
        <v>88</v>
      </c>
      <c r="AY36" s="103" t="s">
        <v>88</v>
      </c>
      <c r="BA36" s="56" t="s">
        <v>44</v>
      </c>
      <c r="BB36" s="17">
        <v>0</v>
      </c>
      <c r="BD36" s="87" t="s">
        <v>88</v>
      </c>
      <c r="BE36" s="103" t="s">
        <v>88</v>
      </c>
      <c r="BG36" s="56" t="s">
        <v>44</v>
      </c>
      <c r="BH36" s="17">
        <v>0</v>
      </c>
      <c r="BJ36" s="87" t="s">
        <v>88</v>
      </c>
      <c r="BK36" s="103" t="s">
        <v>88</v>
      </c>
      <c r="BM36" s="13"/>
      <c r="BN36" s="86"/>
      <c r="BP36" s="56" t="s">
        <v>44</v>
      </c>
      <c r="BQ36" s="86">
        <v>2</v>
      </c>
      <c r="BS36" s="56" t="s">
        <v>44</v>
      </c>
      <c r="BT36" s="86">
        <v>2</v>
      </c>
      <c r="BV36" s="56" t="s">
        <v>44</v>
      </c>
      <c r="BW36" s="86">
        <v>2</v>
      </c>
      <c r="BY36" s="56" t="s">
        <v>44</v>
      </c>
      <c r="BZ36" s="86">
        <v>2</v>
      </c>
      <c r="CB36" s="87" t="s">
        <v>88</v>
      </c>
      <c r="CC36" s="103" t="s">
        <v>88</v>
      </c>
      <c r="CE36" s="13"/>
      <c r="CF36" s="86"/>
      <c r="CH36" s="56"/>
      <c r="CI36" s="86"/>
      <c r="CK36" s="56"/>
      <c r="CL36" s="86"/>
      <c r="CN36" s="56"/>
      <c r="CO36" s="86"/>
    </row>
    <row r="37" spans="2:93">
      <c r="B37" s="2" t="s">
        <v>358</v>
      </c>
      <c r="C37" s="9"/>
      <c r="F37" t="s">
        <v>12</v>
      </c>
      <c r="M37" s="87" t="s">
        <v>18</v>
      </c>
      <c r="N37" s="88">
        <v>2.3054999999999999E-2</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41</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204</v>
      </c>
      <c r="D38" s="127"/>
      <c r="E38" s="128"/>
      <c r="F38" t="s">
        <v>12</v>
      </c>
      <c r="M38" s="87" t="s">
        <v>17</v>
      </c>
      <c r="N38" s="88">
        <v>2.3092999999999999E-2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37</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310</v>
      </c>
      <c r="D39" s="130"/>
      <c r="E39" s="131"/>
      <c r="F39" t="s">
        <v>12</v>
      </c>
      <c r="M39" s="87" t="s">
        <v>15</v>
      </c>
      <c r="N39" s="88">
        <v>2.283E-2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30</v>
      </c>
      <c r="AV39" s="17" t="s">
        <v>29</v>
      </c>
      <c r="AX39" s="87" t="s">
        <v>88</v>
      </c>
      <c r="AY39" s="103" t="s">
        <v>88</v>
      </c>
      <c r="BA39" s="56" t="s">
        <v>30</v>
      </c>
      <c r="BB39" s="17" t="s">
        <v>29</v>
      </c>
      <c r="BD39" s="87" t="s">
        <v>88</v>
      </c>
      <c r="BE39" s="103" t="s">
        <v>88</v>
      </c>
      <c r="BG39" s="56" t="s">
        <v>30</v>
      </c>
      <c r="BH39" s="17" t="s">
        <v>29</v>
      </c>
      <c r="BJ39" s="87" t="s">
        <v>88</v>
      </c>
      <c r="BK39" s="103" t="s">
        <v>88</v>
      </c>
      <c r="BM39" s="13"/>
      <c r="BN39" s="86"/>
      <c r="BP39" s="56" t="s">
        <v>30</v>
      </c>
      <c r="BQ39" s="86" t="s">
        <v>29</v>
      </c>
      <c r="BS39" s="56" t="s">
        <v>30</v>
      </c>
      <c r="BT39" s="86" t="s">
        <v>29</v>
      </c>
      <c r="BV39" s="56" t="s">
        <v>30</v>
      </c>
      <c r="BW39" s="86" t="s">
        <v>29</v>
      </c>
      <c r="BY39" s="56" t="s">
        <v>30</v>
      </c>
      <c r="BZ39" s="86" t="s">
        <v>29</v>
      </c>
      <c r="CB39" s="87" t="s">
        <v>88</v>
      </c>
      <c r="CC39" s="103" t="s">
        <v>88</v>
      </c>
      <c r="CE39" s="13"/>
      <c r="CF39" s="86"/>
      <c r="CH39" s="56"/>
      <c r="CI39" s="86"/>
      <c r="CK39" s="56"/>
      <c r="CL39" s="86"/>
      <c r="CN39" s="56"/>
      <c r="CO39" s="86"/>
    </row>
    <row r="40" spans="2:93">
      <c r="B40" s="56" t="s">
        <v>206</v>
      </c>
      <c r="C40" s="132" t="s">
        <v>311</v>
      </c>
      <c r="D40" s="133"/>
      <c r="E40" s="134"/>
      <c r="F40" t="s">
        <v>12</v>
      </c>
      <c r="M40" s="87" t="s">
        <v>14</v>
      </c>
      <c r="N40" s="88">
        <v>2.2620000000000001E-2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32</v>
      </c>
      <c r="AV40" s="17" t="b">
        <v>1</v>
      </c>
      <c r="AX40" s="87" t="s">
        <v>88</v>
      </c>
      <c r="AY40" s="103" t="s">
        <v>88</v>
      </c>
      <c r="BA40" s="56" t="s">
        <v>32</v>
      </c>
      <c r="BB40" s="17" t="b">
        <v>1</v>
      </c>
      <c r="BD40" s="87" t="s">
        <v>88</v>
      </c>
      <c r="BE40" s="103" t="s">
        <v>88</v>
      </c>
      <c r="BG40" s="56" t="s">
        <v>32</v>
      </c>
      <c r="BH40" s="17" t="b">
        <v>1</v>
      </c>
      <c r="BJ40" s="87" t="s">
        <v>88</v>
      </c>
      <c r="BK40" s="103" t="s">
        <v>88</v>
      </c>
      <c r="BM40" s="13"/>
      <c r="BN40" s="86"/>
      <c r="BP40" s="56" t="s">
        <v>32</v>
      </c>
      <c r="BQ40" s="86" t="b">
        <v>1</v>
      </c>
      <c r="BS40" s="56" t="s">
        <v>32</v>
      </c>
      <c r="BT40" s="86" t="b">
        <v>1</v>
      </c>
      <c r="BV40" s="56" t="s">
        <v>32</v>
      </c>
      <c r="BW40" s="86" t="b">
        <v>1</v>
      </c>
      <c r="BY40" s="56" t="s">
        <v>32</v>
      </c>
      <c r="BZ40" s="86" t="b">
        <v>1</v>
      </c>
      <c r="CB40" s="87" t="s">
        <v>88</v>
      </c>
      <c r="CC40" s="103" t="s">
        <v>88</v>
      </c>
      <c r="CE40" s="13"/>
      <c r="CF40" s="86"/>
      <c r="CH40" s="56"/>
      <c r="CI40" s="86"/>
      <c r="CK40" s="56"/>
      <c r="CL40" s="86"/>
      <c r="CN40" s="56"/>
      <c r="CO40" s="86"/>
    </row>
    <row r="41" spans="2:93">
      <c r="B41" s="56" t="s">
        <v>211</v>
      </c>
      <c r="C41" s="132" t="s">
        <v>389</v>
      </c>
      <c r="D41" s="133"/>
      <c r="E41" s="134"/>
      <c r="F41" t="s">
        <v>12</v>
      </c>
      <c r="M41" s="87" t="s">
        <v>88</v>
      </c>
      <c r="N41" s="88" t="s">
        <v>88</v>
      </c>
      <c r="O41" s="89"/>
      <c r="P41" s="89"/>
      <c r="Q41" s="90" t="b">
        <v>0</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27</v>
      </c>
      <c r="AV41" s="17" t="b">
        <v>1</v>
      </c>
      <c r="AX41" s="87" t="s">
        <v>88</v>
      </c>
      <c r="AY41" s="103" t="s">
        <v>88</v>
      </c>
      <c r="BA41" s="56" t="s">
        <v>27</v>
      </c>
      <c r="BB41" s="17" t="b">
        <v>1</v>
      </c>
      <c r="BD41" s="87" t="s">
        <v>88</v>
      </c>
      <c r="BE41" s="103" t="s">
        <v>88</v>
      </c>
      <c r="BG41" s="56" t="s">
        <v>27</v>
      </c>
      <c r="BH41" s="17" t="b">
        <v>1</v>
      </c>
      <c r="BJ41" s="87" t="s">
        <v>88</v>
      </c>
      <c r="BK41" s="103" t="s">
        <v>88</v>
      </c>
      <c r="BM41" s="13"/>
      <c r="BN41" s="86"/>
      <c r="BP41" s="56" t="s">
        <v>27</v>
      </c>
      <c r="BQ41" s="86" t="b">
        <v>1</v>
      </c>
      <c r="BS41" s="56" t="s">
        <v>27</v>
      </c>
      <c r="BT41" s="86" t="b">
        <v>1</v>
      </c>
      <c r="BV41" s="56" t="s">
        <v>27</v>
      </c>
      <c r="BW41" s="86" t="b">
        <v>1</v>
      </c>
      <c r="BY41" s="56" t="s">
        <v>27</v>
      </c>
      <c r="BZ41" s="86" t="b">
        <v>1</v>
      </c>
      <c r="CB41" s="87" t="s">
        <v>88</v>
      </c>
      <c r="CC41" s="103" t="s">
        <v>88</v>
      </c>
      <c r="CE41" s="13"/>
      <c r="CF41" s="86"/>
      <c r="CH41" s="56"/>
      <c r="CI41" s="86"/>
      <c r="CK41" s="56"/>
      <c r="CL41" s="86"/>
      <c r="CN41" s="56"/>
      <c r="CO41" s="86"/>
    </row>
    <row r="42" spans="2:93">
      <c r="B42" s="56" t="s">
        <v>288</v>
      </c>
      <c r="C42" s="132" t="s">
        <v>312</v>
      </c>
      <c r="D42" s="133"/>
      <c r="E42" s="134"/>
      <c r="F42" t="s">
        <v>12</v>
      </c>
      <c r="M42" s="87" t="s">
        <v>88</v>
      </c>
      <c r="N42" s="88" t="s">
        <v>88</v>
      </c>
      <c r="O42" s="89"/>
      <c r="P42" s="89"/>
      <c r="Q42" s="90" t="b">
        <v>0</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34</v>
      </c>
      <c r="AV42" s="17" t="b">
        <v>1</v>
      </c>
      <c r="AX42" s="87" t="s">
        <v>88</v>
      </c>
      <c r="AY42" s="103" t="s">
        <v>88</v>
      </c>
      <c r="BA42" s="56" t="s">
        <v>34</v>
      </c>
      <c r="BB42" s="17" t="b">
        <v>1</v>
      </c>
      <c r="BD42" s="87" t="s">
        <v>88</v>
      </c>
      <c r="BE42" s="103" t="s">
        <v>88</v>
      </c>
      <c r="BG42" s="56" t="s">
        <v>34</v>
      </c>
      <c r="BH42" s="17" t="b">
        <v>1</v>
      </c>
      <c r="BJ42" s="87" t="s">
        <v>88</v>
      </c>
      <c r="BK42" s="103" t="s">
        <v>88</v>
      </c>
      <c r="BM42" s="13"/>
      <c r="BN42" s="86"/>
      <c r="BP42" s="56" t="s">
        <v>34</v>
      </c>
      <c r="BQ42" s="86" t="b">
        <v>1</v>
      </c>
      <c r="BS42" s="56" t="s">
        <v>34</v>
      </c>
      <c r="BT42" s="86" t="b">
        <v>1</v>
      </c>
      <c r="BV42" s="56" t="s">
        <v>34</v>
      </c>
      <c r="BW42" s="86" t="b">
        <v>1</v>
      </c>
      <c r="BY42" s="56" t="s">
        <v>34</v>
      </c>
      <c r="BZ42" s="86" t="b">
        <v>1</v>
      </c>
      <c r="CB42" s="87" t="s">
        <v>88</v>
      </c>
      <c r="CC42" s="103" t="s">
        <v>88</v>
      </c>
      <c r="CE42" s="13"/>
      <c r="CF42" s="86"/>
      <c r="CH42" s="56"/>
      <c r="CI42" s="86"/>
      <c r="CK42" s="56"/>
      <c r="CL42" s="86"/>
      <c r="CN42" s="56"/>
      <c r="CO42" s="86"/>
    </row>
    <row r="43" spans="2:93">
      <c r="B43" s="56" t="s">
        <v>209</v>
      </c>
      <c r="C43" s="132" t="s">
        <v>328</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25</v>
      </c>
      <c r="AV43" s="17" t="b">
        <v>0</v>
      </c>
      <c r="AX43" s="87" t="s">
        <v>88</v>
      </c>
      <c r="AY43" s="103" t="s">
        <v>88</v>
      </c>
      <c r="BA43" s="56" t="s">
        <v>25</v>
      </c>
      <c r="BB43" s="17" t="b">
        <v>0</v>
      </c>
      <c r="BD43" s="87" t="s">
        <v>88</v>
      </c>
      <c r="BE43" s="103" t="s">
        <v>88</v>
      </c>
      <c r="BG43" s="56" t="s">
        <v>25</v>
      </c>
      <c r="BH43" s="17" t="b">
        <v>0</v>
      </c>
      <c r="BJ43" s="87" t="s">
        <v>88</v>
      </c>
      <c r="BK43" s="103" t="s">
        <v>88</v>
      </c>
      <c r="BM43" s="13"/>
      <c r="BN43" s="86"/>
      <c r="BP43" s="56" t="s">
        <v>25</v>
      </c>
      <c r="BQ43" s="86" t="b">
        <v>0</v>
      </c>
      <c r="BS43" s="56" t="s">
        <v>25</v>
      </c>
      <c r="BT43" s="86" t="b">
        <v>0</v>
      </c>
      <c r="BV43" s="56" t="s">
        <v>25</v>
      </c>
      <c r="BW43" s="86" t="b">
        <v>0</v>
      </c>
      <c r="BY43" s="56" t="s">
        <v>25</v>
      </c>
      <c r="BZ43" s="86" t="b">
        <v>0</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103</v>
      </c>
      <c r="AV44" s="20" t="b">
        <v>1</v>
      </c>
      <c r="AX44" s="87" t="s">
        <v>88</v>
      </c>
      <c r="AY44" s="103" t="s">
        <v>88</v>
      </c>
      <c r="BA44" s="79" t="s">
        <v>103</v>
      </c>
      <c r="BB44" s="20" t="b">
        <v>1</v>
      </c>
      <c r="BD44" s="87" t="s">
        <v>88</v>
      </c>
      <c r="BE44" s="103" t="s">
        <v>88</v>
      </c>
      <c r="BG44" s="79" t="s">
        <v>103</v>
      </c>
      <c r="BH44" s="20" t="b">
        <v>1</v>
      </c>
      <c r="BJ44" s="87" t="s">
        <v>88</v>
      </c>
      <c r="BK44" s="103" t="s">
        <v>88</v>
      </c>
      <c r="BM44" s="13"/>
      <c r="BN44" s="86"/>
      <c r="BP44" s="56" t="s">
        <v>103</v>
      </c>
      <c r="BQ44" s="86" t="b">
        <v>1</v>
      </c>
      <c r="BS44" s="56" t="s">
        <v>103</v>
      </c>
      <c r="BT44" s="86" t="b">
        <v>1</v>
      </c>
      <c r="BV44" s="56" t="s">
        <v>103</v>
      </c>
      <c r="BW44" s="86" t="b">
        <v>1</v>
      </c>
      <c r="BY44" s="56" t="s">
        <v>103</v>
      </c>
      <c r="BZ44" s="86" t="b">
        <v>1</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t="s">
        <v>19</v>
      </c>
      <c r="AV45" s="17">
        <v>31</v>
      </c>
      <c r="AX45" s="87" t="s">
        <v>88</v>
      </c>
      <c r="AY45" s="103" t="s">
        <v>88</v>
      </c>
      <c r="BA45" s="56" t="s">
        <v>19</v>
      </c>
      <c r="BB45" s="17">
        <v>31</v>
      </c>
      <c r="BD45" s="87" t="s">
        <v>88</v>
      </c>
      <c r="BE45" s="103" t="s">
        <v>88</v>
      </c>
      <c r="BG45" s="56" t="s">
        <v>19</v>
      </c>
      <c r="BH45" s="17">
        <v>31</v>
      </c>
      <c r="BJ45" s="87" t="s">
        <v>88</v>
      </c>
      <c r="BK45" s="103" t="s">
        <v>88</v>
      </c>
      <c r="BM45" s="13"/>
      <c r="BN45" s="86"/>
      <c r="BP45" s="56" t="s">
        <v>19</v>
      </c>
      <c r="BQ45" s="86">
        <v>31</v>
      </c>
      <c r="BS45" s="56" t="s">
        <v>19</v>
      </c>
      <c r="BT45" s="86">
        <v>31</v>
      </c>
      <c r="BV45" s="56" t="s">
        <v>19</v>
      </c>
      <c r="BW45" s="86">
        <v>31</v>
      </c>
      <c r="BY45" s="56" t="s">
        <v>19</v>
      </c>
      <c r="BZ45" s="86">
        <v>31</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t="s">
        <v>22</v>
      </c>
      <c r="AV46" s="17" t="s">
        <v>53</v>
      </c>
      <c r="AX46" s="87" t="s">
        <v>88</v>
      </c>
      <c r="AY46" s="103" t="s">
        <v>88</v>
      </c>
      <c r="BA46" s="56" t="s">
        <v>22</v>
      </c>
      <c r="BB46" s="17" t="s">
        <v>21</v>
      </c>
      <c r="BD46" s="87" t="s">
        <v>88</v>
      </c>
      <c r="BE46" s="103" t="s">
        <v>88</v>
      </c>
      <c r="BG46" s="56" t="s">
        <v>22</v>
      </c>
      <c r="BH46" s="17" t="s">
        <v>265</v>
      </c>
      <c r="BJ46" s="87" t="s">
        <v>88</v>
      </c>
      <c r="BK46" s="103" t="s">
        <v>88</v>
      </c>
      <c r="BM46" s="13"/>
      <c r="BN46" s="86"/>
      <c r="BP46" s="56" t="s">
        <v>22</v>
      </c>
      <c r="BQ46" s="86" t="s">
        <v>53</v>
      </c>
      <c r="BS46" s="56" t="s">
        <v>22</v>
      </c>
      <c r="BT46" s="86" t="s">
        <v>53</v>
      </c>
      <c r="BV46" s="56" t="s">
        <v>22</v>
      </c>
      <c r="BW46" s="86" t="s">
        <v>53</v>
      </c>
      <c r="BY46" s="56" t="s">
        <v>22</v>
      </c>
      <c r="BZ46" s="86" t="s">
        <v>53</v>
      </c>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204</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310</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311</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389</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312</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328</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9570"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9571"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9572"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9573"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9574"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9575"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tint="0.34998626667073579"/>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R5" s="139" t="s">
        <v>11</v>
      </c>
      <c r="AU5" s="139" t="s">
        <v>298</v>
      </c>
      <c r="AY5" s="141"/>
      <c r="BA5" s="139" t="s">
        <v>383</v>
      </c>
      <c r="BG5" s="139" t="s">
        <v>301</v>
      </c>
      <c r="BM5" s="139" t="s">
        <v>54</v>
      </c>
      <c r="BP5" s="139"/>
      <c r="CE5" s="139" t="s">
        <v>303</v>
      </c>
    </row>
    <row r="6" spans="2:93">
      <c r="CC6" s="10"/>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342</v>
      </c>
      <c r="D8" s="127"/>
      <c r="E8" s="128"/>
      <c r="F8" t="s">
        <v>12</v>
      </c>
      <c r="G8" s="55" t="s">
        <v>170</v>
      </c>
      <c r="H8" s="110">
        <v>42198</v>
      </c>
      <c r="J8" s="72" t="s">
        <v>174</v>
      </c>
      <c r="K8" s="34" t="s">
        <v>212</v>
      </c>
      <c r="M8" s="74" t="s">
        <v>76</v>
      </c>
      <c r="N8" s="75" t="s">
        <v>75</v>
      </c>
      <c r="O8" s="75" t="s">
        <v>139</v>
      </c>
      <c r="P8" s="75" t="s">
        <v>138</v>
      </c>
      <c r="Q8" s="76" t="s">
        <v>173</v>
      </c>
      <c r="S8" s="67" t="s">
        <v>172</v>
      </c>
      <c r="T8" s="68" t="s">
        <v>75</v>
      </c>
      <c r="V8" s="55" t="s">
        <v>170</v>
      </c>
      <c r="W8" s="110">
        <v>42198</v>
      </c>
      <c r="Y8" s="55" t="s">
        <v>174</v>
      </c>
      <c r="Z8" s="34" t="s">
        <v>213</v>
      </c>
      <c r="AB8" s="12" t="s">
        <v>174</v>
      </c>
      <c r="AC8" s="34" t="s">
        <v>215</v>
      </c>
      <c r="AE8" s="66"/>
      <c r="AF8" s="38"/>
      <c r="AG8" s="21"/>
      <c r="AH8" s="21"/>
      <c r="AI8" s="22"/>
      <c r="AK8" s="55" t="s">
        <v>174</v>
      </c>
      <c r="AL8" s="125" t="s">
        <v>215</v>
      </c>
      <c r="AN8" s="70" t="s">
        <v>76</v>
      </c>
      <c r="AO8" s="80" t="s">
        <v>75</v>
      </c>
      <c r="AP8" s="81" t="s">
        <v>175</v>
      </c>
      <c r="AQ8" s="6"/>
      <c r="AR8" s="55" t="s">
        <v>170</v>
      </c>
      <c r="AS8" s="110">
        <v>42198</v>
      </c>
      <c r="AU8" s="77" t="s">
        <v>171</v>
      </c>
      <c r="AV8" s="101" t="s">
        <v>346</v>
      </c>
      <c r="AX8" s="67" t="s">
        <v>76</v>
      </c>
      <c r="AY8" s="69" t="s">
        <v>75</v>
      </c>
      <c r="BA8" s="77" t="s">
        <v>171</v>
      </c>
      <c r="BB8" s="101" t="s">
        <v>386</v>
      </c>
      <c r="BD8" s="67" t="s">
        <v>76</v>
      </c>
      <c r="BE8" s="69" t="s">
        <v>75</v>
      </c>
      <c r="BG8" s="77" t="s">
        <v>171</v>
      </c>
      <c r="BH8" s="101" t="s">
        <v>347</v>
      </c>
      <c r="BJ8" s="67" t="s">
        <v>76</v>
      </c>
      <c r="BK8" s="69" t="s">
        <v>75</v>
      </c>
      <c r="BM8" s="55" t="s">
        <v>170</v>
      </c>
      <c r="BN8" s="110">
        <v>42198</v>
      </c>
      <c r="BP8" s="77" t="s">
        <v>171</v>
      </c>
      <c r="BQ8" s="101" t="s">
        <v>167</v>
      </c>
      <c r="BS8" s="77" t="s">
        <v>171</v>
      </c>
      <c r="BT8" s="101" t="s">
        <v>167</v>
      </c>
      <c r="BV8" s="77" t="s">
        <v>171</v>
      </c>
      <c r="BW8" s="101" t="s">
        <v>167</v>
      </c>
      <c r="BY8" s="77" t="s">
        <v>171</v>
      </c>
      <c r="BZ8" s="101" t="s">
        <v>167</v>
      </c>
      <c r="CB8" s="74" t="s">
        <v>76</v>
      </c>
      <c r="CC8" s="76" t="s">
        <v>75</v>
      </c>
      <c r="CE8" s="55" t="s">
        <v>170</v>
      </c>
      <c r="CF8" s="110">
        <v>42198</v>
      </c>
      <c r="CH8" s="55" t="s">
        <v>216</v>
      </c>
      <c r="CI8" s="33" t="s">
        <v>307</v>
      </c>
      <c r="CK8" s="55" t="s">
        <v>216</v>
      </c>
      <c r="CL8" s="33" t="s">
        <v>308</v>
      </c>
      <c r="CN8" s="55" t="s">
        <v>216</v>
      </c>
      <c r="CO8" s="33" t="s">
        <v>309</v>
      </c>
    </row>
    <row r="9" spans="2:93">
      <c r="B9" s="56" t="s">
        <v>63</v>
      </c>
      <c r="C9" s="129" t="s">
        <v>338</v>
      </c>
      <c r="D9" s="130"/>
      <c r="E9" s="131"/>
      <c r="F9" t="s">
        <v>12</v>
      </c>
      <c r="G9" s="56" t="s">
        <v>162</v>
      </c>
      <c r="H9" s="86" t="s">
        <v>200</v>
      </c>
      <c r="J9" s="73" t="s">
        <v>130</v>
      </c>
      <c r="K9" s="17" t="s">
        <v>198</v>
      </c>
      <c r="M9" s="87" t="s">
        <v>72</v>
      </c>
      <c r="N9" s="88">
        <v>7.5000000000000002E-4</v>
      </c>
      <c r="O9" s="89"/>
      <c r="P9" s="89"/>
      <c r="Q9" s="90" t="b">
        <v>1</v>
      </c>
      <c r="S9" s="95"/>
      <c r="T9" s="96"/>
      <c r="V9" s="56" t="s">
        <v>162</v>
      </c>
      <c r="W9" s="86" t="s">
        <v>200</v>
      </c>
      <c r="Y9" s="56" t="s">
        <v>130</v>
      </c>
      <c r="Z9" s="17" t="s">
        <v>217</v>
      </c>
      <c r="AB9" s="13" t="s">
        <v>130</v>
      </c>
      <c r="AC9" s="17" t="s">
        <v>217</v>
      </c>
      <c r="AE9" s="57"/>
      <c r="AF9" s="39"/>
      <c r="AG9" s="23"/>
      <c r="AH9" s="23"/>
      <c r="AI9" s="24"/>
      <c r="AK9" s="56" t="s">
        <v>130</v>
      </c>
      <c r="AL9" s="86" t="s">
        <v>266</v>
      </c>
      <c r="AN9" s="71" t="s">
        <v>45</v>
      </c>
      <c r="AO9" s="82">
        <v>1.4050000000000002E-3</v>
      </c>
      <c r="AP9" s="83" t="b">
        <v>0</v>
      </c>
      <c r="AQ9" s="6"/>
      <c r="AR9" s="56" t="s">
        <v>162</v>
      </c>
      <c r="AS9" s="86" t="s">
        <v>200</v>
      </c>
      <c r="AU9" s="78" t="s">
        <v>169</v>
      </c>
      <c r="AV9" s="102" t="s">
        <v>168</v>
      </c>
      <c r="AX9" s="87" t="s">
        <v>160</v>
      </c>
      <c r="AY9" s="103">
        <v>3.3750000000000002E-4</v>
      </c>
      <c r="BA9" s="78" t="s">
        <v>169</v>
      </c>
      <c r="BB9" s="102" t="s">
        <v>168</v>
      </c>
      <c r="BD9" s="87" t="s">
        <v>160</v>
      </c>
      <c r="BE9" s="103">
        <v>6.3750000000000005E-4</v>
      </c>
      <c r="BG9" s="78"/>
      <c r="BH9" s="102"/>
      <c r="BJ9" s="87"/>
      <c r="BK9" s="103"/>
      <c r="BM9" s="56" t="s">
        <v>162</v>
      </c>
      <c r="BN9" s="86" t="s">
        <v>200</v>
      </c>
      <c r="BP9" s="78" t="s">
        <v>256</v>
      </c>
      <c r="BQ9" s="102" t="s">
        <v>168</v>
      </c>
      <c r="BS9" s="78" t="s">
        <v>169</v>
      </c>
      <c r="BT9" s="102" t="s">
        <v>168</v>
      </c>
      <c r="BV9" s="78" t="s">
        <v>169</v>
      </c>
      <c r="BW9" s="102" t="s">
        <v>168</v>
      </c>
      <c r="BY9" s="78" t="s">
        <v>169</v>
      </c>
      <c r="BZ9" s="102" t="s">
        <v>168</v>
      </c>
      <c r="CB9" s="87" t="s">
        <v>160</v>
      </c>
      <c r="CC9" s="103">
        <v>-4.2399999999999998E-3</v>
      </c>
      <c r="CE9" s="56" t="s">
        <v>162</v>
      </c>
      <c r="CF9" s="86" t="s">
        <v>200</v>
      </c>
      <c r="CH9" s="56" t="s">
        <v>220</v>
      </c>
      <c r="CI9" s="31" t="s">
        <v>360</v>
      </c>
      <c r="CK9" s="56" t="s">
        <v>220</v>
      </c>
      <c r="CL9" s="31" t="s">
        <v>361</v>
      </c>
      <c r="CN9" s="56" t="s">
        <v>220</v>
      </c>
      <c r="CO9" s="31" t="s">
        <v>362</v>
      </c>
    </row>
    <row r="10" spans="2:93">
      <c r="B10" s="56" t="s">
        <v>206</v>
      </c>
      <c r="C10" s="129" t="s">
        <v>339</v>
      </c>
      <c r="D10" s="133"/>
      <c r="E10" s="134"/>
      <c r="F10" t="s">
        <v>12</v>
      </c>
      <c r="G10" s="56" t="s">
        <v>143</v>
      </c>
      <c r="H10" s="86" t="s">
        <v>29</v>
      </c>
      <c r="J10" s="73" t="s">
        <v>122</v>
      </c>
      <c r="K10" s="17" t="s">
        <v>152</v>
      </c>
      <c r="M10" s="87" t="s">
        <v>97</v>
      </c>
      <c r="N10" s="88">
        <v>7.3130000000000005E-4</v>
      </c>
      <c r="O10" s="89"/>
      <c r="P10" s="89"/>
      <c r="Q10" s="90" t="b">
        <v>1</v>
      </c>
      <c r="S10" s="97"/>
      <c r="T10" s="98"/>
      <c r="V10" s="56" t="s">
        <v>143</v>
      </c>
      <c r="W10" s="86" t="s">
        <v>29</v>
      </c>
      <c r="Y10" s="56" t="s">
        <v>115</v>
      </c>
      <c r="Z10" s="17" t="s">
        <v>221</v>
      </c>
      <c r="AB10" s="13" t="s">
        <v>134</v>
      </c>
      <c r="AC10" s="17" t="s">
        <v>43</v>
      </c>
      <c r="AE10" s="57"/>
      <c r="AF10" s="40"/>
      <c r="AG10" s="25"/>
      <c r="AH10" s="25"/>
      <c r="AI10" s="26"/>
      <c r="AK10" s="56" t="s">
        <v>267</v>
      </c>
      <c r="AL10" s="86" t="s">
        <v>266</v>
      </c>
      <c r="AN10" s="71" t="s">
        <v>42</v>
      </c>
      <c r="AO10" s="82">
        <v>1.485E-3</v>
      </c>
      <c r="AP10" s="83" t="b">
        <v>0</v>
      </c>
      <c r="AQ10" s="6"/>
      <c r="AR10" s="56" t="s">
        <v>143</v>
      </c>
      <c r="AS10" s="86" t="s">
        <v>29</v>
      </c>
      <c r="AU10" s="56" t="s">
        <v>161</v>
      </c>
      <c r="AV10" s="17" t="s">
        <v>215</v>
      </c>
      <c r="AX10" s="87" t="s">
        <v>42</v>
      </c>
      <c r="AY10" s="103">
        <v>3.6193200000000003E-4</v>
      </c>
      <c r="BA10" s="56" t="s">
        <v>161</v>
      </c>
      <c r="BB10" s="17" t="s">
        <v>215</v>
      </c>
      <c r="BD10" s="87" t="s">
        <v>42</v>
      </c>
      <c r="BE10" s="103">
        <v>6.2500000000000001E-4</v>
      </c>
      <c r="BG10" s="56"/>
      <c r="BH10" s="17"/>
      <c r="BJ10" s="87"/>
      <c r="BK10" s="103"/>
      <c r="BM10" s="56" t="s">
        <v>143</v>
      </c>
      <c r="BN10" s="86" t="s">
        <v>29</v>
      </c>
      <c r="BP10" s="56" t="s">
        <v>218</v>
      </c>
      <c r="BQ10" s="105" t="s">
        <v>219</v>
      </c>
      <c r="BS10" s="56" t="s">
        <v>161</v>
      </c>
      <c r="BT10" s="105" t="s">
        <v>219</v>
      </c>
      <c r="BV10" s="56" t="s">
        <v>161</v>
      </c>
      <c r="BW10" s="105" t="s">
        <v>353</v>
      </c>
      <c r="BY10" s="56" t="s">
        <v>161</v>
      </c>
      <c r="BZ10" s="105" t="s">
        <v>219</v>
      </c>
      <c r="CB10" s="87" t="s">
        <v>42</v>
      </c>
      <c r="CC10" s="103">
        <v>-5.29985E-3</v>
      </c>
      <c r="CE10" s="56" t="s">
        <v>143</v>
      </c>
      <c r="CF10" s="86" t="s">
        <v>29</v>
      </c>
      <c r="CH10" s="56" t="s">
        <v>224</v>
      </c>
      <c r="CI10" s="142" t="s">
        <v>354</v>
      </c>
      <c r="CK10" s="56" t="s">
        <v>224</v>
      </c>
      <c r="CL10" s="142" t="s">
        <v>354</v>
      </c>
      <c r="CN10" s="56" t="s">
        <v>224</v>
      </c>
      <c r="CO10" s="142" t="s">
        <v>354</v>
      </c>
    </row>
    <row r="11" spans="2:93">
      <c r="B11" s="56" t="s">
        <v>211</v>
      </c>
      <c r="C11" s="132" t="s">
        <v>390</v>
      </c>
      <c r="D11" s="133"/>
      <c r="E11" s="134"/>
      <c r="F11" t="s">
        <v>12</v>
      </c>
      <c r="G11" s="56" t="s">
        <v>140</v>
      </c>
      <c r="H11" s="86" t="s">
        <v>29</v>
      </c>
      <c r="J11" s="73" t="s">
        <v>150</v>
      </c>
      <c r="K11" s="17" t="s">
        <v>149</v>
      </c>
      <c r="M11" s="87" t="s">
        <v>93</v>
      </c>
      <c r="N11" s="88">
        <v>7.2499999999999995E-4</v>
      </c>
      <c r="O11" s="89"/>
      <c r="P11" s="89"/>
      <c r="Q11" s="90" t="b">
        <v>1</v>
      </c>
      <c r="S11" s="97"/>
      <c r="T11" s="98"/>
      <c r="V11" s="56" t="s">
        <v>140</v>
      </c>
      <c r="W11" s="86" t="s">
        <v>29</v>
      </c>
      <c r="Y11" s="56"/>
      <c r="Z11" s="17"/>
      <c r="AB11" s="13" t="s">
        <v>115</v>
      </c>
      <c r="AC11" s="17" t="s">
        <v>40</v>
      </c>
      <c r="AE11" s="13"/>
      <c r="AF11" s="39"/>
      <c r="AG11" s="23"/>
      <c r="AH11" s="23"/>
      <c r="AI11" s="24"/>
      <c r="AK11" s="56" t="s">
        <v>268</v>
      </c>
      <c r="AL11" s="86" t="s">
        <v>217</v>
      </c>
      <c r="AN11" s="71" t="s">
        <v>39</v>
      </c>
      <c r="AO11" s="82">
        <v>1.7625E-3</v>
      </c>
      <c r="AP11" s="83" t="b">
        <v>1</v>
      </c>
      <c r="AQ11" s="6"/>
      <c r="AR11" s="56" t="s">
        <v>140</v>
      </c>
      <c r="AS11" s="86" t="s">
        <v>29</v>
      </c>
      <c r="AU11" s="56" t="s">
        <v>154</v>
      </c>
      <c r="AV11" s="17" t="s">
        <v>55</v>
      </c>
      <c r="AX11" s="87" t="s">
        <v>39</v>
      </c>
      <c r="AY11" s="103">
        <v>3.838E-4</v>
      </c>
      <c r="BA11" s="56" t="s">
        <v>154</v>
      </c>
      <c r="BB11" s="17" t="s">
        <v>55</v>
      </c>
      <c r="BD11" s="87" t="s">
        <v>39</v>
      </c>
      <c r="BE11" s="103">
        <v>6.4999999999999997E-4</v>
      </c>
      <c r="BG11" s="56"/>
      <c r="BH11" s="17"/>
      <c r="BJ11" s="87"/>
      <c r="BK11" s="103"/>
      <c r="BM11" s="56" t="s">
        <v>140</v>
      </c>
      <c r="BN11" s="86" t="s">
        <v>29</v>
      </c>
      <c r="BP11" s="56" t="s">
        <v>223</v>
      </c>
      <c r="BQ11" s="86" t="s">
        <v>55</v>
      </c>
      <c r="BS11" s="56" t="s">
        <v>154</v>
      </c>
      <c r="BT11" s="86" t="s">
        <v>55</v>
      </c>
      <c r="BV11" s="56" t="s">
        <v>154</v>
      </c>
      <c r="BW11" s="86" t="s">
        <v>55</v>
      </c>
      <c r="BY11" s="56" t="s">
        <v>154</v>
      </c>
      <c r="BZ11" s="86" t="s">
        <v>55</v>
      </c>
      <c r="CB11" s="87" t="s">
        <v>39</v>
      </c>
      <c r="CC11" s="103">
        <v>-6.1500000000000001E-3</v>
      </c>
      <c r="CE11" s="56" t="s">
        <v>140</v>
      </c>
      <c r="CF11" s="86" t="s">
        <v>29</v>
      </c>
      <c r="CH11" s="56" t="s">
        <v>226</v>
      </c>
      <c r="CI11" s="142" t="s">
        <v>354</v>
      </c>
      <c r="CK11" s="56" t="s">
        <v>226</v>
      </c>
      <c r="CL11" s="142" t="s">
        <v>354</v>
      </c>
      <c r="CN11" s="56" t="s">
        <v>226</v>
      </c>
      <c r="CO11" s="142" t="s">
        <v>354</v>
      </c>
    </row>
    <row r="12" spans="2:93">
      <c r="B12" s="56" t="s">
        <v>288</v>
      </c>
      <c r="C12" s="132" t="s">
        <v>340</v>
      </c>
      <c r="D12" s="133"/>
      <c r="E12" s="134"/>
      <c r="F12" t="s">
        <v>12</v>
      </c>
      <c r="G12" s="56" t="s">
        <v>157</v>
      </c>
      <c r="H12" s="86" t="s">
        <v>29</v>
      </c>
      <c r="J12" s="73" t="s">
        <v>134</v>
      </c>
      <c r="K12" s="17" t="s">
        <v>133</v>
      </c>
      <c r="M12" s="87" t="s">
        <v>89</v>
      </c>
      <c r="N12" s="88">
        <v>7.1880000000000002E-4</v>
      </c>
      <c r="O12" s="89"/>
      <c r="P12" s="89"/>
      <c r="Q12" s="90" t="b">
        <v>1</v>
      </c>
      <c r="S12" s="97"/>
      <c r="T12" s="98"/>
      <c r="V12" s="56" t="s">
        <v>157</v>
      </c>
      <c r="W12" s="86" t="s">
        <v>29</v>
      </c>
      <c r="Y12" s="62"/>
      <c r="Z12" s="18"/>
      <c r="AB12" s="63"/>
      <c r="AC12" s="18"/>
      <c r="AE12" s="14" t="s">
        <v>88</v>
      </c>
      <c r="AF12" s="147" t="s">
        <v>88</v>
      </c>
      <c r="AG12" s="27"/>
      <c r="AH12" s="27"/>
      <c r="AI12" s="28"/>
      <c r="AK12" s="56" t="s">
        <v>122</v>
      </c>
      <c r="AL12" s="86" t="s">
        <v>269</v>
      </c>
      <c r="AN12" s="71" t="s">
        <v>35</v>
      </c>
      <c r="AO12" s="82">
        <v>2.225E-3</v>
      </c>
      <c r="AP12" s="83" t="b">
        <v>1</v>
      </c>
      <c r="AQ12" s="6"/>
      <c r="AR12" s="56" t="s">
        <v>157</v>
      </c>
      <c r="AS12" s="86" t="s">
        <v>29</v>
      </c>
      <c r="AU12" s="56" t="s">
        <v>151</v>
      </c>
      <c r="AV12" s="17" t="s">
        <v>78</v>
      </c>
      <c r="AX12" s="87" t="s">
        <v>35</v>
      </c>
      <c r="AY12" s="103">
        <v>4.125E-4</v>
      </c>
      <c r="BA12" s="56" t="s">
        <v>151</v>
      </c>
      <c r="BB12" s="17" t="s">
        <v>78</v>
      </c>
      <c r="BD12" s="87" t="s">
        <v>35</v>
      </c>
      <c r="BE12" s="103">
        <v>6.8749999999999996E-4</v>
      </c>
      <c r="BG12" s="56"/>
      <c r="BH12" s="17"/>
      <c r="BJ12" s="87"/>
      <c r="BK12" s="103"/>
      <c r="BM12" s="56" t="s">
        <v>157</v>
      </c>
      <c r="BN12" s="86" t="s">
        <v>29</v>
      </c>
      <c r="BP12" s="56" t="s">
        <v>225</v>
      </c>
      <c r="BQ12" s="86" t="s">
        <v>77</v>
      </c>
      <c r="BS12" s="56" t="s">
        <v>151</v>
      </c>
      <c r="BT12" s="86" t="s">
        <v>77</v>
      </c>
      <c r="BV12" s="56" t="s">
        <v>151</v>
      </c>
      <c r="BW12" s="86" t="s">
        <v>77</v>
      </c>
      <c r="BY12" s="56" t="s">
        <v>151</v>
      </c>
      <c r="BZ12" s="86" t="s">
        <v>77</v>
      </c>
      <c r="CB12" s="87" t="s">
        <v>35</v>
      </c>
      <c r="CC12" s="103">
        <v>-6.7850499999999999E-3</v>
      </c>
      <c r="CE12" s="56" t="s">
        <v>157</v>
      </c>
      <c r="CF12" s="86" t="s">
        <v>29</v>
      </c>
      <c r="CH12" s="56" t="s">
        <v>229</v>
      </c>
      <c r="CI12" s="86" t="s">
        <v>192</v>
      </c>
      <c r="CK12" s="56" t="s">
        <v>229</v>
      </c>
      <c r="CL12" s="86" t="s">
        <v>192</v>
      </c>
      <c r="CN12" s="56" t="s">
        <v>229</v>
      </c>
      <c r="CO12" s="86" t="s">
        <v>192</v>
      </c>
    </row>
    <row r="13" spans="2:93">
      <c r="B13" s="56" t="s">
        <v>208</v>
      </c>
      <c r="C13" s="132" t="s">
        <v>354</v>
      </c>
      <c r="D13" s="133"/>
      <c r="E13" s="134"/>
      <c r="F13" t="s">
        <v>12</v>
      </c>
      <c r="G13" s="56" t="s">
        <v>230</v>
      </c>
      <c r="H13" s="86" t="b">
        <v>0</v>
      </c>
      <c r="J13" s="73" t="s">
        <v>115</v>
      </c>
      <c r="K13" s="17" t="s">
        <v>40</v>
      </c>
      <c r="M13" s="87" t="s">
        <v>21</v>
      </c>
      <c r="N13" s="88">
        <v>7.0999999999999991E-4</v>
      </c>
      <c r="O13" s="89"/>
      <c r="P13" s="89"/>
      <c r="Q13" s="90" t="b">
        <v>1</v>
      </c>
      <c r="S13" s="97"/>
      <c r="T13" s="98"/>
      <c r="V13" s="56" t="s">
        <v>230</v>
      </c>
      <c r="W13" s="86" t="b">
        <v>0</v>
      </c>
      <c r="Y13" s="6"/>
      <c r="Z13" s="4"/>
      <c r="AA13" s="6"/>
      <c r="AB13" s="8"/>
      <c r="AC13" s="4"/>
      <c r="AE13" s="4"/>
      <c r="AF13" s="4"/>
      <c r="AK13" s="56" t="s">
        <v>270</v>
      </c>
      <c r="AL13" s="86" t="s">
        <v>269</v>
      </c>
      <c r="AN13" s="71" t="s">
        <v>33</v>
      </c>
      <c r="AO13" s="82">
        <v>2.8249999999999998E-3</v>
      </c>
      <c r="AP13" s="83" t="b">
        <v>1</v>
      </c>
      <c r="AQ13" s="6"/>
      <c r="AR13" s="56" t="s">
        <v>230</v>
      </c>
      <c r="AS13" s="86" t="b">
        <v>0</v>
      </c>
      <c r="AU13" s="56" t="s">
        <v>148</v>
      </c>
      <c r="AV13" s="17" t="s">
        <v>40</v>
      </c>
      <c r="AX13" s="87" t="s">
        <v>33</v>
      </c>
      <c r="AY13" s="103">
        <v>4.3750000000000001E-4</v>
      </c>
      <c r="BA13" s="56" t="s">
        <v>148</v>
      </c>
      <c r="BB13" s="17" t="s">
        <v>40</v>
      </c>
      <c r="BD13" s="87" t="s">
        <v>33</v>
      </c>
      <c r="BE13" s="103">
        <v>7.1250000000000003E-4</v>
      </c>
      <c r="BG13" s="56"/>
      <c r="BH13" s="17"/>
      <c r="BJ13" s="87"/>
      <c r="BK13" s="103"/>
      <c r="BM13" s="56" t="s">
        <v>230</v>
      </c>
      <c r="BN13" s="86" t="b">
        <v>0</v>
      </c>
      <c r="BP13" s="56" t="s">
        <v>228</v>
      </c>
      <c r="BQ13" s="86" t="s">
        <v>40</v>
      </c>
      <c r="BS13" s="56" t="s">
        <v>148</v>
      </c>
      <c r="BT13" s="86" t="s">
        <v>40</v>
      </c>
      <c r="BV13" s="56" t="s">
        <v>148</v>
      </c>
      <c r="BW13" s="86" t="s">
        <v>40</v>
      </c>
      <c r="BY13" s="56" t="s">
        <v>148</v>
      </c>
      <c r="BZ13" s="86" t="s">
        <v>40</v>
      </c>
      <c r="CB13" s="87" t="s">
        <v>33</v>
      </c>
      <c r="CC13" s="103">
        <v>-7.2251000000000008E-3</v>
      </c>
      <c r="CE13" s="56" t="s">
        <v>230</v>
      </c>
      <c r="CF13" s="86" t="b">
        <v>0</v>
      </c>
      <c r="CH13" s="56"/>
      <c r="CI13" s="86"/>
      <c r="CK13" s="56"/>
      <c r="CL13" s="86"/>
      <c r="CN13" s="56"/>
      <c r="CO13" s="86"/>
    </row>
    <row r="14" spans="2:93">
      <c r="B14" s="56"/>
      <c r="C14" s="132"/>
      <c r="D14" s="133"/>
      <c r="E14" s="134"/>
      <c r="F14" t="s">
        <v>12</v>
      </c>
      <c r="G14" s="56" t="s">
        <v>232</v>
      </c>
      <c r="H14" s="86" t="b">
        <v>0</v>
      </c>
      <c r="J14" s="73"/>
      <c r="K14" s="17"/>
      <c r="M14" s="87" t="s">
        <v>59</v>
      </c>
      <c r="N14" s="88">
        <v>6.9000000000000008E-4</v>
      </c>
      <c r="O14" s="89"/>
      <c r="P14" s="89"/>
      <c r="Q14" s="90" t="b">
        <v>1</v>
      </c>
      <c r="S14" s="97"/>
      <c r="T14" s="98"/>
      <c r="V14" s="56" t="s">
        <v>232</v>
      </c>
      <c r="W14" s="86" t="b">
        <v>0</v>
      </c>
      <c r="Y14" s="7" t="s">
        <v>147</v>
      </c>
      <c r="Z14" s="4"/>
      <c r="AA14" s="6"/>
      <c r="AB14" s="5" t="s">
        <v>146</v>
      </c>
      <c r="AC14" s="4"/>
      <c r="AE14" s="2" t="s">
        <v>145</v>
      </c>
      <c r="AF14" s="4"/>
      <c r="AK14" s="56" t="s">
        <v>157</v>
      </c>
      <c r="AL14" s="86" t="s">
        <v>29</v>
      </c>
      <c r="AN14" s="71" t="s">
        <v>131</v>
      </c>
      <c r="AO14" s="82">
        <v>3.5049999999999999E-3</v>
      </c>
      <c r="AP14" s="83" t="b">
        <v>1</v>
      </c>
      <c r="AQ14" s="6"/>
      <c r="AR14" s="56" t="s">
        <v>232</v>
      </c>
      <c r="AS14" s="86" t="b">
        <v>0</v>
      </c>
      <c r="AU14" s="56" t="s">
        <v>141</v>
      </c>
      <c r="AV14" s="17" t="s">
        <v>43</v>
      </c>
      <c r="AX14" s="87" t="s">
        <v>131</v>
      </c>
      <c r="AY14" s="103">
        <v>4.6250000000000002E-4</v>
      </c>
      <c r="BA14" s="56" t="s">
        <v>141</v>
      </c>
      <c r="BB14" s="17" t="s">
        <v>43</v>
      </c>
      <c r="BD14" s="87" t="s">
        <v>131</v>
      </c>
      <c r="BE14" s="103">
        <v>7.1250000000000003E-4</v>
      </c>
      <c r="BG14" s="56"/>
      <c r="BH14" s="17"/>
      <c r="BJ14" s="87"/>
      <c r="BK14" s="103"/>
      <c r="BM14" s="56" t="s">
        <v>232</v>
      </c>
      <c r="BN14" s="86" t="b">
        <v>0</v>
      </c>
      <c r="BP14" s="56" t="s">
        <v>231</v>
      </c>
      <c r="BQ14" s="86">
        <v>2</v>
      </c>
      <c r="BS14" s="56" t="s">
        <v>141</v>
      </c>
      <c r="BT14" s="86">
        <v>2</v>
      </c>
      <c r="BV14" s="56" t="s">
        <v>141</v>
      </c>
      <c r="BW14" s="86">
        <v>2</v>
      </c>
      <c r="BY14" s="56" t="s">
        <v>141</v>
      </c>
      <c r="BZ14" s="86">
        <v>2</v>
      </c>
      <c r="CB14" s="87" t="s">
        <v>131</v>
      </c>
      <c r="CC14" s="103">
        <v>-7.4626000000000007E-3</v>
      </c>
      <c r="CE14" s="56" t="s">
        <v>232</v>
      </c>
      <c r="CF14" s="86" t="b">
        <v>0</v>
      </c>
      <c r="CH14" s="56"/>
      <c r="CI14" s="86"/>
      <c r="CK14" s="56"/>
      <c r="CL14" s="86"/>
      <c r="CN14" s="56"/>
      <c r="CO14" s="86"/>
    </row>
    <row r="15" spans="2:93">
      <c r="B15" s="62"/>
      <c r="C15" s="135"/>
      <c r="D15" s="136"/>
      <c r="E15" s="137"/>
      <c r="F15" t="s">
        <v>12</v>
      </c>
      <c r="G15" s="56" t="s">
        <v>110</v>
      </c>
      <c r="H15" s="86" t="b">
        <v>0</v>
      </c>
      <c r="J15" s="73"/>
      <c r="K15" s="17"/>
      <c r="M15" s="87" t="s">
        <v>53</v>
      </c>
      <c r="N15" s="88">
        <v>6.7969999999999999E-4</v>
      </c>
      <c r="O15" s="89"/>
      <c r="P15" s="89"/>
      <c r="Q15" s="90" t="b">
        <v>1</v>
      </c>
      <c r="S15" s="97"/>
      <c r="T15" s="98"/>
      <c r="V15" s="56" t="s">
        <v>110</v>
      </c>
      <c r="W15" s="86" t="b">
        <v>0</v>
      </c>
      <c r="Y15" s="12" t="s">
        <v>174</v>
      </c>
      <c r="Z15" s="35" t="s">
        <v>214</v>
      </c>
      <c r="AB15" s="64" t="s">
        <v>76</v>
      </c>
      <c r="AC15" s="19" t="s">
        <v>75</v>
      </c>
      <c r="AE15" s="67" t="s">
        <v>76</v>
      </c>
      <c r="AF15" s="68" t="s">
        <v>139</v>
      </c>
      <c r="AG15" s="68" t="s">
        <v>138</v>
      </c>
      <c r="AH15" s="68" t="s">
        <v>75</v>
      </c>
      <c r="AI15" s="69" t="s">
        <v>137</v>
      </c>
      <c r="AK15" s="56" t="s">
        <v>103</v>
      </c>
      <c r="AL15" s="86" t="b">
        <v>1</v>
      </c>
      <c r="AN15" s="71" t="s">
        <v>31</v>
      </c>
      <c r="AO15" s="82">
        <v>4.215E-3</v>
      </c>
      <c r="AP15" s="83" t="b">
        <v>1</v>
      </c>
      <c r="AQ15" s="6"/>
      <c r="AR15" s="56" t="s">
        <v>110</v>
      </c>
      <c r="AS15" s="86" t="b">
        <v>0</v>
      </c>
      <c r="AU15" s="56" t="s">
        <v>132</v>
      </c>
      <c r="AV15" s="31" t="s">
        <v>201</v>
      </c>
      <c r="AX15" s="87" t="s">
        <v>31</v>
      </c>
      <c r="AY15" s="103">
        <v>4.8755300000000005E-4</v>
      </c>
      <c r="BA15" s="56" t="s">
        <v>132</v>
      </c>
      <c r="BB15" s="31" t="s">
        <v>201</v>
      </c>
      <c r="BD15" s="87" t="s">
        <v>31</v>
      </c>
      <c r="BE15" s="103">
        <v>7.3749999999999998E-4</v>
      </c>
      <c r="BG15" s="56"/>
      <c r="BH15" s="31"/>
      <c r="BJ15" s="87"/>
      <c r="BK15" s="103"/>
      <c r="BM15" s="56" t="s">
        <v>110</v>
      </c>
      <c r="BN15" s="86" t="b">
        <v>0</v>
      </c>
      <c r="BP15" s="56" t="s">
        <v>216</v>
      </c>
      <c r="BQ15" s="31" t="s">
        <v>325</v>
      </c>
      <c r="BS15" s="56" t="s">
        <v>132</v>
      </c>
      <c r="BT15" s="31" t="s">
        <v>321</v>
      </c>
      <c r="BV15" s="56" t="s">
        <v>132</v>
      </c>
      <c r="BW15" s="31" t="s">
        <v>322</v>
      </c>
      <c r="BY15" s="56" t="s">
        <v>132</v>
      </c>
      <c r="BZ15" s="31" t="s">
        <v>323</v>
      </c>
      <c r="CB15" s="87" t="s">
        <v>31</v>
      </c>
      <c r="CC15" s="103">
        <v>-7.5251499999999995E-3</v>
      </c>
      <c r="CE15" s="56" t="s">
        <v>110</v>
      </c>
      <c r="CF15" s="86" t="b">
        <v>0</v>
      </c>
      <c r="CH15" s="56"/>
      <c r="CI15" s="86"/>
      <c r="CK15" s="56"/>
      <c r="CL15" s="86"/>
      <c r="CN15" s="56"/>
      <c r="CO15" s="86"/>
    </row>
    <row r="16" spans="2:93">
      <c r="F16" t="s">
        <v>12</v>
      </c>
      <c r="G16" s="56" t="s">
        <v>107</v>
      </c>
      <c r="H16" s="86" t="b">
        <v>0</v>
      </c>
      <c r="J16" s="73"/>
      <c r="K16" s="17"/>
      <c r="M16" s="87" t="s">
        <v>74</v>
      </c>
      <c r="N16" s="88">
        <v>6.7000000000000002E-4</v>
      </c>
      <c r="O16" s="89"/>
      <c r="P16" s="89"/>
      <c r="Q16" s="90" t="b">
        <v>1</v>
      </c>
      <c r="S16" s="97"/>
      <c r="T16" s="98"/>
      <c r="V16" s="56" t="s">
        <v>107</v>
      </c>
      <c r="W16" s="86" t="b">
        <v>0</v>
      </c>
      <c r="Y16" s="13" t="s">
        <v>130</v>
      </c>
      <c r="Z16" s="17" t="s">
        <v>217</v>
      </c>
      <c r="AB16" s="54"/>
      <c r="AC16" s="36"/>
      <c r="AE16" s="42"/>
      <c r="AF16" s="43"/>
      <c r="AG16" s="43"/>
      <c r="AH16" s="44"/>
      <c r="AI16" s="184" t="s">
        <v>88</v>
      </c>
      <c r="AK16" s="56" t="s">
        <v>271</v>
      </c>
      <c r="AL16" s="86" t="b">
        <v>1</v>
      </c>
      <c r="AN16" s="71" t="s">
        <v>119</v>
      </c>
      <c r="AO16" s="82">
        <v>4.9300000000000004E-3</v>
      </c>
      <c r="AP16" s="83" t="b">
        <v>1</v>
      </c>
      <c r="AQ16" s="6"/>
      <c r="AR16" s="56" t="s">
        <v>107</v>
      </c>
      <c r="AS16" s="86" t="b">
        <v>0</v>
      </c>
      <c r="AU16" s="56" t="s">
        <v>126</v>
      </c>
      <c r="AV16" s="31" t="s">
        <v>63</v>
      </c>
      <c r="AX16" s="87" t="s">
        <v>119</v>
      </c>
      <c r="AY16" s="103">
        <v>5.1290999999999999E-4</v>
      </c>
      <c r="BA16" s="56" t="s">
        <v>126</v>
      </c>
      <c r="BB16" s="31" t="s">
        <v>63</v>
      </c>
      <c r="BD16" s="87" t="s">
        <v>119</v>
      </c>
      <c r="BE16" s="103">
        <v>7.6250000000000005E-4</v>
      </c>
      <c r="BG16" s="56"/>
      <c r="BH16" s="31"/>
      <c r="BJ16" s="87"/>
      <c r="BK16" s="103"/>
      <c r="BM16" s="56" t="s">
        <v>107</v>
      </c>
      <c r="BN16" s="86" t="b">
        <v>0</v>
      </c>
      <c r="BP16" s="56" t="s">
        <v>220</v>
      </c>
      <c r="BQ16" s="31" t="s">
        <v>326</v>
      </c>
      <c r="BS16" s="56" t="s">
        <v>126</v>
      </c>
      <c r="BT16" s="31" t="s">
        <v>350</v>
      </c>
      <c r="BV16" s="56" t="s">
        <v>126</v>
      </c>
      <c r="BW16" s="31" t="s">
        <v>351</v>
      </c>
      <c r="BY16" s="56" t="s">
        <v>126</v>
      </c>
      <c r="BZ16" s="31" t="s">
        <v>352</v>
      </c>
      <c r="CB16" s="87" t="s">
        <v>119</v>
      </c>
      <c r="CC16" s="103">
        <v>-7.4503500000000005E-3</v>
      </c>
      <c r="CE16" s="56" t="s">
        <v>107</v>
      </c>
      <c r="CF16" s="86" t="b">
        <v>0</v>
      </c>
      <c r="CH16" s="56"/>
      <c r="CI16" s="86"/>
      <c r="CK16" s="56"/>
      <c r="CL16" s="86"/>
      <c r="CN16" s="56"/>
      <c r="CO16" s="86"/>
    </row>
    <row r="17" spans="2:93">
      <c r="B17" s="2" t="s">
        <v>355</v>
      </c>
      <c r="C17" s="9"/>
      <c r="F17" t="s">
        <v>12</v>
      </c>
      <c r="G17" s="56" t="s">
        <v>100</v>
      </c>
      <c r="H17" s="86" t="s">
        <v>29</v>
      </c>
      <c r="J17" s="73"/>
      <c r="K17" s="17"/>
      <c r="M17" s="87" t="s">
        <v>70</v>
      </c>
      <c r="N17" s="88">
        <v>6.6E-4</v>
      </c>
      <c r="O17" s="89"/>
      <c r="P17" s="89"/>
      <c r="Q17" s="90" t="b">
        <v>1</v>
      </c>
      <c r="S17" s="97"/>
      <c r="T17" s="98"/>
      <c r="V17" s="56" t="s">
        <v>100</v>
      </c>
      <c r="W17" s="86" t="s">
        <v>29</v>
      </c>
      <c r="Y17" s="13" t="s">
        <v>122</v>
      </c>
      <c r="Z17" s="17" t="s">
        <v>222</v>
      </c>
      <c r="AB17" s="54"/>
      <c r="AC17" s="36"/>
      <c r="AE17" s="42"/>
      <c r="AF17" s="43"/>
      <c r="AG17" s="43"/>
      <c r="AH17" s="44"/>
      <c r="AI17" s="184" t="s">
        <v>88</v>
      </c>
      <c r="AK17" s="56" t="s">
        <v>272</v>
      </c>
      <c r="AL17" s="86" t="b">
        <v>1</v>
      </c>
      <c r="AN17" s="71" t="s">
        <v>113</v>
      </c>
      <c r="AO17" s="82">
        <v>5.6350000000000003E-3</v>
      </c>
      <c r="AP17" s="83" t="b">
        <v>1</v>
      </c>
      <c r="AQ17" s="6"/>
      <c r="AR17" s="56" t="s">
        <v>100</v>
      </c>
      <c r="AS17" s="86" t="s">
        <v>29</v>
      </c>
      <c r="AU17" s="56" t="s">
        <v>120</v>
      </c>
      <c r="AV17" s="109" t="s">
        <v>23</v>
      </c>
      <c r="AX17" s="87" t="s">
        <v>113</v>
      </c>
      <c r="AY17" s="103">
        <v>5.4960000000000002E-4</v>
      </c>
      <c r="BA17" s="56" t="s">
        <v>120</v>
      </c>
      <c r="BB17" s="109" t="s">
        <v>23</v>
      </c>
      <c r="BD17" s="87" t="s">
        <v>113</v>
      </c>
      <c r="BE17" s="103">
        <v>8.0000000000000004E-4</v>
      </c>
      <c r="BG17" s="56"/>
      <c r="BH17" s="109"/>
      <c r="BJ17" s="87"/>
      <c r="BK17" s="103"/>
      <c r="BM17" s="56" t="s">
        <v>100</v>
      </c>
      <c r="BN17" s="86" t="s">
        <v>29</v>
      </c>
      <c r="BP17" s="56" t="s">
        <v>233</v>
      </c>
      <c r="BQ17" s="31" t="s">
        <v>53</v>
      </c>
      <c r="BS17" s="56" t="s">
        <v>120</v>
      </c>
      <c r="BT17" s="31" t="s">
        <v>53</v>
      </c>
      <c r="BV17" s="56" t="s">
        <v>120</v>
      </c>
      <c r="BW17" s="31" t="s">
        <v>53</v>
      </c>
      <c r="BY17" s="56" t="s">
        <v>120</v>
      </c>
      <c r="BZ17" s="31" t="s">
        <v>53</v>
      </c>
      <c r="CB17" s="87" t="s">
        <v>113</v>
      </c>
      <c r="CC17" s="103">
        <v>-7.2968500000000006E-3</v>
      </c>
      <c r="CE17" s="56" t="s">
        <v>100</v>
      </c>
      <c r="CF17" s="86" t="s">
        <v>29</v>
      </c>
      <c r="CH17" s="56"/>
      <c r="CI17" s="86"/>
      <c r="CK17" s="56"/>
      <c r="CL17" s="86"/>
      <c r="CN17" s="56"/>
      <c r="CO17" s="86"/>
    </row>
    <row r="18" spans="2:93">
      <c r="B18" s="55" t="s">
        <v>201</v>
      </c>
      <c r="C18" s="126" t="s">
        <v>342</v>
      </c>
      <c r="D18" s="127"/>
      <c r="E18" s="128"/>
      <c r="F18" t="s">
        <v>12</v>
      </c>
      <c r="G18" s="56" t="s">
        <v>235</v>
      </c>
      <c r="H18" s="86" t="b">
        <v>1</v>
      </c>
      <c r="J18" s="56"/>
      <c r="K18" s="15"/>
      <c r="M18" s="87" t="s">
        <v>23</v>
      </c>
      <c r="N18" s="88">
        <v>6.6E-4</v>
      </c>
      <c r="O18" s="89"/>
      <c r="P18" s="89"/>
      <c r="Q18" s="90" t="b">
        <v>1</v>
      </c>
      <c r="S18" s="97"/>
      <c r="T18" s="98"/>
      <c r="V18" s="56" t="s">
        <v>235</v>
      </c>
      <c r="W18" s="86" t="b">
        <v>1</v>
      </c>
      <c r="Y18" s="13" t="s">
        <v>134</v>
      </c>
      <c r="Z18" s="17" t="s">
        <v>43</v>
      </c>
      <c r="AB18" s="54"/>
      <c r="AC18" s="36"/>
      <c r="AE18" s="45"/>
      <c r="AF18" s="46"/>
      <c r="AG18" s="46"/>
      <c r="AH18" s="47"/>
      <c r="AI18" s="185" t="s">
        <v>88</v>
      </c>
      <c r="AK18" s="56" t="s">
        <v>134</v>
      </c>
      <c r="AL18" s="86" t="s">
        <v>43</v>
      </c>
      <c r="AN18" s="71" t="s">
        <v>28</v>
      </c>
      <c r="AO18" s="82">
        <v>6.3549999999999995E-3</v>
      </c>
      <c r="AP18" s="83" t="b">
        <v>1</v>
      </c>
      <c r="AQ18" s="6"/>
      <c r="AR18" s="56" t="s">
        <v>235</v>
      </c>
      <c r="AS18" s="86" t="b">
        <v>1</v>
      </c>
      <c r="AU18" s="56" t="s">
        <v>114</v>
      </c>
      <c r="AV18" s="17" t="s">
        <v>55</v>
      </c>
      <c r="AX18" s="87" t="s">
        <v>28</v>
      </c>
      <c r="AY18" s="103">
        <v>5.7521799999999995E-4</v>
      </c>
      <c r="BA18" s="56" t="s">
        <v>114</v>
      </c>
      <c r="BB18" s="17" t="s">
        <v>55</v>
      </c>
      <c r="BD18" s="87" t="s">
        <v>28</v>
      </c>
      <c r="BE18" s="103">
        <v>8.4999999999999995E-4</v>
      </c>
      <c r="BG18" s="56"/>
      <c r="BH18" s="17"/>
      <c r="BJ18" s="87"/>
      <c r="BK18" s="103"/>
      <c r="BM18" s="56" t="s">
        <v>235</v>
      </c>
      <c r="BN18" s="86" t="b">
        <v>1</v>
      </c>
      <c r="BP18" s="56" t="s">
        <v>234</v>
      </c>
      <c r="BQ18" s="86" t="s">
        <v>55</v>
      </c>
      <c r="BS18" s="56" t="s">
        <v>114</v>
      </c>
      <c r="BT18" s="86" t="s">
        <v>55</v>
      </c>
      <c r="BV18" s="56" t="s">
        <v>114</v>
      </c>
      <c r="BW18" s="86" t="s">
        <v>55</v>
      </c>
      <c r="BY18" s="56" t="s">
        <v>114</v>
      </c>
      <c r="BZ18" s="86" t="s">
        <v>55</v>
      </c>
      <c r="CB18" s="87" t="s">
        <v>28</v>
      </c>
      <c r="CC18" s="103">
        <v>-7.1001999999999992E-3</v>
      </c>
      <c r="CE18" s="56" t="s">
        <v>235</v>
      </c>
      <c r="CF18" s="86" t="b">
        <v>1</v>
      </c>
      <c r="CH18" s="56"/>
      <c r="CI18" s="86"/>
      <c r="CK18" s="56"/>
      <c r="CL18" s="86"/>
      <c r="CN18" s="56"/>
      <c r="CO18" s="86"/>
    </row>
    <row r="19" spans="2:93">
      <c r="B19" s="56" t="s">
        <v>63</v>
      </c>
      <c r="C19" s="129" t="s">
        <v>338</v>
      </c>
      <c r="D19" s="130"/>
      <c r="E19" s="131"/>
      <c r="F19" t="s">
        <v>12</v>
      </c>
      <c r="G19" s="56" t="s">
        <v>81</v>
      </c>
      <c r="H19" s="86" t="s">
        <v>201</v>
      </c>
      <c r="J19" s="56"/>
      <c r="K19" s="15"/>
      <c r="M19" s="87" t="s">
        <v>65</v>
      </c>
      <c r="N19" s="88">
        <v>6.4999999999999997E-4</v>
      </c>
      <c r="O19" s="89"/>
      <c r="P19" s="89"/>
      <c r="Q19" s="90" t="b">
        <v>1</v>
      </c>
      <c r="S19" s="97"/>
      <c r="T19" s="98"/>
      <c r="V19" s="56" t="s">
        <v>81</v>
      </c>
      <c r="W19" s="86" t="s">
        <v>201</v>
      </c>
      <c r="Y19" s="57" t="s">
        <v>115</v>
      </c>
      <c r="Z19" s="17" t="s">
        <v>227</v>
      </c>
      <c r="AB19" s="54"/>
      <c r="AC19" s="36"/>
      <c r="AE19" s="45"/>
      <c r="AF19" s="46"/>
      <c r="AG19" s="46"/>
      <c r="AH19" s="47"/>
      <c r="AI19" s="185" t="s">
        <v>88</v>
      </c>
      <c r="AK19" s="56" t="s">
        <v>115</v>
      </c>
      <c r="AL19" s="86" t="s">
        <v>227</v>
      </c>
      <c r="AN19" s="71" t="s">
        <v>26</v>
      </c>
      <c r="AO19" s="82">
        <v>7.8000000000000005E-3</v>
      </c>
      <c r="AP19" s="83" t="b">
        <v>1</v>
      </c>
      <c r="AQ19" s="6"/>
      <c r="AR19" s="56" t="s">
        <v>81</v>
      </c>
      <c r="AS19" s="86" t="s">
        <v>201</v>
      </c>
      <c r="AU19" s="56" t="s">
        <v>109</v>
      </c>
      <c r="AV19" s="17" t="s">
        <v>46</v>
      </c>
      <c r="AX19" s="87" t="s">
        <v>366</v>
      </c>
      <c r="AY19" s="103">
        <v>5.8750000000000002E-4</v>
      </c>
      <c r="BA19" s="56" t="s">
        <v>109</v>
      </c>
      <c r="BB19" s="17" t="s">
        <v>46</v>
      </c>
      <c r="BD19" s="87" t="s">
        <v>26</v>
      </c>
      <c r="BE19" s="103">
        <v>8.3750000000000003E-4</v>
      </c>
      <c r="BG19" s="56"/>
      <c r="BH19" s="17"/>
      <c r="BJ19" s="87"/>
      <c r="BK19" s="103"/>
      <c r="BM19" s="56" t="s">
        <v>81</v>
      </c>
      <c r="BN19" s="86" t="s">
        <v>201</v>
      </c>
      <c r="BP19" s="56" t="s">
        <v>236</v>
      </c>
      <c r="BQ19" s="86" t="s">
        <v>46</v>
      </c>
      <c r="BS19" s="56" t="s">
        <v>109</v>
      </c>
      <c r="BT19" s="86" t="s">
        <v>46</v>
      </c>
      <c r="BV19" s="56" t="s">
        <v>109</v>
      </c>
      <c r="BW19" s="86" t="s">
        <v>46</v>
      </c>
      <c r="BY19" s="56" t="s">
        <v>109</v>
      </c>
      <c r="BZ19" s="86" t="s">
        <v>46</v>
      </c>
      <c r="CB19" s="87" t="s">
        <v>366</v>
      </c>
      <c r="CC19" s="103">
        <v>-6.8999999999999999E-3</v>
      </c>
      <c r="CE19" s="56" t="s">
        <v>81</v>
      </c>
      <c r="CF19" s="86" t="s">
        <v>201</v>
      </c>
      <c r="CH19" s="56"/>
      <c r="CI19" s="86"/>
      <c r="CK19" s="56"/>
      <c r="CL19" s="86"/>
      <c r="CN19" s="56"/>
      <c r="CO19" s="86"/>
    </row>
    <row r="20" spans="2:93">
      <c r="B20" s="56" t="s">
        <v>363</v>
      </c>
      <c r="C20" s="129" t="s">
        <v>343</v>
      </c>
      <c r="D20" s="133"/>
      <c r="E20" s="134"/>
      <c r="F20" t="s">
        <v>12</v>
      </c>
      <c r="G20" s="56"/>
      <c r="H20" s="86"/>
      <c r="J20" s="56"/>
      <c r="K20" s="15"/>
      <c r="M20" s="87" t="s">
        <v>61</v>
      </c>
      <c r="N20" s="88">
        <v>6.4999999999999997E-4</v>
      </c>
      <c r="O20" s="89"/>
      <c r="P20" s="89"/>
      <c r="Q20" s="90" t="b">
        <v>1</v>
      </c>
      <c r="S20" s="97"/>
      <c r="T20" s="98"/>
      <c r="V20" s="56" t="s">
        <v>254</v>
      </c>
      <c r="W20" s="86" t="b">
        <v>1</v>
      </c>
      <c r="Y20" s="57"/>
      <c r="Z20" s="17"/>
      <c r="AB20" s="54"/>
      <c r="AC20" s="36"/>
      <c r="AE20" s="45"/>
      <c r="AF20" s="46"/>
      <c r="AG20" s="46"/>
      <c r="AH20" s="47"/>
      <c r="AI20" s="185" t="s">
        <v>88</v>
      </c>
      <c r="AK20" s="56" t="s">
        <v>34</v>
      </c>
      <c r="AL20" s="86" t="b">
        <v>1</v>
      </c>
      <c r="AN20" s="71" t="s">
        <v>24</v>
      </c>
      <c r="AO20" s="82">
        <v>9.9500000000000005E-3</v>
      </c>
      <c r="AP20" s="83" t="b">
        <v>1</v>
      </c>
      <c r="AQ20" s="6"/>
      <c r="AR20" s="56" t="s">
        <v>254</v>
      </c>
      <c r="AS20" s="86" t="b">
        <v>1</v>
      </c>
      <c r="AU20" s="56" t="s">
        <v>105</v>
      </c>
      <c r="AV20" s="17" t="s">
        <v>48</v>
      </c>
      <c r="AX20" s="87" t="s">
        <v>26</v>
      </c>
      <c r="AY20" s="103">
        <v>5.7570899999999999E-4</v>
      </c>
      <c r="BA20" s="56" t="s">
        <v>105</v>
      </c>
      <c r="BB20" s="17" t="s">
        <v>48</v>
      </c>
      <c r="BD20" s="87" t="s">
        <v>24</v>
      </c>
      <c r="BE20" s="103">
        <v>8.1249999999999996E-4</v>
      </c>
      <c r="BG20" s="56"/>
      <c r="BH20" s="17"/>
      <c r="BJ20" s="87"/>
      <c r="BK20" s="103"/>
      <c r="BM20" s="56"/>
      <c r="BN20" s="86"/>
      <c r="BP20" s="56" t="s">
        <v>237</v>
      </c>
      <c r="BQ20" s="86" t="s">
        <v>48</v>
      </c>
      <c r="BS20" s="56" t="s">
        <v>105</v>
      </c>
      <c r="BT20" s="86" t="s">
        <v>48</v>
      </c>
      <c r="BV20" s="56" t="s">
        <v>105</v>
      </c>
      <c r="BW20" s="86" t="s">
        <v>48</v>
      </c>
      <c r="BY20" s="56" t="s">
        <v>105</v>
      </c>
      <c r="BZ20" s="86" t="s">
        <v>48</v>
      </c>
      <c r="CB20" s="87" t="s">
        <v>26</v>
      </c>
      <c r="CC20" s="103">
        <v>-6.6752499999999998E-3</v>
      </c>
      <c r="CE20" s="56"/>
      <c r="CF20" s="86"/>
      <c r="CH20" s="56"/>
      <c r="CI20" s="86"/>
      <c r="CK20" s="56"/>
      <c r="CL20" s="86"/>
      <c r="CN20" s="56"/>
      <c r="CO20" s="86"/>
    </row>
    <row r="21" spans="2:93">
      <c r="B21" s="56" t="s">
        <v>206</v>
      </c>
      <c r="C21" s="132" t="s">
        <v>339</v>
      </c>
      <c r="D21" s="133"/>
      <c r="E21" s="134"/>
      <c r="F21" t="s">
        <v>12</v>
      </c>
      <c r="G21" s="56"/>
      <c r="H21" s="86"/>
      <c r="J21" s="56"/>
      <c r="K21" s="15"/>
      <c r="M21" s="87" t="s">
        <v>57</v>
      </c>
      <c r="N21" s="88">
        <v>6.4000000000000005E-4</v>
      </c>
      <c r="O21" s="89"/>
      <c r="P21" s="89"/>
      <c r="Q21" s="90" t="b">
        <v>1</v>
      </c>
      <c r="S21" s="97"/>
      <c r="T21" s="98"/>
      <c r="V21" s="56"/>
      <c r="W21" s="86"/>
      <c r="Y21" s="57"/>
      <c r="Z21" s="17"/>
      <c r="AB21" s="54"/>
      <c r="AC21" s="36"/>
      <c r="AE21" s="45"/>
      <c r="AF21" s="46"/>
      <c r="AG21" s="46"/>
      <c r="AH21" s="47"/>
      <c r="AI21" s="185" t="s">
        <v>88</v>
      </c>
      <c r="AK21" s="56"/>
      <c r="AL21" s="86"/>
      <c r="AN21" s="71" t="s">
        <v>20</v>
      </c>
      <c r="AO21" s="82">
        <v>1.269E-2</v>
      </c>
      <c r="AP21" s="83" t="b">
        <v>1</v>
      </c>
      <c r="AQ21" s="6"/>
      <c r="AR21" s="56"/>
      <c r="AS21" s="86"/>
      <c r="AU21" s="56" t="s">
        <v>101</v>
      </c>
      <c r="AV21" s="17" t="s">
        <v>46</v>
      </c>
      <c r="AX21" s="87" t="s">
        <v>24</v>
      </c>
      <c r="AY21" s="103">
        <v>5.6338100000000006E-4</v>
      </c>
      <c r="BA21" s="56" t="s">
        <v>101</v>
      </c>
      <c r="BB21" s="17" t="s">
        <v>46</v>
      </c>
      <c r="BD21" s="87" t="s">
        <v>20</v>
      </c>
      <c r="BE21" s="103">
        <v>7.8750000000000001E-4</v>
      </c>
      <c r="BG21" s="56"/>
      <c r="BH21" s="17"/>
      <c r="BJ21" s="87"/>
      <c r="BK21" s="103"/>
      <c r="BM21" s="56"/>
      <c r="BN21" s="86"/>
      <c r="BP21" s="56" t="s">
        <v>238</v>
      </c>
      <c r="BQ21" s="86" t="s">
        <v>46</v>
      </c>
      <c r="BS21" s="56" t="s">
        <v>101</v>
      </c>
      <c r="BT21" s="86" t="s">
        <v>46</v>
      </c>
      <c r="BV21" s="56" t="s">
        <v>101</v>
      </c>
      <c r="BW21" s="86" t="s">
        <v>46</v>
      </c>
      <c r="BY21" s="56" t="s">
        <v>101</v>
      </c>
      <c r="BZ21" s="86" t="s">
        <v>46</v>
      </c>
      <c r="CB21" s="87" t="s">
        <v>376</v>
      </c>
      <c r="CC21" s="103">
        <v>-6.4999999999999997E-3</v>
      </c>
      <c r="CE21" s="56"/>
      <c r="CF21" s="86"/>
      <c r="CH21" s="56"/>
      <c r="CI21" s="86"/>
      <c r="CK21" s="56"/>
      <c r="CL21" s="86"/>
      <c r="CN21" s="56"/>
      <c r="CO21" s="86"/>
    </row>
    <row r="22" spans="2:93">
      <c r="B22" s="56" t="s">
        <v>211</v>
      </c>
      <c r="C22" s="132" t="s">
        <v>390</v>
      </c>
      <c r="D22" s="133"/>
      <c r="E22" s="134"/>
      <c r="F22" t="s">
        <v>12</v>
      </c>
      <c r="G22" s="56"/>
      <c r="H22" s="17"/>
      <c r="J22" s="56"/>
      <c r="K22" s="17"/>
      <c r="M22" s="87" t="s">
        <v>52</v>
      </c>
      <c r="N22" s="88">
        <v>6.38E-4</v>
      </c>
      <c r="O22" s="89"/>
      <c r="P22" s="89"/>
      <c r="Q22" s="90" t="b">
        <v>1</v>
      </c>
      <c r="S22" s="97"/>
      <c r="T22" s="98"/>
      <c r="V22" s="56"/>
      <c r="W22" s="86"/>
      <c r="Y22" s="57"/>
      <c r="Z22" s="17"/>
      <c r="AB22" s="54"/>
      <c r="AC22" s="36"/>
      <c r="AE22" s="45"/>
      <c r="AF22" s="46"/>
      <c r="AG22" s="46"/>
      <c r="AH22" s="47"/>
      <c r="AI22" s="185" t="s">
        <v>88</v>
      </c>
      <c r="AK22" s="56"/>
      <c r="AL22" s="86"/>
      <c r="AN22" s="71" t="s">
        <v>18</v>
      </c>
      <c r="AO22" s="82">
        <v>1.4199999999999999E-2</v>
      </c>
      <c r="AP22" s="83" t="b">
        <v>1</v>
      </c>
      <c r="AQ22" s="6"/>
      <c r="AR22" s="56"/>
      <c r="AS22" s="86"/>
      <c r="AU22" s="56" t="s">
        <v>96</v>
      </c>
      <c r="AV22" s="17" t="s">
        <v>43</v>
      </c>
      <c r="AX22" s="87" t="s">
        <v>20</v>
      </c>
      <c r="AY22" s="103">
        <v>5.5385000000000005E-4</v>
      </c>
      <c r="BA22" s="56" t="s">
        <v>96</v>
      </c>
      <c r="BB22" s="17" t="s">
        <v>43</v>
      </c>
      <c r="BD22" s="87" t="s">
        <v>18</v>
      </c>
      <c r="BE22" s="103">
        <v>7.7499999999999997E-4</v>
      </c>
      <c r="BG22" s="56"/>
      <c r="BH22" s="17"/>
      <c r="BJ22" s="87"/>
      <c r="BK22" s="103"/>
      <c r="BM22" s="56"/>
      <c r="BN22" s="86"/>
      <c r="BP22" s="56" t="s">
        <v>239</v>
      </c>
      <c r="BQ22" s="86">
        <v>2</v>
      </c>
      <c r="BS22" s="56" t="s">
        <v>96</v>
      </c>
      <c r="BT22" s="86">
        <v>2</v>
      </c>
      <c r="BV22" s="56" t="s">
        <v>96</v>
      </c>
      <c r="BW22" s="86">
        <v>2</v>
      </c>
      <c r="BY22" s="56" t="s">
        <v>96</v>
      </c>
      <c r="BZ22" s="86" t="s">
        <v>43</v>
      </c>
      <c r="CB22" s="87" t="s">
        <v>377</v>
      </c>
      <c r="CC22" s="103">
        <v>-6.3249999999999999E-3</v>
      </c>
      <c r="CE22" s="56"/>
      <c r="CF22" s="86"/>
      <c r="CH22" s="56"/>
      <c r="CI22" s="86"/>
      <c r="CK22" s="56"/>
      <c r="CL22" s="86"/>
      <c r="CN22" s="56"/>
      <c r="CO22" s="86"/>
    </row>
    <row r="23" spans="2:93">
      <c r="B23" s="56" t="s">
        <v>288</v>
      </c>
      <c r="C23" s="132" t="s">
        <v>340</v>
      </c>
      <c r="D23" s="133"/>
      <c r="E23" s="134"/>
      <c r="F23" t="s">
        <v>12</v>
      </c>
      <c r="G23" s="13"/>
      <c r="H23" s="30"/>
      <c r="J23" s="13"/>
      <c r="K23" s="30"/>
      <c r="M23" s="87" t="s">
        <v>50</v>
      </c>
      <c r="N23" s="88">
        <v>6.38E-4</v>
      </c>
      <c r="O23" s="89" t="s">
        <v>88</v>
      </c>
      <c r="P23" s="89" t="s">
        <v>88</v>
      </c>
      <c r="Q23" s="90" t="b">
        <v>1</v>
      </c>
      <c r="S23" s="97"/>
      <c r="T23" s="98"/>
      <c r="V23" s="13"/>
      <c r="W23" s="86"/>
      <c r="Y23" s="57"/>
      <c r="Z23" s="17"/>
      <c r="AB23" s="54"/>
      <c r="AC23" s="36"/>
      <c r="AE23" s="45"/>
      <c r="AF23" s="46"/>
      <c r="AG23" s="46"/>
      <c r="AH23" s="47"/>
      <c r="AI23" s="185" t="s">
        <v>88</v>
      </c>
      <c r="AK23" s="56"/>
      <c r="AL23" s="86"/>
      <c r="AN23" s="71" t="s">
        <v>17</v>
      </c>
      <c r="AO23" s="82">
        <v>1.4999999999999999E-2</v>
      </c>
      <c r="AP23" s="83" t="b">
        <v>1</v>
      </c>
      <c r="AQ23" s="6"/>
      <c r="AR23" s="13"/>
      <c r="AS23" s="86"/>
      <c r="AU23" s="79" t="s">
        <v>92</v>
      </c>
      <c r="AV23" s="20" t="s">
        <v>40</v>
      </c>
      <c r="AX23" s="87" t="s">
        <v>18</v>
      </c>
      <c r="AY23" s="103">
        <v>5.5245000000000001E-4</v>
      </c>
      <c r="BA23" s="79" t="s">
        <v>92</v>
      </c>
      <c r="BB23" s="20" t="s">
        <v>40</v>
      </c>
      <c r="BD23" s="87" t="s">
        <v>17</v>
      </c>
      <c r="BE23" s="103">
        <v>7.6250000000000005E-4</v>
      </c>
      <c r="BG23" s="79"/>
      <c r="BH23" s="20"/>
      <c r="BJ23" s="87"/>
      <c r="BK23" s="103"/>
      <c r="BM23" s="13"/>
      <c r="BN23" s="86"/>
      <c r="BP23" s="56" t="s">
        <v>240</v>
      </c>
      <c r="BQ23" s="17" t="s">
        <v>40</v>
      </c>
      <c r="BS23" s="56" t="s">
        <v>92</v>
      </c>
      <c r="BT23" s="17" t="s">
        <v>40</v>
      </c>
      <c r="BV23" s="56" t="s">
        <v>92</v>
      </c>
      <c r="BW23" s="17" t="s">
        <v>40</v>
      </c>
      <c r="BY23" s="56" t="s">
        <v>92</v>
      </c>
      <c r="BZ23" s="17" t="s">
        <v>40</v>
      </c>
      <c r="CB23" s="87" t="s">
        <v>24</v>
      </c>
      <c r="CC23" s="103">
        <v>-6.1252499999999996E-3</v>
      </c>
      <c r="CE23" s="13"/>
      <c r="CF23" s="86"/>
      <c r="CH23" s="56"/>
      <c r="CI23" s="86"/>
      <c r="CK23" s="56"/>
      <c r="CL23" s="86"/>
      <c r="CN23" s="56"/>
      <c r="CO23" s="86"/>
    </row>
    <row r="24" spans="2:93">
      <c r="B24" s="56"/>
      <c r="C24" s="132"/>
      <c r="D24" s="133"/>
      <c r="E24" s="134"/>
      <c r="F24" t="s">
        <v>12</v>
      </c>
      <c r="G24" s="14"/>
      <c r="H24" s="32"/>
      <c r="J24" s="14"/>
      <c r="K24" s="32"/>
      <c r="M24" s="87" t="s">
        <v>265</v>
      </c>
      <c r="N24" s="88">
        <v>6.3750000000000005E-4</v>
      </c>
      <c r="O24" s="89" t="s">
        <v>88</v>
      </c>
      <c r="P24" s="89" t="s">
        <v>88</v>
      </c>
      <c r="Q24" s="90" t="b">
        <v>1</v>
      </c>
      <c r="S24" s="97"/>
      <c r="T24" s="98"/>
      <c r="V24" s="13"/>
      <c r="W24" s="86"/>
      <c r="Y24" s="57"/>
      <c r="Z24" s="17"/>
      <c r="AB24" s="54"/>
      <c r="AC24" s="36"/>
      <c r="AE24" s="45"/>
      <c r="AF24" s="46"/>
      <c r="AG24" s="46"/>
      <c r="AH24" s="47"/>
      <c r="AI24" s="185" t="s">
        <v>88</v>
      </c>
      <c r="AK24" s="56"/>
      <c r="AL24" s="86"/>
      <c r="AN24" s="71" t="s">
        <v>16</v>
      </c>
      <c r="AO24" s="82">
        <v>1.5637499999999999E-2</v>
      </c>
      <c r="AP24" s="83" t="b">
        <v>1</v>
      </c>
      <c r="AQ24" s="6"/>
      <c r="AR24" s="13"/>
      <c r="AS24" s="86"/>
      <c r="AU24" s="78" t="s">
        <v>87</v>
      </c>
      <c r="AV24" s="102" t="s">
        <v>215</v>
      </c>
      <c r="AX24" s="87" t="s">
        <v>17</v>
      </c>
      <c r="AY24" s="103">
        <v>5.5008499999999996E-4</v>
      </c>
      <c r="BA24" s="78" t="s">
        <v>87</v>
      </c>
      <c r="BB24" s="102" t="s">
        <v>215</v>
      </c>
      <c r="BD24" s="87" t="s">
        <v>15</v>
      </c>
      <c r="BE24" s="103">
        <v>7.3749999999999998E-4</v>
      </c>
      <c r="BG24" s="78"/>
      <c r="BH24" s="102"/>
      <c r="BJ24" s="87"/>
      <c r="BK24" s="103"/>
      <c r="BM24" s="13"/>
      <c r="BN24" s="86"/>
      <c r="BP24" s="56" t="s">
        <v>241</v>
      </c>
      <c r="BQ24" s="86" t="s">
        <v>219</v>
      </c>
      <c r="BS24" s="56" t="s">
        <v>87</v>
      </c>
      <c r="BT24" s="86" t="s">
        <v>219</v>
      </c>
      <c r="BV24" s="56" t="s">
        <v>87</v>
      </c>
      <c r="BW24" s="86" t="s">
        <v>219</v>
      </c>
      <c r="BY24" s="56" t="s">
        <v>87</v>
      </c>
      <c r="BZ24" s="86" t="s">
        <v>219</v>
      </c>
      <c r="CB24" s="87" t="s">
        <v>20</v>
      </c>
      <c r="CC24" s="103">
        <v>-5.3877500000000002E-3</v>
      </c>
      <c r="CE24" s="13"/>
      <c r="CF24" s="86"/>
      <c r="CH24" s="56"/>
      <c r="CI24" s="86"/>
      <c r="CK24" s="56"/>
      <c r="CL24" s="86"/>
      <c r="CN24" s="56"/>
      <c r="CO24" s="86"/>
    </row>
    <row r="25" spans="2:93">
      <c r="B25" s="62"/>
      <c r="C25" s="135"/>
      <c r="D25" s="136"/>
      <c r="E25" s="137"/>
      <c r="F25" t="s">
        <v>12</v>
      </c>
      <c r="M25" s="87" t="s">
        <v>45</v>
      </c>
      <c r="N25" s="88">
        <v>6.38E-4</v>
      </c>
      <c r="O25" s="89"/>
      <c r="P25" s="89"/>
      <c r="Q25" s="90" t="b">
        <v>1</v>
      </c>
      <c r="S25" s="97"/>
      <c r="T25" s="98"/>
      <c r="V25" s="13"/>
      <c r="W25" s="86"/>
      <c r="Y25" s="58"/>
      <c r="Z25" s="20"/>
      <c r="AB25" s="65"/>
      <c r="AC25" s="41"/>
      <c r="AE25" s="48"/>
      <c r="AF25" s="46"/>
      <c r="AG25" s="46"/>
      <c r="AH25" s="49"/>
      <c r="AI25" s="185" t="s">
        <v>88</v>
      </c>
      <c r="AK25" s="56"/>
      <c r="AL25" s="86"/>
      <c r="AN25" s="71" t="s">
        <v>15</v>
      </c>
      <c r="AO25" s="82">
        <v>1.6174999999999998E-2</v>
      </c>
      <c r="AP25" s="83" t="b">
        <v>1</v>
      </c>
      <c r="AQ25" s="6"/>
      <c r="AR25" s="13"/>
      <c r="AS25" s="86"/>
      <c r="AU25" s="56" t="s">
        <v>85</v>
      </c>
      <c r="AV25" s="17" t="s">
        <v>55</v>
      </c>
      <c r="AX25" s="87" t="s">
        <v>15</v>
      </c>
      <c r="AY25" s="103">
        <v>5.4968300000000003E-4</v>
      </c>
      <c r="BA25" s="56" t="s">
        <v>85</v>
      </c>
      <c r="BB25" s="17" t="s">
        <v>55</v>
      </c>
      <c r="BD25" s="87" t="s">
        <v>88</v>
      </c>
      <c r="BE25" s="103" t="s">
        <v>88</v>
      </c>
      <c r="BG25" s="56"/>
      <c r="BH25" s="17"/>
      <c r="BJ25" s="87"/>
      <c r="BK25" s="103"/>
      <c r="BM25" s="13"/>
      <c r="BN25" s="86"/>
      <c r="BP25" s="78" t="s">
        <v>242</v>
      </c>
      <c r="BQ25" s="106" t="s">
        <v>55</v>
      </c>
      <c r="BS25" s="78" t="s">
        <v>85</v>
      </c>
      <c r="BT25" s="106" t="s">
        <v>55</v>
      </c>
      <c r="BV25" s="78" t="s">
        <v>85</v>
      </c>
      <c r="BW25" s="106" t="s">
        <v>55</v>
      </c>
      <c r="BY25" s="78" t="s">
        <v>85</v>
      </c>
      <c r="BZ25" s="106" t="s">
        <v>55</v>
      </c>
      <c r="CB25" s="87" t="s">
        <v>18</v>
      </c>
      <c r="CC25" s="103">
        <v>-4.8563499999999997E-3</v>
      </c>
      <c r="CE25" s="13"/>
      <c r="CF25" s="86"/>
      <c r="CH25" s="56"/>
      <c r="CI25" s="86"/>
      <c r="CK25" s="56"/>
      <c r="CL25" s="86"/>
      <c r="CN25" s="56"/>
      <c r="CO25" s="86"/>
    </row>
    <row r="26" spans="2:93">
      <c r="F26" t="s">
        <v>12</v>
      </c>
      <c r="M26" s="87" t="s">
        <v>42</v>
      </c>
      <c r="N26" s="88">
        <v>6.7500000000000004E-4</v>
      </c>
      <c r="O26" s="89"/>
      <c r="P26" s="89"/>
      <c r="Q26" s="90" t="b">
        <v>1</v>
      </c>
      <c r="S26" s="97"/>
      <c r="T26" s="98"/>
      <c r="V26" s="13"/>
      <c r="W26" s="86"/>
      <c r="Y26" s="215" t="s">
        <v>23</v>
      </c>
      <c r="Z26" s="216">
        <v>1.3500000000000001E-3</v>
      </c>
      <c r="AB26" s="54"/>
      <c r="AC26" s="36"/>
      <c r="AE26" s="50"/>
      <c r="AF26" s="51"/>
      <c r="AG26" s="51"/>
      <c r="AH26" s="51"/>
      <c r="AI26" s="186" t="s">
        <v>88</v>
      </c>
      <c r="AK26" s="56"/>
      <c r="AL26" s="86"/>
      <c r="AN26" s="71" t="s">
        <v>88</v>
      </c>
      <c r="AO26" s="82" t="s">
        <v>88</v>
      </c>
      <c r="AP26" s="83" t="b">
        <v>0</v>
      </c>
      <c r="AQ26" s="6"/>
      <c r="AR26" s="13"/>
      <c r="AS26" s="86"/>
      <c r="AU26" s="56" t="s">
        <v>83</v>
      </c>
      <c r="AV26" s="86" t="s">
        <v>77</v>
      </c>
      <c r="AX26" s="87" t="s">
        <v>88</v>
      </c>
      <c r="AY26" s="103" t="s">
        <v>88</v>
      </c>
      <c r="BA26" s="56" t="s">
        <v>83</v>
      </c>
      <c r="BB26" s="86" t="s">
        <v>82</v>
      </c>
      <c r="BD26" s="87" t="s">
        <v>88</v>
      </c>
      <c r="BE26" s="103" t="s">
        <v>88</v>
      </c>
      <c r="BG26" s="56"/>
      <c r="BH26" s="86"/>
      <c r="BJ26" s="87"/>
      <c r="BK26" s="103"/>
      <c r="BM26" s="13"/>
      <c r="BN26" s="86"/>
      <c r="BP26" s="56" t="s">
        <v>243</v>
      </c>
      <c r="BQ26" s="86" t="s">
        <v>77</v>
      </c>
      <c r="BS26" s="56" t="s">
        <v>83</v>
      </c>
      <c r="BT26" s="86" t="s">
        <v>77</v>
      </c>
      <c r="BV26" s="56" t="s">
        <v>83</v>
      </c>
      <c r="BW26" s="86" t="s">
        <v>77</v>
      </c>
      <c r="BY26" s="56" t="s">
        <v>83</v>
      </c>
      <c r="BZ26" s="86" t="s">
        <v>77</v>
      </c>
      <c r="CB26" s="87" t="s">
        <v>17</v>
      </c>
      <c r="CC26" s="103">
        <v>-4.4752999999999998E-3</v>
      </c>
      <c r="CE26" s="13"/>
      <c r="CF26" s="86"/>
      <c r="CH26" s="56"/>
      <c r="CI26" s="86"/>
      <c r="CK26" s="56"/>
      <c r="CL26" s="86"/>
      <c r="CN26" s="56"/>
      <c r="CO26" s="86"/>
    </row>
    <row r="27" spans="2:93">
      <c r="B27" s="2" t="s">
        <v>356</v>
      </c>
      <c r="C27" s="9"/>
      <c r="F27" t="s">
        <v>12</v>
      </c>
      <c r="M27" s="87" t="s">
        <v>39</v>
      </c>
      <c r="N27" s="88">
        <v>8.4000000000000003E-4</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c r="BH27" s="86"/>
      <c r="BJ27" s="87"/>
      <c r="BK27" s="103"/>
      <c r="BM27" s="13"/>
      <c r="BN27" s="86"/>
      <c r="BP27" s="56" t="s">
        <v>244</v>
      </c>
      <c r="BQ27" s="86" t="s">
        <v>40</v>
      </c>
      <c r="BS27" s="56" t="s">
        <v>73</v>
      </c>
      <c r="BT27" s="86" t="s">
        <v>40</v>
      </c>
      <c r="BV27" s="56" t="s">
        <v>73</v>
      </c>
      <c r="BW27" s="86" t="s">
        <v>40</v>
      </c>
      <c r="BY27" s="56" t="s">
        <v>73</v>
      </c>
      <c r="BZ27" s="86" t="s">
        <v>40</v>
      </c>
      <c r="CB27" s="87" t="s">
        <v>15</v>
      </c>
      <c r="CC27" s="103">
        <v>-3.8124999999999999E-3</v>
      </c>
      <c r="CE27" s="13"/>
      <c r="CF27" s="86"/>
      <c r="CH27" s="56"/>
      <c r="CI27" s="86"/>
      <c r="CK27" s="56"/>
      <c r="CL27" s="86"/>
      <c r="CN27" s="56"/>
      <c r="CO27" s="86"/>
    </row>
    <row r="28" spans="2:93">
      <c r="B28" s="55" t="s">
        <v>201</v>
      </c>
      <c r="C28" s="126" t="s">
        <v>210</v>
      </c>
      <c r="D28" s="127"/>
      <c r="E28" s="128"/>
      <c r="F28" t="s">
        <v>12</v>
      </c>
      <c r="M28" s="87" t="s">
        <v>35</v>
      </c>
      <c r="N28" s="88">
        <v>1.1999999999999999E-3</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c r="BH28" s="17"/>
      <c r="BJ28" s="87"/>
      <c r="BK28" s="103"/>
      <c r="BM28" s="13"/>
      <c r="BN28" s="86"/>
      <c r="BP28" s="56" t="s">
        <v>245</v>
      </c>
      <c r="BQ28" s="86">
        <v>2</v>
      </c>
      <c r="BS28" s="56" t="s">
        <v>69</v>
      </c>
      <c r="BT28" s="86">
        <v>2</v>
      </c>
      <c r="BV28" s="56" t="s">
        <v>69</v>
      </c>
      <c r="BW28" s="86">
        <v>2</v>
      </c>
      <c r="BY28" s="56" t="s">
        <v>69</v>
      </c>
      <c r="BZ28" s="86">
        <v>2</v>
      </c>
      <c r="CB28" s="87" t="s">
        <v>14</v>
      </c>
      <c r="CC28" s="103">
        <v>-3.2750000000000001E-3</v>
      </c>
      <c r="CE28" s="13"/>
      <c r="CF28" s="86"/>
      <c r="CH28" s="56"/>
      <c r="CI28" s="86"/>
      <c r="CK28" s="56"/>
      <c r="CL28" s="86"/>
      <c r="CN28" s="56"/>
      <c r="CO28" s="86"/>
    </row>
    <row r="29" spans="2:93">
      <c r="B29" s="56" t="s">
        <v>63</v>
      </c>
      <c r="C29" s="129" t="s">
        <v>338</v>
      </c>
      <c r="D29" s="130"/>
      <c r="E29" s="131"/>
      <c r="F29" t="s">
        <v>12</v>
      </c>
      <c r="M29" s="87" t="s">
        <v>33</v>
      </c>
      <c r="N29" s="88">
        <v>1.7125E-3</v>
      </c>
      <c r="O29" s="89"/>
      <c r="P29" s="89"/>
      <c r="Q29" s="90" t="b">
        <v>1</v>
      </c>
      <c r="S29" s="97"/>
      <c r="T29" s="98"/>
      <c r="V29" s="13"/>
      <c r="W29" s="86"/>
      <c r="Y29" s="54" t="s">
        <v>23</v>
      </c>
      <c r="Z29" s="36">
        <v>1.3429E-3</v>
      </c>
      <c r="AB29" s="54" t="s">
        <v>71</v>
      </c>
      <c r="AC29" s="36">
        <v>1.3500000000000001E-3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c r="BH29" s="31"/>
      <c r="BJ29" s="87"/>
      <c r="BK29" s="103"/>
      <c r="BM29" s="13"/>
      <c r="BN29" s="86"/>
      <c r="BP29" s="56" t="s">
        <v>224</v>
      </c>
      <c r="BQ29" s="31" t="s">
        <v>201</v>
      </c>
      <c r="BS29" s="56" t="s">
        <v>67</v>
      </c>
      <c r="BT29" s="31" t="s">
        <v>201</v>
      </c>
      <c r="BV29" s="56" t="s">
        <v>67</v>
      </c>
      <c r="BW29" s="31" t="s">
        <v>201</v>
      </c>
      <c r="BY29" s="56" t="s">
        <v>67</v>
      </c>
      <c r="BZ29" s="31" t="s">
        <v>201</v>
      </c>
      <c r="CB29" s="87" t="s">
        <v>88</v>
      </c>
      <c r="CC29" s="103" t="s">
        <v>88</v>
      </c>
      <c r="CE29" s="13"/>
      <c r="CF29" s="86"/>
      <c r="CH29" s="56"/>
      <c r="CI29" s="86"/>
      <c r="CK29" s="56"/>
      <c r="CL29" s="86"/>
      <c r="CN29" s="56"/>
      <c r="CO29" s="86"/>
    </row>
    <row r="30" spans="2:93">
      <c r="B30" s="56" t="s">
        <v>206</v>
      </c>
      <c r="C30" s="132" t="s">
        <v>339</v>
      </c>
      <c r="D30" s="133"/>
      <c r="E30" s="134"/>
      <c r="F30" t="s">
        <v>12</v>
      </c>
      <c r="M30" s="87" t="s">
        <v>131</v>
      </c>
      <c r="N30" s="88">
        <v>2.3436999999999998E-3</v>
      </c>
      <c r="O30" s="89"/>
      <c r="P30" s="89"/>
      <c r="Q30" s="90" t="b">
        <v>1</v>
      </c>
      <c r="S30" s="97"/>
      <c r="T30" s="98"/>
      <c r="V30" s="13"/>
      <c r="W30" s="86"/>
      <c r="Y30" s="54"/>
      <c r="Z30" s="36"/>
      <c r="AB30" s="54" t="s">
        <v>68</v>
      </c>
      <c r="AC30" s="36">
        <v>1.3550000000000001E-3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c r="BH30" s="31"/>
      <c r="BJ30" s="87"/>
      <c r="BK30" s="103"/>
      <c r="BM30" s="13"/>
      <c r="BN30" s="86"/>
      <c r="BP30" s="56" t="s">
        <v>226</v>
      </c>
      <c r="BQ30" s="31" t="s">
        <v>379</v>
      </c>
      <c r="BS30" s="56" t="s">
        <v>64</v>
      </c>
      <c r="BT30" s="31" t="s">
        <v>379</v>
      </c>
      <c r="BV30" s="56" t="s">
        <v>64</v>
      </c>
      <c r="BW30" s="31" t="s">
        <v>379</v>
      </c>
      <c r="BY30" s="56" t="s">
        <v>64</v>
      </c>
      <c r="BZ30" s="31" t="s">
        <v>379</v>
      </c>
      <c r="CB30" s="87" t="s">
        <v>88</v>
      </c>
      <c r="CC30" s="103" t="s">
        <v>88</v>
      </c>
      <c r="CE30" s="13"/>
      <c r="CF30" s="86"/>
      <c r="CH30" s="56"/>
      <c r="CI30" s="86"/>
      <c r="CK30" s="56"/>
      <c r="CL30" s="86"/>
      <c r="CN30" s="56"/>
      <c r="CO30" s="86"/>
    </row>
    <row r="31" spans="2:93">
      <c r="B31" s="56" t="s">
        <v>211</v>
      </c>
      <c r="C31" s="132" t="s">
        <v>390</v>
      </c>
      <c r="D31" s="133"/>
      <c r="E31" s="134"/>
      <c r="F31" t="s">
        <v>12</v>
      </c>
      <c r="M31" s="87" t="s">
        <v>31</v>
      </c>
      <c r="N31" s="88">
        <v>2.9687999999999997E-3</v>
      </c>
      <c r="O31" s="89"/>
      <c r="P31" s="89"/>
      <c r="Q31" s="90" t="b">
        <v>1</v>
      </c>
      <c r="S31" s="97"/>
      <c r="T31" s="98"/>
      <c r="V31" s="13"/>
      <c r="W31" s="86"/>
      <c r="Y31" s="54"/>
      <c r="Z31" s="36"/>
      <c r="AB31" s="54" t="s">
        <v>66</v>
      </c>
      <c r="AC31" s="36">
        <v>1.3650000000000001E-3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c r="BH31" s="109"/>
      <c r="BJ31" s="87"/>
      <c r="BK31" s="103"/>
      <c r="BM31" s="13"/>
      <c r="BN31" s="86"/>
      <c r="BP31" s="56" t="s">
        <v>246</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340</v>
      </c>
      <c r="D32" s="133"/>
      <c r="E32" s="134"/>
      <c r="F32" t="s">
        <v>12</v>
      </c>
      <c r="M32" s="87" t="s">
        <v>119</v>
      </c>
      <c r="N32" s="88">
        <v>3.6125000000000003E-3</v>
      </c>
      <c r="O32" s="89"/>
      <c r="P32" s="89"/>
      <c r="Q32" s="90" t="b">
        <v>1</v>
      </c>
      <c r="S32" s="97"/>
      <c r="T32" s="98"/>
      <c r="V32" s="13"/>
      <c r="W32" s="86"/>
      <c r="Y32" s="54"/>
      <c r="Z32" s="36"/>
      <c r="AA32" s="3"/>
      <c r="AB32" s="54" t="s">
        <v>62</v>
      </c>
      <c r="AC32" s="36">
        <v>1.3750000000000001E-3</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c r="BH32" s="17"/>
      <c r="BJ32" s="87"/>
      <c r="BK32" s="103"/>
      <c r="BM32" s="13"/>
      <c r="BN32" s="86"/>
      <c r="BP32" s="56" t="s">
        <v>247</v>
      </c>
      <c r="BQ32" s="86" t="s">
        <v>55</v>
      </c>
      <c r="BS32" s="56" t="s">
        <v>56</v>
      </c>
      <c r="BT32" s="86" t="s">
        <v>55</v>
      </c>
      <c r="BV32" s="56" t="s">
        <v>56</v>
      </c>
      <c r="BW32" s="86" t="s">
        <v>55</v>
      </c>
      <c r="BY32" s="56" t="s">
        <v>56</v>
      </c>
      <c r="BZ32" s="86" t="s">
        <v>55</v>
      </c>
      <c r="CB32" s="87" t="s">
        <v>88</v>
      </c>
      <c r="CC32" s="103" t="s">
        <v>88</v>
      </c>
      <c r="CE32" s="13"/>
      <c r="CF32" s="86"/>
      <c r="CH32" s="56"/>
      <c r="CI32" s="86"/>
      <c r="CK32" s="56"/>
      <c r="CL32" s="86"/>
      <c r="CN32" s="56"/>
      <c r="CO32" s="86"/>
    </row>
    <row r="33" spans="2:93">
      <c r="B33" s="56" t="s">
        <v>208</v>
      </c>
      <c r="C33" s="132" t="s">
        <v>341</v>
      </c>
      <c r="D33" s="133"/>
      <c r="E33" s="134"/>
      <c r="F33" t="s">
        <v>12</v>
      </c>
      <c r="M33" s="87" t="s">
        <v>113</v>
      </c>
      <c r="N33" s="88">
        <v>4.2312000000000001E-3</v>
      </c>
      <c r="O33" s="89"/>
      <c r="P33" s="89"/>
      <c r="Q33" s="90" t="b">
        <v>1</v>
      </c>
      <c r="S33" s="97"/>
      <c r="T33" s="98"/>
      <c r="V33" s="13"/>
      <c r="W33" s="86"/>
      <c r="Y33" s="54"/>
      <c r="Z33" s="36"/>
      <c r="AA33" s="3"/>
      <c r="AB33" s="54" t="s">
        <v>58</v>
      </c>
      <c r="AC33" s="36">
        <v>1.3875000000000001E-3</v>
      </c>
      <c r="AD33" s="3"/>
      <c r="AE33" s="50"/>
      <c r="AF33" s="51"/>
      <c r="AG33" s="51"/>
      <c r="AH33" s="51"/>
      <c r="AI33" s="186" t="s">
        <v>88</v>
      </c>
      <c r="AK33" s="56"/>
      <c r="AL33" s="86"/>
      <c r="AN33" s="71" t="s">
        <v>88</v>
      </c>
      <c r="AO33" s="82" t="s">
        <v>88</v>
      </c>
      <c r="AP33" s="83" t="b">
        <v>0</v>
      </c>
      <c r="AQ33" s="6"/>
      <c r="AR33" s="13"/>
      <c r="AS33" s="86"/>
      <c r="AU33" s="56" t="s">
        <v>51</v>
      </c>
      <c r="AV33" s="17" t="s">
        <v>46</v>
      </c>
      <c r="AX33" s="87" t="s">
        <v>88</v>
      </c>
      <c r="AY33" s="103" t="s">
        <v>88</v>
      </c>
      <c r="BA33" s="56" t="s">
        <v>51</v>
      </c>
      <c r="BB33" s="17" t="s">
        <v>46</v>
      </c>
      <c r="BD33" s="87" t="s">
        <v>88</v>
      </c>
      <c r="BE33" s="103" t="s">
        <v>88</v>
      </c>
      <c r="BG33" s="56"/>
      <c r="BH33" s="17"/>
      <c r="BJ33" s="87"/>
      <c r="BK33" s="103"/>
      <c r="BM33" s="13"/>
      <c r="BN33" s="86"/>
      <c r="BP33" s="56" t="s">
        <v>248</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28</v>
      </c>
      <c r="N34" s="88">
        <v>4.875E-3</v>
      </c>
      <c r="O34" s="89"/>
      <c r="P34" s="89"/>
      <c r="Q34" s="90" t="b">
        <v>1</v>
      </c>
      <c r="S34" s="97"/>
      <c r="T34" s="98"/>
      <c r="V34" s="13"/>
      <c r="W34" s="86"/>
      <c r="Y34" s="54"/>
      <c r="Z34" s="36"/>
      <c r="AA34" s="3"/>
      <c r="AB34" s="54" t="s">
        <v>369</v>
      </c>
      <c r="AC34" s="36">
        <v>1.3950000000000002E-3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c r="BH34" s="17"/>
      <c r="BJ34" s="87"/>
      <c r="BK34" s="103"/>
      <c r="BM34" s="13"/>
      <c r="BN34" s="86"/>
      <c r="BP34" s="56" t="s">
        <v>249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366</v>
      </c>
      <c r="N35" s="88">
        <v>5.5249999999999995E-3</v>
      </c>
      <c r="O35" s="89"/>
      <c r="P35" s="89"/>
      <c r="Q35" s="90" t="b">
        <v>1</v>
      </c>
      <c r="S35" s="97"/>
      <c r="T35" s="98"/>
      <c r="V35" s="13"/>
      <c r="W35" s="86"/>
      <c r="Y35" s="54"/>
      <c r="Z35" s="36"/>
      <c r="AA35" s="3"/>
      <c r="AB35" s="54" t="s">
        <v>88</v>
      </c>
      <c r="AC35" s="36" t="s">
        <v>88</v>
      </c>
      <c r="AD35" s="3"/>
      <c r="AE35" s="50"/>
      <c r="AF35" s="51"/>
      <c r="AG35" s="51"/>
      <c r="AH35" s="51"/>
      <c r="AI35" s="186" t="s">
        <v>88</v>
      </c>
      <c r="AK35" s="56"/>
      <c r="AL35" s="17"/>
      <c r="AN35" s="71" t="s">
        <v>88</v>
      </c>
      <c r="AO35" s="82" t="s">
        <v>88</v>
      </c>
      <c r="AP35" s="83" t="b">
        <v>0</v>
      </c>
      <c r="AQ35" s="6"/>
      <c r="AR35" s="13"/>
      <c r="AS35" s="86"/>
      <c r="AU35" s="56" t="s">
        <v>47</v>
      </c>
      <c r="AV35" s="17" t="s">
        <v>46</v>
      </c>
      <c r="AX35" s="87" t="s">
        <v>88</v>
      </c>
      <c r="AY35" s="103" t="s">
        <v>88</v>
      </c>
      <c r="BA35" s="56" t="s">
        <v>47</v>
      </c>
      <c r="BB35" s="17" t="s">
        <v>46</v>
      </c>
      <c r="BD35" s="87" t="s">
        <v>88</v>
      </c>
      <c r="BE35" s="103" t="s">
        <v>88</v>
      </c>
      <c r="BG35" s="56"/>
      <c r="BH35" s="17"/>
      <c r="BJ35" s="87"/>
      <c r="BK35" s="103"/>
      <c r="BM35" s="13"/>
      <c r="BN35" s="86"/>
      <c r="BP35" s="56" t="s">
        <v>250</v>
      </c>
      <c r="BQ35" s="86" t="s">
        <v>46</v>
      </c>
      <c r="BS35" s="56" t="s">
        <v>47</v>
      </c>
      <c r="BT35" s="86" t="s">
        <v>46</v>
      </c>
      <c r="BV35" s="56" t="s">
        <v>47</v>
      </c>
      <c r="BW35" s="86" t="s">
        <v>46</v>
      </c>
      <c r="BY35" s="56" t="s">
        <v>47</v>
      </c>
      <c r="BZ35" s="86" t="s">
        <v>46</v>
      </c>
      <c r="CB35" s="87" t="s">
        <v>88</v>
      </c>
      <c r="CC35" s="103" t="s">
        <v>88</v>
      </c>
      <c r="CE35" s="13"/>
      <c r="CF35" s="86"/>
      <c r="CH35" s="56"/>
      <c r="CI35" s="86"/>
      <c r="CK35" s="56"/>
      <c r="CL35" s="86"/>
      <c r="CN35" s="56"/>
      <c r="CO35" s="86"/>
    </row>
    <row r="36" spans="2:93">
      <c r="F36" t="s">
        <v>12</v>
      </c>
      <c r="M36" s="87" t="s">
        <v>26</v>
      </c>
      <c r="N36" s="88">
        <v>6.1624999999999996E-3</v>
      </c>
      <c r="O36" s="89"/>
      <c r="P36" s="89"/>
      <c r="Q36" s="90" t="b">
        <v>1</v>
      </c>
      <c r="S36" s="97"/>
      <c r="T36" s="98"/>
      <c r="V36" s="13"/>
      <c r="W36" s="86"/>
      <c r="Y36" s="54"/>
      <c r="Z36" s="36"/>
      <c r="AA36" s="3"/>
      <c r="AB36" s="54" t="s">
        <v>88</v>
      </c>
      <c r="AC36" s="36" t="s">
        <v>88</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c r="BH36" s="17"/>
      <c r="BJ36" s="87"/>
      <c r="BK36" s="103"/>
      <c r="BM36" s="13"/>
      <c r="BN36" s="86"/>
      <c r="BP36" s="56" t="s">
        <v>251</v>
      </c>
      <c r="BQ36" s="86" t="s">
        <v>43</v>
      </c>
      <c r="BS36" s="56" t="s">
        <v>44</v>
      </c>
      <c r="BT36" s="86" t="s">
        <v>43</v>
      </c>
      <c r="BV36" s="56" t="s">
        <v>44</v>
      </c>
      <c r="BW36" s="86" t="s">
        <v>43</v>
      </c>
      <c r="BY36" s="56" t="s">
        <v>44</v>
      </c>
      <c r="BZ36" s="86" t="s">
        <v>43</v>
      </c>
      <c r="CB36" s="87" t="s">
        <v>88</v>
      </c>
      <c r="CC36" s="103" t="s">
        <v>88</v>
      </c>
      <c r="CE36" s="13"/>
      <c r="CF36" s="86"/>
      <c r="CH36" s="56"/>
      <c r="CI36" s="86"/>
      <c r="CK36" s="56"/>
      <c r="CL36" s="86"/>
      <c r="CN36" s="56"/>
      <c r="CO36" s="86"/>
    </row>
    <row r="37" spans="2:93">
      <c r="B37" s="2" t="s">
        <v>359</v>
      </c>
      <c r="C37" s="9"/>
      <c r="F37" t="s">
        <v>12</v>
      </c>
      <c r="M37" s="87" t="s">
        <v>24</v>
      </c>
      <c r="N37" s="88">
        <v>8.2874999999999997E-3</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c r="BH37" s="17"/>
      <c r="BJ37" s="87"/>
      <c r="BK37" s="103"/>
      <c r="BM37" s="13"/>
      <c r="BN37" s="86"/>
      <c r="BP37" s="56" t="s">
        <v>252</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210</v>
      </c>
      <c r="D38" s="127"/>
      <c r="E38" s="128"/>
      <c r="F38" t="s">
        <v>12</v>
      </c>
      <c r="M38" s="87" t="s">
        <v>20</v>
      </c>
      <c r="N38" s="88">
        <v>1.1075E-2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c r="BH38" s="17"/>
      <c r="BJ38" s="87"/>
      <c r="BK38" s="103"/>
      <c r="BM38" s="13"/>
      <c r="BN38" s="86"/>
      <c r="BP38" s="56" t="s">
        <v>229</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338</v>
      </c>
      <c r="D39" s="130"/>
      <c r="E39" s="131"/>
      <c r="F39" t="s">
        <v>12</v>
      </c>
      <c r="M39" s="87" t="s">
        <v>18</v>
      </c>
      <c r="N39" s="88">
        <v>1.24875E-2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c r="BH39" s="17"/>
      <c r="BJ39" s="87"/>
      <c r="BK39" s="103"/>
      <c r="BM39" s="13"/>
      <c r="BN39" s="86"/>
      <c r="BP39" s="56" t="s">
        <v>34</v>
      </c>
      <c r="BQ39" s="86" t="b">
        <v>1</v>
      </c>
      <c r="BS39" s="56" t="s">
        <v>34</v>
      </c>
      <c r="BT39" s="86" t="b">
        <v>1</v>
      </c>
      <c r="BV39" s="56" t="s">
        <v>34</v>
      </c>
      <c r="BW39" s="86" t="b">
        <v>1</v>
      </c>
      <c r="BY39" s="56" t="s">
        <v>34</v>
      </c>
      <c r="BZ39" s="86" t="b">
        <v>1</v>
      </c>
      <c r="CB39" s="87" t="s">
        <v>88</v>
      </c>
      <c r="CC39" s="103" t="s">
        <v>88</v>
      </c>
      <c r="CE39" s="13"/>
      <c r="CF39" s="86"/>
      <c r="CH39" s="56"/>
      <c r="CI39" s="86"/>
      <c r="CK39" s="56"/>
      <c r="CL39" s="86"/>
      <c r="CN39" s="56"/>
      <c r="CO39" s="86"/>
    </row>
    <row r="40" spans="2:93">
      <c r="B40" s="56" t="s">
        <v>206</v>
      </c>
      <c r="C40" s="132" t="s">
        <v>339</v>
      </c>
      <c r="D40" s="133"/>
      <c r="E40" s="134"/>
      <c r="F40" t="s">
        <v>12</v>
      </c>
      <c r="M40" s="87" t="s">
        <v>17</v>
      </c>
      <c r="N40" s="88">
        <v>1.325E-2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c r="BH40" s="17"/>
      <c r="BJ40" s="87"/>
      <c r="BK40" s="103"/>
      <c r="BM40" s="13"/>
      <c r="BN40" s="86"/>
      <c r="BP40" s="56" t="s">
        <v>30</v>
      </c>
      <c r="BQ40" s="86" t="s">
        <v>29</v>
      </c>
      <c r="BS40" s="56" t="s">
        <v>30</v>
      </c>
      <c r="BT40" s="86" t="s">
        <v>29</v>
      </c>
      <c r="BV40" s="56" t="s">
        <v>30</v>
      </c>
      <c r="BW40" s="86" t="s">
        <v>29</v>
      </c>
      <c r="BY40" s="56" t="s">
        <v>30</v>
      </c>
      <c r="BZ40" s="86" t="s">
        <v>29</v>
      </c>
      <c r="CB40" s="87" t="s">
        <v>88</v>
      </c>
      <c r="CC40" s="103" t="s">
        <v>88</v>
      </c>
      <c r="CE40" s="13"/>
      <c r="CF40" s="86"/>
      <c r="CH40" s="56"/>
      <c r="CI40" s="86"/>
      <c r="CK40" s="56"/>
      <c r="CL40" s="86"/>
      <c r="CN40" s="56"/>
      <c r="CO40" s="86"/>
    </row>
    <row r="41" spans="2:93">
      <c r="B41" s="56" t="s">
        <v>211</v>
      </c>
      <c r="C41" s="132" t="s">
        <v>390</v>
      </c>
      <c r="D41" s="133"/>
      <c r="E41" s="134"/>
      <c r="F41" t="s">
        <v>12</v>
      </c>
      <c r="M41" s="87" t="s">
        <v>16</v>
      </c>
      <c r="N41" s="88">
        <v>1.3962499999999999E-2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c r="BH41" s="17"/>
      <c r="BJ41" s="87"/>
      <c r="BK41" s="103"/>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340</v>
      </c>
      <c r="D42" s="133"/>
      <c r="E42" s="134"/>
      <c r="F42" t="s">
        <v>12</v>
      </c>
      <c r="M42" s="87" t="s">
        <v>15</v>
      </c>
      <c r="N42" s="88">
        <v>1.4499999999999999E-2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c r="BH42" s="17"/>
      <c r="BJ42" s="87"/>
      <c r="BK42" s="103"/>
      <c r="BM42" s="13"/>
      <c r="BN42" s="86"/>
      <c r="BP42" s="56" t="s">
        <v>27</v>
      </c>
      <c r="BQ42" s="86" t="b">
        <v>1</v>
      </c>
      <c r="BS42" s="56" t="s">
        <v>27</v>
      </c>
      <c r="BT42" s="86" t="b">
        <v>1</v>
      </c>
      <c r="BV42" s="56" t="s">
        <v>27</v>
      </c>
      <c r="BW42" s="86" t="b">
        <v>1</v>
      </c>
      <c r="BY42" s="56" t="s">
        <v>27</v>
      </c>
      <c r="BZ42" s="86" t="b">
        <v>1</v>
      </c>
      <c r="CB42" s="87" t="s">
        <v>88</v>
      </c>
      <c r="CC42" s="103" t="s">
        <v>88</v>
      </c>
      <c r="CE42" s="13"/>
      <c r="CF42" s="86"/>
      <c r="CH42" s="56"/>
      <c r="CI42" s="86"/>
      <c r="CK42" s="56"/>
      <c r="CL42" s="86"/>
      <c r="CN42" s="56"/>
      <c r="CO42" s="86"/>
    </row>
    <row r="43" spans="2:93">
      <c r="B43" s="56" t="s">
        <v>209</v>
      </c>
      <c r="C43" s="132" t="s">
        <v>341</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c r="AV43" s="17"/>
      <c r="AX43" s="87" t="s">
        <v>88</v>
      </c>
      <c r="AY43" s="103" t="s">
        <v>88</v>
      </c>
      <c r="BA43" s="56"/>
      <c r="BB43" s="17"/>
      <c r="BD43" s="87" t="s">
        <v>88</v>
      </c>
      <c r="BE43" s="103" t="s">
        <v>88</v>
      </c>
      <c r="BG43" s="56"/>
      <c r="BH43" s="17"/>
      <c r="BJ43" s="87"/>
      <c r="BK43" s="103"/>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c r="AV44" s="20"/>
      <c r="AX44" s="87" t="s">
        <v>88</v>
      </c>
      <c r="AY44" s="103" t="s">
        <v>88</v>
      </c>
      <c r="BA44" s="79"/>
      <c r="BB44" s="20"/>
      <c r="BD44" s="87" t="s">
        <v>88</v>
      </c>
      <c r="BE44" s="103" t="s">
        <v>88</v>
      </c>
      <c r="BG44" s="79"/>
      <c r="BH44" s="20"/>
      <c r="BJ44" s="87"/>
      <c r="BK44" s="103"/>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c r="BK45" s="103"/>
      <c r="BM45" s="13"/>
      <c r="BN45" s="86"/>
      <c r="BP45" s="56" t="s">
        <v>19</v>
      </c>
      <c r="BQ45" s="86" t="s">
        <v>253</v>
      </c>
      <c r="BS45" s="56" t="s">
        <v>19</v>
      </c>
      <c r="BT45" s="86" t="s">
        <v>253</v>
      </c>
      <c r="BV45" s="56" t="s">
        <v>19</v>
      </c>
      <c r="BW45" s="86" t="s">
        <v>253</v>
      </c>
      <c r="BY45" s="56" t="s">
        <v>19</v>
      </c>
      <c r="BZ45" s="86" t="s">
        <v>253</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c r="BK46" s="103"/>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c r="BK47" s="103"/>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210</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c r="BK48" s="103"/>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338</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339</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390</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340</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341</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10594"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10595"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10596"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10597"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10598"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10599"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3" tint="-0.249977111117893"/>
    <pageSetUpPr fitToPage="1"/>
  </sheetPr>
  <dimension ref="A2:AG41"/>
  <sheetViews>
    <sheetView showGridLines="0" workbookViewId="0"/>
  </sheetViews>
  <sheetFormatPr defaultRowHeight="15"/>
  <cols>
    <col min="1" max="1" width="11.42578125" style="118" customWidth="1"/>
    <col min="2" max="2" width="2.28515625" style="114" customWidth="1"/>
    <col min="3" max="3" width="15.7109375" style="114" customWidth="1"/>
    <col min="4" max="4" width="30.7109375" style="144" hidden="1" customWidth="1"/>
    <col min="5" max="5" width="22.7109375" style="114" customWidth="1"/>
    <col min="6" max="6" width="2.28515625" style="114" customWidth="1"/>
    <col min="7" max="7" width="15.7109375" style="114" customWidth="1"/>
    <col min="8" max="8" width="30.7109375" style="144" hidden="1" customWidth="1"/>
    <col min="9" max="9" width="22.7109375" style="114" customWidth="1"/>
    <col min="10" max="10" width="2.28515625" style="114" customWidth="1"/>
    <col min="11" max="11" width="15.7109375" style="114" customWidth="1"/>
    <col min="12" max="12" width="30.7109375" style="144" hidden="1" customWidth="1"/>
    <col min="13" max="13" width="22.7109375" style="114" customWidth="1"/>
    <col min="14" max="14" width="2.28515625" style="114" customWidth="1"/>
    <col min="15" max="15" width="15.7109375" style="114" customWidth="1"/>
    <col min="16" max="16" width="30.7109375" style="144" hidden="1" customWidth="1"/>
    <col min="17" max="17" width="22.7109375" style="114" customWidth="1"/>
    <col min="18" max="18" width="9.140625" style="114" customWidth="1"/>
    <col min="19" max="20" width="16.5703125" style="114" hidden="1" customWidth="1"/>
    <col min="21" max="24" width="10.7109375" style="114" hidden="1" customWidth="1"/>
    <col min="25" max="26" width="9.140625" style="114" hidden="1" customWidth="1"/>
    <col min="27" max="27" width="14.140625" style="114" hidden="1" customWidth="1"/>
    <col min="28" max="31" width="10.7109375" style="114" hidden="1" customWidth="1"/>
    <col min="32" max="32" width="9.140625" style="114" hidden="1" customWidth="1"/>
    <col min="33" max="33" width="15.7109375" style="112" hidden="1" customWidth="1"/>
    <col min="34" max="16384" width="9.140625" style="114"/>
  </cols>
  <sheetData>
    <row r="2" spans="1:33" s="115" customFormat="1" ht="15" customHeight="1">
      <c r="A2" s="118"/>
      <c r="D2" s="146"/>
      <c r="E2" s="256" t="s">
        <v>279</v>
      </c>
      <c r="G2" s="116"/>
      <c r="H2" s="146"/>
      <c r="I2" s="256" t="s">
        <v>280</v>
      </c>
      <c r="K2" s="116"/>
      <c r="L2" s="146"/>
      <c r="M2" s="256" t="s">
        <v>281</v>
      </c>
      <c r="O2" s="116"/>
      <c r="P2" s="146"/>
      <c r="Q2" s="256" t="s">
        <v>282</v>
      </c>
      <c r="T2" s="256" t="s">
        <v>391</v>
      </c>
      <c r="U2" s="258"/>
      <c r="V2" s="258"/>
      <c r="W2" s="258"/>
      <c r="X2" s="258"/>
      <c r="AA2" s="256" t="s">
        <v>393</v>
      </c>
      <c r="AB2" s="258"/>
      <c r="AC2" s="258"/>
      <c r="AD2" s="258"/>
      <c r="AE2" s="258"/>
      <c r="AG2" s="143" t="s">
        <v>392</v>
      </c>
    </row>
    <row r="3" spans="1:33" ht="15" customHeight="1">
      <c r="A3" s="175" t="s">
        <v>367</v>
      </c>
      <c r="D3" s="146"/>
      <c r="E3" s="257"/>
      <c r="G3" s="117"/>
      <c r="H3" s="146"/>
      <c r="I3" s="257"/>
      <c r="K3" s="117"/>
      <c r="L3" s="146"/>
      <c r="M3" s="257"/>
      <c r="O3" s="117"/>
      <c r="P3" s="146"/>
      <c r="Q3" s="257"/>
      <c r="S3" s="112"/>
      <c r="T3" s="257"/>
      <c r="U3" s="258"/>
      <c r="V3" s="258"/>
      <c r="W3" s="258"/>
      <c r="X3" s="258"/>
      <c r="AA3" s="257"/>
      <c r="AB3" s="258"/>
      <c r="AC3" s="258"/>
      <c r="AD3" s="258"/>
      <c r="AE3" s="258"/>
      <c r="AG3" s="173">
        <f ca="1">SUM(CurveErrorsUSD,CurveErrorsEUR,CurveErrorsGBP,CurveErrorsJPY)</f>
        <v>2</v>
      </c>
    </row>
    <row r="4" spans="1:33">
      <c r="S4" s="174"/>
      <c r="T4" s="174"/>
      <c r="U4" s="144"/>
      <c r="V4" s="144"/>
      <c r="W4" s="144"/>
      <c r="X4" s="144"/>
    </row>
    <row r="5" spans="1:33">
      <c r="A5" s="255" t="s">
        <v>190</v>
      </c>
      <c r="B5" s="111" t="s">
        <v>12</v>
      </c>
      <c r="C5" s="111"/>
      <c r="D5" s="113" t="s">
        <v>398</v>
      </c>
      <c r="E5" s="143" t="s">
        <v>302</v>
      </c>
      <c r="F5" s="111" t="s">
        <v>12</v>
      </c>
      <c r="G5" s="111"/>
      <c r="H5" s="113" t="s">
        <v>398</v>
      </c>
      <c r="I5" s="143" t="s">
        <v>313</v>
      </c>
      <c r="J5" s="111" t="s">
        <v>12</v>
      </c>
      <c r="K5" s="111"/>
      <c r="L5" s="113" t="s">
        <v>398</v>
      </c>
      <c r="M5" s="143" t="s">
        <v>314</v>
      </c>
      <c r="N5" s="111" t="s">
        <v>12</v>
      </c>
      <c r="O5" s="111"/>
      <c r="P5" s="113" t="s">
        <v>398</v>
      </c>
      <c r="Q5" s="143" t="s">
        <v>330</v>
      </c>
      <c r="R5" s="114" t="s">
        <v>12</v>
      </c>
      <c r="S5" s="255" t="s">
        <v>190</v>
      </c>
      <c r="T5" s="11" t="s">
        <v>399</v>
      </c>
      <c r="U5" s="195" t="s">
        <v>279</v>
      </c>
      <c r="V5" s="195" t="s">
        <v>280</v>
      </c>
      <c r="W5" s="195" t="s">
        <v>281</v>
      </c>
      <c r="X5" s="195" t="s">
        <v>282</v>
      </c>
      <c r="Z5" s="255" t="s">
        <v>190</v>
      </c>
      <c r="AA5" s="11" t="s">
        <v>382</v>
      </c>
      <c r="AB5" s="195" t="s">
        <v>279</v>
      </c>
      <c r="AC5" s="195" t="s">
        <v>280</v>
      </c>
      <c r="AD5" s="195" t="s">
        <v>281</v>
      </c>
      <c r="AE5" s="195" t="s">
        <v>282</v>
      </c>
      <c r="AG5" s="143" t="s">
        <v>394</v>
      </c>
    </row>
    <row r="6" spans="1:33">
      <c r="A6" s="255"/>
      <c r="B6" s="114" t="s">
        <v>12</v>
      </c>
      <c r="C6" s="122" t="s">
        <v>201</v>
      </c>
      <c r="D6" s="168" t="s">
        <v>277</v>
      </c>
      <c r="E6" s="153" t="str">
        <f ca="1">_xll.mirSetUpOISCurve(E$5,C$6,YieldCurvePropertiesOIS,OISConv,OISRates,OISCurveNamesNativeCSA,OISHistoricalRates)&amp;"@"&amp;NOW()</f>
        <v>OIS OIS Curve has been set (0.00500 sec)@42324.4459777778</v>
      </c>
      <c r="F6" s="114" t="s">
        <v>12</v>
      </c>
      <c r="G6" s="119" t="s">
        <v>201</v>
      </c>
      <c r="H6" s="166" t="s">
        <v>277</v>
      </c>
      <c r="I6" s="160" t="str">
        <f ca="1">_xll.mirSetUpOISCurve(I$5,G$6,YieldCurvePropertiesOIS,OISConv,OISRates,OISCurveNamesFWDFX,OISHistoricalRates)&amp;"@"&amp;NOW()</f>
        <v>OIS OIS Curve has been set (0.00700 sec)@42324.4459769676</v>
      </c>
      <c r="J6" s="114" t="s">
        <v>12</v>
      </c>
      <c r="K6" s="119" t="s">
        <v>201</v>
      </c>
      <c r="L6" s="168" t="s">
        <v>277</v>
      </c>
      <c r="M6" s="160" t="str">
        <f ca="1">_xll.mirSetUpOISCurve(M$5,K$6,YieldCurvePropertiesOIS,OISConv,OISRates,OISCurveNamesFWDFX,OISHistoricalRates)&amp;"@"&amp;NOW()</f>
        <v>OIS OIS Curve has been set (0.00500 sec)@42324.4459773148</v>
      </c>
      <c r="N6" s="114" t="s">
        <v>12</v>
      </c>
      <c r="O6" s="119" t="s">
        <v>201</v>
      </c>
      <c r="P6" s="168" t="s">
        <v>277</v>
      </c>
      <c r="Q6" s="160" t="str">
        <f ca="1">_xll.mirSetUpOISCurve(Q$5,O$6,YieldCurvePropertiesOIS,OISConv,OISRates,OISCurveNamesFWDFX,OISHistoricalRates)&amp;"@"&amp;NOW()</f>
        <v>OIS OIS Curve has been set (0.00400 sec)@42324.4459777778</v>
      </c>
      <c r="R6" s="114" t="s">
        <v>12</v>
      </c>
      <c r="S6" s="255"/>
      <c r="T6" s="192" t="s">
        <v>201</v>
      </c>
      <c r="U6" s="169" t="b">
        <f t="shared" ref="U6:U12" ca="1" si="0">IF(UPPER(LEFT(E6,3))=LEFT(C6,3),TRUE,FALSE)</f>
        <v>1</v>
      </c>
      <c r="V6" s="169" t="b">
        <f t="shared" ref="V6:V12" ca="1" si="1">IF(UPPER(LEFT(I6,3))=LEFT(G6,3),TRUE,FALSE)</f>
        <v>1</v>
      </c>
      <c r="W6" s="169" t="b">
        <f t="shared" ref="W6:W12" ca="1" si="2">IF(UPPER(LEFT(M6,3))=LEFT(K6,3),TRUE,FALSE)</f>
        <v>1</v>
      </c>
      <c r="X6" s="169" t="b">
        <f t="shared" ref="X6:X12" ca="1" si="3">IF(UPPER(LEFT(Q6,3))=LEFT(O6,3),TRUE,FALSE)</f>
        <v>1</v>
      </c>
      <c r="Z6" s="255"/>
      <c r="AA6" s="192" t="s">
        <v>201</v>
      </c>
      <c r="AB6" s="196">
        <f t="shared" ref="AB6:AE10" ca="1" si="4">IF(ISERROR(U6),1,IF(U6,0,1))</f>
        <v>0</v>
      </c>
      <c r="AC6" s="189">
        <f t="shared" ca="1" si="4"/>
        <v>0</v>
      </c>
      <c r="AD6" s="189">
        <f t="shared" ca="1" si="4"/>
        <v>0</v>
      </c>
      <c r="AE6" s="197">
        <f t="shared" ca="1" si="4"/>
        <v>0</v>
      </c>
      <c r="AG6" s="173">
        <f ca="1">SUM(ErrorCountUSDUSDCSA,ErrorCountUSDEURCSA,ErrorCountUSDGBPCSA,ErrorCountUSDJPYCSA)</f>
        <v>1</v>
      </c>
    </row>
    <row r="7" spans="1:33">
      <c r="B7" s="114" t="s">
        <v>12</v>
      </c>
      <c r="C7" s="123" t="s">
        <v>63</v>
      </c>
      <c r="D7" s="201" t="s">
        <v>275</v>
      </c>
      <c r="E7" s="154" t="str">
        <f ca="1">IF(U6,_xll.mirSetUpSwapCurve(E$5,C7,YieldCurvePropertiesSTD,MoneyMarketData,LiborConv,LiborData,SwapsConv,SwapsData,FRAConv,FRADatax3,FRADatax6,FuturesConv,FuturesData,,,SwapCurveNamesNativeCSA,SwapCurveNameDF2)&amp;NOW()&amp;"@"&amp;NOW(),"#ERROR")</f>
        <v>STD Swap Curve has been set42324.4459797454@42324.4459797454</v>
      </c>
      <c r="F7" s="114" t="s">
        <v>12</v>
      </c>
      <c r="G7" s="120" t="s">
        <v>63</v>
      </c>
      <c r="H7" s="202" t="s">
        <v>275</v>
      </c>
      <c r="I7" s="161" t="str">
        <f ca="1">IF(V6,_xll.mirSetUpSwapCurve(I$5,G7,YieldCurvePropertiesSTD,MoneyMarketData,LiborConv,LiborData,SwapsConv,SwapsData,FRAConv,FRADatax3,FRADatax6,FuturesConv,FuturesData,,,SwapCurveNamesFWDFX,SwapCurveNameDF2)&amp;"@"&amp;NOW(),"#ERROR")</f>
        <v>STD Swap Curve has been set@42324.4459789352</v>
      </c>
      <c r="J7" s="114" t="s">
        <v>12</v>
      </c>
      <c r="K7" s="120" t="s">
        <v>63</v>
      </c>
      <c r="L7" s="201" t="s">
        <v>275</v>
      </c>
      <c r="M7" s="161" t="str">
        <f ca="1">IF(W6,_xll.mirSetUpSwapCurve(M$5,K7,YieldCurvePropertiesSTD,MoneyMarketData,LiborConv,LiborData,SwapsConv,SwapsData,FRAConv,FRADatax3,FRADatax6,FuturesConv,FuturesData,,,SwapCurveNamesFWDFX,SwapCurveNameDF2)&amp;"@"&amp;NOW(),"#ERROR")</f>
        <v>STD Swap Curve has been set@42324.4459783565</v>
      </c>
      <c r="N7" s="114" t="s">
        <v>12</v>
      </c>
      <c r="O7" s="120" t="s">
        <v>63</v>
      </c>
      <c r="P7" s="201" t="s">
        <v>275</v>
      </c>
      <c r="Q7" s="161" t="str">
        <f ca="1">IF(X6,_xll.mirSetUpSwapCurve(Q$5,O7,YieldCurvePropertiesSTD,MoneyMarketData,LiborConv,LiborData,SwapsConv,SwapsData,FRAConv,FRADatax3,FRADatax6,FuturesConv,FuturesData,,,SwapCurveNamesFWDFX,SwapCurveNameDF2)&amp;"@"&amp;NOW(),"#ERROR")</f>
        <v>STD Swap Curve has been set@42324.4459792824</v>
      </c>
      <c r="R7" s="114" t="s">
        <v>12</v>
      </c>
      <c r="S7" s="118"/>
      <c r="T7" s="193" t="s">
        <v>63</v>
      </c>
      <c r="U7" s="171" t="b">
        <f t="shared" ca="1" si="0"/>
        <v>1</v>
      </c>
      <c r="V7" s="171" t="b">
        <f t="shared" ca="1" si="1"/>
        <v>1</v>
      </c>
      <c r="W7" s="171" t="b">
        <f t="shared" ca="1" si="2"/>
        <v>1</v>
      </c>
      <c r="X7" s="171" t="b">
        <f t="shared" ca="1" si="3"/>
        <v>1</v>
      </c>
      <c r="Z7" s="118"/>
      <c r="AA7" s="193" t="s">
        <v>63</v>
      </c>
      <c r="AB7" s="198">
        <f t="shared" ca="1" si="4"/>
        <v>0</v>
      </c>
      <c r="AC7" s="190">
        <f t="shared" ca="1" si="4"/>
        <v>0</v>
      </c>
      <c r="AD7" s="190">
        <f t="shared" ca="1" si="4"/>
        <v>0</v>
      </c>
      <c r="AE7" s="199">
        <f t="shared" ca="1" si="4"/>
        <v>0</v>
      </c>
    </row>
    <row r="8" spans="1:33">
      <c r="B8" s="114" t="s">
        <v>12</v>
      </c>
      <c r="C8" s="123" t="s">
        <v>206</v>
      </c>
      <c r="D8" s="170" t="s">
        <v>273</v>
      </c>
      <c r="E8" s="154" t="str">
        <f ca="1">IF(U7,_xll.mirSetUpBasisSwapCurve(E$5,C8,YieldCurvePropertiesTenorBasis,BasisConv3x6,BasisData3x6,TenorBasis3x6CurveNamesNativeCSA)&amp;"@"&amp;NOW(),"#ERROR")</f>
        <v>3M6MBasis BasisSwap Curve has been set@42324.4459815972</v>
      </c>
      <c r="F8" s="114" t="s">
        <v>12</v>
      </c>
      <c r="G8" s="120" t="s">
        <v>206</v>
      </c>
      <c r="H8" s="145" t="s">
        <v>273</v>
      </c>
      <c r="I8" s="161" t="str">
        <f ca="1">IF(V7,_xll.mirSetUpBasisSwapCurve(I$5,G8,YieldCurvePropertiesTenorBasis,BasisConv3x6,BasisData3x6,TenorBasis3x6CurveNamesFWDFX)&amp;"@"&amp;NOW(),"#ERROR")</f>
        <v>3M6MBasis BasisSwap Curve has been set@42324.4459815972</v>
      </c>
      <c r="J8" s="114" t="s">
        <v>12</v>
      </c>
      <c r="K8" s="120" t="s">
        <v>206</v>
      </c>
      <c r="L8" s="170" t="s">
        <v>273</v>
      </c>
      <c r="M8" s="161" t="str">
        <f ca="1">IF(W7,_xll.mirSetUpBasisSwapCurve(M$5,K8,YieldCurvePropertiesTenorBasis,BasisConv3x6,BasisData3x6,TenorBasis3x6CurveNamesFWDFX)&amp;"@"&amp;NOW(),"#ERROR")</f>
        <v>3M6MBasis BasisSwap Curve has been set@42324.4459813657</v>
      </c>
      <c r="N8" s="114" t="s">
        <v>12</v>
      </c>
      <c r="O8" s="120" t="s">
        <v>206</v>
      </c>
      <c r="P8" s="170" t="s">
        <v>273</v>
      </c>
      <c r="Q8" s="161" t="str">
        <f ca="1">IF(X7,_xll.mirSetUpBasisSwapCurve(Q$5,O8,YieldCurvePropertiesTenorBasis,BasisConv3x6,BasisData3x6,TenorBasis3x6CurveNamesFWDFX)&amp;"@"&amp;NOW(),"#ERROR")</f>
        <v>3M6MBasis BasisSwap Curve has been set@42324.4459809028</v>
      </c>
      <c r="R8" s="114" t="s">
        <v>12</v>
      </c>
      <c r="S8" s="118"/>
      <c r="T8" s="193" t="s">
        <v>206</v>
      </c>
      <c r="U8" s="171" t="b">
        <f t="shared" ca="1" si="0"/>
        <v>1</v>
      </c>
      <c r="V8" s="171" t="b">
        <f t="shared" ca="1" si="1"/>
        <v>1</v>
      </c>
      <c r="W8" s="171" t="b">
        <f t="shared" ca="1" si="2"/>
        <v>1</v>
      </c>
      <c r="X8" s="171" t="b">
        <f t="shared" ca="1" si="3"/>
        <v>1</v>
      </c>
      <c r="Z8" s="118"/>
      <c r="AA8" s="193" t="s">
        <v>206</v>
      </c>
      <c r="AB8" s="198">
        <f t="shared" ca="1" si="4"/>
        <v>0</v>
      </c>
      <c r="AC8" s="190">
        <f t="shared" ca="1" si="4"/>
        <v>0</v>
      </c>
      <c r="AD8" s="190">
        <f t="shared" ca="1" si="4"/>
        <v>0</v>
      </c>
      <c r="AE8" s="199">
        <f t="shared" ca="1" si="4"/>
        <v>0</v>
      </c>
    </row>
    <row r="9" spans="1:33">
      <c r="B9" s="114" t="s">
        <v>12</v>
      </c>
      <c r="C9" s="123" t="s">
        <v>207</v>
      </c>
      <c r="D9" s="170" t="s">
        <v>274</v>
      </c>
      <c r="E9" s="154" t="str">
        <f ca="1">IF(U8,_xll.mirSetUpBasisSwapCurve(E$5,C9,YieldCurvePropertiesTenorBasis,BasisConv1x3,BasisData1x3,TenorBasis1x3CurveNamesNativeCSA)&amp;"@"&amp;NOW(),"#ERROR")</f>
        <v>1M3MBasis BasisSwap Curve has been set@42324.4459851852</v>
      </c>
      <c r="F9" s="114" t="s">
        <v>12</v>
      </c>
      <c r="G9" s="120" t="s">
        <v>207</v>
      </c>
      <c r="H9" s="145" t="s">
        <v>274</v>
      </c>
      <c r="I9" s="161" t="str">
        <f ca="1">IF(V8,_xll.mirSetUpBasisSwapCurve(I$5,G9,YieldCurvePropertiesTenorBasis,BasisConv1x3,BasisData1x3,TenorBasis1x3CurveNamesFWDFX)&amp;"@"&amp;NOW(),"#ERROR")</f>
        <v>1M3MBasis BasisSwap Curve has been set@42324.4459842593</v>
      </c>
      <c r="J9" s="114" t="s">
        <v>12</v>
      </c>
      <c r="K9" s="120" t="s">
        <v>207</v>
      </c>
      <c r="L9" s="170" t="s">
        <v>274</v>
      </c>
      <c r="M9" s="161" t="str">
        <f ca="1">IF(W8,_xll.mirSetUpBasisSwapCurve(M$5,K9,YieldCurvePropertiesTenorBasis,BasisConv1x3,BasisData1x3,TenorBasis1x3CurveNamesFWDFX)&amp;"@"&amp;NOW(),"#ERROR")</f>
        <v>1M3MBasis BasisSwap Curve has been set@42324.4459835648</v>
      </c>
      <c r="N9" s="114" t="s">
        <v>12</v>
      </c>
      <c r="O9" s="120" t="s">
        <v>207</v>
      </c>
      <c r="P9" s="170" t="s">
        <v>274</v>
      </c>
      <c r="Q9" s="161" t="str">
        <f ca="1">IF(X8,_xll.mirSetUpBasisSwapCurve(Q$5,O9,YieldCurvePropertiesTenorBasis,BasisConv1x3,BasisData1x3,TenorBasis1x3CurveNamesFWDFX)&amp;"@"&amp;NOW(),"#ERROR")</f>
        <v>1M3MBasis BasisSwap Curve has been set@42324.4459853009</v>
      </c>
      <c r="R9" s="114" t="s">
        <v>12</v>
      </c>
      <c r="S9" s="118"/>
      <c r="T9" s="193" t="s">
        <v>207</v>
      </c>
      <c r="U9" s="171" t="b">
        <f t="shared" ca="1" si="0"/>
        <v>1</v>
      </c>
      <c r="V9" s="171" t="b">
        <f t="shared" ca="1" si="1"/>
        <v>1</v>
      </c>
      <c r="W9" s="171" t="b">
        <f t="shared" ca="1" si="2"/>
        <v>1</v>
      </c>
      <c r="X9" s="171" t="b">
        <f t="shared" ca="1" si="3"/>
        <v>1</v>
      </c>
      <c r="Z9" s="118"/>
      <c r="AA9" s="193" t="s">
        <v>207</v>
      </c>
      <c r="AB9" s="198">
        <f t="shared" ca="1" si="4"/>
        <v>0</v>
      </c>
      <c r="AC9" s="190">
        <f t="shared" ca="1" si="4"/>
        <v>0</v>
      </c>
      <c r="AD9" s="190">
        <f t="shared" ca="1" si="4"/>
        <v>0</v>
      </c>
      <c r="AE9" s="199">
        <f t="shared" ca="1" si="4"/>
        <v>0</v>
      </c>
    </row>
    <row r="10" spans="1:33">
      <c r="B10" s="114" t="s">
        <v>12</v>
      </c>
      <c r="C10" s="203" t="s">
        <v>287</v>
      </c>
      <c r="D10" s="201" t="s">
        <v>286</v>
      </c>
      <c r="E10" s="154" t="str">
        <f ca="1">IF(U9,_xll.mirSetUpBasisSwapCurve(E$5,C10,YieldCurvePropertiesTenorBasis,BasisConv3x12,BasisData3x12,TenorBasis3x12CurveNamesNativeCSA)&amp;"@"&amp;NOW(),"#ERROR")</f>
        <v>3M12MBasis BasisSwap Curve has been set@42324.4459871528</v>
      </c>
      <c r="F10" s="114" t="s">
        <v>12</v>
      </c>
      <c r="G10" s="204" t="s">
        <v>287</v>
      </c>
      <c r="H10" s="202" t="s">
        <v>286</v>
      </c>
      <c r="I10" s="161" t="str">
        <f ca="1">IF(V9,_xll.mirSetUpBasisSwapCurve(I$5,G10,YieldCurvePropertiesTenorBasis,BasisConv3x12,BasisData3x12,TenorBasis3x12CurveNamesFWDFX)&amp;"@"&amp;NOW(),"#ERROR")</f>
        <v>3M12MBasis BasisSwap Curve has been set@42324.445987037</v>
      </c>
      <c r="J10" s="114" t="s">
        <v>12</v>
      </c>
      <c r="K10" s="204" t="s">
        <v>287</v>
      </c>
      <c r="L10" s="201" t="s">
        <v>286</v>
      </c>
      <c r="M10" s="161" t="str">
        <f ca="1">IF(W9,_xll.mirSetUpBasisSwapCurve(M$5,K10,YieldCurvePropertiesTenorBasis,BasisConv3x12,BasisData3x12,TenorBasis3x12CurveNamesFWDFX)&amp;"@"&amp;NOW(),"#ERROR")</f>
        <v>3M12MBasis BasisSwap Curve has been set@42324.4459864583</v>
      </c>
      <c r="N10" s="114" t="s">
        <v>12</v>
      </c>
      <c r="O10" s="204" t="s">
        <v>287</v>
      </c>
      <c r="P10" s="201" t="s">
        <v>286</v>
      </c>
      <c r="Q10" s="161" t="str">
        <f ca="1">IF(X9,_xll.mirSetUpBasisSwapCurve(Q$5,O10,YieldCurvePropertiesTenorBasis,BasisConv3x12,BasisData3x12,TenorBasis3x12CurveNamesFWDFX)&amp;"@"&amp;NOW(),"#ERROR")</f>
        <v>3M12MBasis BasisSwap Curve has been set@42324.4459866898</v>
      </c>
      <c r="R10" s="114" t="s">
        <v>12</v>
      </c>
      <c r="S10" s="118"/>
      <c r="T10" s="193" t="s">
        <v>287</v>
      </c>
      <c r="U10" s="171" t="b">
        <f t="shared" ca="1" si="0"/>
        <v>1</v>
      </c>
      <c r="V10" s="171" t="b">
        <f t="shared" ca="1" si="1"/>
        <v>1</v>
      </c>
      <c r="W10" s="171" t="b">
        <f t="shared" ca="1" si="2"/>
        <v>1</v>
      </c>
      <c r="X10" s="171" t="b">
        <f t="shared" ca="1" si="3"/>
        <v>1</v>
      </c>
      <c r="Z10" s="118"/>
      <c r="AA10" s="193" t="s">
        <v>287</v>
      </c>
      <c r="AB10" s="198">
        <f t="shared" ca="1" si="4"/>
        <v>0</v>
      </c>
      <c r="AC10" s="190">
        <f t="shared" ca="1" si="4"/>
        <v>0</v>
      </c>
      <c r="AD10" s="190">
        <f t="shared" ca="1" si="4"/>
        <v>0</v>
      </c>
      <c r="AE10" s="199">
        <f t="shared" ca="1" si="4"/>
        <v>0</v>
      </c>
    </row>
    <row r="11" spans="1:33">
      <c r="B11" s="114" t="s">
        <v>12</v>
      </c>
      <c r="C11" s="123" t="s">
        <v>208</v>
      </c>
      <c r="D11" s="170" t="s">
        <v>290</v>
      </c>
      <c r="E11" s="155" t="s">
        <v>6</v>
      </c>
      <c r="F11" s="114" t="s">
        <v>12</v>
      </c>
      <c r="G11" s="120" t="s">
        <v>208</v>
      </c>
      <c r="H11" s="145" t="str">
        <f>"Xccy Basis "&amp;$A5&amp;"/"&amp;"USD"</f>
        <v>Xccy Basis USD/USD</v>
      </c>
      <c r="I11" s="162" t="s">
        <v>6</v>
      </c>
      <c r="J11" s="114" t="s">
        <v>12</v>
      </c>
      <c r="K11" s="120" t="s">
        <v>208</v>
      </c>
      <c r="L11" s="170" t="str">
        <f>"Xccy Basis "&amp;$A5&amp;"/"&amp;"USD"</f>
        <v>Xccy Basis USD/USD</v>
      </c>
      <c r="M11" s="162" t="s">
        <v>6</v>
      </c>
      <c r="N11" s="114" t="s">
        <v>12</v>
      </c>
      <c r="O11" s="120" t="s">
        <v>208</v>
      </c>
      <c r="P11" s="170" t="str">
        <f>"Xccy Basis "&amp;$A5&amp;"/"&amp;"USD"</f>
        <v>Xccy Basis USD/USD</v>
      </c>
      <c r="Q11" s="162" t="s">
        <v>6</v>
      </c>
      <c r="R11" s="114" t="s">
        <v>12</v>
      </c>
      <c r="S11" s="118"/>
      <c r="T11" s="193" t="s">
        <v>208</v>
      </c>
      <c r="U11" s="171" t="b">
        <f t="shared" si="0"/>
        <v>0</v>
      </c>
      <c r="V11" s="171" t="b">
        <f t="shared" si="1"/>
        <v>0</v>
      </c>
      <c r="W11" s="171" t="b">
        <f t="shared" si="2"/>
        <v>0</v>
      </c>
      <c r="X11" s="171" t="b">
        <f t="shared" si="3"/>
        <v>0</v>
      </c>
      <c r="Z11" s="118"/>
      <c r="AA11" s="193" t="s">
        <v>208</v>
      </c>
      <c r="AB11" s="207" t="s">
        <v>6</v>
      </c>
      <c r="AC11" s="209" t="s">
        <v>6</v>
      </c>
      <c r="AD11" s="209" t="s">
        <v>6</v>
      </c>
      <c r="AE11" s="210" t="s">
        <v>6</v>
      </c>
    </row>
    <row r="12" spans="1:33">
      <c r="B12" s="114" t="s">
        <v>12</v>
      </c>
      <c r="C12" s="124" t="s">
        <v>209</v>
      </c>
      <c r="D12" s="167" t="str">
        <f>"Proxy: Xccy Basis USD/"&amp;LEFT(E$2,3)</f>
        <v>Proxy: Xccy Basis USD/USD</v>
      </c>
      <c r="E12" s="156" t="s">
        <v>6</v>
      </c>
      <c r="F12" s="114" t="s">
        <v>12</v>
      </c>
      <c r="G12" s="121" t="s">
        <v>209</v>
      </c>
      <c r="H12" s="167" t="str">
        <f>"Proxy: Xccy Basis USD/"&amp;LEFT(I$2,3)</f>
        <v>Proxy: Xccy Basis USD/EUR</v>
      </c>
      <c r="I12" s="163" t="str">
        <f ca="1">IF(AND(isLoadedCurveUSD_EURCSA,isLoadedXccyEUR_EURCSA),_xll.mirSetUpFwdFXConstantCurve(I$5,G12,ConstForwardFXProperties,ConstForwardFXEURCSA,FwdFXConstCurveNamesFWDFX)&amp;"@"&amp;NOW(),"#ERROR")</f>
        <v>[2015/11/16 10:42] Attribute [Terms_XccyBasis_USDCSA] does not exist@42324.4459915509</v>
      </c>
      <c r="J12" s="114" t="s">
        <v>12</v>
      </c>
      <c r="K12" s="121" t="s">
        <v>209</v>
      </c>
      <c r="L12" s="167" t="str">
        <f>"Proxy: Xccy Basis USD/"&amp;LEFT(M$2,3)</f>
        <v>Proxy: Xccy Basis USD/GBP</v>
      </c>
      <c r="M12" s="163" t="str">
        <f ca="1">IF(AND(isLoadedCurveUSD_GBPCSA,isLoadedXccyGBP_GBPCSA),_xll.mirSetUpFwdFXConstantCurve(M$5,K12,ConstForwardFXProperties,ConstForwardFXGBPCSA,FwdFXConstCurveNamesFWDFX)&amp;"@"&amp;NOW(),"#ERROR")</f>
        <v>FwdFXConst FwdFXConstant Curve has been set@42324.4459913194</v>
      </c>
      <c r="N12" s="114" t="s">
        <v>12</v>
      </c>
      <c r="O12" s="121" t="s">
        <v>209</v>
      </c>
      <c r="P12" s="167" t="str">
        <f>"Proxy: Xccy Basis USD/"&amp;LEFT(Q$2,3)</f>
        <v>Proxy: Xccy Basis USD/JPY</v>
      </c>
      <c r="Q12" s="163" t="str">
        <f ca="1">IF(AND(isLoadedCurveUSD_JPYCSA,isLoadedXccyJPY_JPYCSA),_xll.mirSetUpFwdFXConstantCurve(Q$5,O12,ConstForwardFXProperties,ConstForwardFXJPYCSA,FwdFXConstCurveNamesFWDFX)&amp;"@"&amp;NOW(),"#ERROR")</f>
        <v>FwdFXConst FwdFXConstant Curve has been set@42324.4459913194</v>
      </c>
      <c r="R12" s="114" t="s">
        <v>12</v>
      </c>
      <c r="S12" s="118"/>
      <c r="T12" s="194" t="s">
        <v>209</v>
      </c>
      <c r="U12" s="172" t="b">
        <f t="shared" si="0"/>
        <v>0</v>
      </c>
      <c r="V12" s="172" t="b">
        <f t="shared" ca="1" si="1"/>
        <v>0</v>
      </c>
      <c r="W12" s="172" t="b">
        <f t="shared" ca="1" si="2"/>
        <v>1</v>
      </c>
      <c r="X12" s="172" t="b">
        <f t="shared" ca="1" si="3"/>
        <v>1</v>
      </c>
      <c r="Z12" s="118"/>
      <c r="AA12" s="194" t="s">
        <v>209</v>
      </c>
      <c r="AB12" s="208" t="s">
        <v>6</v>
      </c>
      <c r="AC12" s="191">
        <f ca="1">IF(ISERROR(V12),1,IF(V12,0,1))</f>
        <v>1</v>
      </c>
      <c r="AD12" s="191">
        <f ca="1">IF(ISERROR(W12),1,IF(W12,0,1))</f>
        <v>0</v>
      </c>
      <c r="AE12" s="200">
        <f ca="1">IF(ISERROR(X12),1,IF(X12,0,1))</f>
        <v>0</v>
      </c>
    </row>
    <row r="13" spans="1:33">
      <c r="D13" s="145"/>
      <c r="F13" s="114" t="s">
        <v>12</v>
      </c>
      <c r="H13" s="145"/>
      <c r="L13" s="145"/>
      <c r="P13" s="145"/>
      <c r="S13" s="118"/>
      <c r="U13" s="145"/>
      <c r="V13" s="145"/>
      <c r="W13" s="145"/>
      <c r="X13" s="145"/>
      <c r="Z13" s="118"/>
      <c r="AB13" s="145"/>
      <c r="AC13" s="145"/>
      <c r="AD13" s="145"/>
      <c r="AE13" s="145"/>
    </row>
    <row r="14" spans="1:33" ht="15" customHeight="1">
      <c r="A14" s="255" t="s">
        <v>2</v>
      </c>
      <c r="B14" s="111" t="s">
        <v>12</v>
      </c>
      <c r="C14" s="111"/>
      <c r="D14" s="113" t="s">
        <v>398</v>
      </c>
      <c r="E14" s="143" t="s">
        <v>327</v>
      </c>
      <c r="F14" s="111" t="s">
        <v>12</v>
      </c>
      <c r="G14" s="111"/>
      <c r="H14" s="113" t="s">
        <v>398</v>
      </c>
      <c r="I14" s="143" t="s">
        <v>315</v>
      </c>
      <c r="J14" s="111" t="s">
        <v>12</v>
      </c>
      <c r="K14" s="111"/>
      <c r="L14" s="113" t="s">
        <v>398</v>
      </c>
      <c r="M14" s="143" t="s">
        <v>331</v>
      </c>
      <c r="N14" s="111" t="s">
        <v>12</v>
      </c>
      <c r="O14" s="111"/>
      <c r="P14" s="113" t="s">
        <v>398</v>
      </c>
      <c r="Q14" s="143" t="s">
        <v>332</v>
      </c>
      <c r="R14" s="114" t="s">
        <v>12</v>
      </c>
      <c r="S14" s="255" t="s">
        <v>2</v>
      </c>
      <c r="T14" s="11" t="s">
        <v>399</v>
      </c>
      <c r="U14" s="195" t="s">
        <v>279</v>
      </c>
      <c r="V14" s="195" t="s">
        <v>280</v>
      </c>
      <c r="W14" s="195" t="s">
        <v>281</v>
      </c>
      <c r="X14" s="195" t="s">
        <v>282</v>
      </c>
      <c r="Z14" s="255" t="s">
        <v>2</v>
      </c>
      <c r="AA14" s="11" t="s">
        <v>382</v>
      </c>
      <c r="AB14" s="195" t="s">
        <v>279</v>
      </c>
      <c r="AC14" s="195" t="s">
        <v>280</v>
      </c>
      <c r="AD14" s="195" t="s">
        <v>281</v>
      </c>
      <c r="AE14" s="195" t="s">
        <v>282</v>
      </c>
      <c r="AG14" s="143" t="s">
        <v>395</v>
      </c>
    </row>
    <row r="15" spans="1:33">
      <c r="A15" s="255"/>
      <c r="B15" s="114" t="s">
        <v>12</v>
      </c>
      <c r="C15" s="119" t="s">
        <v>201</v>
      </c>
      <c r="D15" s="166" t="s">
        <v>276</v>
      </c>
      <c r="E15" s="160" t="str">
        <f ca="1">_xll.mirSetUpOISCurve(E$14,C15,'EUR Curve Config'!YieldCurvePropertiesOIS,'EUR Curve Config'!OISConv,'EUR Curve Config'!OISRates,'EUR Curve Config'!OISCurveNamesXCCY,'EUR Curve Config'!OISHistoricalRates)&amp;"@"&amp;NOW()</f>
        <v>OIS OIS Curve has been set (0.00800 sec)@42324.4459775463</v>
      </c>
      <c r="F15" s="114" t="s">
        <v>12</v>
      </c>
      <c r="G15" s="122" t="s">
        <v>201</v>
      </c>
      <c r="H15" s="168" t="s">
        <v>276</v>
      </c>
      <c r="I15" s="153" t="str">
        <f ca="1">_xll.mirSetUpOISCurve(I$14,G15,'EUR Curve Config'!YieldCurvePropertiesOIS,'EUR Curve Config'!OISConv,'EUR Curve Config'!OISRates,'EUR Curve Config'!OISCurveNamesNativeCSA,'EUR Curve Config'!OISHistoricalRates)&amp;"@"&amp;NOW()</f>
        <v>OIS OIS Curve has been set (0.01000 sec)@42324.445978125</v>
      </c>
      <c r="J15" s="114" t="s">
        <v>12</v>
      </c>
      <c r="K15" s="119" t="s">
        <v>201</v>
      </c>
      <c r="L15" s="168" t="s">
        <v>276</v>
      </c>
      <c r="M15" s="160" t="str">
        <f ca="1">_xll.mirSetUpOISCurve(M$14,K15,'EUR Curve Config'!YieldCurvePropertiesOIS,'EUR Curve Config'!OISConv,'EUR Curve Config'!OISRates,'EUR Curve Config'!OISCurveNamesXCCYandFWDFX,'EUR Curve Config'!OISHistoricalRates)&amp;"@"&amp;NOW()</f>
        <v>OIS OIS Curve has been set (0.00900 sec)@42324.4459770833</v>
      </c>
      <c r="N15" s="114" t="s">
        <v>12</v>
      </c>
      <c r="O15" s="119" t="s">
        <v>201</v>
      </c>
      <c r="P15" s="168" t="s">
        <v>276</v>
      </c>
      <c r="Q15" s="160" t="str">
        <f ca="1">_xll.mirSetUpOISCurve(Q$14,O15,'EUR Curve Config'!YieldCurvePropertiesOIS,'EUR Curve Config'!OISConv,'EUR Curve Config'!OISRates,'EUR Curve Config'!OISCurveNamesXCCYandFWDFX,'EUR Curve Config'!OISHistoricalRates)&amp;"@"&amp;NOW()</f>
        <v>OIS OIS Curve has been set (0.00800 sec)@42324.4459774305</v>
      </c>
      <c r="R15" s="114" t="s">
        <v>12</v>
      </c>
      <c r="S15" s="255"/>
      <c r="T15" s="192" t="s">
        <v>201</v>
      </c>
      <c r="U15" s="169" t="b">
        <f t="shared" ref="U15:U21" ca="1" si="5">IF(UPPER(LEFT(E15,3))=LEFT(C15,3),TRUE,FALSE)</f>
        <v>1</v>
      </c>
      <c r="V15" s="169" t="b">
        <f t="shared" ref="V15:V21" ca="1" si="6">IF(UPPER(LEFT(I15,3))=LEFT(G15,3),TRUE,FALSE)</f>
        <v>1</v>
      </c>
      <c r="W15" s="169" t="b">
        <f t="shared" ref="W15:W21" ca="1" si="7">IF(UPPER(LEFT(M15,3))=LEFT(K15,3),TRUE,FALSE)</f>
        <v>1</v>
      </c>
      <c r="X15" s="169" t="b">
        <f t="shared" ref="X15:X21" ca="1" si="8">IF(UPPER(LEFT(Q15,3))=LEFT(O15,3),TRUE,FALSE)</f>
        <v>1</v>
      </c>
      <c r="Z15" s="255"/>
      <c r="AA15" s="192" t="s">
        <v>201</v>
      </c>
      <c r="AB15" s="196">
        <f t="shared" ref="AB15:AE20" ca="1" si="9">IF(ISERROR(U15),1,IF(U15,0,1))</f>
        <v>0</v>
      </c>
      <c r="AC15" s="189">
        <f t="shared" ca="1" si="9"/>
        <v>0</v>
      </c>
      <c r="AD15" s="189">
        <f t="shared" ca="1" si="9"/>
        <v>0</v>
      </c>
      <c r="AE15" s="197">
        <f t="shared" ca="1" si="9"/>
        <v>0</v>
      </c>
      <c r="AG15" s="173">
        <f ca="1">SUM(ErrorCountEURUSDCSA,ErrorCountEUREURCSA,ErrorCountEURGBPCSA,ErrorCountEURJPYCSA)</f>
        <v>0</v>
      </c>
    </row>
    <row r="16" spans="1:33">
      <c r="B16" s="114" t="s">
        <v>12</v>
      </c>
      <c r="C16" s="120" t="s">
        <v>63</v>
      </c>
      <c r="D16" s="145" t="s">
        <v>278</v>
      </c>
      <c r="E16" s="161" t="str">
        <f ca="1">IF(U15,_xll.mirSetUpSwapCurve(E$14,C16,'EUR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Config'!SwapCurveNamesXCCY,'EUR Curve Config'!SwapCurveNameDF2)&amp;"@"&amp;NOW(),"#ERROR")</f>
        <v>STD Swap Curve has been set@42324.4459791667</v>
      </c>
      <c r="F16" s="114" t="s">
        <v>12</v>
      </c>
      <c r="G16" s="123" t="s">
        <v>63</v>
      </c>
      <c r="H16" s="170" t="s">
        <v>278</v>
      </c>
      <c r="I16" s="157" t="str">
        <f ca="1">IF(V15,_xll.mirSetUpSwapCurve(I$14,G16,'EUR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Config'!SwapCurveNamesNativeCSA,'EUR Curve Config'!SwapCurveNameDF2)&amp;"@"&amp;NOW(),"#ERROR")</f>
        <v>STD Swap Curve has been set@42324.4459793982</v>
      </c>
      <c r="J16" s="114" t="s">
        <v>12</v>
      </c>
      <c r="K16" s="120" t="s">
        <v>63</v>
      </c>
      <c r="L16" s="170" t="s">
        <v>278</v>
      </c>
      <c r="M16" s="161" t="str">
        <f ca="1">IF(W15,_xll.mirSetUpSwapCurve(M$14,K16,'EUR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STD Swap Curve has been set@42324.4459784722</v>
      </c>
      <c r="N16" s="114" t="s">
        <v>12</v>
      </c>
      <c r="O16" s="120" t="s">
        <v>63</v>
      </c>
      <c r="P16" s="170" t="s">
        <v>278</v>
      </c>
      <c r="Q16" s="161" t="str">
        <f ca="1">IF(X15,_xll.mirSetUpSwapCurve(Q$14,O16,'EUR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STD Swap Curve has been set@42324.4459787037</v>
      </c>
      <c r="R16" s="114" t="s">
        <v>12</v>
      </c>
      <c r="S16" s="118"/>
      <c r="T16" s="193" t="s">
        <v>63</v>
      </c>
      <c r="U16" s="171" t="b">
        <f t="shared" ca="1" si="5"/>
        <v>1</v>
      </c>
      <c r="V16" s="171" t="b">
        <f t="shared" ca="1" si="6"/>
        <v>1</v>
      </c>
      <c r="W16" s="171" t="b">
        <f t="shared" ca="1" si="7"/>
        <v>1</v>
      </c>
      <c r="X16" s="171" t="b">
        <f t="shared" ca="1" si="8"/>
        <v>1</v>
      </c>
      <c r="Z16" s="118"/>
      <c r="AA16" s="193" t="s">
        <v>63</v>
      </c>
      <c r="AB16" s="198">
        <f t="shared" ca="1" si="9"/>
        <v>0</v>
      </c>
      <c r="AC16" s="190">
        <f t="shared" ca="1" si="9"/>
        <v>0</v>
      </c>
      <c r="AD16" s="190">
        <f t="shared" ca="1" si="9"/>
        <v>0</v>
      </c>
      <c r="AE16" s="199">
        <f t="shared" ca="1" si="9"/>
        <v>0</v>
      </c>
    </row>
    <row r="17" spans="1:33">
      <c r="B17" s="114" t="s">
        <v>12</v>
      </c>
      <c r="C17" s="120" t="s">
        <v>206</v>
      </c>
      <c r="D17" s="145" t="s">
        <v>273</v>
      </c>
      <c r="E17" s="161" t="str">
        <f ca="1">IF(U16,_xll.mirSetUpBasisSwapCurve(E$14,C17,'EUR Curve Config'!YieldCurvePropertiesTenorBasis,'EUR Curve Config'!BasisConv3x6,'EUR Curve Config'!BasisData3x6,'EUR Curve Config'!TenorBasis3x6CurveNamesXCCY)&amp;"@"&amp;NOW(),"#ERROR")</f>
        <v>3M6MBasis BasisSwap Curve has been set@42324.4459820602</v>
      </c>
      <c r="F17" s="114" t="s">
        <v>12</v>
      </c>
      <c r="G17" s="123" t="s">
        <v>206</v>
      </c>
      <c r="H17" s="170" t="s">
        <v>273</v>
      </c>
      <c r="I17" s="154" t="str">
        <f ca="1">IF(V16,_xll.mirSetUpBasisSwapCurve(I$14,G17,'EUR Curve Config'!YieldCurvePropertiesTenorBasis,'EUR Curve Config'!BasisConv3x6,'EUR Curve Config'!BasisData3x6,'EUR Curve Config'!TenorBasis3x6CurveNamesNativeCSA)&amp;"@"&amp;NOW(),"#ERROR")</f>
        <v>3M6MBasis BasisSwap Curve has been set@42324.4459810185</v>
      </c>
      <c r="J17" s="114" t="s">
        <v>12</v>
      </c>
      <c r="K17" s="120" t="s">
        <v>206</v>
      </c>
      <c r="L17" s="170" t="s">
        <v>273</v>
      </c>
      <c r="M17" s="161" t="str">
        <f ca="1">IF(W16,_xll.mirSetUpBasisSwapCurve(M$14,K17,'EUR Curve Config'!YieldCurvePropertiesTenorBasis,'EUR Curve Config'!BasisConv3x6,'EUR Curve Config'!BasisData3x6,'EUR Curve Config'!TenorBasis3x6CurveNamesXCCYandFWDFX)&amp;"@"&amp;NOW(),"#ERROR")</f>
        <v>3M6MBasis BasisSwap Curve has been set@42324.4459806713</v>
      </c>
      <c r="N17" s="114" t="s">
        <v>12</v>
      </c>
      <c r="O17" s="120" t="s">
        <v>206</v>
      </c>
      <c r="P17" s="170" t="s">
        <v>273</v>
      </c>
      <c r="Q17" s="161" t="str">
        <f ca="1">IF(X16,_xll.mirSetUpBasisSwapCurve(Q$14,O17,'EUR Curve Config'!YieldCurvePropertiesTenorBasis,'EUR Curve Config'!BasisConv3x6,'EUR Curve Config'!BasisData3x6,'EUR Curve Config'!TenorBasis3x6CurveNamesXCCYandFWDFX)&amp;"@"&amp;NOW(),"#ERROR")</f>
        <v>3M6MBasis BasisSwap Curve has been set@42324.4459814815</v>
      </c>
      <c r="R17" s="114" t="s">
        <v>12</v>
      </c>
      <c r="S17" s="118"/>
      <c r="T17" s="193" t="s">
        <v>206</v>
      </c>
      <c r="U17" s="171" t="b">
        <f t="shared" ca="1" si="5"/>
        <v>1</v>
      </c>
      <c r="V17" s="171" t="b">
        <f t="shared" ca="1" si="6"/>
        <v>1</v>
      </c>
      <c r="W17" s="171" t="b">
        <f t="shared" ca="1" si="7"/>
        <v>1</v>
      </c>
      <c r="X17" s="171" t="b">
        <f t="shared" ca="1" si="8"/>
        <v>1</v>
      </c>
      <c r="Z17" s="118"/>
      <c r="AA17" s="193" t="s">
        <v>206</v>
      </c>
      <c r="AB17" s="198">
        <f t="shared" ca="1" si="9"/>
        <v>0</v>
      </c>
      <c r="AC17" s="190">
        <f t="shared" ca="1" si="9"/>
        <v>0</v>
      </c>
      <c r="AD17" s="190">
        <f t="shared" ca="1" si="9"/>
        <v>0</v>
      </c>
      <c r="AE17" s="199">
        <f t="shared" ca="1" si="9"/>
        <v>0</v>
      </c>
    </row>
    <row r="18" spans="1:33">
      <c r="B18" s="114" t="s">
        <v>12</v>
      </c>
      <c r="C18" s="120" t="s">
        <v>207</v>
      </c>
      <c r="D18" s="145" t="s">
        <v>274</v>
      </c>
      <c r="E18" s="161" t="str">
        <f ca="1">IF(U17,_xll.mirSetUpBasisSwapCurve(E$14,C18,'EUR Curve Config'!YieldCurvePropertiesTenorBasis,'EUR Curve Config'!BasisConv1x3,'EUR Curve Config'!BasisData1x3,'EUR Curve Config'!TenorBasis1x3CurveNamesXCCY)&amp;"@"&amp;NOW(),"#ERROR")</f>
        <v>1M3MBasis BasisSwap Curve has been set@42324.4459861111</v>
      </c>
      <c r="F18" s="114" t="s">
        <v>12</v>
      </c>
      <c r="G18" s="123" t="s">
        <v>207</v>
      </c>
      <c r="H18" s="170" t="s">
        <v>274</v>
      </c>
      <c r="I18" s="154" t="str">
        <f ca="1">IF(V17,_xll.mirSetUpBasisSwapCurve(I$14,G18,'EUR Curve Config'!YieldCurvePropertiesTenorBasis,'EUR Curve Config'!BasisConv1x3,'EUR Curve Config'!BasisData1x3,'EUR Curve Config'!TenorBasis1x3CurveNamesNativeCSA)&amp;"@"&amp;NOW(),"#ERROR")</f>
        <v>1M3MBasis BasisSwap Curve has been set@42324.4459844907</v>
      </c>
      <c r="J18" s="114" t="s">
        <v>12</v>
      </c>
      <c r="K18" s="120" t="s">
        <v>207</v>
      </c>
      <c r="L18" s="170" t="s">
        <v>274</v>
      </c>
      <c r="M18" s="161" t="str">
        <f ca="1">IF(W17,_xll.mirSetUpBasisSwapCurve(M$14,K18,'EUR Curve Config'!YieldCurvePropertiesTenorBasis,'EUR Curve Config'!BasisConv1x3,'EUR Curve Config'!BasisData1x3,'EUR Curve Config'!TenorBasis1x3CurveNamesXCCYandFWDFX)&amp;"@"&amp;NOW(),"#ERROR")</f>
        <v>1M3MBasis BasisSwap Curve has been set@42324.4459829861</v>
      </c>
      <c r="N18" s="114" t="s">
        <v>12</v>
      </c>
      <c r="O18" s="120" t="s">
        <v>207</v>
      </c>
      <c r="P18" s="170" t="s">
        <v>274</v>
      </c>
      <c r="Q18" s="161" t="str">
        <f ca="1">IF(X17,_xll.mirSetUpBasisSwapCurve(Q$14,O18,'EUR Curve Config'!YieldCurvePropertiesTenorBasis,'EUR Curve Config'!BasisConv1x3,'EUR Curve Config'!BasisData1x3,'EUR Curve Config'!TenorBasis1x3CurveNamesXCCYandFWDFX)&amp;"@"&amp;NOW(),"#ERROR")</f>
        <v>1M3MBasis BasisSwap Curve has been set@42324.4459847222</v>
      </c>
      <c r="R18" s="114" t="s">
        <v>12</v>
      </c>
      <c r="S18" s="118"/>
      <c r="T18" s="193" t="s">
        <v>207</v>
      </c>
      <c r="U18" s="171" t="b">
        <f t="shared" ca="1" si="5"/>
        <v>1</v>
      </c>
      <c r="V18" s="171" t="b">
        <f t="shared" ca="1" si="6"/>
        <v>1</v>
      </c>
      <c r="W18" s="171" t="b">
        <f t="shared" ca="1" si="7"/>
        <v>1</v>
      </c>
      <c r="X18" s="171" t="b">
        <f t="shared" ca="1" si="8"/>
        <v>1</v>
      </c>
      <c r="Z18" s="118"/>
      <c r="AA18" s="193" t="s">
        <v>207</v>
      </c>
      <c r="AB18" s="198">
        <f t="shared" ca="1" si="9"/>
        <v>0</v>
      </c>
      <c r="AC18" s="190">
        <f t="shared" ca="1" si="9"/>
        <v>0</v>
      </c>
      <c r="AD18" s="190">
        <f t="shared" ca="1" si="9"/>
        <v>0</v>
      </c>
      <c r="AE18" s="199">
        <f t="shared" ca="1" si="9"/>
        <v>0</v>
      </c>
    </row>
    <row r="19" spans="1:33">
      <c r="B19" s="114" t="s">
        <v>12</v>
      </c>
      <c r="C19" s="120" t="s">
        <v>288</v>
      </c>
      <c r="D19" s="145" t="s">
        <v>289</v>
      </c>
      <c r="E19" s="161" t="str">
        <f ca="1">IF(U18,_xll.mirSetUpBasisSwapCurve(E$14,C19,'EUR Curve Config'!YieldCurvePropertiesTenorBasis,'EUR Curve Config'!BasisConv6x12,'EUR Curve Config'!BasisData6x12,'EUR Curve Config'!TenorBasis6x12CurveNamesXCCY)&amp;"@"&amp;NOW(),"#ERROR")</f>
        <v>6M12MBasis BasisSwap Curve has been set@42324.4459866898</v>
      </c>
      <c r="F19" s="114" t="s">
        <v>12</v>
      </c>
      <c r="G19" s="123" t="s">
        <v>288</v>
      </c>
      <c r="H19" s="170" t="s">
        <v>289</v>
      </c>
      <c r="I19" s="154" t="str">
        <f ca="1">IF(V18,_xll.mirSetUpBasisSwapCurve(I$14,G19,'EUR Curve Config'!YieldCurvePropertiesTenorBasis,'EUR Curve Config'!BasisConv6x12,'EUR Curve Config'!BasisData6x12,'EUR Curve Config'!TenorBasis6x12CurveNamesNativeCSA)&amp;"@"&amp;NOW(),"#ERROR")</f>
        <v>6M12MBasis BasisSwap Curve has been set@42324.4459863426</v>
      </c>
      <c r="J19" s="114" t="s">
        <v>12</v>
      </c>
      <c r="K19" s="120" t="s">
        <v>288</v>
      </c>
      <c r="L19" s="170" t="s">
        <v>289</v>
      </c>
      <c r="M19" s="161" t="str">
        <f ca="1">IF(W18,_xll.mirSetUpBasisSwapCurve(M$14,K19,'EUR Curve Config'!YieldCurvePropertiesTenorBasis,'EUR Curve Config'!BasisConv6x12,'EUR Curve Config'!BasisData6x12,'EUR Curve Config'!TenorBasis6x12CurveNamesXCCYandFWDFX)&amp;"@"&amp;NOW(),"#ERROR")</f>
        <v>6M12MBasis BasisSwap Curve has been set@42324.4459862268</v>
      </c>
      <c r="N19" s="114" t="s">
        <v>12</v>
      </c>
      <c r="O19" s="120" t="s">
        <v>288</v>
      </c>
      <c r="P19" s="170" t="s">
        <v>289</v>
      </c>
      <c r="Q19" s="161" t="str">
        <f ca="1">IF(X18,_xll.mirSetUpBasisSwapCurve(Q$14,O19,'EUR Curve Config'!YieldCurvePropertiesTenorBasis,'EUR Curve Config'!BasisConv6x12,'EUR Curve Config'!BasisData6x12,'EUR Curve Config'!TenorBasis6x12CurveNamesXCCYandFWDFX)&amp;"@"&amp;NOW(),"#ERROR")</f>
        <v>6M12MBasis BasisSwap Curve has been set@42324.445987037</v>
      </c>
      <c r="R19" s="114" t="s">
        <v>12</v>
      </c>
      <c r="S19" s="118"/>
      <c r="T19" s="193" t="s">
        <v>288</v>
      </c>
      <c r="U19" s="171" t="b">
        <f t="shared" ca="1" si="5"/>
        <v>1</v>
      </c>
      <c r="V19" s="171" t="b">
        <f t="shared" ca="1" si="6"/>
        <v>1</v>
      </c>
      <c r="W19" s="171" t="b">
        <f t="shared" ca="1" si="7"/>
        <v>1</v>
      </c>
      <c r="X19" s="171" t="b">
        <f t="shared" ca="1" si="8"/>
        <v>1</v>
      </c>
      <c r="Z19" s="118"/>
      <c r="AA19" s="193" t="s">
        <v>288</v>
      </c>
      <c r="AB19" s="198">
        <f t="shared" ca="1" si="9"/>
        <v>0</v>
      </c>
      <c r="AC19" s="190">
        <f t="shared" ca="1" si="9"/>
        <v>0</v>
      </c>
      <c r="AD19" s="190">
        <f t="shared" ca="1" si="9"/>
        <v>0</v>
      </c>
      <c r="AE19" s="199">
        <f t="shared" ca="1" si="9"/>
        <v>0</v>
      </c>
    </row>
    <row r="20" spans="1:33">
      <c r="B20" s="114" t="s">
        <v>12</v>
      </c>
      <c r="C20" s="120" t="s">
        <v>208</v>
      </c>
      <c r="D20" s="145" t="str">
        <f>"Xccy Basis "&amp;$A14&amp;"/"&amp;"USD"</f>
        <v>Xccy Basis EUR/USD</v>
      </c>
      <c r="E20" s="161" t="str">
        <f ca="1">IF(AND(U17,isLoadedCurveUSD_USDCSA),_xll.mirSetUpBasisSwapCurve(E$14,C20,'EUR Curve Config'!XccyBasisProperties,'EUR Curve Config'!XccyBasisConvUSDCSA,'EUR Curve Config'!XccyBasisData,'EUR Curve Config'!XccyBasisCurveNamesXCCY)&amp;"@"&amp;NOW(),"#ERROR")</f>
        <v>XccyBasis BasisSwap Curve has been set@42324.4459913194</v>
      </c>
      <c r="F20" s="114" t="s">
        <v>12</v>
      </c>
      <c r="G20" s="123" t="s">
        <v>208</v>
      </c>
      <c r="H20" s="170" t="str">
        <f>"Xccy Basis "&amp;$A14&amp;"/"&amp;"USD"</f>
        <v>Xccy Basis EUR/USD</v>
      </c>
      <c r="I20" s="158" t="str">
        <f ca="1">IF(AND(V19,isLoadedCurveUSD_EURCSA),_xll.mirSetUpBasisSwapCurve(I$14,G20,'EUR Curve Config'!XccyBasisProperties,'EUR Curve Config'!XccyBasisConvEURCSA,'EUR Curve Config'!XccyBasisData,'EUR Curve Config'!XccyBasisCurveNamesNativeCSA)&amp;"@"&amp;NOW(),"#ERROR")</f>
        <v>XccyBasis BasisSwap Curve has been set@42324.4459878472</v>
      </c>
      <c r="J20" s="114" t="s">
        <v>12</v>
      </c>
      <c r="K20" s="120" t="s">
        <v>208</v>
      </c>
      <c r="L20" s="170" t="str">
        <f>"Xccy Basis "&amp;$A14&amp;"/"&amp;"USD"</f>
        <v>Xccy Basis EUR/USD</v>
      </c>
      <c r="M20" s="161" t="str">
        <f ca="1">IF(AND(W19,isLoadedCurveUSD_GBPCSA),_xll.mirSetUpBasisSwapCurve(M$14,K20,'EUR Curve Config'!XccyBasisProperties,'EUR Curve Config'!XccyBasisConvGBPCSA,'EUR Curve Config'!XccyBasisData,'EUR Curve Config'!XccyBasisCurveNamesXCCYandFWDFX)&amp;"@"&amp;NOW(),"#ERROR")</f>
        <v>XccyBasis BasisSwap Curve has been set@42324.4459885417</v>
      </c>
      <c r="N20" s="114" t="s">
        <v>12</v>
      </c>
      <c r="O20" s="120" t="s">
        <v>208</v>
      </c>
      <c r="P20" s="170" t="str">
        <f>"Xccy Basis "&amp;$A14&amp;"/"&amp;"USD"</f>
        <v>Xccy Basis EUR/USD</v>
      </c>
      <c r="Q20" s="161" t="str">
        <f ca="1">IF(AND(X19,isLoadedCurveUSD_JPYCSA),_xll.mirSetUpBasisSwapCurve(Q$14,O20,'EUR Curve Config'!XccyBasisProperties,'EUR Curve Config'!XccyBasisConvJPYCSA,'EUR Curve Config'!XccyBasisData,'EUR Curve Config'!XccyBasisCurveNamesXCCYandFWDFX)&amp;"@"&amp;NOW(),"#ERROR")</f>
        <v>XccyBasis BasisSwap Curve has been set@42324.4459881944</v>
      </c>
      <c r="R20" s="114" t="s">
        <v>12</v>
      </c>
      <c r="S20" s="118"/>
      <c r="T20" s="193" t="s">
        <v>208</v>
      </c>
      <c r="U20" s="171" t="b">
        <f t="shared" ca="1" si="5"/>
        <v>1</v>
      </c>
      <c r="V20" s="171" t="b">
        <f t="shared" ca="1" si="6"/>
        <v>1</v>
      </c>
      <c r="W20" s="171" t="b">
        <f t="shared" ca="1" si="7"/>
        <v>1</v>
      </c>
      <c r="X20" s="171" t="b">
        <f t="shared" ca="1" si="8"/>
        <v>1</v>
      </c>
      <c r="Z20" s="118"/>
      <c r="AA20" s="193" t="s">
        <v>208</v>
      </c>
      <c r="AB20" s="198">
        <f t="shared" ca="1" si="9"/>
        <v>0</v>
      </c>
      <c r="AC20" s="190">
        <f t="shared" ca="1" si="9"/>
        <v>0</v>
      </c>
      <c r="AD20" s="190">
        <f t="shared" ca="1" si="9"/>
        <v>0</v>
      </c>
      <c r="AE20" s="199">
        <f t="shared" ca="1" si="9"/>
        <v>0</v>
      </c>
    </row>
    <row r="21" spans="1:33">
      <c r="B21" s="114" t="s">
        <v>12</v>
      </c>
      <c r="C21" s="121" t="s">
        <v>209</v>
      </c>
      <c r="D21" s="167" t="str">
        <f>"Proxy: Xccy Basis USD/"&amp;LEFT(E$2,3)</f>
        <v>Proxy: Xccy Basis USD/USD</v>
      </c>
      <c r="E21" s="164" t="s">
        <v>6</v>
      </c>
      <c r="F21" s="114" t="s">
        <v>12</v>
      </c>
      <c r="G21" s="124" t="s">
        <v>209</v>
      </c>
      <c r="H21" s="167" t="str">
        <f>"Proxy: Xccy Basis USD/"&amp;LEFT(I$2,3)</f>
        <v>Proxy: Xccy Basis USD/EUR</v>
      </c>
      <c r="I21" s="156" t="s">
        <v>6</v>
      </c>
      <c r="J21" s="114" t="s">
        <v>12</v>
      </c>
      <c r="K21" s="121" t="s">
        <v>209</v>
      </c>
      <c r="L21" s="167" t="str">
        <f>"Proxy: Xccy Basis USD/"&amp;LEFT(M$2,3)</f>
        <v>Proxy: Xccy Basis USD/GBP</v>
      </c>
      <c r="M21" s="163" t="str">
        <f ca="1">IF(AND(W20,isLoadedXccyGBP_GBPCSA),_xll.mirSetUpFwdFXConstantCurve(M$14,K21,'EUR Curve Config'!ConstForwardFXProperties,'EUR Curve Config'!ConstForwardFXGBPCSA,'EUR Curve Config'!FwdFXConstCurveNamesXCCYandFWDFX)&amp;"@"&amp;NOW(),"#ERROR")</f>
        <v>FwdFXConst FwdFXConstant Curve has been set@42324.4459918981</v>
      </c>
      <c r="N21" s="114" t="s">
        <v>12</v>
      </c>
      <c r="O21" s="121" t="s">
        <v>209</v>
      </c>
      <c r="P21" s="167" t="str">
        <f>"Proxy: Xccy Basis USD/"&amp;LEFT(Q$2,3)</f>
        <v>Proxy: Xccy Basis USD/JPY</v>
      </c>
      <c r="Q21" s="163" t="str">
        <f ca="1">IF(AND(X20,isLoadedXccyJPY_JPYCSA),_xll.mirSetUpFwdFXConstantCurve(Q$14,O21,'EUR Curve Config'!ConstForwardFXProperties,'EUR Curve Config'!ConstForwardFXJPYCSA,'EUR Curve Config'!FwdFXConstCurveNamesXCCYandFWDFX)&amp;"@"&amp;NOW(),"#ERROR")</f>
        <v>FwdFXConst FwdFXConstant Curve has been set@42324.4459918981</v>
      </c>
      <c r="R21" s="114" t="s">
        <v>12</v>
      </c>
      <c r="S21" s="118"/>
      <c r="T21" s="194" t="s">
        <v>209</v>
      </c>
      <c r="U21" s="172" t="b">
        <f t="shared" si="5"/>
        <v>0</v>
      </c>
      <c r="V21" s="172" t="b">
        <f t="shared" si="6"/>
        <v>0</v>
      </c>
      <c r="W21" s="172" t="b">
        <f t="shared" ca="1" si="7"/>
        <v>1</v>
      </c>
      <c r="X21" s="172" t="b">
        <f t="shared" ca="1" si="8"/>
        <v>1</v>
      </c>
      <c r="Z21" s="118"/>
      <c r="AA21" s="194" t="s">
        <v>209</v>
      </c>
      <c r="AB21" s="208" t="s">
        <v>6</v>
      </c>
      <c r="AC21" s="211" t="s">
        <v>6</v>
      </c>
      <c r="AD21" s="191">
        <f ca="1">IF(ISERROR(W21),1,IF(W21,0,1))</f>
        <v>0</v>
      </c>
      <c r="AE21" s="200">
        <f ca="1">IF(ISERROR(X21),1,IF(X21,0,1))</f>
        <v>0</v>
      </c>
    </row>
    <row r="22" spans="1:33">
      <c r="D22" s="145"/>
      <c r="E22" s="138"/>
      <c r="H22" s="145"/>
      <c r="L22" s="145"/>
      <c r="P22" s="145"/>
      <c r="R22" s="114" t="s">
        <v>12</v>
      </c>
      <c r="S22" s="118"/>
      <c r="U22" s="145"/>
      <c r="V22" s="145"/>
      <c r="W22" s="145"/>
      <c r="X22" s="145"/>
      <c r="Z22" s="118"/>
      <c r="AB22" s="145"/>
      <c r="AC22" s="145"/>
      <c r="AD22" s="145"/>
      <c r="AE22" s="145"/>
    </row>
    <row r="23" spans="1:33">
      <c r="A23" s="255" t="s">
        <v>199</v>
      </c>
      <c r="B23" s="111" t="s">
        <v>12</v>
      </c>
      <c r="C23" s="111"/>
      <c r="D23" s="113" t="s">
        <v>398</v>
      </c>
      <c r="E23" s="143" t="str">
        <f>$A23&amp;"_"&amp;E$2</f>
        <v>GBP_USDCSA</v>
      </c>
      <c r="F23" s="111" t="s">
        <v>12</v>
      </c>
      <c r="G23" s="111"/>
      <c r="H23" s="113" t="s">
        <v>398</v>
      </c>
      <c r="I23" s="143" t="str">
        <f>$A23&amp;"_"&amp;I$2</f>
        <v>GBP_EURCSA</v>
      </c>
      <c r="J23" s="111" t="s">
        <v>12</v>
      </c>
      <c r="K23" s="111"/>
      <c r="L23" s="113" t="s">
        <v>398</v>
      </c>
      <c r="M23" s="143" t="str">
        <f>$A23&amp;"_"&amp;M$2</f>
        <v>GBP_GBPCSA</v>
      </c>
      <c r="N23" s="111" t="s">
        <v>12</v>
      </c>
      <c r="O23" s="111"/>
      <c r="P23" s="113" t="s">
        <v>398</v>
      </c>
      <c r="Q23" s="143" t="str">
        <f>$A23&amp;"_"&amp;Q$2</f>
        <v>GBP_JPYCSA</v>
      </c>
      <c r="R23" s="114" t="s">
        <v>12</v>
      </c>
      <c r="S23" s="255" t="s">
        <v>199</v>
      </c>
      <c r="T23" s="11" t="s">
        <v>399</v>
      </c>
      <c r="U23" s="195" t="s">
        <v>279</v>
      </c>
      <c r="V23" s="195" t="s">
        <v>280</v>
      </c>
      <c r="W23" s="195" t="s">
        <v>281</v>
      </c>
      <c r="X23" s="195" t="s">
        <v>282</v>
      </c>
      <c r="Z23" s="255" t="s">
        <v>199</v>
      </c>
      <c r="AA23" s="11" t="s">
        <v>382</v>
      </c>
      <c r="AB23" s="195" t="s">
        <v>279</v>
      </c>
      <c r="AC23" s="195" t="s">
        <v>280</v>
      </c>
      <c r="AD23" s="195" t="s">
        <v>281</v>
      </c>
      <c r="AE23" s="195" t="s">
        <v>282</v>
      </c>
      <c r="AG23" s="143" t="s">
        <v>396</v>
      </c>
    </row>
    <row r="24" spans="1:33">
      <c r="A24" s="255"/>
      <c r="B24" s="114" t="s">
        <v>12</v>
      </c>
      <c r="C24" s="119" t="s">
        <v>201</v>
      </c>
      <c r="D24" s="166" t="s">
        <v>284</v>
      </c>
      <c r="E24" s="160" t="str">
        <f ca="1">_xll.mirSetUpOISCurve(E$23,C24,'GBP Curve Config'!YieldCurvePropertiesOIS,'GBP Curve Config'!OISConv,'GBP Curve Config'!OISRates,'GBP Curve Config'!OISCurveNamesXCCY,'GBP Curve Config'!OISHistoricalRates)&amp;"@"&amp;NOW()</f>
        <v>OIS OIS Curve has been set (0.00600 sec)@42324.4459778935</v>
      </c>
      <c r="F24" s="114" t="s">
        <v>12</v>
      </c>
      <c r="G24" s="119" t="s">
        <v>201</v>
      </c>
      <c r="H24" s="166" t="s">
        <v>284</v>
      </c>
      <c r="I24" s="160" t="str">
        <f ca="1">_xll.mirSetUpOISCurve(I$23,G24,'GBP Curve Config'!YieldCurvePropertiesOIS,'GBP Curve Config'!OISConv,'GBP Curve Config'!OISRates,'GBP Curve Config'!OISCurveNamesXCCYandFWDFX,'GBP Curve Config'!OISHistoricalRates)&amp;"@"&amp;NOW()</f>
        <v>OIS OIS Curve has been set (0.00600 sec)@42324.4459771991</v>
      </c>
      <c r="J24" s="114" t="s">
        <v>12</v>
      </c>
      <c r="K24" s="122" t="s">
        <v>201</v>
      </c>
      <c r="L24" s="168" t="s">
        <v>284</v>
      </c>
      <c r="M24" s="153" t="str">
        <f ca="1">_xll.mirSetUpOISCurve(M$23,K24,'GBP Curve Config'!YieldCurvePropertiesOIS,'GBP Curve Config'!OISConv,'GBP Curve Config'!OISRates,'GBP Curve Config'!OISCurveNamesNativeCSA,'GBP Curve Config'!OISHistoricalRates)&amp;"@"&amp;NOW()</f>
        <v>OIS OIS Curve has been set (0.00700 sec)@42324.445977662</v>
      </c>
      <c r="N24" s="114" t="s">
        <v>12</v>
      </c>
      <c r="O24" s="119" t="s">
        <v>201</v>
      </c>
      <c r="P24" s="168" t="s">
        <v>284</v>
      </c>
      <c r="Q24" s="160" t="str">
        <f ca="1">_xll.mirSetUpOISCurve(Q$23,O24,'GBP Curve Config'!YieldCurvePropertiesOIS,'GBP Curve Config'!OISConv,'GBP Curve Config'!OISRates,'GBP Curve Config'!OISCurveNamesXCCYandFWDFX,'GBP Curve Config'!OISHistoricalRates)&amp;"@"&amp;NOW()</f>
        <v>OIS OIS Curve has been set (0.00700 sec)@42324.4459768518</v>
      </c>
      <c r="R24" s="114" t="s">
        <v>12</v>
      </c>
      <c r="S24" s="255"/>
      <c r="T24" s="192" t="s">
        <v>201</v>
      </c>
      <c r="U24" s="169" t="b">
        <f t="shared" ref="U24:U30" ca="1" si="10">IF(UPPER(LEFT(E24,3))=LEFT(C24,3),TRUE,FALSE)</f>
        <v>1</v>
      </c>
      <c r="V24" s="169" t="b">
        <f t="shared" ref="V24:V30" ca="1" si="11">IF(UPPER(LEFT(I24,3))=LEFT(G24,3),TRUE,FALSE)</f>
        <v>1</v>
      </c>
      <c r="W24" s="169" t="b">
        <f t="shared" ref="W24:W30" ca="1" si="12">IF(UPPER(LEFT(M24,3))=LEFT(K24,3),TRUE,FALSE)</f>
        <v>1</v>
      </c>
      <c r="X24" s="169" t="b">
        <f t="shared" ref="X24:X30" ca="1" si="13">IF(UPPER(LEFT(Q24,3))=LEFT(O24,3),TRUE,FALSE)</f>
        <v>1</v>
      </c>
      <c r="Z24" s="255"/>
      <c r="AA24" s="192" t="s">
        <v>201</v>
      </c>
      <c r="AB24" s="196">
        <f t="shared" ref="AB24:AE29" ca="1" si="14">IF(ISERROR(U24),1,IF(U24,0,1))</f>
        <v>0</v>
      </c>
      <c r="AC24" s="189">
        <f t="shared" ca="1" si="14"/>
        <v>0</v>
      </c>
      <c r="AD24" s="189">
        <f t="shared" ca="1" si="14"/>
        <v>0</v>
      </c>
      <c r="AE24" s="197">
        <f t="shared" ca="1" si="14"/>
        <v>0</v>
      </c>
      <c r="AG24" s="173">
        <f ca="1">SUM(ErrorCountGBPUSDCSA,ErrorCountGBPEURCSA,ErrorCountGBPGBPCSA,ErrorCountGBPJPYCSA)</f>
        <v>0</v>
      </c>
    </row>
    <row r="25" spans="1:33">
      <c r="B25" s="114" t="s">
        <v>12</v>
      </c>
      <c r="C25" s="120" t="s">
        <v>63</v>
      </c>
      <c r="D25" s="145" t="s">
        <v>283</v>
      </c>
      <c r="E25" s="161" t="str">
        <f ca="1">IF(U24,_xll.mirSetUpSwapCurve(E$23,C25,'GBP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Config'!SwapCurveNamesXCCY,'GBP Curve Config'!SwapCurveNameDF2)&amp;"@"&amp;NOW(),"#ERROR")</f>
        <v>STD Swap Curve has been set@42324.4459795139</v>
      </c>
      <c r="F25" s="114" t="s">
        <v>12</v>
      </c>
      <c r="G25" s="120" t="s">
        <v>63</v>
      </c>
      <c r="H25" s="145" t="s">
        <v>283</v>
      </c>
      <c r="I25" s="161" t="str">
        <f ca="1">IF(V24,_xll.mirSetUpSwapCurve(I$23,G25,'GBP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STD Swap Curve has been set@42324.4459790509</v>
      </c>
      <c r="J25" s="114" t="s">
        <v>12</v>
      </c>
      <c r="K25" s="123" t="s">
        <v>63</v>
      </c>
      <c r="L25" s="170" t="s">
        <v>283</v>
      </c>
      <c r="M25" s="157" t="str">
        <f ca="1">IF(W24,_xll.mirSetUpSwapCurve(M$23,K25,'GBP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Config'!SwapCurveNamesNativeCSA,'GBP Curve Config'!SwapCurveNameDF2)&amp;"@"&amp;NOW(),"#ERROR")</f>
        <v>STD Swap Curve has been set@42324.4459798611</v>
      </c>
      <c r="N25" s="114" t="s">
        <v>12</v>
      </c>
      <c r="O25" s="120" t="s">
        <v>63</v>
      </c>
      <c r="P25" s="170" t="s">
        <v>283</v>
      </c>
      <c r="Q25" s="161" t="str">
        <f ca="1">IF(X24,_xll.mirSetUpSwapCurve(Q$23,O25,'GBP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STD Swap Curve has been set@42324.4459782407</v>
      </c>
      <c r="R25" s="114" t="s">
        <v>12</v>
      </c>
      <c r="S25" s="118"/>
      <c r="T25" s="193" t="s">
        <v>63</v>
      </c>
      <c r="U25" s="171" t="b">
        <f t="shared" ca="1" si="10"/>
        <v>1</v>
      </c>
      <c r="V25" s="171" t="b">
        <f t="shared" ca="1" si="11"/>
        <v>1</v>
      </c>
      <c r="W25" s="171" t="b">
        <f t="shared" ca="1" si="12"/>
        <v>1</v>
      </c>
      <c r="X25" s="171" t="b">
        <f t="shared" ca="1" si="13"/>
        <v>1</v>
      </c>
      <c r="Z25" s="118"/>
      <c r="AA25" s="193" t="s">
        <v>63</v>
      </c>
      <c r="AB25" s="198">
        <f t="shared" ca="1" si="14"/>
        <v>0</v>
      </c>
      <c r="AC25" s="190">
        <f t="shared" ca="1" si="14"/>
        <v>0</v>
      </c>
      <c r="AD25" s="190">
        <f t="shared" ca="1" si="14"/>
        <v>0</v>
      </c>
      <c r="AE25" s="199">
        <f t="shared" ca="1" si="14"/>
        <v>0</v>
      </c>
    </row>
    <row r="26" spans="1:33">
      <c r="B26" s="114" t="s">
        <v>12</v>
      </c>
      <c r="C26" s="120" t="s">
        <v>206</v>
      </c>
      <c r="D26" s="145" t="s">
        <v>273</v>
      </c>
      <c r="E26" s="161" t="str">
        <f ca="1">IF(U25,_xll.mirSetUpBasisSwapCurve(E$23,C26,'GBP Curve Config'!YieldCurvePropertiesTenorBasis,'GBP Curve Config'!BasisConv3x6,'GBP Curve Config'!BasisData3x6,'GBP Curve Config'!TenorBasis3x6CurveNamesXCCY)&amp;"@"&amp;NOW(),"#ERROR")</f>
        <v>3M6MBasis BasisSwap Curve has been set@42324.4459805556</v>
      </c>
      <c r="F26" s="114" t="s">
        <v>12</v>
      </c>
      <c r="G26" s="120" t="s">
        <v>206</v>
      </c>
      <c r="H26" s="145" t="s">
        <v>273</v>
      </c>
      <c r="I26" s="161" t="str">
        <f ca="1">IF(V25,_xll.mirSetUpBasisSwapCurve(I$23,G26,'GBP Curve Config'!YieldCurvePropertiesTenorBasis,'GBP Curve Config'!BasisConv3x6,'GBP Curve Config'!BasisData3x6,'GBP Curve Config'!TenorBasis3x6CurveNamesXCCYandFWDFX)&amp;"@"&amp;NOW(),"#ERROR")</f>
        <v>3M6MBasis BasisSwap Curve has been set@42324.4459804398</v>
      </c>
      <c r="J26" s="114" t="s">
        <v>12</v>
      </c>
      <c r="K26" s="123" t="s">
        <v>206</v>
      </c>
      <c r="L26" s="170" t="s">
        <v>273</v>
      </c>
      <c r="M26" s="154" t="str">
        <f ca="1">IF(W25,_xll.mirSetUpBasisSwapCurve(M$23,K26,'GBP Curve Config'!YieldCurvePropertiesTenorBasis,'GBP Curve Config'!BasisConv3x6,'GBP Curve Config'!BasisData3x6,'GBP Curve Config'!TenorBasis3x6CurveNamesNativeCSA)&amp;"@"&amp;NOW(),"#ERROR")</f>
        <v>3M6MBasis BasisSwap Curve has been set@42324.4459803241</v>
      </c>
      <c r="N26" s="114" t="s">
        <v>12</v>
      </c>
      <c r="O26" s="120" t="s">
        <v>206</v>
      </c>
      <c r="P26" s="170" t="s">
        <v>273</v>
      </c>
      <c r="Q26" s="161" t="str">
        <f ca="1">IF(X25,_xll.mirSetUpBasisSwapCurve(Q$23,O26,'GBP Curve Config'!YieldCurvePropertiesTenorBasis,'GBP Curve Config'!BasisConv3x6,'GBP Curve Config'!BasisData3x6,'GBP Curve Config'!TenorBasis3x6CurveNamesXCCYandFWDFX)&amp;"@"&amp;NOW(),"#ERROR")</f>
        <v>3M6MBasis BasisSwap Curve has been set@42324.44598125</v>
      </c>
      <c r="R26" s="114" t="s">
        <v>12</v>
      </c>
      <c r="S26" s="118"/>
      <c r="T26" s="193" t="s">
        <v>206</v>
      </c>
      <c r="U26" s="171" t="b">
        <f t="shared" ca="1" si="10"/>
        <v>1</v>
      </c>
      <c r="V26" s="171" t="b">
        <f t="shared" ca="1" si="11"/>
        <v>1</v>
      </c>
      <c r="W26" s="171" t="b">
        <f t="shared" ca="1" si="12"/>
        <v>1</v>
      </c>
      <c r="X26" s="171" t="b">
        <f t="shared" ca="1" si="13"/>
        <v>1</v>
      </c>
      <c r="Z26" s="118"/>
      <c r="AA26" s="193" t="s">
        <v>206</v>
      </c>
      <c r="AB26" s="198">
        <f t="shared" ca="1" si="14"/>
        <v>0</v>
      </c>
      <c r="AC26" s="190">
        <f t="shared" ca="1" si="14"/>
        <v>0</v>
      </c>
      <c r="AD26" s="190">
        <f t="shared" ca="1" si="14"/>
        <v>0</v>
      </c>
      <c r="AE26" s="199">
        <f t="shared" ca="1" si="14"/>
        <v>0</v>
      </c>
    </row>
    <row r="27" spans="1:33">
      <c r="B27" s="114" t="s">
        <v>12</v>
      </c>
      <c r="C27" s="205" t="s">
        <v>211</v>
      </c>
      <c r="D27" s="145" t="s">
        <v>385</v>
      </c>
      <c r="E27" s="161" t="str">
        <f ca="1">IF(U26,_xll.mirSetUpBasisSwapCurve(E$23,C27,'GBP Curve Config'!YieldCurvePropertiesTenorBasis,'GBP Curve Config'!BasisConv1x3,'GBP Curve Config'!BasisData1x3,'GBP Curve Config'!TenorBasis1x6CurveNamesXCCY)&amp;"@"&amp;NOW(),"#ERROR")</f>
        <v>1M6MBasis BasisSwap Curve has been set@42324.4459833333</v>
      </c>
      <c r="F27" s="114" t="s">
        <v>12</v>
      </c>
      <c r="G27" s="205" t="s">
        <v>211</v>
      </c>
      <c r="H27" s="202" t="s">
        <v>385</v>
      </c>
      <c r="I27" s="161" t="str">
        <f ca="1">IF(V26,_xll.mirSetUpBasisSwapCurve(I$23,G27,'GBP Curve Config'!YieldCurvePropertiesTenorBasis,'GBP Curve Config'!BasisConv1x3,'GBP Curve Config'!BasisData1x3,'GBP Curve Config'!TenorBasis1x6CurveNamesXCCYandFWDFX)&amp;"@"&amp;NOW(),"#ERROR")</f>
        <v>1M6MBasis BasisSwap Curve has been set@42324.4459825231</v>
      </c>
      <c r="J27" s="114" t="s">
        <v>12</v>
      </c>
      <c r="K27" s="206" t="s">
        <v>211</v>
      </c>
      <c r="L27" s="202" t="s">
        <v>385</v>
      </c>
      <c r="M27" s="154" t="str">
        <f ca="1">IF(W26,_xll.mirSetUpBasisSwapCurve(M$23,K27,'GBP Curve Config'!YieldCurvePropertiesTenorBasis,'GBP Curve Config'!BasisConv1x3,'GBP Curve Config'!BasisData1x3,'GBP Curve Config'!TenorBasis1x6CurveNamesNativeCSA)&amp;"@"&amp;NOW(),"#ERROR")</f>
        <v>1M6MBasis BasisSwap Curve has been set@42324.4459841435</v>
      </c>
      <c r="N27" s="114" t="s">
        <v>12</v>
      </c>
      <c r="O27" s="205" t="s">
        <v>211</v>
      </c>
      <c r="P27" s="202" t="s">
        <v>385</v>
      </c>
      <c r="Q27" s="161" t="str">
        <f ca="1">IF(X26,_xll.mirSetUpBasisSwapCurve(Q$23,O27,'GBP Curve Config'!YieldCurvePropertiesTenorBasis,'GBP Curve Config'!BasisConv1x3,'GBP Curve Config'!BasisData1x3,'GBP Curve Config'!TenorBasis1x6CurveNamesXCCYandFWDFX)&amp;"@"&amp;NOW(),"#ERROR")</f>
        <v>1M6MBasis BasisSwap Curve has been set@42324.4459858796</v>
      </c>
      <c r="R27" s="114" t="s">
        <v>12</v>
      </c>
      <c r="S27" s="118"/>
      <c r="T27" s="193" t="s">
        <v>211</v>
      </c>
      <c r="U27" s="171" t="b">
        <f t="shared" ca="1" si="10"/>
        <v>1</v>
      </c>
      <c r="V27" s="171" t="b">
        <f t="shared" ca="1" si="11"/>
        <v>1</v>
      </c>
      <c r="W27" s="171" t="b">
        <f t="shared" ca="1" si="12"/>
        <v>1</v>
      </c>
      <c r="X27" s="171" t="b">
        <f t="shared" ca="1" si="13"/>
        <v>1</v>
      </c>
      <c r="Z27" s="118"/>
      <c r="AA27" s="193" t="s">
        <v>211</v>
      </c>
      <c r="AB27" s="198">
        <f t="shared" ca="1" si="14"/>
        <v>0</v>
      </c>
      <c r="AC27" s="190">
        <f t="shared" ca="1" si="14"/>
        <v>0</v>
      </c>
      <c r="AD27" s="190">
        <f t="shared" ca="1" si="14"/>
        <v>0</v>
      </c>
      <c r="AE27" s="199">
        <f t="shared" ca="1" si="14"/>
        <v>0</v>
      </c>
    </row>
    <row r="28" spans="1:33">
      <c r="B28" s="114" t="s">
        <v>12</v>
      </c>
      <c r="C28" s="120" t="s">
        <v>288</v>
      </c>
      <c r="D28" s="145" t="s">
        <v>289</v>
      </c>
      <c r="E28" s="161" t="str">
        <f ca="1">IF(U27,_xll.mirSetUpBasisSwapCurve(E$23,C28,'GBP Curve Config'!YieldCurvePropertiesTenorBasis,'GBP Curve Config'!BasisConv6x12,'GBP Curve Config'!BasisData6x12,'GBP Curve Config'!TenorBasis6x12CurveNamesXCCY)&amp;"@"&amp;NOW(),"#ERROR")</f>
        <v>6M12MBasis BasisSwap Curve has been set@42324.4459865741</v>
      </c>
      <c r="F28" s="114" t="s">
        <v>12</v>
      </c>
      <c r="G28" s="120" t="s">
        <v>288</v>
      </c>
      <c r="H28" s="145" t="s">
        <v>289</v>
      </c>
      <c r="I28" s="161" t="str">
        <f ca="1">IF(V27,_xll.mirSetUpBasisSwapCurve(I$23,G28,'GBP Curve Config'!YieldCurvePropertiesTenorBasis,'GBP Curve Config'!BasisConv6x12,'GBP Curve Config'!BasisData6x12,'GBP Curve Config'!TenorBasis6x12CurveNamesXCCYandFWDFX)&amp;"@"&amp;NOW(),"#ERROR")</f>
        <v>6M12MBasis BasisSwap Curve has been set@42324.4459868056</v>
      </c>
      <c r="J28" s="114" t="s">
        <v>12</v>
      </c>
      <c r="K28" s="123" t="s">
        <v>288</v>
      </c>
      <c r="L28" s="170" t="s">
        <v>289</v>
      </c>
      <c r="M28" s="154" t="str">
        <f ca="1">IF(W27,_xll.mirSetUpBasisSwapCurve(M$23,K28,'GBP Curve Config'!YieldCurvePropertiesTenorBasis,'GBP Curve Config'!BasisConv6x12,'GBP Curve Config'!BasisData6x12,'GBP Curve Config'!TenorBasis6x12CurveNamesNativeCSA)&amp;"@"&amp;NOW(),"#ERROR")</f>
        <v>6M12MBasis BasisSwap Curve has been set@42324.4459869213</v>
      </c>
      <c r="N28" s="114" t="s">
        <v>12</v>
      </c>
      <c r="O28" s="120" t="s">
        <v>288</v>
      </c>
      <c r="P28" s="170" t="s">
        <v>289</v>
      </c>
      <c r="Q28" s="161" t="str">
        <f ca="1">IF(X27,_xll.mirSetUpBasisSwapCurve(Q$23,O28,'GBP Curve Config'!YieldCurvePropertiesTenorBasis,'GBP Curve Config'!BasisConv6x12,'GBP Curve Config'!BasisData6x12,'GBP Curve Config'!TenorBasis6x12CurveNamesXCCYandFWDFX)&amp;"@"&amp;NOW(),"#ERROR")</f>
        <v>6M12MBasis BasisSwap Curve has been set@42324.4459863426</v>
      </c>
      <c r="R28" s="114" t="s">
        <v>12</v>
      </c>
      <c r="S28" s="118"/>
      <c r="T28" s="193" t="s">
        <v>288</v>
      </c>
      <c r="U28" s="171" t="b">
        <f t="shared" ca="1" si="10"/>
        <v>1</v>
      </c>
      <c r="V28" s="171" t="b">
        <f t="shared" ca="1" si="11"/>
        <v>1</v>
      </c>
      <c r="W28" s="171" t="b">
        <f t="shared" ca="1" si="12"/>
        <v>1</v>
      </c>
      <c r="X28" s="171" t="b">
        <f t="shared" ca="1" si="13"/>
        <v>1</v>
      </c>
      <c r="Z28" s="118"/>
      <c r="AA28" s="193" t="s">
        <v>288</v>
      </c>
      <c r="AB28" s="198">
        <f t="shared" ca="1" si="14"/>
        <v>0</v>
      </c>
      <c r="AC28" s="190">
        <f t="shared" ca="1" si="14"/>
        <v>0</v>
      </c>
      <c r="AD28" s="190">
        <f t="shared" ca="1" si="14"/>
        <v>0</v>
      </c>
      <c r="AE28" s="199">
        <f t="shared" ca="1" si="14"/>
        <v>0</v>
      </c>
    </row>
    <row r="29" spans="1:33">
      <c r="B29" s="114" t="s">
        <v>12</v>
      </c>
      <c r="C29" s="120" t="s">
        <v>208</v>
      </c>
      <c r="D29" s="145" t="str">
        <f>"Xccy Basis "&amp;$A23&amp;"/"&amp;"USD"</f>
        <v>Xccy Basis GBP/USD</v>
      </c>
      <c r="E29" s="161" t="str">
        <f ca="1">IF(AND(U28,isLoadedCurveUSD_USDCSA),_xll.mirSetUpBasisSwapCurve(E$23,C29,'GBP Curve Config'!XccyBasisProperties,'GBP Curve Config'!XccyBasisConvUSDCSA,'GBP Curve Config'!XccyBasisData,'GBP Curve Config'!XccyBasisCurveNamesXCCY)&amp;"@"&amp;NOW(),"#ERROR")</f>
        <v>XccyBasis BasisSwap Curve has been set@42324.4459902778</v>
      </c>
      <c r="F29" s="114" t="s">
        <v>12</v>
      </c>
      <c r="G29" s="120" t="s">
        <v>208</v>
      </c>
      <c r="H29" s="145" t="str">
        <f>"Xccy Basis "&amp;$A23&amp;"/"&amp;"USD"</f>
        <v>Xccy Basis GBP/USD</v>
      </c>
      <c r="I29" s="161" t="str">
        <f ca="1">IF(AND(V28,isLoadedCurveUSD_EURCSA),_xll.mirSetUpBasisSwapCurve(I$23,G29,'GBP Curve Config'!XccyBasisProperties,'GBP Curve Config'!XccyBasisConvEURCSA,'GBP Curve Config'!XccyBasisData,'GBP Curve Config'!XccyBasisCurveNamesXCCYandFWDFX)&amp;"@"&amp;NOW(),"#ERROR")</f>
        <v>XccyBasis BasisSwap Curve has been set@42324.4459887732</v>
      </c>
      <c r="J29" s="114" t="s">
        <v>12</v>
      </c>
      <c r="K29" s="123" t="s">
        <v>208</v>
      </c>
      <c r="L29" s="170" t="str">
        <f>"Xccy Basis "&amp;$A23&amp;"/"&amp;"USD"</f>
        <v>Xccy Basis GBP/USD</v>
      </c>
      <c r="M29" s="158" t="str">
        <f ca="1">IF(AND(W28,isLoadedCurveUSD_GBPCSA),_xll.mirSetUpBasisSwapCurve(M$23,K29,'GBP Curve Config'!XccyBasisProperties,'GBP Curve Config'!XccyBasisConvGBPCSA,'GBP Curve Config'!XccyBasisData,'GBP Curve Config'!XccyBasisCurveNamesNativeCSA)&amp;"@"&amp;NOW(),"#ERROR")</f>
        <v>XccyBasis BasisSwap Curve has been set@42324.4459899306</v>
      </c>
      <c r="N29" s="114" t="s">
        <v>12</v>
      </c>
      <c r="O29" s="120" t="s">
        <v>208</v>
      </c>
      <c r="P29" s="170" t="str">
        <f>"Xccy Basis "&amp;$A23&amp;"/"&amp;"USD"</f>
        <v>Xccy Basis GBP/USD</v>
      </c>
      <c r="Q29" s="161" t="str">
        <f ca="1">IF(AND(X28,isLoadedCurveUSD_JPYCSA),_xll.mirSetUpBasisSwapCurve(Q$23,O29,'GBP Curve Config'!XccyBasisProperties,'GBP Curve Config'!XccyBasisConvJPYCSA,'GBP Curve Config'!XccyBasisData,'GBP Curve Config'!XccyBasisCurveNamesXCCYandFWDFX)&amp;"@"&amp;NOW(),"#ERROR")</f>
        <v>XccyBasis BasisSwap Curve has been set@42324.4459905093</v>
      </c>
      <c r="R29" s="114" t="s">
        <v>12</v>
      </c>
      <c r="S29" s="118"/>
      <c r="T29" s="193" t="s">
        <v>208</v>
      </c>
      <c r="U29" s="171" t="b">
        <f t="shared" ca="1" si="10"/>
        <v>1</v>
      </c>
      <c r="V29" s="171" t="b">
        <f t="shared" ca="1" si="11"/>
        <v>1</v>
      </c>
      <c r="W29" s="171" t="b">
        <f t="shared" ca="1" si="12"/>
        <v>1</v>
      </c>
      <c r="X29" s="171" t="b">
        <f t="shared" ca="1" si="13"/>
        <v>1</v>
      </c>
      <c r="Z29" s="118"/>
      <c r="AA29" s="193" t="s">
        <v>208</v>
      </c>
      <c r="AB29" s="198">
        <f t="shared" ca="1" si="14"/>
        <v>0</v>
      </c>
      <c r="AC29" s="190">
        <f t="shared" ca="1" si="14"/>
        <v>0</v>
      </c>
      <c r="AD29" s="190">
        <f t="shared" ca="1" si="14"/>
        <v>0</v>
      </c>
      <c r="AE29" s="199">
        <f t="shared" ca="1" si="14"/>
        <v>0</v>
      </c>
    </row>
    <row r="30" spans="1:33">
      <c r="B30" s="114" t="s">
        <v>12</v>
      </c>
      <c r="C30" s="121" t="s">
        <v>209</v>
      </c>
      <c r="D30" s="167" t="str">
        <f>"Proxy: Xccy Basis USD/"&amp;LEFT(E$2,3)</f>
        <v>Proxy: Xccy Basis USD/USD</v>
      </c>
      <c r="E30" s="164" t="s">
        <v>6</v>
      </c>
      <c r="F30" s="114" t="s">
        <v>12</v>
      </c>
      <c r="G30" s="121" t="s">
        <v>209</v>
      </c>
      <c r="H30" s="167" t="str">
        <f>"Proxy: Xccy Basis USD/"&amp;LEFT(I$2,3)</f>
        <v>Proxy: Xccy Basis USD/EUR</v>
      </c>
      <c r="I30" s="163" t="str">
        <f ca="1">IF(AND(V29,isLoadedXccyEUR_EURCSA),_xll.mirSetUpFwdFXConstantCurve(I$23,G30,'GBP Curve Config'!ConstForwardFXProperties,'GBP Curve Config'!ConstForwardFXEURCSA,'GBP Curve Config'!FwdFXConstCurveNamesXCCYandFWDFX)&amp;"@"&amp;NOW(),"#ERROR")</f>
        <v>FwdFXConst FwdFXConstant Curve has been set@42324.4459918981</v>
      </c>
      <c r="J30" s="114" t="s">
        <v>12</v>
      </c>
      <c r="K30" s="124" t="s">
        <v>209</v>
      </c>
      <c r="L30" s="167" t="str">
        <f>"Proxy: Xccy Basis USD/"&amp;LEFT(M$2,3)</f>
        <v>Proxy: Xccy Basis USD/GBP</v>
      </c>
      <c r="M30" s="156" t="s">
        <v>6</v>
      </c>
      <c r="N30" s="114" t="s">
        <v>12</v>
      </c>
      <c r="O30" s="121" t="s">
        <v>209</v>
      </c>
      <c r="P30" s="167" t="str">
        <f>"Proxy: Xccy Basis USD/"&amp;LEFT(Q$2,3)</f>
        <v>Proxy: Xccy Basis USD/JPY</v>
      </c>
      <c r="Q30" s="163" t="str">
        <f ca="1">IF(AND(X29,isLoadedXccyJPY_JPYCSA),_xll.mirSetUpFwdFXConstantCurve(Q$23,O30,'GBP Curve Config'!ConstForwardFXProperties,'GBP Curve Config'!ConstForwardFXJPYCSA,'GBP Curve Config'!FwdFXConstCurveNamesXCCYandFWDFX)&amp;"@"&amp;NOW(),"#ERROR")</f>
        <v>FwdFXConst FwdFXConstant Curve has been set@42324.4459918981</v>
      </c>
      <c r="R30" s="114" t="s">
        <v>12</v>
      </c>
      <c r="S30" s="118"/>
      <c r="T30" s="194" t="s">
        <v>209</v>
      </c>
      <c r="U30" s="172" t="b">
        <f t="shared" si="10"/>
        <v>0</v>
      </c>
      <c r="V30" s="172" t="b">
        <f t="shared" ca="1" si="11"/>
        <v>1</v>
      </c>
      <c r="W30" s="172" t="b">
        <f t="shared" si="12"/>
        <v>0</v>
      </c>
      <c r="X30" s="172" t="b">
        <f t="shared" ca="1" si="13"/>
        <v>1</v>
      </c>
      <c r="Z30" s="118"/>
      <c r="AA30" s="194" t="s">
        <v>209</v>
      </c>
      <c r="AB30" s="208" t="s">
        <v>6</v>
      </c>
      <c r="AC30" s="191">
        <f ca="1">IF(ISERROR(V30),1,IF(V30,0,1))</f>
        <v>0</v>
      </c>
      <c r="AD30" s="211" t="s">
        <v>6</v>
      </c>
      <c r="AE30" s="200">
        <f ca="1">IF(ISERROR(X30),1,IF(X30,0,1))</f>
        <v>0</v>
      </c>
    </row>
    <row r="31" spans="1:33">
      <c r="B31" s="114" t="s">
        <v>12</v>
      </c>
      <c r="D31" s="145"/>
      <c r="F31" s="114" t="s">
        <v>12</v>
      </c>
      <c r="H31" s="145"/>
      <c r="L31" s="145"/>
      <c r="P31" s="145"/>
      <c r="R31" s="114" t="s">
        <v>12</v>
      </c>
      <c r="S31" s="118"/>
      <c r="U31" s="145"/>
      <c r="V31" s="145"/>
      <c r="W31" s="145"/>
      <c r="X31" s="145"/>
      <c r="Z31" s="118"/>
      <c r="AB31" s="145"/>
      <c r="AC31" s="145"/>
      <c r="AD31" s="145"/>
      <c r="AE31" s="145"/>
    </row>
    <row r="32" spans="1:33">
      <c r="A32" s="255" t="s">
        <v>200</v>
      </c>
      <c r="B32" s="111" t="s">
        <v>12</v>
      </c>
      <c r="C32" s="111"/>
      <c r="D32" s="113" t="s">
        <v>398</v>
      </c>
      <c r="E32" s="143" t="s">
        <v>334</v>
      </c>
      <c r="F32" s="111" t="s">
        <v>12</v>
      </c>
      <c r="G32" s="111"/>
      <c r="H32" s="113" t="s">
        <v>398</v>
      </c>
      <c r="I32" s="143" t="s">
        <v>335</v>
      </c>
      <c r="J32" s="111" t="s">
        <v>12</v>
      </c>
      <c r="K32" s="111"/>
      <c r="L32" s="113" t="s">
        <v>398</v>
      </c>
      <c r="M32" s="143" t="s">
        <v>336</v>
      </c>
      <c r="N32" s="111" t="s">
        <v>12</v>
      </c>
      <c r="O32" s="111"/>
      <c r="P32" s="113" t="s">
        <v>398</v>
      </c>
      <c r="Q32" s="143" t="s">
        <v>333</v>
      </c>
      <c r="R32" s="114" t="s">
        <v>12</v>
      </c>
      <c r="S32" s="255" t="s">
        <v>200</v>
      </c>
      <c r="T32" s="11" t="s">
        <v>399</v>
      </c>
      <c r="U32" s="195" t="s">
        <v>279</v>
      </c>
      <c r="V32" s="195" t="s">
        <v>280</v>
      </c>
      <c r="W32" s="195" t="s">
        <v>281</v>
      </c>
      <c r="X32" s="195" t="s">
        <v>282</v>
      </c>
      <c r="Z32" s="255" t="s">
        <v>200</v>
      </c>
      <c r="AA32" s="11" t="s">
        <v>382</v>
      </c>
      <c r="AB32" s="195" t="s">
        <v>279</v>
      </c>
      <c r="AC32" s="195" t="s">
        <v>280</v>
      </c>
      <c r="AD32" s="195" t="s">
        <v>281</v>
      </c>
      <c r="AE32" s="195" t="s">
        <v>282</v>
      </c>
      <c r="AG32" s="143" t="s">
        <v>397</v>
      </c>
    </row>
    <row r="33" spans="1:33">
      <c r="A33" s="255"/>
      <c r="B33" s="114" t="s">
        <v>12</v>
      </c>
      <c r="C33" s="119" t="s">
        <v>201</v>
      </c>
      <c r="D33" s="166" t="s">
        <v>285</v>
      </c>
      <c r="E33" s="160" t="str">
        <f ca="1">_xll.mirSetUpOISCurve(E$32,C33,'JPY Curve Config'!YieldCurvePropertiesOIS,'JPY Curve Config'!OISConv,'JPY Curve Config'!OISRates,'JPY Curve Config'!OISCurveNamesXCCY,'JPY Curve Config'!OISHistoricalRates)&amp;"@"&amp;NOW()</f>
        <v>OIS OIS Curve has been set (0.00900 sec)@42324.4459768518</v>
      </c>
      <c r="F33" s="114" t="s">
        <v>12</v>
      </c>
      <c r="G33" s="119" t="s">
        <v>201</v>
      </c>
      <c r="H33" s="166" t="s">
        <v>285</v>
      </c>
      <c r="I33" s="160" t="str">
        <f ca="1">_xll.mirSetUpOISCurve(I$32,G33,'JPY Curve Config'!YieldCurvePropertiesOIS,'JPY Curve Config'!OISConv,'JPY Curve Config'!OISRates,'JPY Curve Config'!OISCurveNamesXCCYandFWDFX,'JPY Curve Config'!OISHistoricalRates)&amp;"@"&amp;NOW()</f>
        <v>OIS OIS Curve has been set (0.00700 sec)@42324.445977662</v>
      </c>
      <c r="J33" s="114" t="s">
        <v>12</v>
      </c>
      <c r="K33" s="119" t="s">
        <v>201</v>
      </c>
      <c r="L33" s="168" t="s">
        <v>285</v>
      </c>
      <c r="M33" s="160" t="str">
        <f ca="1">_xll.mirSetUpOISCurve(M$32,K33,'JPY Curve Config'!YieldCurvePropertiesOIS,'JPY Curve Config'!OISConv,'JPY Curve Config'!OISRates,'JPY Curve Config'!OISCurveNamesXCCYandFWDFX,'JPY Curve Config'!OISHistoricalRates)&amp;"@"&amp;NOW()</f>
        <v>OIS OIS Curve has been set (0.00800 sec)@42324.4459780093</v>
      </c>
      <c r="N33" s="114" t="s">
        <v>12</v>
      </c>
      <c r="O33" s="122" t="s">
        <v>201</v>
      </c>
      <c r="P33" s="168" t="s">
        <v>285</v>
      </c>
      <c r="Q33" s="153" t="str">
        <f ca="1">_xll.mirSetUpOISCurve(Q$32,O33,'JPY Curve Config'!YieldCurvePropertiesOIS,'JPY Curve Config'!OISConv,'JPY Curve Config'!OISRates,'JPY Curve Config'!OISCurveNamesNativeCSA,'JPY Curve Config'!OISHistoricalRates)&amp;"@"&amp;NOW()</f>
        <v>OIS OIS Curve has been set (0.00900 sec)@42324.4459773148</v>
      </c>
      <c r="R33" s="114" t="s">
        <v>12</v>
      </c>
      <c r="S33" s="255"/>
      <c r="T33" s="192" t="s">
        <v>201</v>
      </c>
      <c r="U33" s="169" t="b">
        <f t="shared" ref="U33:U39" ca="1" si="15">IF(UPPER(LEFT(E33,3))=LEFT(C33,3),TRUE,FALSE)</f>
        <v>1</v>
      </c>
      <c r="V33" s="169" t="b">
        <f t="shared" ref="V33:V39" ca="1" si="16">IF(UPPER(LEFT(I33,3))=LEFT(G33,3),TRUE,FALSE)</f>
        <v>1</v>
      </c>
      <c r="W33" s="169" t="b">
        <f t="shared" ref="W33:W39" ca="1" si="17">IF(UPPER(LEFT(M33,3))=LEFT(K33,3),TRUE,FALSE)</f>
        <v>1</v>
      </c>
      <c r="X33" s="169" t="b">
        <f t="shared" ref="X33:X39" ca="1" si="18">IF(UPPER(LEFT(Q33,3))=LEFT(O33,3),TRUE,FALSE)</f>
        <v>1</v>
      </c>
      <c r="Z33" s="255"/>
      <c r="AA33" s="192" t="s">
        <v>201</v>
      </c>
      <c r="AB33" s="196">
        <f t="shared" ref="AB33:AE36" ca="1" si="19">IF(ISERROR(U33),1,IF(U33,0,1))</f>
        <v>0</v>
      </c>
      <c r="AC33" s="189">
        <f t="shared" ca="1" si="19"/>
        <v>0</v>
      </c>
      <c r="AD33" s="189">
        <f t="shared" ca="1" si="19"/>
        <v>0</v>
      </c>
      <c r="AE33" s="197">
        <f t="shared" ca="1" si="19"/>
        <v>0</v>
      </c>
      <c r="AG33" s="173">
        <f ca="1">SUM(ErrorCountJPYUSDCSA,ErrorCountJPYEURCSA,ErrorCountJPYGBPCSA,ErrorCountJPYJPYCSA)</f>
        <v>1</v>
      </c>
    </row>
    <row r="34" spans="1:33">
      <c r="B34" s="114" t="s">
        <v>12</v>
      </c>
      <c r="C34" s="120" t="s">
        <v>63</v>
      </c>
      <c r="D34" s="145" t="s">
        <v>283</v>
      </c>
      <c r="E34" s="161" t="str">
        <f ca="1">IF(U33,_xll.mirSetUpSwapCurve(E$32,C34,'JPY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Config'!SwapCurveNamesXCCY,'JPY Curve Config'!SwapCurveNameDF2)&amp;"@"&amp;NOW(),"#ERROR")</f>
        <v>STD Swap Curve has been set@42324.445978588</v>
      </c>
      <c r="F34" s="114" t="s">
        <v>12</v>
      </c>
      <c r="G34" s="120" t="s">
        <v>63</v>
      </c>
      <c r="H34" s="145" t="s">
        <v>283</v>
      </c>
      <c r="I34" s="161" t="str">
        <f ca="1">IF(V33,_xll.mirSetUpSwapCurve(I$32,G34,'JPY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STD Swap Curve has been set@42324.4459799769</v>
      </c>
      <c r="J34" s="114" t="s">
        <v>12</v>
      </c>
      <c r="K34" s="120" t="s">
        <v>63</v>
      </c>
      <c r="L34" s="170" t="s">
        <v>283</v>
      </c>
      <c r="M34" s="161" t="str">
        <f ca="1">IF(W33,_xll.mirSetUpSwapCurve(M$32,K34,'JPY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STD Swap Curve has been set@42324.4459800926</v>
      </c>
      <c r="N34" s="114" t="s">
        <v>12</v>
      </c>
      <c r="O34" s="123" t="s">
        <v>63</v>
      </c>
      <c r="P34" s="170" t="s">
        <v>283</v>
      </c>
      <c r="Q34" s="157" t="str">
        <f ca="1">IF(X33,_xll.mirSetUpSwapCurve(Q$32,O34,'JPY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Config'!SwapCurveNamesNativeCSA,'JPY Curve Config'!SwapCurveNameDF2)&amp;"@"&amp;NOW(),"#ERROR")</f>
        <v>STD Swap Curve has been set@42324.4459800926</v>
      </c>
      <c r="R34" s="114" t="s">
        <v>12</v>
      </c>
      <c r="S34" s="118"/>
      <c r="T34" s="193" t="s">
        <v>63</v>
      </c>
      <c r="U34" s="171" t="b">
        <f t="shared" ca="1" si="15"/>
        <v>1</v>
      </c>
      <c r="V34" s="171" t="b">
        <f t="shared" ca="1" si="16"/>
        <v>1</v>
      </c>
      <c r="W34" s="171" t="b">
        <f t="shared" ca="1" si="17"/>
        <v>1</v>
      </c>
      <c r="X34" s="171" t="b">
        <f t="shared" ca="1" si="18"/>
        <v>1</v>
      </c>
      <c r="Z34" s="118"/>
      <c r="AA34" s="193" t="s">
        <v>63</v>
      </c>
      <c r="AB34" s="198">
        <f t="shared" ca="1" si="19"/>
        <v>0</v>
      </c>
      <c r="AC34" s="190">
        <f t="shared" ca="1" si="19"/>
        <v>0</v>
      </c>
      <c r="AD34" s="190">
        <f t="shared" ca="1" si="19"/>
        <v>0</v>
      </c>
      <c r="AE34" s="199">
        <f t="shared" ca="1" si="19"/>
        <v>0</v>
      </c>
    </row>
    <row r="35" spans="1:33">
      <c r="B35" s="114" t="s">
        <v>12</v>
      </c>
      <c r="C35" s="120" t="s">
        <v>206</v>
      </c>
      <c r="D35" s="145" t="s">
        <v>273</v>
      </c>
      <c r="E35" s="161" t="str">
        <f ca="1">IF(U34,_xll.mirSetUpBasisSwapCurve(E$32,C35,'JPY Curve Config'!YieldCurvePropertiesTenorBasis,'JPY Curve Config'!BasisConv3x6,'JPY Curve Config'!BasisData3x6,'JPY Curve Config'!TenorBasis3x6CurveNamesXCCY)&amp;"@"&amp;NOW(),"#ERROR")</f>
        <v>3M6MBasis BasisSwap Curve has been set@42324.4459809028</v>
      </c>
      <c r="F35" s="114" t="s">
        <v>12</v>
      </c>
      <c r="G35" s="120" t="s">
        <v>206</v>
      </c>
      <c r="H35" s="145" t="s">
        <v>273</v>
      </c>
      <c r="I35" s="161" t="str">
        <f ca="1">IF(V34,_xll.mirSetUpBasisSwapCurve(I$32,G35,'JPY Curve Config'!YieldCurvePropertiesTenorBasis,'JPY Curve Config'!BasisConv3x6,'JPY Curve Config'!BasisData3x6,'JPY Curve Config'!TenorBasis3x6CurveNamesXCCYandFWDFX)&amp;"@"&amp;NOW(),"#ERROR")</f>
        <v>3M6MBasis BasisSwap Curve has been set@42324.4459821759</v>
      </c>
      <c r="J35" s="114" t="s">
        <v>12</v>
      </c>
      <c r="K35" s="120" t="s">
        <v>206</v>
      </c>
      <c r="L35" s="170" t="s">
        <v>273</v>
      </c>
      <c r="M35" s="161" t="str">
        <f ca="1">IF(W34,_xll.mirSetUpBasisSwapCurve(M$32,K35,'JPY Curve Config'!YieldCurvePropertiesTenorBasis,'JPY Curve Config'!BasisConv3x6,'JPY Curve Config'!BasisData3x6,'JPY Curve Config'!TenorBasis3x6CurveNamesXCCYandFWDFX)&amp;"@"&amp;NOW(),"#ERROR")</f>
        <v>3M6MBasis BasisSwap Curve has been set@42324.4459818287</v>
      </c>
      <c r="N35" s="114" t="s">
        <v>12</v>
      </c>
      <c r="O35" s="123" t="s">
        <v>206</v>
      </c>
      <c r="P35" s="170" t="s">
        <v>273</v>
      </c>
      <c r="Q35" s="154" t="str">
        <f ca="1">IF(X34,_xll.mirSetUpBasisSwapCurve(Q$32,O35,'JPY Curve Config'!YieldCurvePropertiesTenorBasis,'JPY Curve Config'!BasisConv3x6,'JPY Curve Config'!BasisData3x6,'JPY Curve Config'!TenorBasis3x6CurveNamesNativeCSA)&amp;"@"&amp;NOW(),"#ERROR")</f>
        <v>3M6MBasis BasisSwap Curve has been set@42324.4459819444</v>
      </c>
      <c r="R35" s="114" t="s">
        <v>12</v>
      </c>
      <c r="S35" s="118"/>
      <c r="T35" s="193" t="s">
        <v>206</v>
      </c>
      <c r="U35" s="171" t="b">
        <f t="shared" ca="1" si="15"/>
        <v>1</v>
      </c>
      <c r="V35" s="171" t="b">
        <f t="shared" ca="1" si="16"/>
        <v>1</v>
      </c>
      <c r="W35" s="171" t="b">
        <f t="shared" ca="1" si="17"/>
        <v>1</v>
      </c>
      <c r="X35" s="171" t="b">
        <f t="shared" ca="1" si="18"/>
        <v>1</v>
      </c>
      <c r="Z35" s="118"/>
      <c r="AA35" s="193" t="s">
        <v>206</v>
      </c>
      <c r="AB35" s="198">
        <f t="shared" ca="1" si="19"/>
        <v>0</v>
      </c>
      <c r="AC35" s="190">
        <f t="shared" ca="1" si="19"/>
        <v>0</v>
      </c>
      <c r="AD35" s="190">
        <f t="shared" ca="1" si="19"/>
        <v>0</v>
      </c>
      <c r="AE35" s="199">
        <f t="shared" ca="1" si="19"/>
        <v>0</v>
      </c>
    </row>
    <row r="36" spans="1:33">
      <c r="B36" s="114" t="s">
        <v>12</v>
      </c>
      <c r="C36" s="205" t="s">
        <v>211</v>
      </c>
      <c r="D36" s="145" t="s">
        <v>385</v>
      </c>
      <c r="E36" s="161" t="str">
        <f ca="1">IF(U35,_xll.mirSetUpBasisSwapCurve(E$32,C36,'JPY Curve Config'!YieldCurvePropertiesTenorBasis,'JPY Curve Config'!BasisConv1x3,'JPY Curve Config'!BasisData1x3,'JPY Curve Config'!TenorBasis1x6CurveNamesXCCY)&amp;"@"&amp;NOW(),"#ERROR")</f>
        <v>1M6MBasis BasisSwap Curve has been set@42324.4459855324</v>
      </c>
      <c r="F36" s="114" t="s">
        <v>12</v>
      </c>
      <c r="G36" s="205" t="s">
        <v>211</v>
      </c>
      <c r="H36" s="202" t="s">
        <v>385</v>
      </c>
      <c r="I36" s="161" t="str">
        <f ca="1">IF(V35,_xll.mirSetUpBasisSwapCurve(I$32,G36,'JPY Curve Config'!YieldCurvePropertiesTenorBasis,'JPY Curve Config'!BasisConv1x3,'JPY Curve Config'!BasisData1x3,'JPY Curve Config'!TenorBasis1x6CurveNamesXCCYandFWDFX)&amp;"@"&amp;NOW(),"#ERROR")</f>
        <v>1M6MBasis BasisSwap Curve has been set@42324.4459837963</v>
      </c>
      <c r="J36" s="114" t="s">
        <v>12</v>
      </c>
      <c r="K36" s="205" t="s">
        <v>211</v>
      </c>
      <c r="L36" s="202" t="s">
        <v>385</v>
      </c>
      <c r="M36" s="161" t="str">
        <f ca="1">IF(W35,_xll.mirSetUpBasisSwapCurve(M$32,K36,'JPY Curve Config'!YieldCurvePropertiesTenorBasis,'JPY Curve Config'!BasisConv1x3,'JPY Curve Config'!BasisData1x3,'JPY Curve Config'!TenorBasis1x6CurveNamesXCCYandFWDFX)&amp;"@"&amp;NOW(),"#ERROR")</f>
        <v>1M6MBasis BasisSwap Curve has been set@42324.4459827546</v>
      </c>
      <c r="N36" s="114" t="s">
        <v>12</v>
      </c>
      <c r="O36" s="206" t="s">
        <v>211</v>
      </c>
      <c r="P36" s="202" t="s">
        <v>385</v>
      </c>
      <c r="Q36" s="154" t="str">
        <f ca="1">IF(X35,_xll.mirSetUpBasisSwapCurve(Q$32,O36,'JPY Curve Config'!YieldCurvePropertiesTenorBasis,'JPY Curve Config'!BasisConv1x3,'JPY Curve Config'!BasisData1x3,'JPY Curve Config'!TenorBasis1x6CurveNamesNativeCSA)&amp;"@"&amp;NOW(),"#ERROR")</f>
        <v>1M6MBasis BasisSwap Curve has been set@42324.4459849537</v>
      </c>
      <c r="R36" s="114" t="s">
        <v>12</v>
      </c>
      <c r="S36" s="118"/>
      <c r="T36" s="193" t="s">
        <v>211</v>
      </c>
      <c r="U36" s="171" t="b">
        <f t="shared" ca="1" si="15"/>
        <v>1</v>
      </c>
      <c r="V36" s="171" t="b">
        <f t="shared" ca="1" si="16"/>
        <v>1</v>
      </c>
      <c r="W36" s="171" t="b">
        <f t="shared" ca="1" si="17"/>
        <v>1</v>
      </c>
      <c r="X36" s="171" t="b">
        <f t="shared" ca="1" si="18"/>
        <v>1</v>
      </c>
      <c r="Z36" s="118"/>
      <c r="AA36" s="193" t="s">
        <v>211</v>
      </c>
      <c r="AB36" s="198">
        <f t="shared" ca="1" si="19"/>
        <v>0</v>
      </c>
      <c r="AC36" s="190">
        <f t="shared" ca="1" si="19"/>
        <v>0</v>
      </c>
      <c r="AD36" s="190">
        <f t="shared" ca="1" si="19"/>
        <v>0</v>
      </c>
      <c r="AE36" s="199">
        <f t="shared" ca="1" si="19"/>
        <v>0</v>
      </c>
    </row>
    <row r="37" spans="1:33">
      <c r="B37" s="114" t="s">
        <v>12</v>
      </c>
      <c r="C37" s="120" t="s">
        <v>288</v>
      </c>
      <c r="D37" s="145" t="s">
        <v>289</v>
      </c>
      <c r="E37" s="165" t="s">
        <v>6</v>
      </c>
      <c r="F37" s="114" t="s">
        <v>12</v>
      </c>
      <c r="G37" s="120" t="s">
        <v>288</v>
      </c>
      <c r="H37" s="145" t="s">
        <v>289</v>
      </c>
      <c r="I37" s="165" t="s">
        <v>6</v>
      </c>
      <c r="J37" s="114" t="s">
        <v>12</v>
      </c>
      <c r="K37" s="120" t="s">
        <v>288</v>
      </c>
      <c r="L37" s="170" t="s">
        <v>289</v>
      </c>
      <c r="M37" s="165" t="s">
        <v>6</v>
      </c>
      <c r="N37" s="114" t="s">
        <v>12</v>
      </c>
      <c r="O37" s="123" t="s">
        <v>288</v>
      </c>
      <c r="P37" s="170" t="s">
        <v>289</v>
      </c>
      <c r="Q37" s="159" t="s">
        <v>6</v>
      </c>
      <c r="R37" s="114" t="s">
        <v>12</v>
      </c>
      <c r="S37" s="118"/>
      <c r="T37" s="193" t="s">
        <v>288</v>
      </c>
      <c r="U37" s="171" t="b">
        <f t="shared" si="15"/>
        <v>0</v>
      </c>
      <c r="V37" s="171" t="b">
        <f t="shared" si="16"/>
        <v>0</v>
      </c>
      <c r="W37" s="171" t="b">
        <f t="shared" si="17"/>
        <v>0</v>
      </c>
      <c r="X37" s="171" t="b">
        <f t="shared" si="18"/>
        <v>0</v>
      </c>
      <c r="Z37" s="118"/>
      <c r="AA37" s="193" t="s">
        <v>288</v>
      </c>
      <c r="AB37" s="212" t="s">
        <v>6</v>
      </c>
      <c r="AC37" s="209" t="s">
        <v>6</v>
      </c>
      <c r="AD37" s="209" t="s">
        <v>6</v>
      </c>
      <c r="AE37" s="210" t="s">
        <v>6</v>
      </c>
    </row>
    <row r="38" spans="1:33">
      <c r="B38" s="114" t="s">
        <v>12</v>
      </c>
      <c r="C38" s="120" t="s">
        <v>208</v>
      </c>
      <c r="D38" s="145" t="str">
        <f>"Xccy Basis "&amp;$A32&amp;"/"&amp;"USD"</f>
        <v>Xccy Basis JPY/USD</v>
      </c>
      <c r="E38" s="161" t="str">
        <f ca="1">IF(AND(U36,isLoadedCurveUSD_USDCSA),_xll.mirSetUpBasisSwapCurve(E$32,C38,'JPY Curve Config'!XccyBasisProperties,'JPY Curve Config'!XccyBasisConvUSDCSA,'JPY Curve Config'!XccyBasisData,'JPY Curve Config'!XccyBasisCurveNamesXCCY)&amp;"@"&amp;NOW(),"#ERROR")</f>
        <v>XccyBasis BasisSwap Curve has been set@42324.4459892361</v>
      </c>
      <c r="F38" s="114" t="s">
        <v>12</v>
      </c>
      <c r="G38" s="120" t="s">
        <v>208</v>
      </c>
      <c r="H38" s="145" t="str">
        <f>"Xccy Basis "&amp;$A32&amp;"/"&amp;"USD"</f>
        <v>Xccy Basis JPY/USD</v>
      </c>
      <c r="I38" s="161" t="str">
        <f ca="1">IF(AND(V36,isLoadedCurveUSD_JPYCSA),_xll.mirSetUpBasisSwapCurve(I$32,G38,'JPY Curve Config'!XccyBasisProperties,'JPY Curve Config'!XccyBasisConvJPYCSA,'JPY Curve Config'!XccyBasisData,'JPY Curve Config'!XccyBasisCurveNamesXCCYandFWDFX)&amp;"@"&amp;NOW(),"#ERROR")</f>
        <v>XccyBasis BasisSwap Curve has been set@42324.4459909722</v>
      </c>
      <c r="J38" s="114" t="s">
        <v>12</v>
      </c>
      <c r="K38" s="120" t="s">
        <v>208</v>
      </c>
      <c r="L38" s="170" t="str">
        <f>"Xccy Basis "&amp;$A32&amp;"/"&amp;"USD"</f>
        <v>Xccy Basis JPY/USD</v>
      </c>
      <c r="M38" s="161" t="str">
        <f ca="1">IF(AND(W36,isLoadedCurveUSD_GBPCSA),_xll.mirSetUpBasisSwapCurve(M$32,K38,'JPY Curve Config'!XccyBasisProperties,'JPY Curve Config'!XccyBasisConvGBPCSA,'JPY Curve Config'!XccyBasisData,'JPY Curve Config'!XccyBasisCurveNamesXCCYandFWDFX)&amp;"@"&amp;NOW(),"#ERROR")</f>
        <v>XccyBasis BasisSwap Curve has been set@42324.4459876157</v>
      </c>
      <c r="N38" s="114" t="s">
        <v>12</v>
      </c>
      <c r="O38" s="123" t="s">
        <v>208</v>
      </c>
      <c r="P38" s="170" t="str">
        <f>"Xccy Basis "&amp;$A32&amp;"/"&amp;"USD"</f>
        <v>Xccy Basis JPY/USD</v>
      </c>
      <c r="Q38" s="158" t="str">
        <f ca="1">IF(AND(X36,isLoadedCurveUSD_JPYCSA),_xll.mirSetUpBasisSwapCurve(Q$32,O38,'JPY Curve Config'!XccyBasisProperties,'JPY Curve Config'!XccyBasisConvJPYCSA,'JPY Curve Config'!XccyBasisData,'JPY Curve Config'!XccyBasisCurveNamesNativeCSA)&amp;"@"&amp;NOW(),"#ERROR")</f>
        <v>XccyBasis BasisSwap Curve has been set@42324.4459895833</v>
      </c>
      <c r="R38" s="114" t="s">
        <v>12</v>
      </c>
      <c r="S38" s="118"/>
      <c r="T38" s="193" t="s">
        <v>208</v>
      </c>
      <c r="U38" s="171" t="b">
        <f ca="1">IF(UPPER(LEFT(E38,3))=LEFT(C38,3),TRUE,FALSE)</f>
        <v>1</v>
      </c>
      <c r="V38" s="171" t="b">
        <f t="shared" ca="1" si="16"/>
        <v>1</v>
      </c>
      <c r="W38" s="171" t="b">
        <f t="shared" ca="1" si="17"/>
        <v>1</v>
      </c>
      <c r="X38" s="171" t="b">
        <f t="shared" ca="1" si="18"/>
        <v>1</v>
      </c>
      <c r="Z38" s="118"/>
      <c r="AA38" s="193" t="s">
        <v>208</v>
      </c>
      <c r="AB38" s="198">
        <f ca="1">IF(ISERROR(U38),1,IF(U38,0,1))</f>
        <v>0</v>
      </c>
      <c r="AC38" s="190">
        <f ca="1">IF(ISERROR(V38),1,IF(V38,0,1))</f>
        <v>0</v>
      </c>
      <c r="AD38" s="190">
        <f ca="1">IF(ISERROR(W38),1,IF(W38,0,1))</f>
        <v>0</v>
      </c>
      <c r="AE38" s="199">
        <f ca="1">IF(ISERROR(X38),1,IF(X38,0,1))</f>
        <v>0</v>
      </c>
    </row>
    <row r="39" spans="1:33">
      <c r="B39" s="114" t="s">
        <v>12</v>
      </c>
      <c r="C39" s="121" t="s">
        <v>209</v>
      </c>
      <c r="D39" s="167" t="str">
        <f>"Proxy: Xccy Basis USD/"&amp;LEFT(E$2,3)</f>
        <v>Proxy: Xccy Basis USD/USD</v>
      </c>
      <c r="E39" s="164" t="s">
        <v>6</v>
      </c>
      <c r="F39" s="114" t="s">
        <v>12</v>
      </c>
      <c r="G39" s="121" t="s">
        <v>209</v>
      </c>
      <c r="H39" s="167" t="str">
        <f>"Proxy: Xccy Basis USD/"&amp;LEFT(I$2,3)</f>
        <v>Proxy: Xccy Basis USD/EUR</v>
      </c>
      <c r="I39" s="163" t="str">
        <f ca="1">IF(AND(V38,isLoadedXccyEUR_EURCSA),_xll.mirSetUpFwdFXConstantCurve(I$32,G39,'JPY Curve Config'!ConstForwardFXProperties,'JPY Curve Config'!ConstForwardFXEURCSA,'JPY Curve Config'!FwdFXConstCurveNamesXCCYandFWDFX)&amp;"@"&amp;NOW(),"#ERROR")</f>
        <v>[2015/11/16 10:42] Attribute [Terms_XccyBasis_USDCSA] does not exist@42324.4459918981</v>
      </c>
      <c r="J39" s="114" t="s">
        <v>12</v>
      </c>
      <c r="K39" s="121" t="s">
        <v>209</v>
      </c>
      <c r="L39" s="167" t="str">
        <f>"Proxy: Xccy Basis USD/"&amp;LEFT(M$2,3)</f>
        <v>Proxy: Xccy Basis USD/GBP</v>
      </c>
      <c r="M39" s="163" t="str">
        <f ca="1">IF(AND(W38,isLoadedXccyGBP_GBPCSA),_xll.mirSetUpFwdFXConstantCurve(M$32,K39,'JPY Curve Config'!ConstForwardFXProperties,'JPY Curve Config'!ConstForwardFXGBPCSA,'JPY Curve Config'!FwdFXConstCurveNamesXCCYandFWDFX)&amp;"@"&amp;NOW(),"#ERROR")</f>
        <v>FwdFXConst FwdFXConstant Curve has been set@42324.4459918981</v>
      </c>
      <c r="N39" s="114" t="s">
        <v>12</v>
      </c>
      <c r="O39" s="124" t="s">
        <v>209</v>
      </c>
      <c r="P39" s="167" t="str">
        <f>"Proxy: Xccy Basis USD/"&amp;LEFT(Q$2,3)</f>
        <v>Proxy: Xccy Basis USD/JPY</v>
      </c>
      <c r="Q39" s="156" t="s">
        <v>6</v>
      </c>
      <c r="R39" s="114" t="s">
        <v>12</v>
      </c>
      <c r="S39" s="118"/>
      <c r="T39" s="194" t="s">
        <v>209</v>
      </c>
      <c r="U39" s="172" t="b">
        <f t="shared" si="15"/>
        <v>0</v>
      </c>
      <c r="V39" s="172" t="b">
        <f t="shared" ca="1" si="16"/>
        <v>0</v>
      </c>
      <c r="W39" s="172" t="b">
        <f t="shared" ca="1" si="17"/>
        <v>1</v>
      </c>
      <c r="X39" s="172" t="b">
        <f t="shared" si="18"/>
        <v>0</v>
      </c>
      <c r="Z39" s="118"/>
      <c r="AA39" s="194" t="s">
        <v>209</v>
      </c>
      <c r="AB39" s="208" t="s">
        <v>6</v>
      </c>
      <c r="AC39" s="191">
        <f ca="1">IF(ISERROR(V39),1,IF(V39,0,1))</f>
        <v>1</v>
      </c>
      <c r="AD39" s="191">
        <f ca="1">IF(ISERROR(W39),1,IF(W39,0,1))</f>
        <v>0</v>
      </c>
      <c r="AE39" s="213" t="s">
        <v>6</v>
      </c>
    </row>
    <row r="41" spans="1:33">
      <c r="AG41" s="114"/>
    </row>
  </sheetData>
  <mergeCells count="18">
    <mergeCell ref="T2:X3"/>
    <mergeCell ref="AA2:AE3"/>
    <mergeCell ref="S5:S6"/>
    <mergeCell ref="S14:S15"/>
    <mergeCell ref="S23:S24"/>
    <mergeCell ref="S32:S33"/>
    <mergeCell ref="Z5:Z6"/>
    <mergeCell ref="Z14:Z15"/>
    <mergeCell ref="Z23:Z24"/>
    <mergeCell ref="Z32:Z33"/>
    <mergeCell ref="A5:A6"/>
    <mergeCell ref="A14:A15"/>
    <mergeCell ref="A23:A24"/>
    <mergeCell ref="A32:A33"/>
    <mergeCell ref="Q2:Q3"/>
    <mergeCell ref="E2:E3"/>
    <mergeCell ref="I2:I3"/>
    <mergeCell ref="M2:M3"/>
  </mergeCells>
  <pageMargins left="0.70866141732283472" right="0.70866141732283472" top="0.74803149606299213" bottom="0.74803149606299213" header="0.31496062992125984" footer="0.31496062992125984"/>
  <pageSetup paperSize="9" scale="7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6600"/>
  </sheetPr>
  <dimension ref="B2:H37"/>
  <sheetViews>
    <sheetView showGridLines="0" tabSelected="1" workbookViewId="0"/>
  </sheetViews>
  <sheetFormatPr defaultRowHeight="15"/>
  <cols>
    <col min="2" max="4" width="20.7109375" customWidth="1"/>
    <col min="6" max="8" width="20.7109375" customWidth="1"/>
  </cols>
  <sheetData>
    <row r="2" spans="2:8">
      <c r="B2" s="231" t="s">
        <v>451</v>
      </c>
      <c r="C2" s="112" t="s">
        <v>434</v>
      </c>
      <c r="D2" s="112" t="s">
        <v>435</v>
      </c>
      <c r="F2" s="231" t="s">
        <v>451</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f ca="1">_xll.mirGetDate(COB,D5,C11,C12)</f>
        <v>42200</v>
      </c>
      <c r="D5" s="254" t="s">
        <v>442</v>
      </c>
      <c r="F5" s="222" t="s">
        <v>427</v>
      </c>
      <c r="G5" s="244">
        <f ca="1">_xll.mirGetDate(COB,H5,G11,G12)</f>
        <v>42202</v>
      </c>
      <c r="H5" s="244" t="s">
        <v>456</v>
      </c>
    </row>
    <row r="6" spans="2:8">
      <c r="B6" s="222" t="s">
        <v>452</v>
      </c>
      <c r="C6" s="244" t="s">
        <v>42</v>
      </c>
      <c r="D6" s="244"/>
      <c r="F6" s="222" t="s">
        <v>452</v>
      </c>
      <c r="G6" s="244" t="s">
        <v>42</v>
      </c>
      <c r="H6" s="244"/>
    </row>
    <row r="7" spans="2:8">
      <c r="B7" s="222" t="s">
        <v>453</v>
      </c>
      <c r="C7" s="245" t="s">
        <v>315</v>
      </c>
      <c r="D7" s="245"/>
      <c r="F7" s="222" t="s">
        <v>453</v>
      </c>
      <c r="G7" s="245" t="s">
        <v>315</v>
      </c>
      <c r="H7" s="245"/>
    </row>
    <row r="8" spans="2:8">
      <c r="B8" s="222" t="s">
        <v>436</v>
      </c>
      <c r="C8" s="237">
        <f ca="1">C28</f>
        <v>1.3300000037988133E-3</v>
      </c>
      <c r="D8" s="240">
        <v>0</v>
      </c>
      <c r="F8" s="222" t="s">
        <v>436</v>
      </c>
      <c r="G8" s="241">
        <v>0.01</v>
      </c>
      <c r="H8" s="239">
        <v>0</v>
      </c>
    </row>
    <row r="9" spans="2:8">
      <c r="B9" s="222" t="s">
        <v>122</v>
      </c>
      <c r="C9" s="226" t="s">
        <v>152</v>
      </c>
      <c r="D9" s="226" t="s">
        <v>78</v>
      </c>
      <c r="F9" s="222" t="s">
        <v>122</v>
      </c>
      <c r="G9" s="226" t="s">
        <v>152</v>
      </c>
      <c r="H9" s="226" t="s">
        <v>78</v>
      </c>
    </row>
    <row r="10" spans="2:8">
      <c r="B10" s="222" t="s">
        <v>130</v>
      </c>
      <c r="C10" s="227" t="s">
        <v>163</v>
      </c>
      <c r="D10" s="227" t="s">
        <v>55</v>
      </c>
      <c r="F10" s="222" t="s">
        <v>130</v>
      </c>
      <c r="G10" s="227" t="s">
        <v>163</v>
      </c>
      <c r="H10" s="227" t="s">
        <v>3</v>
      </c>
    </row>
    <row r="11" spans="2:8">
      <c r="B11" s="222" t="s">
        <v>437</v>
      </c>
      <c r="C11" s="226" t="s">
        <v>40</v>
      </c>
      <c r="D11" s="226" t="s">
        <v>40</v>
      </c>
      <c r="F11" s="222" t="s">
        <v>437</v>
      </c>
      <c r="G11" s="226" t="s">
        <v>40</v>
      </c>
      <c r="H11" s="226" t="s">
        <v>40</v>
      </c>
    </row>
    <row r="12" spans="2:8">
      <c r="B12" s="222" t="s">
        <v>174</v>
      </c>
      <c r="C12" s="226" t="s">
        <v>0</v>
      </c>
      <c r="D12" s="226" t="s">
        <v>0</v>
      </c>
      <c r="F12" s="222" t="s">
        <v>174</v>
      </c>
      <c r="G12" s="226" t="s">
        <v>0</v>
      </c>
      <c r="H12" s="226" t="s">
        <v>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v>15</v>
      </c>
      <c r="D15" s="226">
        <v>15</v>
      </c>
      <c r="F15" s="222" t="s">
        <v>440</v>
      </c>
      <c r="G15" s="226">
        <f ca="1">DAY(G5)</f>
        <v>17</v>
      </c>
      <c r="H15" s="226">
        <f ca="1">DAY(G5)</f>
        <v>17</v>
      </c>
    </row>
    <row r="16" spans="2:8">
      <c r="B16" s="222" t="s">
        <v>441</v>
      </c>
      <c r="C16" s="227" t="s">
        <v>6</v>
      </c>
      <c r="D16" s="229" t="s">
        <v>442</v>
      </c>
      <c r="F16" s="222" t="s">
        <v>441</v>
      </c>
      <c r="G16" s="227" t="s">
        <v>6</v>
      </c>
      <c r="H16" s="229" t="s">
        <v>442</v>
      </c>
    </row>
    <row r="17" spans="2:8">
      <c r="B17" s="222" t="s">
        <v>443</v>
      </c>
      <c r="C17" s="249" t="s">
        <v>6</v>
      </c>
      <c r="D17" s="237">
        <f>'EUR Curve Config'!$Z$29</f>
        <v>4.8999999999999998E-4</v>
      </c>
      <c r="F17" s="222" t="s">
        <v>443</v>
      </c>
      <c r="G17" s="248" t="s">
        <v>6</v>
      </c>
      <c r="H17" s="237">
        <f>'EUR Curve Config'!$Z$29</f>
        <v>4.8999999999999998E-4</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23" t="s">
        <v>63</v>
      </c>
      <c r="D22" s="223"/>
      <c r="F22" s="222" t="s">
        <v>429</v>
      </c>
      <c r="G22" s="223" t="s">
        <v>430</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f ca="1">_xll.mirGetParRate4(C5,C6,C7,C9,C10,C11,C12,C13,C14,C15,C19,C20,D9,D10,D11,D12,D13,D14,D15,D16,D17,D18,D19,D20,C21,C22,C23,C24,C25)</f>
        <v>1.3300000037988133E-3</v>
      </c>
      <c r="D28" s="234">
        <f ca="1">_xll.mirSwapPV(C3,C4,C5,C6,C7,C8,C9,C10,C11,C12,C13,C14,C15,C19,C20,D8,D9,D10,D11,D12,D13,D14,D15,D16,D17,D18,D19,D20,C21,C22,C23,C24,C25)</f>
        <v>0</v>
      </c>
      <c r="G28" s="233">
        <f ca="1">_xll.mirGetParRate4(G5,G6,G7,G9,G10,G11,G12,G13,G14,G15,G19,G20,H9,H10,H11,H12,H13,H14,H15,H16,H17,H18,H19,H20,G21,G22,G23,G24,G25)</f>
        <v>1.3366068707403409E-3</v>
      </c>
      <c r="H28" s="234">
        <f ca="1">_xll.mirSwapPV(G3,G4,G5,G6,G7,G8,G9,G10,G11,G12,G13,G14,G15,G19,G20,H8,H9,H10,H11,H12,H13,H14,H15,H16,H17,H18,H19,H20,G21,G22,G23,G24,G25)</f>
        <v>-17355.15512915971</v>
      </c>
    </row>
    <row r="29" spans="2:8">
      <c r="C29" s="221"/>
    </row>
    <row r="30" spans="2:8">
      <c r="C30" s="11"/>
    </row>
    <row r="31" spans="2:8">
      <c r="B31" s="251"/>
      <c r="C31" s="232"/>
    </row>
    <row r="37" spans="3:6">
      <c r="C37" s="253"/>
      <c r="F37" s="252"/>
    </row>
  </sheetData>
  <dataValidations count="3">
    <dataValidation type="list" allowBlank="1" showInputMessage="1" showErrorMessage="1" sqref="C11:D11 G11:H11">
      <formula1>"MOD_FOLLOWING,FOLLOWING,MOD_PRECEDING,PRECEDING,NO_CHANGE"</formula1>
    </dataValidation>
    <dataValidation type="list" allowBlank="1" showInputMessage="1" showErrorMessage="1" sqref="C20:D20 G20:H20">
      <formula1>"None,ShortStart,ShortEnd,LongStart,LongEnd,SS,SE,LS,LE"</formula1>
    </dataValidation>
    <dataValidation type="list" allowBlank="1" showInputMessage="1" showErrorMessage="1" sqref="C4:D4 G4:H4">
      <formula1>"PAYER,RECEIVER"</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6600"/>
  </sheetPr>
  <dimension ref="B2:H31"/>
  <sheetViews>
    <sheetView showGridLines="0" workbookViewId="0"/>
  </sheetViews>
  <sheetFormatPr defaultRowHeight="15"/>
  <cols>
    <col min="2" max="4" width="20.7109375" customWidth="1"/>
    <col min="6" max="8" width="20.7109375" customWidth="1"/>
  </cols>
  <sheetData>
    <row r="2" spans="2:8">
      <c r="B2" s="231" t="s">
        <v>457</v>
      </c>
      <c r="C2" s="112" t="s">
        <v>434</v>
      </c>
      <c r="D2" s="112" t="s">
        <v>435</v>
      </c>
      <c r="F2" s="231" t="s">
        <v>457</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f ca="1">_xll.mirGetDate(COB,D5,C11,C12)</f>
        <v>42202</v>
      </c>
      <c r="D5" s="244" t="s">
        <v>456</v>
      </c>
      <c r="F5" s="222" t="s">
        <v>427</v>
      </c>
      <c r="G5" s="244">
        <f ca="1">_xll.mirGetDate(COB,H5,G11,G12)</f>
        <v>42202</v>
      </c>
      <c r="H5" s="244" t="s">
        <v>456</v>
      </c>
    </row>
    <row r="6" spans="2:8">
      <c r="B6" s="222" t="s">
        <v>452</v>
      </c>
      <c r="C6" s="244" t="s">
        <v>35</v>
      </c>
      <c r="D6" s="244"/>
      <c r="F6" s="222" t="s">
        <v>452</v>
      </c>
      <c r="G6" s="244" t="s">
        <v>35</v>
      </c>
      <c r="H6" s="244"/>
    </row>
    <row r="7" spans="2:8">
      <c r="B7" s="222" t="s">
        <v>453</v>
      </c>
      <c r="C7" s="245" t="s">
        <v>302</v>
      </c>
      <c r="D7" s="245"/>
      <c r="F7" s="222" t="s">
        <v>453</v>
      </c>
      <c r="G7" s="245" t="s">
        <v>302</v>
      </c>
      <c r="H7" s="245"/>
    </row>
    <row r="8" spans="2:8">
      <c r="B8" s="222" t="s">
        <v>436</v>
      </c>
      <c r="C8" s="237">
        <f ca="1">C28</f>
        <v>1.5864606569400544E-2</v>
      </c>
      <c r="D8" s="240">
        <v>0</v>
      </c>
      <c r="F8" s="222" t="s">
        <v>436</v>
      </c>
      <c r="G8" s="241">
        <v>0.01</v>
      </c>
      <c r="H8" s="239">
        <v>0</v>
      </c>
    </row>
    <row r="9" spans="2:8">
      <c r="B9" s="222" t="s">
        <v>122</v>
      </c>
      <c r="C9" s="226" t="s">
        <v>78</v>
      </c>
      <c r="D9" s="226" t="s">
        <v>77</v>
      </c>
      <c r="F9" s="222" t="s">
        <v>122</v>
      </c>
      <c r="G9" s="226" t="s">
        <v>152</v>
      </c>
      <c r="H9" s="226" t="s">
        <v>78</v>
      </c>
    </row>
    <row r="10" spans="2:8">
      <c r="B10" s="222" t="s">
        <v>130</v>
      </c>
      <c r="C10" s="227" t="s">
        <v>163</v>
      </c>
      <c r="D10" s="227" t="s">
        <v>3</v>
      </c>
      <c r="F10" s="222" t="s">
        <v>130</v>
      </c>
      <c r="G10" s="227" t="s">
        <v>163</v>
      </c>
      <c r="H10" s="227" t="s">
        <v>3</v>
      </c>
    </row>
    <row r="11" spans="2:8">
      <c r="B11" s="222" t="s">
        <v>437</v>
      </c>
      <c r="C11" s="226" t="s">
        <v>40</v>
      </c>
      <c r="D11" s="226" t="s">
        <v>40</v>
      </c>
      <c r="F11" s="222" t="s">
        <v>437</v>
      </c>
      <c r="G11" s="226" t="s">
        <v>40</v>
      </c>
      <c r="H11" s="226" t="s">
        <v>40</v>
      </c>
    </row>
    <row r="12" spans="2:8">
      <c r="B12" s="222" t="s">
        <v>174</v>
      </c>
      <c r="C12" s="226" t="s">
        <v>448</v>
      </c>
      <c r="D12" s="226" t="s">
        <v>448</v>
      </c>
      <c r="F12" s="222" t="s">
        <v>174</v>
      </c>
      <c r="G12" s="226" t="s">
        <v>0</v>
      </c>
      <c r="H12" s="226" t="s">
        <v>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f ca="1">DAY(C5)</f>
        <v>17</v>
      </c>
      <c r="D15" s="226">
        <f ca="1">DAY(C5)</f>
        <v>17</v>
      </c>
      <c r="F15" s="222" t="s">
        <v>440</v>
      </c>
      <c r="G15" s="226">
        <f ca="1">DAY(G5)</f>
        <v>17</v>
      </c>
      <c r="H15" s="226">
        <f ca="1">DAY(G5)</f>
        <v>17</v>
      </c>
    </row>
    <row r="16" spans="2:8">
      <c r="B16" s="222" t="s">
        <v>441</v>
      </c>
      <c r="C16" s="227" t="s">
        <v>6</v>
      </c>
      <c r="D16" s="229" t="s">
        <v>442</v>
      </c>
      <c r="F16" s="222" t="s">
        <v>441</v>
      </c>
      <c r="G16" s="227" t="s">
        <v>6</v>
      </c>
      <c r="H16" s="229" t="s">
        <v>442</v>
      </c>
    </row>
    <row r="17" spans="2:8">
      <c r="B17" s="222" t="s">
        <v>443</v>
      </c>
      <c r="C17" s="249" t="s">
        <v>6</v>
      </c>
      <c r="D17" s="237">
        <v>2.8579999999999999E-3</v>
      </c>
      <c r="F17" s="222" t="s">
        <v>443</v>
      </c>
      <c r="G17" s="248" t="s">
        <v>6</v>
      </c>
      <c r="H17" s="237">
        <v>2.8579999999999999E-3</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50" t="s">
        <v>364</v>
      </c>
      <c r="D22" s="223"/>
      <c r="F22" s="222" t="s">
        <v>429</v>
      </c>
      <c r="G22" s="250" t="s">
        <v>364</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f ca="1">_xll.mirGetParRate4(C5,C6,C7,C9,C10,C11,C12,C13,C14,C15,C19,C20,D9,D10,D11,D12,D13,D14,D15,D16,D17,D18,D19,D20,C21,C22,C23,C24,C25)</f>
        <v>1.5864606569400544E-2</v>
      </c>
      <c r="D28" s="234">
        <f ca="1">_xll.mirSwapPV(C3,C4,C5,C6,C7,C8,C9,C10,C11,C12,C13,C14,C15,C19,C20,D8,D9,D10,D11,D12,D13,D14,D15,D16,D17,D18,D19,D20,C21,C22,C23,C24,C25)</f>
        <v>0</v>
      </c>
      <c r="G28" s="233">
        <f ca="1">_xll.mirGetParRate4(G5,G6,G7,G9,G10,G11,G12,G13,G14,G15,G19,G20,H9,H10,H11,H12,H13,H14,H15,H16,H17,H18,H19,H20,G21,G22,G23,G24,G25)</f>
        <v>1.5168128162656664E-2</v>
      </c>
      <c r="H28" s="234">
        <f ca="1">_xll.mirSwapPV(G3,G4,G5,G6,G7,G8,G9,G10,G11,G12,G13,G14,G15,G19,G20,H8,H9,H10,H11,H12,H13,H14,H15,H16,H17,H18,H19,H20,G21,G22,G23,G24,G25)</f>
        <v>20136.445607107875</v>
      </c>
    </row>
    <row r="30" spans="2:8">
      <c r="C30" s="11"/>
    </row>
    <row r="31" spans="2:8">
      <c r="B31" s="251"/>
      <c r="C31" s="232"/>
    </row>
  </sheetData>
  <dataValidations disablePrompts="1" count="3">
    <dataValidation type="list" allowBlank="1" showInputMessage="1" showErrorMessage="1" sqref="C4:D4 G4:H4">
      <formula1>"PAYER,RECEIVER"</formula1>
    </dataValidation>
    <dataValidation type="list" allowBlank="1" showInputMessage="1" showErrorMessage="1" sqref="C20:D20 G20:H20">
      <formula1>"None,ShortStart,ShortEnd,LongStart,LongEnd,SS,SE,LS,LE"</formula1>
    </dataValidation>
    <dataValidation type="list" allowBlank="1" showInputMessage="1" showErrorMessage="1" sqref="C11:D11 G11:H11">
      <formula1>"MOD_FOLLOWING,FOLLOWING,MOD_PRECEDING,PRECEDING,NO_CHANGE"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6600"/>
  </sheetPr>
  <dimension ref="B2:H31"/>
  <sheetViews>
    <sheetView showGridLines="0" workbookViewId="0"/>
  </sheetViews>
  <sheetFormatPr defaultRowHeight="15"/>
  <cols>
    <col min="2" max="4" width="20.7109375" customWidth="1"/>
    <col min="6" max="8" width="20.7109375" customWidth="1"/>
  </cols>
  <sheetData>
    <row r="2" spans="2:8">
      <c r="B2" s="231" t="s">
        <v>458</v>
      </c>
      <c r="C2" s="112" t="s">
        <v>434</v>
      </c>
      <c r="D2" s="112" t="s">
        <v>435</v>
      </c>
      <c r="F2" s="231" t="s">
        <v>458</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f ca="1">_xll.mirGetDate(COB,D5,C11,C12)</f>
        <v>42200</v>
      </c>
      <c r="D5" s="244" t="s">
        <v>442</v>
      </c>
      <c r="F5" s="222" t="s">
        <v>427</v>
      </c>
      <c r="G5" s="244">
        <f ca="1">_xll.mirGetDate(COB,H5,G11,G12)</f>
        <v>42200</v>
      </c>
      <c r="H5" s="244" t="s">
        <v>442</v>
      </c>
    </row>
    <row r="6" spans="2:8">
      <c r="B6" s="222" t="s">
        <v>452</v>
      </c>
      <c r="C6" s="244" t="s">
        <v>42</v>
      </c>
      <c r="D6" s="244"/>
      <c r="F6" s="222" t="s">
        <v>452</v>
      </c>
      <c r="G6" s="244" t="s">
        <v>42</v>
      </c>
      <c r="H6" s="244"/>
    </row>
    <row r="7" spans="2:8">
      <c r="B7" s="222" t="s">
        <v>453</v>
      </c>
      <c r="C7" s="245" t="s">
        <v>447</v>
      </c>
      <c r="D7" s="245"/>
      <c r="F7" s="222" t="s">
        <v>453</v>
      </c>
      <c r="G7" s="245" t="s">
        <v>447</v>
      </c>
      <c r="H7" s="245"/>
    </row>
    <row r="8" spans="2:8">
      <c r="B8" s="222" t="s">
        <v>436</v>
      </c>
      <c r="C8" s="237">
        <f ca="1">C28</f>
        <v>1.1236845030849086E-2</v>
      </c>
      <c r="D8" s="240">
        <v>0</v>
      </c>
      <c r="F8" s="222" t="s">
        <v>436</v>
      </c>
      <c r="G8" s="241">
        <v>0.01</v>
      </c>
      <c r="H8" s="239">
        <v>0</v>
      </c>
    </row>
    <row r="9" spans="2:8">
      <c r="B9" s="222" t="s">
        <v>122</v>
      </c>
      <c r="C9" s="226" t="s">
        <v>78</v>
      </c>
      <c r="D9" s="226" t="s">
        <v>78</v>
      </c>
      <c r="F9" s="222" t="s">
        <v>122</v>
      </c>
      <c r="G9" s="226" t="s">
        <v>152</v>
      </c>
      <c r="H9" s="226" t="s">
        <v>78</v>
      </c>
    </row>
    <row r="10" spans="2:8">
      <c r="B10" s="222" t="s">
        <v>130</v>
      </c>
      <c r="C10" s="227" t="s">
        <v>198</v>
      </c>
      <c r="D10" s="227" t="s">
        <v>198</v>
      </c>
      <c r="F10" s="222" t="s">
        <v>130</v>
      </c>
      <c r="G10" s="227" t="s">
        <v>163</v>
      </c>
      <c r="H10" s="227" t="s">
        <v>3</v>
      </c>
    </row>
    <row r="11" spans="2:8">
      <c r="B11" s="222" t="s">
        <v>437</v>
      </c>
      <c r="C11" s="226" t="s">
        <v>40</v>
      </c>
      <c r="D11" s="226" t="s">
        <v>40</v>
      </c>
      <c r="F11" s="222" t="s">
        <v>437</v>
      </c>
      <c r="G11" s="226" t="s">
        <v>40</v>
      </c>
      <c r="H11" s="226" t="s">
        <v>40</v>
      </c>
    </row>
    <row r="12" spans="2:8">
      <c r="B12" s="222" t="s">
        <v>174</v>
      </c>
      <c r="C12" s="226" t="s">
        <v>197</v>
      </c>
      <c r="D12" s="226" t="s">
        <v>197</v>
      </c>
      <c r="F12" s="222" t="s">
        <v>174</v>
      </c>
      <c r="G12" s="226" t="s">
        <v>0</v>
      </c>
      <c r="H12" s="226" t="s">
        <v>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f ca="1">DAY(C5)</f>
        <v>15</v>
      </c>
      <c r="D15" s="226">
        <f ca="1">DAY(C5)</f>
        <v>15</v>
      </c>
      <c r="F15" s="222" t="s">
        <v>440</v>
      </c>
      <c r="G15" s="226">
        <f ca="1">DAY(G5)</f>
        <v>15</v>
      </c>
      <c r="H15" s="226">
        <f ca="1">DAY(G5)</f>
        <v>15</v>
      </c>
    </row>
    <row r="16" spans="2:8">
      <c r="B16" s="222" t="s">
        <v>441</v>
      </c>
      <c r="C16" s="227" t="s">
        <v>6</v>
      </c>
      <c r="D16" s="229" t="s">
        <v>442</v>
      </c>
      <c r="F16" s="222" t="s">
        <v>441</v>
      </c>
      <c r="G16" s="227" t="s">
        <v>6</v>
      </c>
      <c r="H16" s="229" t="s">
        <v>442</v>
      </c>
    </row>
    <row r="17" spans="2:8">
      <c r="B17" s="222" t="s">
        <v>443</v>
      </c>
      <c r="C17" s="249" t="s">
        <v>6</v>
      </c>
      <c r="D17" s="237">
        <v>7.3312999999999998E-3</v>
      </c>
      <c r="F17" s="222" t="s">
        <v>443</v>
      </c>
      <c r="G17" s="248" t="s">
        <v>6</v>
      </c>
      <c r="H17" s="237">
        <v>7.3312999999999998E-3</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23" t="s">
        <v>430</v>
      </c>
      <c r="D22" s="223"/>
      <c r="F22" s="222" t="s">
        <v>429</v>
      </c>
      <c r="G22" s="223" t="s">
        <v>430</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f ca="1">_xll.mirGetParRate4(C5,C6,C7,C9,C10,C11,C12,C13,C14,C15,C19,C20,D9,D10,D11,D12,D13,D14,D15,D16,D17,D18,D19,D20,C21,C22,C23,C24,C25)</f>
        <v>1.1236845030849086E-2</v>
      </c>
      <c r="D28" s="234">
        <f ca="1">_xll.mirSwapPV(C3,C4,C5,C6,C7,C8,C9,C10,C11,C12,C13,C14,C15,C19,C20,D8,D9,D10,D11,D12,D13,D14,D15,D16,D17,D18,D19,D20,C21,C22,C23,C24,C25)</f>
        <v>0</v>
      </c>
      <c r="G28" s="233">
        <f ca="1">_xll.mirGetParRate4(G5,G6,G7,G9,G10,G11,G12,G13,G14,G15,G19,G20,H9,H10,H11,H12,H13,H14,H15,H16,H17,H18,H19,H20,G21,G22,G23,G24,G25)</f>
        <v>1.1435776517445737E-2</v>
      </c>
      <c r="H28" s="234">
        <f ca="1">_xll.mirSwapPV(G3,G4,G5,G6,G7,G8,G9,G10,G11,G12,G13,G14,G15,G19,G20,H8,H9,H10,H11,H12,H13,H14,H15,H16,H17,H18,H19,H20,G21,G22,G23,G24,G25)</f>
        <v>2847.0841830892937</v>
      </c>
    </row>
    <row r="30" spans="2:8">
      <c r="C30" s="11"/>
    </row>
    <row r="31" spans="2:8">
      <c r="B31" s="251"/>
      <c r="C31" s="232"/>
    </row>
  </sheetData>
  <dataValidations count="3">
    <dataValidation type="list" allowBlank="1" showInputMessage="1" showErrorMessage="1" sqref="C11:D11 G11:H11">
      <formula1>"MOD_FOLLOWING,FOLLOWING,MOD_PRECEDING,PRECEDING,NO_CHANGE"</formula1>
    </dataValidation>
    <dataValidation type="list" allowBlank="1" showInputMessage="1" showErrorMessage="1" sqref="C20:D20 G20:H20">
      <formula1>"None,ShortStart,ShortEnd,LongStart,LongEnd,SS,SE,LS,LE"</formula1>
    </dataValidation>
    <dataValidation type="list" allowBlank="1" showInputMessage="1" showErrorMessage="1" sqref="C4:D4 G4:H4">
      <formula1>"PAYER,RECEIVER"</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6600"/>
  </sheetPr>
  <dimension ref="B2:H31"/>
  <sheetViews>
    <sheetView showGridLines="0" workbookViewId="0"/>
  </sheetViews>
  <sheetFormatPr defaultRowHeight="15"/>
  <cols>
    <col min="2" max="4" width="20.7109375" customWidth="1"/>
    <col min="6" max="8" width="20.7109375" customWidth="1"/>
  </cols>
  <sheetData>
    <row r="2" spans="2:8">
      <c r="B2" s="231" t="s">
        <v>459</v>
      </c>
      <c r="C2" s="112" t="s">
        <v>434</v>
      </c>
      <c r="D2" s="112" t="s">
        <v>435</v>
      </c>
      <c r="F2" s="231" t="s">
        <v>459</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f ca="1">_xll.mirGetDate(COB,D5,C11,C12)</f>
        <v>42202</v>
      </c>
      <c r="D5" s="244" t="s">
        <v>456</v>
      </c>
      <c r="F5" s="222" t="s">
        <v>427</v>
      </c>
      <c r="G5" s="244">
        <f ca="1">_xll.mirGetDate(COB,H5,G11,G12)</f>
        <v>42202</v>
      </c>
      <c r="H5" s="244" t="s">
        <v>456</v>
      </c>
    </row>
    <row r="6" spans="2:8">
      <c r="B6" s="222" t="s">
        <v>452</v>
      </c>
      <c r="C6" s="244" t="s">
        <v>39</v>
      </c>
      <c r="D6" s="244"/>
      <c r="F6" s="222" t="s">
        <v>452</v>
      </c>
      <c r="G6" s="244" t="s">
        <v>39</v>
      </c>
      <c r="H6" s="244"/>
    </row>
    <row r="7" spans="2:8">
      <c r="B7" s="222" t="s">
        <v>453</v>
      </c>
      <c r="C7" s="245" t="s">
        <v>333</v>
      </c>
      <c r="D7" s="245"/>
      <c r="F7" s="222" t="s">
        <v>453</v>
      </c>
      <c r="G7" s="245" t="s">
        <v>333</v>
      </c>
      <c r="H7" s="245"/>
    </row>
    <row r="8" spans="2:8">
      <c r="B8" s="222" t="s">
        <v>436</v>
      </c>
      <c r="C8" s="237">
        <f ca="1">C28</f>
        <v>1.7636171058964579E-3</v>
      </c>
      <c r="D8" s="240">
        <v>0</v>
      </c>
      <c r="F8" s="222" t="s">
        <v>436</v>
      </c>
      <c r="G8" s="241">
        <v>0.01</v>
      </c>
      <c r="H8" s="239">
        <v>0</v>
      </c>
    </row>
    <row r="9" spans="2:8">
      <c r="B9" s="222" t="s">
        <v>122</v>
      </c>
      <c r="C9" s="226" t="s">
        <v>78</v>
      </c>
      <c r="D9" s="226" t="s">
        <v>78</v>
      </c>
      <c r="F9" s="222" t="s">
        <v>122</v>
      </c>
      <c r="G9" s="226" t="s">
        <v>78</v>
      </c>
      <c r="H9" s="226" t="s">
        <v>78</v>
      </c>
    </row>
    <row r="10" spans="2:8">
      <c r="B10" s="222" t="s">
        <v>130</v>
      </c>
      <c r="C10" s="227" t="s">
        <v>198</v>
      </c>
      <c r="D10" s="227" t="s">
        <v>3</v>
      </c>
      <c r="F10" s="222" t="s">
        <v>130</v>
      </c>
      <c r="G10" s="227" t="s">
        <v>198</v>
      </c>
      <c r="H10" s="227" t="s">
        <v>3</v>
      </c>
    </row>
    <row r="11" spans="2:8">
      <c r="B11" s="222" t="s">
        <v>437</v>
      </c>
      <c r="C11" s="226" t="s">
        <v>40</v>
      </c>
      <c r="D11" s="226" t="s">
        <v>40</v>
      </c>
      <c r="F11" s="222" t="s">
        <v>437</v>
      </c>
      <c r="G11" s="226" t="s">
        <v>40</v>
      </c>
      <c r="H11" s="226" t="s">
        <v>40</v>
      </c>
    </row>
    <row r="12" spans="2:8">
      <c r="B12" s="222" t="s">
        <v>174</v>
      </c>
      <c r="C12" s="226" t="s">
        <v>450</v>
      </c>
      <c r="D12" s="226" t="s">
        <v>450</v>
      </c>
      <c r="F12" s="222" t="s">
        <v>174</v>
      </c>
      <c r="G12" s="226" t="s">
        <v>450</v>
      </c>
      <c r="H12" s="226" t="s">
        <v>450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f ca="1">DAY(C5)</f>
        <v>17</v>
      </c>
      <c r="D15" s="226">
        <f ca="1">DAY(C5)</f>
        <v>17</v>
      </c>
      <c r="F15" s="222" t="s">
        <v>440</v>
      </c>
      <c r="G15" s="226">
        <f ca="1">DAY(G5)</f>
        <v>17</v>
      </c>
      <c r="H15" s="226">
        <f ca="1">DAY(G5)</f>
        <v>17</v>
      </c>
    </row>
    <row r="16" spans="2:8">
      <c r="B16" s="222" t="s">
        <v>441</v>
      </c>
      <c r="C16" s="227" t="s">
        <v>6</v>
      </c>
      <c r="D16" s="229" t="s">
        <v>442</v>
      </c>
      <c r="F16" s="222" t="s">
        <v>441</v>
      </c>
      <c r="G16" s="227" t="s">
        <v>6</v>
      </c>
      <c r="H16" s="229" t="s">
        <v>442</v>
      </c>
    </row>
    <row r="17" spans="2:8">
      <c r="B17" s="222" t="s">
        <v>443</v>
      </c>
      <c r="C17" s="249" t="s">
        <v>6</v>
      </c>
      <c r="D17" s="237">
        <v>1.3429E-3</v>
      </c>
      <c r="F17" s="222" t="s">
        <v>443</v>
      </c>
      <c r="G17" s="248" t="s">
        <v>6</v>
      </c>
      <c r="H17" s="237">
        <v>1.3429E-3</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23" t="s">
        <v>430</v>
      </c>
      <c r="D22" s="223"/>
      <c r="F22" s="222" t="s">
        <v>429</v>
      </c>
      <c r="G22" s="223" t="s">
        <v>430</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f ca="1">_xll.mirGetParRate4(C5,C6,C7,C9,C10,C11,C12,C13,C14,C15,C19,C20,D9,D10,D11,D12,D13,D14,D15,D16,D17,D18,D19,D20,C21,C22,C23,C24,C25)</f>
        <v>1.7636171058964579E-3</v>
      </c>
      <c r="D28" s="234">
        <f ca="1">_xll.mirSwapPV(C3,C4,C5,C6,C7,C8,C9,C10,C11,C12,C13,C14,C15,C19,C20,D8,D9,D10,D11,D12,D13,D14,D15,D16,D17,D18,D19,D20,C21,C22,C23,C24,C25)</f>
        <v>0</v>
      </c>
      <c r="G28" s="233">
        <f ca="1">_xll.mirGetParRate4(G5,G6,G7,G9,G10,G11,G12,G13,G14,G15,G19,G20,H9,H10,H11,H12,H13,H14,H15,H16,H17,H18,H19,H20,G21,G22,G23,G24,G25)</f>
        <v>1.7636171058964579E-3</v>
      </c>
      <c r="H28" s="234">
        <f ca="1">_xll.mirSwapPV(G3,G4,G5,G6,G7,G8,G9,G10,G11,G12,G13,G14,G15,G19,G20,H8,H9,H10,H11,H12,H13,H14,H15,H16,H17,H18,H19,H20,G21,G22,G23,G24,G25)</f>
        <v>-24700.073924306238</v>
      </c>
    </row>
    <row r="30" spans="2:8">
      <c r="C30" s="11"/>
    </row>
    <row r="31" spans="2:8">
      <c r="B31" s="251"/>
      <c r="C31" s="232"/>
    </row>
  </sheetData>
  <dataValidations count="3">
    <dataValidation type="list" allowBlank="1" showInputMessage="1" showErrorMessage="1" sqref="C4:D4 G4:H4">
      <formula1>"PAYER,RECEIVER"</formula1>
    </dataValidation>
    <dataValidation type="list" allowBlank="1" showInputMessage="1" showErrorMessage="1" sqref="C20:D20 G20:H20">
      <formula1>"None,ShortStart,ShortEnd,LongStart,LongEnd,SS,SE,LS,LE"</formula1>
    </dataValidation>
    <dataValidation type="list" allowBlank="1" showInputMessage="1" showErrorMessage="1" sqref="C11:D11 G11:H11">
      <formula1>"MOD_FOLLOWING,FOLLOWING,MOD_PRECEDING,PRECEDING,NO_CHANGE"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321</vt:i4>
      </vt:variant>
    </vt:vector>
  </HeadingPairs>
  <TitlesOfParts>
    <vt:vector size="331" baseType="lpstr">
      <vt:lpstr>Settings</vt:lpstr>
      <vt:lpstr>EUR Curve Config</vt:lpstr>
      <vt:lpstr>USD Curve Config</vt:lpstr>
      <vt:lpstr>GBP Curve Config</vt:lpstr>
      <vt:lpstr>JPY Curve Config</vt:lpstr>
      <vt:lpstr>Multi-Curves</vt:lpstr>
      <vt:lpstr>EUR Swaps</vt:lpstr>
      <vt:lpstr>USD Swaps</vt:lpstr>
      <vt:lpstr>GBP Swaps</vt:lpstr>
      <vt:lpstr>JPY Swaps</vt:lpstr>
      <vt:lpstr>'EUR Curve Config'!BasisConv1x3</vt:lpstr>
      <vt:lpstr>'GBP Curve Config'!BasisConv1x3</vt:lpstr>
      <vt:lpstr>'JPY Curve Config'!BasisConv1x3</vt:lpstr>
      <vt:lpstr>BasisConv1x3</vt:lpstr>
      <vt:lpstr>BasisConv3x12</vt:lpstr>
      <vt:lpstr>'EUR Curve Config'!BasisConv3x6</vt:lpstr>
      <vt:lpstr>'GBP Curve Config'!BasisConv3x6</vt:lpstr>
      <vt:lpstr>'JPY Curve Config'!BasisConv3x6</vt:lpstr>
      <vt:lpstr>BasisConv3x6</vt:lpstr>
      <vt:lpstr>'EUR Curve Config'!BasisConv6x12</vt:lpstr>
      <vt:lpstr>'GBP Curve Config'!BasisConv6x12</vt:lpstr>
      <vt:lpstr>'JPY Curve Config'!BasisConv6x12</vt:lpstr>
      <vt:lpstr>BasisConv6x12</vt:lpstr>
      <vt:lpstr>'EUR Curve Config'!BasisData1x3</vt:lpstr>
      <vt:lpstr>'GBP Curve Config'!BasisData1x3</vt:lpstr>
      <vt:lpstr>'JPY Curve Config'!BasisData1x3</vt:lpstr>
      <vt:lpstr>BasisData1x3</vt:lpstr>
      <vt:lpstr>BasisData3x12</vt:lpstr>
      <vt:lpstr>'EUR Curve Config'!BasisData3x6</vt:lpstr>
      <vt:lpstr>'GBP Curve Config'!BasisData3x6</vt:lpstr>
      <vt:lpstr>'JPY Curve Config'!BasisData3x6</vt:lpstr>
      <vt:lpstr>BasisData3x6</vt:lpstr>
      <vt:lpstr>'EUR Curve Config'!BasisData6x12</vt:lpstr>
      <vt:lpstr>'GBP Curve Config'!BasisData6x12</vt:lpstr>
      <vt:lpstr>'JPY Curve Config'!BasisData6x12</vt:lpstr>
      <vt:lpstr>BasisData6x12</vt:lpstr>
      <vt:lpstr>'EUR Curve Config'!BlockConstForwardFX</vt:lpstr>
      <vt:lpstr>'GBP Curve Config'!BlockConstForwardFX</vt:lpstr>
      <vt:lpstr>'JPY Curve Config'!BlockConstForwardFX</vt:lpstr>
      <vt:lpstr>'USD Curve Config'!BlockConstForwardFX</vt:lpstr>
      <vt:lpstr>'EUR Curve Config'!BlockCurveNames</vt:lpstr>
      <vt:lpstr>'GBP Curve Config'!BlockCurveNames</vt:lpstr>
      <vt:lpstr>'JPY Curve Config'!BlockCurveNames</vt:lpstr>
      <vt:lpstr>'USD Curve Config'!BlockCurveNames</vt:lpstr>
      <vt:lpstr>'EUR Curve Config'!BlockOISCurve</vt:lpstr>
      <vt:lpstr>'GBP Curve Config'!BlockOISCurve</vt:lpstr>
      <vt:lpstr>'JPY Curve Config'!BlockOISCurve</vt:lpstr>
      <vt:lpstr>'USD Curve Config'!BlockOISCurve</vt:lpstr>
      <vt:lpstr>'EUR Curve Config'!BlockSwapCurve</vt:lpstr>
      <vt:lpstr>'GBP Curve Config'!BlockSwapCurve</vt:lpstr>
      <vt:lpstr>'JPY Curve Config'!BlockSwapCurve</vt:lpstr>
      <vt:lpstr>'USD Curve Config'!BlockSwapCurve</vt:lpstr>
      <vt:lpstr>'EUR Curve Config'!BlockTenorBasis</vt:lpstr>
      <vt:lpstr>'GBP Curve Config'!BlockTenorBasis</vt:lpstr>
      <vt:lpstr>'JPY Curve Config'!BlockTenorBasis</vt:lpstr>
      <vt:lpstr>'USD Curve Config'!BlockTenorBasis</vt:lpstr>
      <vt:lpstr>'EUR Curve Config'!BlockXccyBasis</vt:lpstr>
      <vt:lpstr>'GBP Curve Config'!BlockXccyBasis</vt:lpstr>
      <vt:lpstr>'JPY Curve Config'!BlockXccyBasis</vt:lpstr>
      <vt:lpstr>'USD Curve Config'!BlockXccyBasis</vt:lpstr>
      <vt:lpstr>COB</vt:lpstr>
      <vt:lpstr>'EUR Curve Config'!ConstForwardFXEURCSA</vt:lpstr>
      <vt:lpstr>'GBP Curve Config'!ConstForwardFXEURCSA</vt:lpstr>
      <vt:lpstr>'JPY Curve Config'!ConstForwardFXEURCSA</vt:lpstr>
      <vt:lpstr>ConstForwardFXEURCSA</vt:lpstr>
      <vt:lpstr>'EUR Curve Config'!ConstForwardFXGBPCSA</vt:lpstr>
      <vt:lpstr>'GBP Curve Config'!ConstForwardFXGBPCSA</vt:lpstr>
      <vt:lpstr>'JPY Curve Config'!ConstForwardFXGBPCSA</vt:lpstr>
      <vt:lpstr>ConstForwardFXGBPCSA</vt:lpstr>
      <vt:lpstr>'EUR Curve Config'!ConstForwardFXJPYCSA</vt:lpstr>
      <vt:lpstr>'GBP Curve Config'!ConstForwardFXJPYCSA</vt:lpstr>
      <vt:lpstr>'JPY Curve Config'!ConstForwardFXJPYCSA</vt:lpstr>
      <vt:lpstr>ConstForwardFXJPYCSA</vt:lpstr>
      <vt:lpstr>'EUR Curve Config'!ConstForwardFXProperties</vt:lpstr>
      <vt:lpstr>'GBP Curve Config'!ConstForwardFXProperties</vt:lpstr>
      <vt:lpstr>'JPY Curve Config'!ConstForwardFXProperties</vt:lpstr>
      <vt:lpstr>ConstForwardFXProperties</vt:lpstr>
      <vt:lpstr>CurveBuildErrorCount</vt:lpstr>
      <vt:lpstr>CurveDependencyTreeAndErrorCounts</vt:lpstr>
      <vt:lpstr>CurveErrorsEUR</vt:lpstr>
      <vt:lpstr>CurveErrorsGBP</vt:lpstr>
      <vt:lpstr>CurveErrorsJPY</vt:lpstr>
      <vt:lpstr>CurveErrorsUSD</vt:lpstr>
      <vt:lpstr>CurveLabels</vt:lpstr>
      <vt:lpstr>ErrorCountEUREURCSA</vt:lpstr>
      <vt:lpstr>ErrorCountEURGBPCSA</vt:lpstr>
      <vt:lpstr>ErrorCountEURJPYCSA</vt:lpstr>
      <vt:lpstr>ErrorCountEURUSDCSA</vt:lpstr>
      <vt:lpstr>ErrorCountGBPEURCSA</vt:lpstr>
      <vt:lpstr>ErrorCountGBPGBPCSA</vt:lpstr>
      <vt:lpstr>ErrorCountGBPJPYCSA</vt:lpstr>
      <vt:lpstr>ErrorCountGBPUSDCSA</vt:lpstr>
      <vt:lpstr>ErrorCountJPYEURCSA</vt:lpstr>
      <vt:lpstr>ErrorCountJPYGBPCSA</vt:lpstr>
      <vt:lpstr>ErrorCountJPYJPYCSA</vt:lpstr>
      <vt:lpstr>ErrorCountJPYUSDCSA</vt:lpstr>
      <vt:lpstr>ErrorCountUSDEURCSA</vt:lpstr>
      <vt:lpstr>ErrorCountUSDGBPCSA</vt:lpstr>
      <vt:lpstr>ErrorCountUSDJPYCSA</vt:lpstr>
      <vt:lpstr>ErrorCountUSDUSDCSA</vt:lpstr>
      <vt:lpstr>'EUR Curve Config'!FRAConv</vt:lpstr>
      <vt:lpstr>'GBP Curve Config'!FRAConv</vt:lpstr>
      <vt:lpstr>'JPY Curve Config'!FRAConv</vt:lpstr>
      <vt:lpstr>FRAConv</vt:lpstr>
      <vt:lpstr>'EUR Curve Config'!FRADatax3</vt:lpstr>
      <vt:lpstr>'GBP Curve Config'!FRADatax3</vt:lpstr>
      <vt:lpstr>'JPY Curve Config'!FRADatax3</vt:lpstr>
      <vt:lpstr>FRADatax3</vt:lpstr>
      <vt:lpstr>'EUR Curve Config'!FRADatax6</vt:lpstr>
      <vt:lpstr>'GBP Curve Config'!FRADatax6</vt:lpstr>
      <vt:lpstr>'JPY Curve Config'!FRADatax6</vt:lpstr>
      <vt:lpstr>FRADatax6</vt:lpstr>
      <vt:lpstr>'EUR Curve Config'!FuturesConv</vt:lpstr>
      <vt:lpstr>'GBP Curve Config'!FuturesConv</vt:lpstr>
      <vt:lpstr>'JPY Curve Config'!FuturesConv</vt:lpstr>
      <vt:lpstr>FuturesConv</vt:lpstr>
      <vt:lpstr>'EUR Curve Config'!FuturesData</vt:lpstr>
      <vt:lpstr>'GBP Curve Config'!FuturesData</vt:lpstr>
      <vt:lpstr>'JPY Curve Config'!FuturesData</vt:lpstr>
      <vt:lpstr>FuturesData</vt:lpstr>
      <vt:lpstr>'EUR Curve Config'!FuturesQuotes</vt:lpstr>
      <vt:lpstr>'GBP Curve Config'!FuturesQuotes</vt:lpstr>
      <vt:lpstr>'JPY Curve Config'!FuturesQuotes</vt:lpstr>
      <vt:lpstr>'USD Curve Config'!FuturesQuotes</vt:lpstr>
      <vt:lpstr>'EUR Curve Config'!FwdFXConstCurveNamesFWDFX</vt:lpstr>
      <vt:lpstr>'GBP Curve Config'!FwdFXConstCurveNamesFWDFX</vt:lpstr>
      <vt:lpstr>'JPY Curve Config'!FwdFXConstCurveNamesFWDFX</vt:lpstr>
      <vt:lpstr>FwdFXConstCurveNamesFWDFX</vt:lpstr>
      <vt:lpstr>'EUR Curve Config'!FwdFXConstCurveNamesXCCYandFWDFX</vt:lpstr>
      <vt:lpstr>'GBP Curve Config'!FwdFXConstCurveNamesXCCYandFWDFX</vt:lpstr>
      <vt:lpstr>'JPY Curve Config'!FwdFXConstCurveNamesXCCYandFWDFX</vt:lpstr>
      <vt:lpstr>FwdFXConstCurveNamesXCCYandFWDFX</vt:lpstr>
      <vt:lpstr>isLoadedCurveUSD_EURCSA</vt:lpstr>
      <vt:lpstr>isLoadedCurveUSD_GBPCSA</vt:lpstr>
      <vt:lpstr>isLoadedCurveUSD_JPYCSA</vt:lpstr>
      <vt:lpstr>isLoadedCurveUSD_USDCSA</vt:lpstr>
      <vt:lpstr>isLoadedXccyEUR_EURCSA</vt:lpstr>
      <vt:lpstr>isLoadedXccyGBP_GBPCSA</vt:lpstr>
      <vt:lpstr>isLoadedXccyJPY_JPYCSA</vt:lpstr>
      <vt:lpstr>'EUR Curve Config'!LiborConv</vt:lpstr>
      <vt:lpstr>'GBP Curve Config'!LiborConv</vt:lpstr>
      <vt:lpstr>'JPY Curve Config'!LiborConv</vt:lpstr>
      <vt:lpstr>LiborConv</vt:lpstr>
      <vt:lpstr>'EUR Curve Config'!LiborData</vt:lpstr>
      <vt:lpstr>'GBP Curve Config'!LiborData</vt:lpstr>
      <vt:lpstr>'JPY Curve Config'!LiborData</vt:lpstr>
      <vt:lpstr>LiborData</vt:lpstr>
      <vt:lpstr>'EUR Curve Config'!MoneyMarketData</vt:lpstr>
      <vt:lpstr>'GBP Curve Config'!MoneyMarketData</vt:lpstr>
      <vt:lpstr>'JPY Curve Config'!MoneyMarketData</vt:lpstr>
      <vt:lpstr>MoneyMarketData</vt:lpstr>
      <vt:lpstr>'EUR Curve Config'!OISConv</vt:lpstr>
      <vt:lpstr>'GBP Curve Config'!OISConv</vt:lpstr>
      <vt:lpstr>'JPY Curve Config'!OISConv</vt:lpstr>
      <vt:lpstr>OISConv</vt:lpstr>
      <vt:lpstr>'EUR Curve Config'!OISCurveNamesFWDFX</vt:lpstr>
      <vt:lpstr>'GBP Curve Config'!OISCurveNamesFWDFX</vt:lpstr>
      <vt:lpstr>'JPY Curve Config'!OISCurveNamesFWDFX</vt:lpstr>
      <vt:lpstr>OISCurveNamesFWDFX</vt:lpstr>
      <vt:lpstr>'EUR Curve Config'!OISCurveNamesNativeCSA</vt:lpstr>
      <vt:lpstr>'GBP Curve Config'!OISCurveNamesNativeCSA</vt:lpstr>
      <vt:lpstr>'JPY Curve Config'!OISCurveNamesNativeCSA</vt:lpstr>
      <vt:lpstr>OISCurveNamesNativeCSA</vt:lpstr>
      <vt:lpstr>'EUR Curve Config'!OISCurveNamesSTD</vt:lpstr>
      <vt:lpstr>'GBP Curve Config'!OISCurveNamesSTD</vt:lpstr>
      <vt:lpstr>'JPY Curve Config'!OISCurveNamesSTD</vt:lpstr>
      <vt:lpstr>OISCurveNamesSTD</vt:lpstr>
      <vt:lpstr>'EUR Curve Config'!OISCurveNamesXCCY</vt:lpstr>
      <vt:lpstr>'GBP Curve Config'!OISCurveNamesXCCY</vt:lpstr>
      <vt:lpstr>'JPY Curve Config'!OISCurveNamesXCCY</vt:lpstr>
      <vt:lpstr>OISCurveNamesXCCY</vt:lpstr>
      <vt:lpstr>'EUR Curve Config'!OISCurveNamesXCCYandFWDFX</vt:lpstr>
      <vt:lpstr>'GBP Curve Config'!OISCurveNamesXCCYandFWDFX</vt:lpstr>
      <vt:lpstr>'JPY Curve Config'!OISCurveNamesXCCYandFWDFX</vt:lpstr>
      <vt:lpstr>OISCurveNamesXCCYandFWDFX</vt:lpstr>
      <vt:lpstr>'EUR Curve Config'!OISHistoricalRates</vt:lpstr>
      <vt:lpstr>'GBP Curve Config'!OISHistoricalRates</vt:lpstr>
      <vt:lpstr>'JPY Curve Config'!OISHistoricalRates</vt:lpstr>
      <vt:lpstr>OISHistoricalRates</vt:lpstr>
      <vt:lpstr>'EUR Curve Config'!OISRates</vt:lpstr>
      <vt:lpstr>'GBP Curve Config'!OISRates</vt:lpstr>
      <vt:lpstr>'JPY Curve Config'!OISRates</vt:lpstr>
      <vt:lpstr>OISRates</vt:lpstr>
      <vt:lpstr>'Multi-Curves'!Print_Area</vt:lpstr>
      <vt:lpstr>'EUR Curve Config'!SwapCurveNameDF2</vt:lpstr>
      <vt:lpstr>'GBP Curve Config'!SwapCurveNameDF2</vt:lpstr>
      <vt:lpstr>'JPY Curve Config'!SwapCurveNameDF2</vt:lpstr>
      <vt:lpstr>SwapCurveNameDF2</vt:lpstr>
      <vt:lpstr>'EUR Curve Config'!SwapCurveNamesFWDFX</vt:lpstr>
      <vt:lpstr>'GBP Curve Config'!SwapCurveNamesFWDFX</vt:lpstr>
      <vt:lpstr>'JPY Curve Config'!SwapCurveNamesFWDFX</vt:lpstr>
      <vt:lpstr>SwapCurveNamesFWDFX</vt:lpstr>
      <vt:lpstr>'EUR Curve Config'!SwapCurveNamesNativeCSA</vt:lpstr>
      <vt:lpstr>'GBP Curve Config'!SwapCurveNamesNativeCSA</vt:lpstr>
      <vt:lpstr>'JPY Curve Config'!SwapCurveNamesNativeCSA</vt:lpstr>
      <vt:lpstr>SwapCurveNamesNativeCSA</vt:lpstr>
      <vt:lpstr>'EUR Curve Config'!SwapCurveNamesSTD</vt:lpstr>
      <vt:lpstr>'GBP Curve Config'!SwapCurveNamesSTD</vt:lpstr>
      <vt:lpstr>'JPY Curve Config'!SwapCurveNamesSTD</vt:lpstr>
      <vt:lpstr>SwapCurveNamesSTD</vt:lpstr>
      <vt:lpstr>'EUR Curve Config'!SwapCurveNamesXCCY</vt:lpstr>
      <vt:lpstr>'GBP Curve Config'!SwapCurveNamesXCCY</vt:lpstr>
      <vt:lpstr>'JPY Curve Config'!SwapCurveNamesXCCY</vt:lpstr>
      <vt:lpstr>SwapCurveNamesXCCY</vt:lpstr>
      <vt:lpstr>'EUR Curve Config'!SwapCurveNamesXCCYandFWDFX</vt:lpstr>
      <vt:lpstr>'GBP Curve Config'!SwapCurveNamesXCCYandFWDFX</vt:lpstr>
      <vt:lpstr>'JPY Curve Config'!SwapCurveNamesXCCYandFWDFX</vt:lpstr>
      <vt:lpstr>SwapCurveNamesXCCYandFWDFX</vt:lpstr>
      <vt:lpstr>'EUR Curve Config'!SwapsConv</vt:lpstr>
      <vt:lpstr>'GBP Curve Config'!SwapsConv</vt:lpstr>
      <vt:lpstr>'JPY Curve Config'!SwapsConv</vt:lpstr>
      <vt:lpstr>SwapsConv</vt:lpstr>
      <vt:lpstr>'EUR Curve Config'!SwapsData</vt:lpstr>
      <vt:lpstr>'GBP Curve Config'!SwapsData</vt:lpstr>
      <vt:lpstr>'JPY Curve Config'!SwapsData</vt:lpstr>
      <vt:lpstr>SwapsData</vt:lpstr>
      <vt:lpstr>'EUR Curve Config'!TenorBasis1x3CurveNamesFWDFX</vt:lpstr>
      <vt:lpstr>TenorBasis1x3CurveNamesFWDFX</vt:lpstr>
      <vt:lpstr>'EUR Curve Config'!TenorBasis1x3CurveNamesNativeCSA</vt:lpstr>
      <vt:lpstr>TenorBasis1x3CurveNamesNativeCSA</vt:lpstr>
      <vt:lpstr>'EUR Curve Config'!TenorBasis1x3CurveNamesSTD</vt:lpstr>
      <vt:lpstr>TenorBasis1x3CurveNamesSTD</vt:lpstr>
      <vt:lpstr>'EUR Curve Config'!TenorBasis1x3CurveNamesXCCY</vt:lpstr>
      <vt:lpstr>TenorBasis1x3CurveNamesXCCY</vt:lpstr>
      <vt:lpstr>'EUR Curve Config'!TenorBasis1x3CurveNamesXCCYandFWDFX</vt:lpstr>
      <vt:lpstr>TenorBasis1x3CurveNamesXCCYandFWDFX</vt:lpstr>
      <vt:lpstr>'GBP Curve Config'!TenorBasis1x6CurveNamesFWDFX</vt:lpstr>
      <vt:lpstr>'JPY Curve Config'!TenorBasis1x6CurveNamesFWDFX</vt:lpstr>
      <vt:lpstr>'GBP Curve Config'!TenorBasis1x6CurveNamesNativeCSA</vt:lpstr>
      <vt:lpstr>'JPY Curve Config'!TenorBasis1x6CurveNamesNativeCSA</vt:lpstr>
      <vt:lpstr>'GBP Curve Config'!TenorBasis1x6CurveNamesSTD</vt:lpstr>
      <vt:lpstr>'JPY Curve Config'!TenorBasis1x6CurveNamesSTD</vt:lpstr>
      <vt:lpstr>'GBP Curve Config'!TenorBasis1x6CurveNamesXCCY</vt:lpstr>
      <vt:lpstr>'JPY Curve Config'!TenorBasis1x6CurveNamesXCCY</vt:lpstr>
      <vt:lpstr>'GBP Curve Config'!TenorBasis1x6CurveNamesXCCYandFWDFX</vt:lpstr>
      <vt:lpstr>'JPY Curve Config'!TenorBasis1x6CurveNamesXCCYandFWDFX</vt:lpstr>
      <vt:lpstr>TenorBasis3x12CurveNamesFWDFX</vt:lpstr>
      <vt:lpstr>TenorBasis3x12CurveNamesNativeCSA</vt:lpstr>
      <vt:lpstr>TenorBasis3x12CurveNamesSTD</vt:lpstr>
      <vt:lpstr>TenorBasis3x12CurveNamesXCCY</vt:lpstr>
      <vt:lpstr>TenorBasis3x12CurveNamesXCCYandFWDFX</vt:lpstr>
      <vt:lpstr>'EUR Curve Config'!TenorBasis3x6CurveNamesFWDFX</vt:lpstr>
      <vt:lpstr>'GBP Curve Config'!TenorBasis3x6CurveNamesFWDFX</vt:lpstr>
      <vt:lpstr>'JPY Curve Config'!TenorBasis3x6CurveNamesFWDFX</vt:lpstr>
      <vt:lpstr>TenorBasis3x6CurveNamesFWDFX</vt:lpstr>
      <vt:lpstr>'EUR Curve Config'!TenorBasis3x6CurveNamesNativeCSA</vt:lpstr>
      <vt:lpstr>'GBP Curve Config'!TenorBasis3x6CurveNamesNativeCSA</vt:lpstr>
      <vt:lpstr>'JPY Curve Config'!TenorBasis3x6CurveNamesNativeCSA</vt:lpstr>
      <vt:lpstr>TenorBasis3x6CurveNamesNativeCSA</vt:lpstr>
      <vt:lpstr>'EUR Curve Config'!TenorBasis3x6CurveNamesSTD</vt:lpstr>
      <vt:lpstr>'GBP Curve Config'!TenorBasis3x6CurveNamesSTD</vt:lpstr>
      <vt:lpstr>'JPY Curve Config'!TenorBasis3x6CurveNamesSTD</vt:lpstr>
      <vt:lpstr>TenorBasis3x6CurveNamesSTD</vt:lpstr>
      <vt:lpstr>'EUR Curve Config'!TenorBasis3x6CurveNamesXCCY</vt:lpstr>
      <vt:lpstr>'GBP Curve Config'!TenorBasis3x6CurveNamesXCCY</vt:lpstr>
      <vt:lpstr>'JPY Curve Config'!TenorBasis3x6CurveNamesXCCY</vt:lpstr>
      <vt:lpstr>TenorBasis3x6CurveNamesXCCY</vt:lpstr>
      <vt:lpstr>'EUR Curve Config'!TenorBasis3x6CurveNamesXCCYandFWDFX</vt:lpstr>
      <vt:lpstr>'GBP Curve Config'!TenorBasis3x6CurveNamesXCCYandFWDFX</vt:lpstr>
      <vt:lpstr>'JPY Curve Config'!TenorBasis3x6CurveNamesXCCYandFWDFX</vt:lpstr>
      <vt:lpstr>TenorBasis3x6CurveNamesXCCYandFWDFX</vt:lpstr>
      <vt:lpstr>'EUR Curve Config'!TenorBasis6x12CurveNamesFWDFX</vt:lpstr>
      <vt:lpstr>'GBP Curve Config'!TenorBasis6x12CurveNamesFWDFX</vt:lpstr>
      <vt:lpstr>'JPY Curve Config'!TenorBasis6x12CurveNamesFWDFX</vt:lpstr>
      <vt:lpstr>'EUR Curve Config'!TenorBasis6x12CurveNamesNativeCSA</vt:lpstr>
      <vt:lpstr>'GBP Curve Config'!TenorBasis6x12CurveNamesNativeCSA</vt:lpstr>
      <vt:lpstr>'JPY Curve Config'!TenorBasis6x12CurveNamesNativeCSA</vt:lpstr>
      <vt:lpstr>'EUR Curve Config'!TenorBasis6x12CurveNamesSTD</vt:lpstr>
      <vt:lpstr>'GBP Curve Config'!TenorBasis6x12CurveNamesSTD</vt:lpstr>
      <vt:lpstr>'JPY Curve Config'!TenorBasis6x12CurveNamesSTD</vt:lpstr>
      <vt:lpstr>'EUR Curve Config'!TenorBasis6x12CurveNamesXCCY</vt:lpstr>
      <vt:lpstr>'GBP Curve Config'!TenorBasis6x12CurveNamesXCCY</vt:lpstr>
      <vt:lpstr>'JPY Curve Config'!TenorBasis6x12CurveNamesXCCY</vt:lpstr>
      <vt:lpstr>TenorBasis6x12CurveNamesXCCY</vt:lpstr>
      <vt:lpstr>'EUR Curve Config'!TenorBasis6x12CurveNamesXCCYandFWDFX</vt:lpstr>
      <vt:lpstr>'GBP Curve Config'!TenorBasis6x12CurveNamesXCCYandFWDFX</vt:lpstr>
      <vt:lpstr>'JPY Curve Config'!TenorBasis6x12CurveNamesXCCYandFWDFX</vt:lpstr>
      <vt:lpstr>TenorBasis6x12CurveNamesXCCYandFWDFX</vt:lpstr>
      <vt:lpstr>XccyBasisConv</vt:lpstr>
      <vt:lpstr>'EUR Curve Config'!XccyBasisConvEURCSA</vt:lpstr>
      <vt:lpstr>'GBP Curve Config'!XccyBasisConvEURCSA</vt:lpstr>
      <vt:lpstr>'JPY Curve Config'!XccyBasisConvEURCSA</vt:lpstr>
      <vt:lpstr>XccyBasisConvEURCSA</vt:lpstr>
      <vt:lpstr>'EUR Curve Config'!XccyBasisConvGBPCSA</vt:lpstr>
      <vt:lpstr>'GBP Curve Config'!XccyBasisConvGBPCSA</vt:lpstr>
      <vt:lpstr>'JPY Curve Config'!XccyBasisConvGBPCSA</vt:lpstr>
      <vt:lpstr>XccyBasisConvGBPCSA</vt:lpstr>
      <vt:lpstr>'EUR Curve Config'!XccyBasisConvJPYCSA</vt:lpstr>
      <vt:lpstr>'GBP Curve Config'!XccyBasisConvJPYCSA</vt:lpstr>
      <vt:lpstr>'JPY Curve Config'!XccyBasisConvJPYCSA</vt:lpstr>
      <vt:lpstr>XccyBasisConvJPYCSA</vt:lpstr>
      <vt:lpstr>'EUR Curve Config'!XccyBasisConvUSDCSA</vt:lpstr>
      <vt:lpstr>'GBP Curve Config'!XccyBasisConvUSDCSA</vt:lpstr>
      <vt:lpstr>'JPY Curve Config'!XccyBasisConvUSDCSA</vt:lpstr>
      <vt:lpstr>XccyBasisConvUSDCSA</vt:lpstr>
      <vt:lpstr>'EUR Curve Config'!XccyBasisCurveNamesNativeCSA</vt:lpstr>
      <vt:lpstr>'GBP Curve Config'!XccyBasisCurveNamesNativeCSA</vt:lpstr>
      <vt:lpstr>'JPY Curve Config'!XccyBasisCurveNamesNativeCSA</vt:lpstr>
      <vt:lpstr>XccyBasisCurveNamesNativeCSA</vt:lpstr>
      <vt:lpstr>'EUR Curve Config'!XccyBasisCurveNamesXCCY</vt:lpstr>
      <vt:lpstr>'GBP Curve Config'!XccyBasisCurveNamesXCCY</vt:lpstr>
      <vt:lpstr>'JPY Curve Config'!XccyBasisCurveNamesXCCY</vt:lpstr>
      <vt:lpstr>XccyBasisCurveNamesXCCY</vt:lpstr>
      <vt:lpstr>'EUR Curve Config'!XccyBasisCurveNamesXCCYandFWDFX</vt:lpstr>
      <vt:lpstr>'GBP Curve Config'!XccyBasisCurveNamesXCCYandFWDFX</vt:lpstr>
      <vt:lpstr>'JPY Curve Config'!XccyBasisCurveNamesXCCYandFWDFX</vt:lpstr>
      <vt:lpstr>XccyBasisCurveNamesXCCYandFWDFX</vt:lpstr>
      <vt:lpstr>'EUR Curve Config'!XccyBasisData</vt:lpstr>
      <vt:lpstr>'GBP Curve Config'!XccyBasisData</vt:lpstr>
      <vt:lpstr>'JPY Curve Config'!XccyBasisData</vt:lpstr>
      <vt:lpstr>XccyBasisData</vt:lpstr>
      <vt:lpstr>'EUR Curve Config'!XccyBasisProperties</vt:lpstr>
      <vt:lpstr>'GBP Curve Config'!XccyBasisProperties</vt:lpstr>
      <vt:lpstr>'JPY Curve Config'!XccyBasisProperties</vt:lpstr>
      <vt:lpstr>XccyBasisProperties</vt:lpstr>
      <vt:lpstr>'EUR Curve Config'!YieldCurvePropertiesOIS</vt:lpstr>
      <vt:lpstr>'GBP Curve Config'!YieldCurvePropertiesOIS</vt:lpstr>
      <vt:lpstr>'JPY Curve Config'!YieldCurvePropertiesOIS</vt:lpstr>
      <vt:lpstr>YieldCurvePropertiesOIS</vt:lpstr>
      <vt:lpstr>'EUR Curve Config'!YieldCurvePropertiesSTD</vt:lpstr>
      <vt:lpstr>'GBP Curve Config'!YieldCurvePropertiesSTD</vt:lpstr>
      <vt:lpstr>'JPY Curve Config'!YieldCurvePropertiesSTD</vt:lpstr>
      <vt:lpstr>YieldCurvePropertiesSTD</vt:lpstr>
      <vt:lpstr>'EUR Curve Config'!YieldCurvePropertiesTenorBasis</vt:lpstr>
      <vt:lpstr>'GBP Curve Config'!YieldCurvePropertiesTenorBasis</vt:lpstr>
      <vt:lpstr>'JPY Curve Config'!YieldCurvePropertiesTenorBasis</vt:lpstr>
      <vt:lpstr>YieldCurvePropertiesTenorBasis</vt:lpstr>
      <vt:lpstr>'EUR Curve Config'!YieldCurvePropertiesXccyBasis</vt:lpstr>
      <vt:lpstr>'GBP Curve Config'!YieldCurvePropertiesXccyBasis</vt:lpstr>
      <vt:lpstr>'JPY Curve Config'!YieldCurvePropertiesXccyBasis</vt:lpstr>
      <vt:lpstr>YieldCurvePropertiesXccyBasis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cp:lastPrinted>2015-03-19T16:04:37Z</cp:lastPrinted>
  <dcterms:created xsi:type="dcterms:W3CDTF">2015-02-04T11:05:27Z</dcterms:created>
  <dcterms:modified xsi:type="dcterms:W3CDTF">2016-03-16T11:09:28Z</dcterms:modified>
</cp:coreProperties>
</file>