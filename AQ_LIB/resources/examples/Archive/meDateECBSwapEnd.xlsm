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315" windowHeight="11760"/>
  </bookViews>
  <sheets>
    <sheet name="meDateECB functions" sheetId="5" r:id="rId1"/>
  </sheets>
  <definedNames>
    <definedName name="Curve.BuildProperties">#REF!</definedName>
    <definedName name="Curve.CollectionName">#REF!</definedName>
    <definedName name="Curve.MarketDataTable">#REF!</definedName>
    <definedName name="Curve.OISIndexName">#REF!</definedName>
    <definedName name="LiborOISBasis.Conventions">#REF!</definedName>
    <definedName name="LiborOISBasis.MarketData">#REF!</definedName>
    <definedName name="LiborSwap.Conventions">#REF!</definedName>
    <definedName name="LiborSwap.MarketData">#REF!</definedName>
    <definedName name="OIS.Conventions">#REF!</definedName>
    <definedName name="OIS.FixingTable">#REF!</definedName>
    <definedName name="OIS.MarketData">#REF!</definedName>
  </definedNames>
  <calcPr calcId="145621" calcMode="manual" calcOnSave="0"/>
</workbook>
</file>

<file path=xl/calcChain.xml><?xml version="1.0" encoding="utf-8"?>
<calcChain xmlns="http://schemas.openxmlformats.org/spreadsheetml/2006/main">
  <c r="B4" i="5" l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D18" i="5"/>
  <c r="E20" i="5"/>
  <c r="E4" i="5"/>
  <c r="C15" i="5"/>
  <c r="C20" i="5"/>
  <c r="C21" i="5"/>
  <c r="D8" i="5"/>
  <c r="C19" i="5"/>
  <c r="C9" i="5"/>
  <c r="D5" i="5"/>
  <c r="C23" i="5"/>
  <c r="E7" i="5"/>
  <c r="D3" i="5"/>
  <c r="E17" i="5"/>
  <c r="D13" i="5"/>
  <c r="D4" i="5"/>
  <c r="E11" i="5"/>
  <c r="D10" i="5"/>
  <c r="E15" i="5"/>
  <c r="D14" i="5"/>
  <c r="E9" i="5"/>
  <c r="E8" i="5"/>
  <c r="D15" i="5"/>
  <c r="E13" i="5"/>
  <c r="D7" i="5"/>
  <c r="D16" i="5"/>
  <c r="C11" i="5"/>
  <c r="E3" i="5"/>
  <c r="D23" i="5"/>
  <c r="E19" i="5"/>
  <c r="C4" i="5"/>
  <c r="C10" i="5"/>
  <c r="C5" i="5"/>
  <c r="C18" i="5"/>
  <c r="C3" i="5"/>
  <c r="C12" i="5"/>
  <c r="C8" i="5"/>
  <c r="C17" i="5"/>
  <c r="C14" i="5"/>
  <c r="E22" i="5"/>
  <c r="D9" i="5"/>
  <c r="C7" i="5"/>
  <c r="C16" i="5"/>
  <c r="E16" i="5"/>
  <c r="E5" i="5"/>
  <c r="E23" i="5"/>
  <c r="E6" i="5"/>
  <c r="D21" i="5"/>
  <c r="E21" i="5"/>
  <c r="D17" i="5"/>
  <c r="D22" i="5"/>
  <c r="D19" i="5"/>
  <c r="D6" i="5"/>
  <c r="D20" i="5"/>
  <c r="C6" i="5"/>
  <c r="E12" i="5"/>
  <c r="C22" i="5"/>
  <c r="C13" i="5"/>
  <c r="D11" i="5"/>
  <c r="E18" i="5"/>
  <c r="E10" i="5"/>
  <c r="D12" i="5"/>
  <c r="E14" i="5"/>
</calcChain>
</file>

<file path=xl/sharedStrings.xml><?xml version="1.0" encoding="utf-8"?>
<sst xmlns="http://schemas.openxmlformats.org/spreadsheetml/2006/main" count="4" uniqueCount="4">
  <si>
    <t>meECBSwapStartDate</t>
  </si>
  <si>
    <t>meECBSwapEndDate</t>
  </si>
  <si>
    <t>meECBDate</t>
  </si>
  <si>
    <t>AsOfDate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</si>
</sst>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,\ d\-mmm\-yy"/>
  </numFmts>
  <fonts count="5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0"/>
      <name val="Geneva"/>
      <family val="2"/>
    </font>
    <font>
      <sz val="11"/>
      <name val="Calibri"/>
      <family val="2"/>
      <scheme val="minor"/>
    </font>
    <font>
      <i/>
      <sz val="11"/>
      <color rgb="FF0000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0" borderId="3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0" fontId="3" fillId="0" borderId="3" xfId="1" applyFont="1" applyFill="1" applyBorder="1" applyAlignment="1">
      <alignment horizontal="center"/>
    </xf>
  </cellXfs>
  <cellStyles count="2">
    <cellStyle name="Normal" xfId="0" builtinId="0"/>
    <cellStyle name="標準_DegitalOption_test" xfId="1"/>
  </cellStyles>
  <dxfs count="0"/>
  <tableStyles count="0" defaultTableStyle="TableStyleMedium2" defaultPivotStyle="PivotStyleLight16"/>
  <colors>
    <mruColors>
      <color rgb="FF0000FF"/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23"/>
  <sheetViews>
    <sheetView showGridLines="0" tabSelected="1" workbookViewId="0"/>
  </sheetViews>
  <sheetFormatPr defaultRowHeight="15"/>
  <cols>
    <col min="1" max="1" width="2.5703125" style="1" customWidth="1"/>
    <col min="2" max="2" width="22" style="1" bestFit="1" customWidth="1"/>
    <col min="3" max="3" width="24.28515625" style="1" customWidth="1"/>
    <col min="4" max="4" width="27.7109375" style="1" bestFit="1" customWidth="1"/>
    <col min="5" max="5" width="27.7109375" style="1" customWidth="1"/>
    <col min="6" max="6" width="23.42578125" style="1" bestFit="1" customWidth="1"/>
    <col min="7" max="7" width="22.5703125" style="1" customWidth="1"/>
    <col min="8" max="8" width="21.5703125" style="1" customWidth="1"/>
    <col min="9" max="9" width="21.7109375" style="1" customWidth="1"/>
    <col min="10" max="10" width="22.5703125" style="1" customWidth="1"/>
    <col min="11" max="11" width="9.140625" style="1"/>
    <col min="12" max="12" width="11" style="1" bestFit="1" customWidth="1"/>
    <col min="13" max="16384" width="9.140625" style="1"/>
  </cols>
  <sheetData>
    <row r="2" spans="2:5">
      <c r="B2" s="5" t="s">
        <v>3</v>
      </c>
      <c r="C2" s="2" t="s">
        <v>2</v>
      </c>
      <c r="D2" s="2" t="s">
        <v>0</v>
      </c>
      <c r="E2" s="2" t="s">
        <v>1</v>
      </c>
    </row>
    <row r="3" spans="2:5">
      <c r="B3" s="3">
        <v>42468</v>
      </c>
      <c r="C3" s="3">
        <f>_xll.meDateECB(B3,FALSE)</f>
        <v>42481</v>
      </c>
      <c r="D3" s="3">
        <f>_xll.meDateECBSwapStart(B3)</f>
        <v>42487</v>
      </c>
      <c r="E3" s="3">
        <f>_xll.meDateECBSwapEnd(B3)</f>
        <v>42528</v>
      </c>
    </row>
    <row r="4" spans="2:5">
      <c r="B4" s="3">
        <f>B3+1</f>
        <v>42469</v>
      </c>
      <c r="C4" s="3">
        <f>_xll.meDateECB(B4,FALSE)</f>
        <v>42481</v>
      </c>
      <c r="D4" s="3">
        <f>_xll.meDateECBSwapStart(B4)</f>
        <v>42487</v>
      </c>
      <c r="E4" s="3">
        <f>_xll.meDateECBSwapEnd(B4)</f>
        <v>42528</v>
      </c>
    </row>
    <row r="5" spans="2:5">
      <c r="B5" s="3">
        <f t="shared" ref="B5:B23" si="0">B4+1</f>
        <v>42470</v>
      </c>
      <c r="C5" s="3">
        <f>_xll.meDateECB(B5,FALSE)</f>
        <v>42481</v>
      </c>
      <c r="D5" s="3">
        <f>_xll.meDateECBSwapStart(B5)</f>
        <v>42487</v>
      </c>
      <c r="E5" s="3">
        <f>_xll.meDateECBSwapEnd(B5)</f>
        <v>42528</v>
      </c>
    </row>
    <row r="6" spans="2:5">
      <c r="B6" s="3">
        <f t="shared" si="0"/>
        <v>42471</v>
      </c>
      <c r="C6" s="3">
        <f>_xll.meDateECB(B6,FALSE)</f>
        <v>42481</v>
      </c>
      <c r="D6" s="3">
        <f>_xll.meDateECBSwapStart(B6)</f>
        <v>42487</v>
      </c>
      <c r="E6" s="3">
        <f>_xll.meDateECBSwapEnd(B6)</f>
        <v>42528</v>
      </c>
    </row>
    <row r="7" spans="2:5">
      <c r="B7" s="3">
        <f t="shared" si="0"/>
        <v>42472</v>
      </c>
      <c r="C7" s="3">
        <f>_xll.meDateECB(B7,FALSE)</f>
        <v>42481</v>
      </c>
      <c r="D7" s="3">
        <f>_xll.meDateECBSwapStart(B7)</f>
        <v>42487</v>
      </c>
      <c r="E7" s="3">
        <f>_xll.meDateECBSwapEnd(B7)</f>
        <v>42528</v>
      </c>
    </row>
    <row r="8" spans="2:5">
      <c r="B8" s="3">
        <f t="shared" si="0"/>
        <v>42473</v>
      </c>
      <c r="C8" s="3">
        <f>_xll.meDateECB(B8,FALSE)</f>
        <v>42481</v>
      </c>
      <c r="D8" s="3">
        <f>_xll.meDateECBSwapStart(B8)</f>
        <v>42487</v>
      </c>
      <c r="E8" s="3">
        <f>_xll.meDateECBSwapEnd(B8)</f>
        <v>42528</v>
      </c>
    </row>
    <row r="9" spans="2:5">
      <c r="B9" s="3">
        <f t="shared" si="0"/>
        <v>42474</v>
      </c>
      <c r="C9" s="3">
        <f>_xll.meDateECB(B9,FALSE)</f>
        <v>42481</v>
      </c>
      <c r="D9" s="3">
        <f>_xll.meDateECBSwapStart(B9)</f>
        <v>42487</v>
      </c>
      <c r="E9" s="3">
        <f>_xll.meDateECBSwapEnd(B9)</f>
        <v>42528</v>
      </c>
    </row>
    <row r="10" spans="2:5">
      <c r="B10" s="3">
        <f t="shared" si="0"/>
        <v>42475</v>
      </c>
      <c r="C10" s="3">
        <f>_xll.meDateECB(B10,FALSE)</f>
        <v>42481</v>
      </c>
      <c r="D10" s="3">
        <f>_xll.meDateECBSwapStart(B10)</f>
        <v>42487</v>
      </c>
      <c r="E10" s="3">
        <f>_xll.meDateECBSwapEnd(B10)</f>
        <v>42528</v>
      </c>
    </row>
    <row r="11" spans="2:5">
      <c r="B11" s="3">
        <f t="shared" si="0"/>
        <v>42476</v>
      </c>
      <c r="C11" s="3">
        <f>_xll.meDateECB(B11,FALSE)</f>
        <v>42481</v>
      </c>
      <c r="D11" s="3">
        <f>_xll.meDateECBSwapStart(B11)</f>
        <v>42487</v>
      </c>
      <c r="E11" s="3">
        <f>_xll.meDateECBSwapEnd(B11)</f>
        <v>42528</v>
      </c>
    </row>
    <row r="12" spans="2:5">
      <c r="B12" s="3">
        <f t="shared" si="0"/>
        <v>42477</v>
      </c>
      <c r="C12" s="3">
        <f>_xll.meDateECB(B12,FALSE)</f>
        <v>42481</v>
      </c>
      <c r="D12" s="3">
        <f>_xll.meDateECBSwapStart(B12)</f>
        <v>42487</v>
      </c>
      <c r="E12" s="3">
        <f>_xll.meDateECBSwapEnd(B12)</f>
        <v>42528</v>
      </c>
    </row>
    <row r="13" spans="2:5">
      <c r="B13" s="3">
        <f t="shared" si="0"/>
        <v>42478</v>
      </c>
      <c r="C13" s="3">
        <f>_xll.meDateECB(B13,FALSE)</f>
        <v>42481</v>
      </c>
      <c r="D13" s="3">
        <f>_xll.meDateECBSwapStart(B13)</f>
        <v>42487</v>
      </c>
      <c r="E13" s="3">
        <f>_xll.meDateECBSwapEnd(B13)</f>
        <v>42528</v>
      </c>
    </row>
    <row r="14" spans="2:5">
      <c r="B14" s="3">
        <f t="shared" si="0"/>
        <v>42479</v>
      </c>
      <c r="C14" s="3">
        <f>_xll.meDateECB(B14,FALSE)</f>
        <v>42481</v>
      </c>
      <c r="D14" s="3">
        <f>_xll.meDateECBSwapStart(B14)</f>
        <v>42487</v>
      </c>
      <c r="E14" s="3">
        <f>_xll.meDateECBSwapEnd(B14)</f>
        <v>42528</v>
      </c>
    </row>
    <row r="15" spans="2:5">
      <c r="B15" s="3">
        <f t="shared" si="0"/>
        <v>42480</v>
      </c>
      <c r="C15" s="3">
        <f>_xll.meDateECB(B15,FALSE)</f>
        <v>42481</v>
      </c>
      <c r="D15" s="3">
        <f>_xll.meDateECBSwapStart(B15)</f>
        <v>42487</v>
      </c>
      <c r="E15" s="3">
        <f>_xll.meDateECBSwapEnd(B15)</f>
        <v>42528</v>
      </c>
    </row>
    <row r="16" spans="2:5">
      <c r="B16" s="3">
        <f t="shared" si="0"/>
        <v>42481</v>
      </c>
      <c r="C16" s="3">
        <f>_xll.meDateECB(B16,FALSE)</f>
        <v>42481</v>
      </c>
      <c r="D16" s="3">
        <f>_xll.meDateECBSwapStart(B16)</f>
        <v>42487</v>
      </c>
      <c r="E16" s="3">
        <f>_xll.meDateECBSwapEnd(B16)</f>
        <v>42528</v>
      </c>
    </row>
    <row r="17" spans="2:5">
      <c r="B17" s="3">
        <f t="shared" si="0"/>
        <v>42482</v>
      </c>
      <c r="C17" s="3">
        <f>_xll.meDateECB(B17,FALSE)</f>
        <v>42523</v>
      </c>
      <c r="D17" s="3">
        <f>_xll.meDateECBSwapStart(B17)</f>
        <v>42529</v>
      </c>
      <c r="E17" s="3">
        <f>_xll.meDateECBSwapEnd(B17)</f>
        <v>42577</v>
      </c>
    </row>
    <row r="18" spans="2:5">
      <c r="B18" s="3">
        <f t="shared" si="0"/>
        <v>42483</v>
      </c>
      <c r="C18" s="3">
        <f>_xll.meDateECB(B18,FALSE)</f>
        <v>42523</v>
      </c>
      <c r="D18" s="3">
        <f>_xll.meDateECBSwapStart(B18)</f>
        <v>42529</v>
      </c>
      <c r="E18" s="3">
        <f>_xll.meDateECBSwapEnd(B18)</f>
        <v>42577</v>
      </c>
    </row>
    <row r="19" spans="2:5">
      <c r="B19" s="3">
        <f t="shared" si="0"/>
        <v>42484</v>
      </c>
      <c r="C19" s="3">
        <f>_xll.meDateECB(B19,FALSE)</f>
        <v>42523</v>
      </c>
      <c r="D19" s="3">
        <f>_xll.meDateECBSwapStart(B19)</f>
        <v>42529</v>
      </c>
      <c r="E19" s="3">
        <f>_xll.meDateECBSwapEnd(B19)</f>
        <v>42577</v>
      </c>
    </row>
    <row r="20" spans="2:5">
      <c r="B20" s="3">
        <f t="shared" si="0"/>
        <v>42485</v>
      </c>
      <c r="C20" s="3">
        <f>_xll.meDateECB(B20,FALSE)</f>
        <v>42523</v>
      </c>
      <c r="D20" s="3">
        <f>_xll.meDateECBSwapStart(B20)</f>
        <v>42529</v>
      </c>
      <c r="E20" s="3">
        <f>_xll.meDateECBSwapEnd(B20)</f>
        <v>42577</v>
      </c>
    </row>
    <row r="21" spans="2:5">
      <c r="B21" s="3">
        <f t="shared" si="0"/>
        <v>42486</v>
      </c>
      <c r="C21" s="3">
        <f>_xll.meDateECB(B21,FALSE)</f>
        <v>42523</v>
      </c>
      <c r="D21" s="3">
        <f>_xll.meDateECBSwapStart(B21)</f>
        <v>42529</v>
      </c>
      <c r="E21" s="3">
        <f>_xll.meDateECBSwapEnd(B21)</f>
        <v>42577</v>
      </c>
    </row>
    <row r="22" spans="2:5">
      <c r="B22" s="3">
        <f t="shared" si="0"/>
        <v>42487</v>
      </c>
      <c r="C22" s="3">
        <f>_xll.meDateECB(B22,FALSE)</f>
        <v>42523</v>
      </c>
      <c r="D22" s="3">
        <f>_xll.meDateECBSwapStart(B22)</f>
        <v>42529</v>
      </c>
      <c r="E22" s="3">
        <f>_xll.meDateECBSwapEnd(B22)</f>
        <v>42577</v>
      </c>
    </row>
    <row r="23" spans="2:5">
      <c r="B23" s="4">
        <f t="shared" si="0"/>
        <v>42488</v>
      </c>
      <c r="C23" s="4">
        <f>_xll.meDateECB(B23,FALSE)</f>
        <v>42523</v>
      </c>
      <c r="D23" s="4">
        <f>_xll.meDateECBSwapStart(B23)</f>
        <v>42529</v>
      </c>
      <c r="E23" s="4">
        <f>_xll.meDateECBSwapEnd(B23)</f>
        <v>42577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meDateECB functions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2016-06-03T16:33:17Z</dcterms:modified>
</cp:coreProperties>
</file>