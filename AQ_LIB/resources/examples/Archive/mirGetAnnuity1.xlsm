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2"/>
  </bookViews>
  <sheets>
    <sheet name="EUR OIS" sheetId="2" r:id="rId1"/>
    <sheet name="EUR SWAP 6ML" sheetId="3" r:id="rId2"/>
    <sheet name="Example" sheetId="22" r:id="rId3"/>
  </sheets>
  <definedNames>
    <definedName name="Calendar">Example!$B$13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Id">Example!$B$3</definedName>
    <definedName name="CurveName">Example!$B$4</definedName>
    <definedName name="DayCount">Example!$B$11</definedName>
    <definedName name="FirstStub">Example!$B$15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equency">Example!$B$10</definedName>
    <definedName name="FromDate">Example!$B$7</definedName>
    <definedName name="Futures.Conventions">'EUR SWAP 6ML'!$C$72:$D$85</definedName>
    <definedName name="Futures.MarketData">'EUR SWAP 6ML'!$F$73:$J$85</definedName>
    <definedName name="Interpolation">Example!$B$14</definedName>
    <definedName name="isEUR6MLLoaded">'EUR SWAP 6ML'!$D$9</definedName>
    <definedName name="isEUROISLoaded">'EUR OIS'!$D$8</definedName>
    <definedName name="LastStub">Example!$B$16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PaymentRollDay">Example!$B$17</definedName>
    <definedName name="SlidingRule">Example!$B$12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oDate">Example!$B$9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5" i="22" l="1"/>
  <c r="D7" i="2"/>
  <c r="B7" i="22"/>
  <c r="B9" i="22"/>
  <c r="B19" i="22" s="1"/>
  <c r="D8" i="2" l="1"/>
  <c r="D8" i="3"/>
  <c r="D9" i="3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<sst xmlns="http://schemas.openxmlformats.org/spreadsheetml/2006/main" count="369" uniqueCount="175">
  <si>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</si>
  <si>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</si>
  <si>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</si>
  <si>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</si>
  <si>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</si>
  <si>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</si>
  <si>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</si>
  <si>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</si>
  <si>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</si>
  <si>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</si>
  <si>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</si>
  <si>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</si>
  <si>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</si>
  <si>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</si>
  <si>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</si>
  <si>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</si>
  <si>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</si>
  <si>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</si>
  <si>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</si>
  <si>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</si>
  <si>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</si>
  <si>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</si>
  <si>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</si>
  <si>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</si>
  <si>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</si>
  <si>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</si>
  <si>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</si>
  <si>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</si>
  <si>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</si>
  <si>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</si>
  <si>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</si>
  <si>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</si>
  <si>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</si>
  <si>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</si>
  <si>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</si>
  <si>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</si>
  <si>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</si>
  <si>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</si>
  <si>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</si>
  <si>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</si>
  <si>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</si>
  <si>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</si>
  <si>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</si>
  <si>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</si>
  <si>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</si>
  <si>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</si>
  <si>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</si>
  <si>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</si>
  <si>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</si>
  <si>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</si>
  <si>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</si>
  <si>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</si>
  <si>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</si>
  <si>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</si>
  <si>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</si>
  <si>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</si>
  <si>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</si>
  <si>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</si>
  <si>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</si>
  <si>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</si>
  <si>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</si>
  <si>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</si>
  <si>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</si>
  <si>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</si>
  <si>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</si>
  <si>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</si>
  <si>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</si>
  <si>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</si>
  <si>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</si>
  <si>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</si>
  <si>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</si>
  <si>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</si>
  <si>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</si>
  <si>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</si>
  <si>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</si>
  <si>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</si>
  <si>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</si>
  <si>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</si>
  <si>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</si>
  <si>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</si>
  <si>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</si>
  <si>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</si>
  <si>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</si>
  <si>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</si>
  <si>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</si>
  <si>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</si>
  <si>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</si>
  <si>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</si>
  <si>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</si>
  <si>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</si>
  <si>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</si>
  <si>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</si>
  <si>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</si>
  <si>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</si>
  <si>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</si>
  <si>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</si>
  <si>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</si>
  <si>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</si>
  <si>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</si>
  <si>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</si>
  <si>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</si>
  <si>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</si>
  <si>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</si>
  <si>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</si>
  <si>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</si>
  <si>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</si>
  <si>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</si>
  <si>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</si>
  <si>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</si>
  <si>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</si>
  <si>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</si>
  <si>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</si>
  <si>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</si>
  <si>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</si>
  <si>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</si>
  <si>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</si>
  <si>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</si>
  <si>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</si>
  <si>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</si>
  <si>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</si>
  <si>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</si>
  <si>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</si>
  <si>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</si>
  <si>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</si>
  <si>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</si>
  <si>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</si>
  <si>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</si>
  <si>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</si>
  <si>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</si>
  <si>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</si>
  <si>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</si>
  <si>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</si>
  <si>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</si>
  <si>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</si>
  <si>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</si>
  <si>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</si>
  <si>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</si>
  <si>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</si>
  <si>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</si>
  <si>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</si>
  <si>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</si>
  <si>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</si>
  <si>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</si>
  <si>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</si>
  <si>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</si>
  <si>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</si>
  <si>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</si>
  <si>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</si>
  <si>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</si>
  <si>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</si>
  <si>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</si>
  <si>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</si>
  <si>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3M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</si>
  <si>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</si>
  <si>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</si>
  <si>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OIS:EUROIS:EURDF:EURDF_NOCSA</t>
  </si>
  <si>
    <t>Curve Loaded</t>
  </si>
  <si>
    <t>Parameters</t>
  </si>
  <si>
    <t>2D</t>
  </si>
  <si>
    <t>1Y</t>
  </si>
  <si>
    <t>CurveID</t>
    <phoneticPr fontId="7"/>
  </si>
  <si>
    <t>CurveName</t>
    <phoneticPr fontId="7"/>
  </si>
  <si>
    <t>TradeDate</t>
    <phoneticPr fontId="7"/>
  </si>
  <si>
    <t>SpotLag</t>
    <phoneticPr fontId="7"/>
  </si>
  <si>
    <t>ValueDate</t>
    <phoneticPr fontId="7"/>
  </si>
  <si>
    <t>Term</t>
    <phoneticPr fontId="7"/>
  </si>
  <si>
    <t>ExpiryDate</t>
    <phoneticPr fontId="7"/>
  </si>
  <si>
    <t>SlidingRule</t>
    <phoneticPr fontId="7"/>
  </si>
  <si>
    <t>Calendar</t>
    <phoneticPr fontId="7"/>
  </si>
  <si>
    <t>Interpolation</t>
    <phoneticPr fontId="7"/>
  </si>
  <si>
    <t>mirGetAnnuity1</t>
  </si>
  <si>
    <t>Spline</t>
  </si>
  <si>
    <t>FirstStub</t>
  </si>
  <si>
    <t>LastStub</t>
  </si>
  <si>
    <t>PaymentRollDay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</si>
</sst>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0.0000000000000"/>
  </numFmts>
  <fonts count="24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38" fontId="21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</cellStyleXfs>
  <cellXfs count="133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21" fillId="0" borderId="0" xfId="3">
      <alignment vertical="center"/>
    </xf>
    <xf numFmtId="0" fontId="18" fillId="0" borderId="0" xfId="3" applyFont="1">
      <alignment vertical="center"/>
    </xf>
    <xf numFmtId="0" fontId="18" fillId="0" borderId="0" xfId="3" applyFont="1" applyAlignment="1">
      <alignment horizontal="center" vertical="center"/>
    </xf>
    <xf numFmtId="38" fontId="7" fillId="0" borderId="0" xfId="4" applyFont="1" applyFill="1" applyBorder="1" applyAlignment="1">
      <alignment horizontal="left" vertical="center"/>
    </xf>
    <xf numFmtId="38" fontId="6" fillId="0" borderId="0" xfId="4" applyFont="1" applyFill="1" applyBorder="1" applyAlignment="1">
      <alignment horizontal="left" vertical="center"/>
    </xf>
    <xf numFmtId="14" fontId="6" fillId="3" borderId="6" xfId="5" applyNumberFormat="1" applyFont="1" applyFill="1" applyBorder="1">
      <alignment vertical="center"/>
    </xf>
    <xf numFmtId="0" fontId="6" fillId="3" borderId="1" xfId="5" applyFont="1" applyFill="1" applyBorder="1">
      <alignment vertical="center"/>
    </xf>
    <xf numFmtId="0" fontId="6" fillId="3" borderId="4" xfId="5" applyFont="1" applyFill="1" applyBorder="1">
      <alignment vertical="center"/>
    </xf>
    <xf numFmtId="0" fontId="6" fillId="4" borderId="4" xfId="6" applyFont="1" applyFill="1" applyBorder="1"/>
    <xf numFmtId="0" fontId="6" fillId="4" borderId="4" xfId="5" applyFont="1" applyFill="1" applyBorder="1">
      <alignment vertical="center"/>
    </xf>
    <xf numFmtId="38" fontId="6" fillId="5" borderId="1" xfId="4" applyFont="1" applyFill="1" applyBorder="1" applyAlignment="1">
      <alignment horizontal="center" vertical="center"/>
    </xf>
    <xf numFmtId="38" fontId="6" fillId="5" borderId="4" xfId="4" applyFont="1" applyFill="1" applyBorder="1" applyAlignment="1">
      <alignment horizontal="center" vertical="center"/>
    </xf>
    <xf numFmtId="15" fontId="6" fillId="5" borderId="4" xfId="5" applyNumberFormat="1" applyFont="1" applyFill="1" applyBorder="1" applyAlignment="1">
      <alignment horizontal="center" vertical="center"/>
    </xf>
    <xf numFmtId="167" fontId="6" fillId="0" borderId="8" xfId="4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3" borderId="9" xfId="5" applyFont="1" applyFill="1" applyBorder="1">
      <alignment vertical="center"/>
    </xf>
    <xf numFmtId="38" fontId="6" fillId="5" borderId="10" xfId="4" applyFont="1" applyFill="1" applyBorder="1" applyAlignment="1">
      <alignment horizontal="center" vertical="center"/>
    </xf>
    <xf numFmtId="0" fontId="6" fillId="3" borderId="14" xfId="5" applyFont="1" applyFill="1" applyBorder="1">
      <alignment vertical="center"/>
    </xf>
    <xf numFmtId="0" fontId="0" fillId="0" borderId="13" xfId="0" applyBorder="1"/>
  </cellXfs>
  <cellStyles count="8">
    <cellStyle name="Comma [0]" xfId="2" builtinId="6"/>
    <cellStyle name="Comma [0] 2" xfId="4"/>
    <cellStyle name="Normal" xfId="0" builtinId="0"/>
    <cellStyle name="Normal 2" xfId="3"/>
    <cellStyle name="Percent 2" xfId="7"/>
    <cellStyle name="標準_DegitalOption_test" xfId="6"/>
    <cellStyle name="標準_Input_OutPut20060417" xfId="1"/>
    <cellStyle name="標準_VanillaSheetSample" xfId="5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>
      <selection activeCell="D13" sqref="D13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91</v>
      </c>
    </row>
    <row r="3" spans="2:14">
      <c r="B3" s="65"/>
    </row>
    <row r="4" spans="2:14">
      <c r="B4" s="65"/>
    </row>
    <row r="5" spans="2:14">
      <c r="B5" s="65" t="s">
        <v>80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(0.50100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12" t="s">
        <v>156</v>
      </c>
      <c r="D8" s="113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155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142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145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topLeftCell="A10" workbookViewId="0">
      <selection activeCell="D36" sqref="D36"/>
    </sheetView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t="s">
        <v>149</v>
      </c>
    </row>
    <row r="3" spans="2:12">
      <c r="B3" t="s">
        <v>150</v>
      </c>
    </row>
    <row r="6" spans="2:12">
      <c r="B6" s="56" t="s">
        <v>92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(0.25000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12" t="s">
        <v>156</v>
      </c>
      <c r="D9" s="113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27</v>
      </c>
      <c r="D29" s="108" t="s">
        <v>135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 t="s">
        <v>99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100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101</v>
      </c>
      <c r="D37" s="10"/>
      <c r="E37" s="10"/>
      <c r="F37" s="49" t="s">
        <v>108</v>
      </c>
      <c r="G37" s="10"/>
      <c r="H37" s="10"/>
      <c r="I37" s="49" t="s">
        <v>146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102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153</v>
      </c>
      <c r="J39" s="75">
        <v>-2.8E-3</v>
      </c>
      <c r="K39" s="78"/>
      <c r="L39" s="55"/>
    </row>
    <row r="40" spans="2:12">
      <c r="B40" s="5"/>
      <c r="C40" s="28" t="s">
        <v>103</v>
      </c>
      <c r="D40" s="35" t="s">
        <v>104</v>
      </c>
      <c r="E40" s="9"/>
      <c r="F40" s="29" t="s">
        <v>27</v>
      </c>
      <c r="G40" s="35" t="s">
        <v>105</v>
      </c>
      <c r="H40" s="10"/>
      <c r="I40" s="72" t="s">
        <v>152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106</v>
      </c>
      <c r="G41" s="69">
        <v>2</v>
      </c>
      <c r="H41" s="10"/>
      <c r="I41" s="72" t="s">
        <v>109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154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110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111</v>
      </c>
      <c r="D50" s="10"/>
      <c r="E50" s="10"/>
      <c r="F50" s="49" t="s">
        <v>147</v>
      </c>
      <c r="G50" s="10"/>
      <c r="H50" s="10"/>
      <c r="I50" s="49" t="s">
        <v>148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102</v>
      </c>
      <c r="D52" s="35" t="s">
        <v>6</v>
      </c>
      <c r="E52" s="9"/>
      <c r="F52" s="71"/>
      <c r="G52" s="75"/>
      <c r="H52" s="10"/>
      <c r="I52" s="71" t="s">
        <v>115</v>
      </c>
      <c r="J52" s="75">
        <v>-1.2900000000000001E-3</v>
      </c>
      <c r="K52" s="78"/>
      <c r="L52" s="55"/>
    </row>
    <row r="53" spans="2:12">
      <c r="B53" s="5"/>
      <c r="C53" s="28" t="s">
        <v>112</v>
      </c>
      <c r="D53" s="35">
        <v>2</v>
      </c>
      <c r="E53" s="9"/>
      <c r="F53" s="72"/>
      <c r="G53" s="76"/>
      <c r="H53" s="10"/>
      <c r="I53" s="72" t="s">
        <v>116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-1.33E-3</v>
      </c>
      <c r="K54" s="78"/>
      <c r="L54" s="55"/>
    </row>
    <row r="55" spans="2:12">
      <c r="B55" s="5"/>
      <c r="C55" s="28" t="s">
        <v>107</v>
      </c>
      <c r="D55" s="35" t="b">
        <v>0</v>
      </c>
      <c r="E55" s="9"/>
      <c r="F55" s="72"/>
      <c r="G55" s="76"/>
      <c r="H55" s="10"/>
      <c r="I55" s="72" t="s">
        <v>118</v>
      </c>
      <c r="J55" s="76">
        <v>-1.3900000000000002E-3</v>
      </c>
      <c r="K55" s="78"/>
      <c r="L55" s="55"/>
    </row>
    <row r="56" spans="2:12">
      <c r="B56" s="5"/>
      <c r="C56" s="28" t="s">
        <v>113</v>
      </c>
      <c r="D56" s="35" t="b">
        <v>1</v>
      </c>
      <c r="E56" s="9"/>
      <c r="F56" s="72"/>
      <c r="G56" s="76"/>
      <c r="H56" s="10"/>
      <c r="I56" s="72" t="s">
        <v>119</v>
      </c>
      <c r="J56" s="76">
        <v>-1.4399999999999999E-3</v>
      </c>
      <c r="K56" s="78"/>
      <c r="L56" s="55"/>
    </row>
    <row r="57" spans="2:12">
      <c r="B57" s="5"/>
      <c r="C57" s="28" t="s">
        <v>114</v>
      </c>
      <c r="D57" s="35">
        <v>2</v>
      </c>
      <c r="E57" s="9"/>
      <c r="F57" s="72"/>
      <c r="G57" s="76"/>
      <c r="H57" s="10"/>
      <c r="I57" s="72" t="s">
        <v>120</v>
      </c>
      <c r="J57" s="76">
        <v>-1.4399999999999999E-3</v>
      </c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 t="s">
        <v>121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122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123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124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125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126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127</v>
      </c>
      <c r="D71" s="10"/>
      <c r="E71" s="10"/>
      <c r="F71" s="49" t="s">
        <v>129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151</v>
      </c>
      <c r="G72" s="97" t="s">
        <v>13</v>
      </c>
      <c r="H72" s="97" t="s">
        <v>14</v>
      </c>
      <c r="I72" s="97" t="s">
        <v>12</v>
      </c>
      <c r="J72" s="97" t="s">
        <v>128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130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131</v>
      </c>
      <c r="D92" s="10"/>
      <c r="E92" s="10"/>
      <c r="F92" s="49" t="s">
        <v>132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102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133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134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136</v>
      </c>
      <c r="D98" s="35" t="s">
        <v>135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137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107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106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138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139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140</v>
      </c>
      <c r="D105" s="35" t="s">
        <v>141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142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 t="s">
        <v>143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 t="s">
        <v>144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 t="s">
        <v>145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22"/>
  <sheetViews>
    <sheetView tabSelected="1" workbookViewId="0">
      <selection activeCell="E20" sqref="E20"/>
    </sheetView>
  </sheetViews>
  <sheetFormatPr defaultRowHeight="15"/>
  <cols>
    <col min="1" max="1" width="20.5703125" customWidth="1"/>
    <col min="2" max="2" width="51.140625" customWidth="1"/>
  </cols>
  <sheetData>
    <row r="2" spans="1:2">
      <c r="A2" s="115" t="s">
        <v>157</v>
      </c>
      <c r="B2" s="114"/>
    </row>
    <row r="3" spans="1:2">
      <c r="A3" s="120" t="s">
        <v>160</v>
      </c>
      <c r="B3" s="124" t="s">
        <v>81</v>
      </c>
    </row>
    <row r="4" spans="1:2">
      <c r="A4" s="121" t="s">
        <v>161</v>
      </c>
      <c r="B4" s="128" t="s">
        <v>93</v>
      </c>
    </row>
    <row r="5" spans="1:2">
      <c r="A5" s="121" t="s">
        <v>162</v>
      </c>
      <c r="B5" s="126">
        <f ca="1">TODAY()</f>
        <v>42466</v>
      </c>
    </row>
    <row r="6" spans="1:2">
      <c r="A6" s="121" t="s">
        <v>163</v>
      </c>
      <c r="B6" s="125" t="s">
        <v>158</v>
      </c>
    </row>
    <row r="7" spans="1:2">
      <c r="A7" s="122" t="s">
        <v>164</v>
      </c>
      <c r="B7" s="126">
        <f ca="1">_xll.mirGetDate(B5,B6,"FOLLOWING",B13)</f>
        <v>42468</v>
      </c>
    </row>
    <row r="8" spans="1:2">
      <c r="A8" s="122" t="s">
        <v>165</v>
      </c>
      <c r="B8" s="125" t="s">
        <v>159</v>
      </c>
    </row>
    <row r="9" spans="1:2">
      <c r="A9" s="123" t="s">
        <v>166</v>
      </c>
      <c r="B9" s="126">
        <f ca="1">_xll.mirGetDate(B7,B8,B12,B13)</f>
        <v>42835</v>
      </c>
    </row>
    <row r="10" spans="1:2">
      <c r="A10" s="121" t="s">
        <v>27</v>
      </c>
      <c r="B10" s="125" t="s">
        <v>135</v>
      </c>
    </row>
    <row r="11" spans="1:2">
      <c r="A11" s="121" t="s">
        <v>102</v>
      </c>
      <c r="B11" s="125" t="s">
        <v>6</v>
      </c>
    </row>
    <row r="12" spans="1:2">
      <c r="A12" s="121" t="s">
        <v>167</v>
      </c>
      <c r="B12" s="125" t="s">
        <v>22</v>
      </c>
    </row>
    <row r="13" spans="1:2">
      <c r="A13" s="121" t="s">
        <v>168</v>
      </c>
      <c r="B13" s="125" t="s">
        <v>2</v>
      </c>
    </row>
    <row r="14" spans="1:2">
      <c r="A14" s="129" t="s">
        <v>169</v>
      </c>
      <c r="B14" s="130" t="s">
        <v>171</v>
      </c>
    </row>
    <row r="15" spans="1:2">
      <c r="A15" s="129" t="s">
        <v>172</v>
      </c>
      <c r="B15" s="130"/>
    </row>
    <row r="16" spans="1:2">
      <c r="A16" s="129" t="s">
        <v>173</v>
      </c>
      <c r="B16" s="130"/>
    </row>
    <row r="17" spans="1:2">
      <c r="A17" s="131" t="s">
        <v>174</v>
      </c>
      <c r="B17" s="132"/>
    </row>
    <row r="18" spans="1:2">
      <c r="A18" s="114"/>
    </row>
    <row r="19" spans="1:2">
      <c r="A19" s="119" t="s">
        <v>170</v>
      </c>
      <c r="B19" s="127">
        <f ca="1">_xll.mirGetAnnuity1(FromDate,ToDate,CurveId,Frequency,SlidingRule,Calendar,FirstStub,LastStub,PaymentRollDay,DayCount,Interpolation,CurveName)</f>
        <v>1.0205933242707839</v>
      </c>
    </row>
    <row r="21" spans="1:2">
      <c r="A21" s="117"/>
      <c r="B21" s="114"/>
    </row>
    <row r="22" spans="1:2">
      <c r="A22" s="118"/>
      <c r="B22" s="116"/>
    </row>
  </sheetData>
  <dataValidations count="5">
    <dataValidation type="list" allowBlank="1" showInputMessage="1" showErrorMessage="1" sqref="B12">
      <formula1>"MOD_FOLLOWING,FOLLOWING,MOD_PRECEDING,PRECEDING,NO_CHANGE"</formula1>
    </dataValidation>
    <dataValidation type="list" allowBlank="1" showInputMessage="1" showErrorMessage="1" sqref="B11">
      <formula1>" ACT/ACT, ACT/365,ACT/360, '30/360, 30E/360, ACT/365FJ,ACT/365_ISDA"</formula1>
    </dataValidation>
    <dataValidation type="list" allowBlank="1" showInputMessage="1" showErrorMessage="1" sqref="B10">
      <formula1>"None,Business_Days,Weekly,Monthly,Quarterly,Semi-Annual,Annual,LIBOR_MODE,Simple"</formula1>
    </dataValidation>
    <dataValidation imeMode="halfAlpha" allowBlank="1" showInputMessage="1" showErrorMessage="1" sqref="B8"/>
    <dataValidation type="list" allowBlank="1" showInputMessage="1" showErrorMessage="1" sqref="B4">
      <formula1>"OIS,STD"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39</vt:i4>
      </vt:variant>
    </vt:vector>
  </HeadingPairs>
  <TitlesOfParts>
    <vt:vector size="42" baseType="lpstr">
      <vt:lpstr>EUR OIS</vt:lpstr>
      <vt:lpstr>EUR SWAP 6ML</vt:lpstr>
      <vt:lpstr>Example</vt:lpstr>
      <vt:lpstr>Calendar</vt:lpstr>
      <vt:lpstr>Curve.BuildProperties</vt:lpstr>
      <vt:lpstr>Curve.CollectionName</vt:lpstr>
      <vt:lpstr>Curve.MarketDataTable</vt:lpstr>
      <vt:lpstr>Curve.OISIndexName</vt:lpstr>
      <vt:lpstr>CurveId</vt:lpstr>
      <vt:lpstr>CurveName</vt:lpstr>
      <vt:lpstr>DayCount</vt:lpstr>
      <vt:lpstr>FirstStub</vt:lpstr>
      <vt:lpstr>FRA.Conventions</vt:lpstr>
      <vt:lpstr>FRA.MarketDataX3</vt:lpstr>
      <vt:lpstr>FRA.MarketDataX6</vt:lpstr>
      <vt:lpstr>Frequency</vt:lpstr>
      <vt:lpstr>FromDate</vt:lpstr>
      <vt:lpstr>Futures.Conventions</vt:lpstr>
      <vt:lpstr>Futures.MarketData</vt:lpstr>
      <vt:lpstr>Interpolation</vt:lpstr>
      <vt:lpstr>isEUR6MLLoaded</vt:lpstr>
      <vt:lpstr>isEUROISLoaded</vt:lpstr>
      <vt:lpstr>LastStub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PaymentRollDay</vt:lpstr>
      <vt:lpstr>SlidingRule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ToDate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2016-03-11T11:47:18Z</dcterms:created>
  <dcterms:modified xsi:type="dcterms:W3CDTF">2016-04-06T17:00:15Z</dcterms:modified>
</cp:coreProperties>
</file>