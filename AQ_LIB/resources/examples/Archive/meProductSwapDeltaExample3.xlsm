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7"/>
  </bookViews>
  <sheets>
    <sheet name="Settings" sheetId="24" r:id="rId1"/>
    <sheet name="EUR OIS" sheetId="2" r:id="rId2"/>
    <sheet name="EUR SWAP 3ML" sheetId="3" r:id="rId3"/>
    <sheet name="EUR BASIS 6ML" sheetId="4" r:id="rId4"/>
    <sheet name="EUR BASIS 1ML" sheetId="27" r:id="rId5"/>
    <sheet name="EUR BASIS 12ML" sheetId="28" r:id="rId6"/>
    <sheet name="EUR IRS Portfolio" sheetId="29" r:id="rId7"/>
    <sheet name="EUR Numerical Risk" sheetId="30" r:id="rId8"/>
  </sheets>
  <functionGroups builtInGroupCount="17"/>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Risk'!$B$10:$J$79</definedName>
    <definedName name="EURNumericalRisk.Totals">'EUR Numerical Risk'!$B$7:$J$7</definedName>
    <definedName name="EURSwaps.Portfolio">'EUR IRS Portfolio'!$B$14:$I$51</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6">'EUR IRS Portfolio'!$12:$51</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AE7" i="30" l="1"/>
  <c r="BC7" i="30"/>
  <c r="BB7" i="30"/>
  <c r="BA7" i="30"/>
  <c r="AX7" i="30"/>
  <c r="BD7" i="30" s="1"/>
  <c r="AW7" i="30"/>
  <c r="AV7" i="30"/>
  <c r="AS7" i="30"/>
  <c r="AR7" i="30"/>
  <c r="AQ7" i="30"/>
  <c r="AN7" i="30"/>
  <c r="AT7" i="30" s="1"/>
  <c r="AM7" i="30"/>
  <c r="AL7" i="30"/>
  <c r="AI7" i="30"/>
  <c r="AH7" i="30"/>
  <c r="AG7" i="30"/>
  <c r="AD7" i="30"/>
  <c r="AC7" i="30"/>
  <c r="AB7" i="30"/>
  <c r="Y7" i="30"/>
  <c r="X7" i="30"/>
  <c r="W7" i="30"/>
  <c r="U7" i="30"/>
  <c r="T7" i="30"/>
  <c r="S7" i="30"/>
  <c r="R7" i="30"/>
  <c r="O7" i="30"/>
  <c r="N7" i="30"/>
  <c r="M7" i="30"/>
  <c r="BD79" i="30"/>
  <c r="BD78" i="30"/>
  <c r="BD77" i="30"/>
  <c r="BD76" i="30"/>
  <c r="BD75" i="30"/>
  <c r="BD74" i="30"/>
  <c r="BD73" i="30"/>
  <c r="BD72" i="30"/>
  <c r="BD71" i="30"/>
  <c r="BD70" i="30"/>
  <c r="BD69" i="30"/>
  <c r="BD68" i="30"/>
  <c r="BD67" i="30"/>
  <c r="BD66" i="30"/>
  <c r="BD65" i="30"/>
  <c r="BD64" i="30"/>
  <c r="BD63" i="30"/>
  <c r="BD62" i="30"/>
  <c r="BD61" i="30"/>
  <c r="BD60" i="30"/>
  <c r="BD59" i="30"/>
  <c r="BD58" i="30"/>
  <c r="BD57" i="30"/>
  <c r="BD56" i="30"/>
  <c r="BD55" i="30"/>
  <c r="BD54" i="30"/>
  <c r="BD53" i="30"/>
  <c r="BD52" i="30"/>
  <c r="BD51" i="30"/>
  <c r="BD50" i="30"/>
  <c r="BD49" i="30"/>
  <c r="BD48" i="30"/>
  <c r="BD47" i="30"/>
  <c r="BD46" i="30"/>
  <c r="BD45" i="30"/>
  <c r="BD44" i="30"/>
  <c r="BD43" i="30"/>
  <c r="BD42" i="30"/>
  <c r="BD41" i="30"/>
  <c r="BD40" i="30"/>
  <c r="BD39" i="30"/>
  <c r="BD38" i="30"/>
  <c r="BD37" i="30"/>
  <c r="BD36" i="30"/>
  <c r="BD35" i="30"/>
  <c r="BD34" i="30"/>
  <c r="BD33" i="30"/>
  <c r="BD32" i="30"/>
  <c r="BD31" i="30"/>
  <c r="BD30" i="30"/>
  <c r="BD29" i="30"/>
  <c r="BD28" i="30"/>
  <c r="BD27" i="30"/>
  <c r="BD26" i="30"/>
  <c r="BD25" i="30"/>
  <c r="BD24" i="30"/>
  <c r="BD23" i="30"/>
  <c r="BD22" i="30"/>
  <c r="BD21" i="30"/>
  <c r="BD20" i="30"/>
  <c r="BD19" i="30"/>
  <c r="BD18" i="30"/>
  <c r="BD17" i="30"/>
  <c r="BD16" i="30"/>
  <c r="BD15" i="30"/>
  <c r="BD14" i="30"/>
  <c r="BD13" i="30"/>
  <c r="BD12" i="30"/>
  <c r="BD11" i="30"/>
  <c r="U11" i="30"/>
  <c r="U12" i="30"/>
  <c r="U13" i="30"/>
  <c r="U14" i="30"/>
  <c r="U15" i="30"/>
  <c r="U16" i="30"/>
  <c r="U17" i="30"/>
  <c r="U18" i="30"/>
  <c r="U19" i="30"/>
  <c r="U20" i="30"/>
  <c r="U21" i="30"/>
  <c r="U22" i="30"/>
  <c r="U23" i="30"/>
  <c r="U24" i="30"/>
  <c r="U25" i="30"/>
  <c r="U26" i="30"/>
  <c r="U27" i="30"/>
  <c r="U28" i="30"/>
  <c r="U29" i="30"/>
  <c r="U30" i="30"/>
  <c r="U31" i="30"/>
  <c r="U32" i="30"/>
  <c r="U33" i="30"/>
  <c r="U34" i="30"/>
  <c r="U35" i="30"/>
  <c r="U36" i="30"/>
  <c r="U37" i="30"/>
  <c r="U38" i="30"/>
  <c r="U39" i="30"/>
  <c r="U40" i="30"/>
  <c r="U41" i="30"/>
  <c r="U42" i="30"/>
  <c r="U43" i="30"/>
  <c r="U44" i="30"/>
  <c r="U45" i="30"/>
  <c r="U46" i="30"/>
  <c r="U47" i="30"/>
  <c r="U48" i="30"/>
  <c r="U49" i="30"/>
  <c r="U50" i="30"/>
  <c r="U51" i="30"/>
  <c r="U52" i="30"/>
  <c r="U53" i="30"/>
  <c r="U54" i="30"/>
  <c r="U55" i="30"/>
  <c r="U56" i="30"/>
  <c r="U57" i="30"/>
  <c r="U58" i="30"/>
  <c r="U59" i="30"/>
  <c r="U60" i="30"/>
  <c r="U61" i="30"/>
  <c r="U62" i="30"/>
  <c r="U63" i="30"/>
  <c r="U64" i="30"/>
  <c r="U65" i="30"/>
  <c r="U66" i="30"/>
  <c r="U67" i="30"/>
  <c r="U68" i="30"/>
  <c r="U69" i="30"/>
  <c r="U70" i="30"/>
  <c r="U71" i="30"/>
  <c r="U72" i="30"/>
  <c r="U73" i="30"/>
  <c r="U74" i="30"/>
  <c r="U75" i="30"/>
  <c r="U76" i="30"/>
  <c r="U77" i="30"/>
  <c r="U78" i="30"/>
  <c r="U79" i="30"/>
  <c r="AT79" i="30"/>
  <c r="AT78" i="30"/>
  <c r="AT77" i="30"/>
  <c r="AT76" i="30"/>
  <c r="AT75" i="30"/>
  <c r="AT74" i="30"/>
  <c r="AT73" i="30"/>
  <c r="AT72" i="30"/>
  <c r="AT71" i="30"/>
  <c r="AT70" i="30"/>
  <c r="AT69" i="30"/>
  <c r="AT68" i="30"/>
  <c r="AT67" i="30"/>
  <c r="AT66" i="30"/>
  <c r="AT65" i="30"/>
  <c r="AT64" i="30"/>
  <c r="AT63" i="30"/>
  <c r="AT62" i="30"/>
  <c r="AT61" i="30"/>
  <c r="AT60" i="30"/>
  <c r="AT59" i="30"/>
  <c r="AT58" i="30"/>
  <c r="AT57" i="30"/>
  <c r="AT56" i="30"/>
  <c r="AT55" i="30"/>
  <c r="AT54" i="30"/>
  <c r="AT53" i="30"/>
  <c r="AT52" i="30"/>
  <c r="AT51" i="30"/>
  <c r="AT50" i="30"/>
  <c r="AT49" i="30"/>
  <c r="AT48" i="30"/>
  <c r="AT47" i="30"/>
  <c r="AT46" i="30"/>
  <c r="AT45" i="30"/>
  <c r="AT44" i="30"/>
  <c r="AT43" i="30"/>
  <c r="AT42" i="30"/>
  <c r="AT41" i="30"/>
  <c r="AT40" i="30"/>
  <c r="AT39" i="30"/>
  <c r="AT38" i="30"/>
  <c r="AT37" i="30"/>
  <c r="AT36" i="30"/>
  <c r="AT35" i="30"/>
  <c r="AT34" i="30"/>
  <c r="AT33" i="30"/>
  <c r="AT32" i="30"/>
  <c r="AT31" i="30"/>
  <c r="AT30" i="30"/>
  <c r="AT29" i="30"/>
  <c r="AT28" i="30"/>
  <c r="AT27" i="30"/>
  <c r="AT26" i="30"/>
  <c r="AT25" i="30"/>
  <c r="AT24" i="30"/>
  <c r="AT23" i="30"/>
  <c r="AT22" i="30"/>
  <c r="AT21" i="30"/>
  <c r="AT20" i="30"/>
  <c r="AT19" i="30"/>
  <c r="AT18" i="30"/>
  <c r="AT17" i="30"/>
  <c r="AT16" i="30"/>
  <c r="AT15" i="30"/>
  <c r="AT14" i="30"/>
  <c r="AT13" i="30"/>
  <c r="AT12" i="30"/>
  <c r="AT11" i="30"/>
  <c r="AE11" i="30"/>
  <c r="AE12" i="30"/>
  <c r="AE13" i="30"/>
  <c r="AE14" i="30"/>
  <c r="AE15" i="30"/>
  <c r="AE16" i="30"/>
  <c r="AE17" i="30"/>
  <c r="AE18" i="30"/>
  <c r="AE19" i="30"/>
  <c r="AE20" i="30"/>
  <c r="AE21" i="30"/>
  <c r="AE22" i="30"/>
  <c r="AE23" i="30"/>
  <c r="AE24" i="30"/>
  <c r="AE25" i="30"/>
  <c r="AE26" i="30"/>
  <c r="AE27" i="30"/>
  <c r="AE28" i="30"/>
  <c r="AE29" i="30"/>
  <c r="AE30" i="30"/>
  <c r="AE31" i="30"/>
  <c r="AE32" i="30"/>
  <c r="AE33" i="30"/>
  <c r="AE34" i="30"/>
  <c r="AE35" i="30"/>
  <c r="AE36" i="30"/>
  <c r="AE37" i="30"/>
  <c r="AE38" i="30"/>
  <c r="AE39" i="30"/>
  <c r="AE40" i="30"/>
  <c r="AE41" i="30"/>
  <c r="AE42" i="30"/>
  <c r="AE43" i="30"/>
  <c r="AE44" i="30"/>
  <c r="AE45" i="30"/>
  <c r="AE46" i="30"/>
  <c r="AE47" i="30"/>
  <c r="AE48" i="30"/>
  <c r="AE49" i="30"/>
  <c r="AE50" i="30"/>
  <c r="AE51" i="30"/>
  <c r="AE52" i="30"/>
  <c r="AE53" i="30"/>
  <c r="AE54" i="30"/>
  <c r="AE55" i="30"/>
  <c r="AE56" i="30"/>
  <c r="AE57" i="30"/>
  <c r="AE58" i="30"/>
  <c r="AE59" i="30"/>
  <c r="AE60" i="30"/>
  <c r="AE61" i="30"/>
  <c r="AE62" i="30"/>
  <c r="AE63" i="30"/>
  <c r="AE64" i="30"/>
  <c r="AE65" i="30"/>
  <c r="AE66" i="30"/>
  <c r="AE67" i="30"/>
  <c r="AE68" i="30"/>
  <c r="AE69" i="30"/>
  <c r="AE70" i="30"/>
  <c r="AE71" i="30"/>
  <c r="AE72" i="30"/>
  <c r="AE73" i="30"/>
  <c r="AE74" i="30"/>
  <c r="AE75" i="30"/>
  <c r="AE76" i="30"/>
  <c r="AE77" i="30"/>
  <c r="AE78" i="30"/>
  <c r="AE79" i="30"/>
  <c r="B9" i="30"/>
  <c r="G13" i="24"/>
  <c r="F98" i="3"/>
  <c r="F25" i="3"/>
  <c r="F24" i="3"/>
  <c r="F23" i="2"/>
  <c r="F22" i="2"/>
  <c r="B10" i="30" a="1"/>
  <c r="I10" i="30" l="1"/>
  <c r="H11" i="30"/>
  <c r="G12" i="30"/>
  <c r="F13" i="30"/>
  <c r="E14" i="30"/>
  <c r="D15" i="30"/>
  <c r="C16" i="30"/>
  <c r="B17" i="30"/>
  <c r="J17" i="30"/>
  <c r="I18" i="30"/>
  <c r="H19" i="30"/>
  <c r="G20" i="30"/>
  <c r="F21" i="30"/>
  <c r="E22" i="30"/>
  <c r="D23" i="30"/>
  <c r="C24" i="30"/>
  <c r="B25" i="30"/>
  <c r="J25" i="30"/>
  <c r="I26" i="30"/>
  <c r="H27" i="30"/>
  <c r="G28" i="30"/>
  <c r="F29" i="30"/>
  <c r="E30" i="30"/>
  <c r="D31" i="30"/>
  <c r="C32" i="30"/>
  <c r="B33" i="30"/>
  <c r="J33" i="30"/>
  <c r="I34" i="30"/>
  <c r="H35" i="30"/>
  <c r="G36" i="30"/>
  <c r="F37" i="30"/>
  <c r="E38" i="30"/>
  <c r="D39" i="30"/>
  <c r="C40" i="30"/>
  <c r="B41" i="30"/>
  <c r="J41" i="30"/>
  <c r="I42" i="30"/>
  <c r="H43" i="30"/>
  <c r="G44" i="30"/>
  <c r="F45" i="30"/>
  <c r="E46" i="30"/>
  <c r="D47" i="30"/>
  <c r="C48" i="30"/>
  <c r="B49" i="30"/>
  <c r="J49" i="30"/>
  <c r="I50" i="30"/>
  <c r="H51" i="30"/>
  <c r="G52" i="30"/>
  <c r="F53" i="30"/>
  <c r="E54" i="30"/>
  <c r="D55" i="30"/>
  <c r="C56" i="30"/>
  <c r="B57" i="30"/>
  <c r="J57" i="30"/>
  <c r="I58" i="30"/>
  <c r="H59" i="30"/>
  <c r="G60" i="30"/>
  <c r="F61" i="30"/>
  <c r="E62" i="30"/>
  <c r="D63" i="30"/>
  <c r="C64" i="30"/>
  <c r="B65" i="30"/>
  <c r="J65" i="30"/>
  <c r="I66" i="30"/>
  <c r="H67" i="30"/>
  <c r="G68" i="30"/>
  <c r="F69" i="30"/>
  <c r="E70" i="30"/>
  <c r="D71" i="30"/>
  <c r="C72" i="30"/>
  <c r="B73" i="30"/>
  <c r="J73" i="30"/>
  <c r="I74" i="30"/>
  <c r="H75" i="30"/>
  <c r="G76" i="30"/>
  <c r="F77" i="30"/>
  <c r="E78" i="30"/>
  <c r="D79" i="30"/>
  <c r="B10" i="30"/>
  <c r="J10" i="30"/>
  <c r="I11" i="30"/>
  <c r="H12" i="30"/>
  <c r="D10" i="30"/>
  <c r="C11" i="30"/>
  <c r="B12" i="30"/>
  <c r="J12" i="30"/>
  <c r="I13" i="30"/>
  <c r="H14" i="30"/>
  <c r="G15" i="30"/>
  <c r="F16" i="30"/>
  <c r="E17" i="30"/>
  <c r="D18" i="30"/>
  <c r="C19" i="30"/>
  <c r="B20" i="30"/>
  <c r="J20" i="30"/>
  <c r="I21" i="30"/>
  <c r="H22" i="30"/>
  <c r="G23" i="30"/>
  <c r="F24" i="30"/>
  <c r="E25" i="30"/>
  <c r="D26" i="30"/>
  <c r="C27" i="30"/>
  <c r="B28" i="30"/>
  <c r="J28" i="30"/>
  <c r="I29" i="30"/>
  <c r="H30" i="30"/>
  <c r="G31" i="30"/>
  <c r="F32" i="30"/>
  <c r="E33" i="30"/>
  <c r="D34" i="30"/>
  <c r="C35" i="30"/>
  <c r="B36" i="30"/>
  <c r="J36" i="30"/>
  <c r="I37" i="30"/>
  <c r="H38" i="30"/>
  <c r="G39" i="30"/>
  <c r="F40" i="30"/>
  <c r="E41" i="30"/>
  <c r="D42" i="30"/>
  <c r="C43" i="30"/>
  <c r="B44" i="30"/>
  <c r="J44" i="30"/>
  <c r="I45" i="30"/>
  <c r="H46" i="30"/>
  <c r="G47" i="30"/>
  <c r="F48" i="30"/>
  <c r="E49" i="30"/>
  <c r="D50" i="30"/>
  <c r="C51" i="30"/>
  <c r="B52" i="30"/>
  <c r="J52" i="30"/>
  <c r="I53" i="30"/>
  <c r="H54" i="30"/>
  <c r="G55" i="30"/>
  <c r="F56" i="30"/>
  <c r="E57" i="30"/>
  <c r="D58" i="30"/>
  <c r="C59" i="30"/>
  <c r="B60" i="30"/>
  <c r="J60" i="30"/>
  <c r="I61" i="30"/>
  <c r="H62" i="30"/>
  <c r="G63" i="30"/>
  <c r="F64" i="30"/>
  <c r="E65" i="30"/>
  <c r="D66" i="30"/>
  <c r="C67" i="30"/>
  <c r="B68" i="30"/>
  <c r="J68" i="30"/>
  <c r="I69" i="30"/>
  <c r="H70" i="30"/>
  <c r="G71" i="30"/>
  <c r="F72" i="30"/>
  <c r="E73" i="30"/>
  <c r="D74" i="30"/>
  <c r="C75" i="30"/>
  <c r="B76" i="30"/>
  <c r="J76" i="30"/>
  <c r="I77" i="30"/>
  <c r="H78" i="30"/>
  <c r="G79" i="30"/>
  <c r="E10" i="30"/>
  <c r="D11" i="30"/>
  <c r="C12" i="30"/>
  <c r="B13" i="30"/>
  <c r="J13" i="30"/>
  <c r="I14" i="30"/>
  <c r="C10" i="30"/>
  <c r="J11" i="30"/>
  <c r="G13" i="30"/>
  <c r="B15" i="30"/>
  <c r="D16" i="30"/>
  <c r="F17" i="30"/>
  <c r="G18" i="30"/>
  <c r="I19" i="30"/>
  <c r="B21" i="30"/>
  <c r="C22" i="30"/>
  <c r="E23" i="30"/>
  <c r="G24" i="30"/>
  <c r="H25" i="30"/>
  <c r="J26" i="30"/>
  <c r="C28" i="30"/>
  <c r="D29" i="30"/>
  <c r="F30" i="30"/>
  <c r="H31" i="30"/>
  <c r="I32" i="30"/>
  <c r="B34" i="30"/>
  <c r="D35" i="30"/>
  <c r="E36" i="30"/>
  <c r="G37" i="30"/>
  <c r="I38" i="30"/>
  <c r="J39" i="30"/>
  <c r="C41" i="30"/>
  <c r="E42" i="30"/>
  <c r="F43" i="30"/>
  <c r="H44" i="30"/>
  <c r="J45" i="30"/>
  <c r="B47" i="30"/>
  <c r="D48" i="30"/>
  <c r="F49" i="30"/>
  <c r="G50" i="30"/>
  <c r="I51" i="30"/>
  <c r="B53" i="30"/>
  <c r="C54" i="30"/>
  <c r="E55" i="30"/>
  <c r="G56" i="30"/>
  <c r="H57" i="30"/>
  <c r="J58" i="30"/>
  <c r="C60" i="30"/>
  <c r="D61" i="30"/>
  <c r="F62" i="30"/>
  <c r="H63" i="30"/>
  <c r="I64" i="30"/>
  <c r="B66" i="30"/>
  <c r="D67" i="30"/>
  <c r="E68" i="30"/>
  <c r="G69" i="30"/>
  <c r="I70" i="30"/>
  <c r="J71" i="30"/>
  <c r="C73" i="30"/>
  <c r="E74" i="30"/>
  <c r="F75" i="30"/>
  <c r="H76" i="30"/>
  <c r="J77" i="30"/>
  <c r="B79" i="30"/>
  <c r="C66" i="30"/>
  <c r="H69" i="30"/>
  <c r="B72" i="30"/>
  <c r="D73" i="30"/>
  <c r="G75" i="30"/>
  <c r="I76" i="30"/>
  <c r="C79" i="30"/>
  <c r="G10" i="30"/>
  <c r="B14" i="30"/>
  <c r="E15" i="30"/>
  <c r="G16" i="30"/>
  <c r="J18" i="30"/>
  <c r="D21" i="30"/>
  <c r="H23" i="30"/>
  <c r="B26" i="30"/>
  <c r="E28" i="30"/>
  <c r="I30" i="30"/>
  <c r="C33" i="30"/>
  <c r="F35" i="30"/>
  <c r="J37" i="30"/>
  <c r="D40" i="30"/>
  <c r="G42" i="30"/>
  <c r="B45" i="30"/>
  <c r="E47" i="30"/>
  <c r="H49" i="30"/>
  <c r="C52" i="30"/>
  <c r="F54" i="30"/>
  <c r="F10" i="30"/>
  <c r="D12" i="30"/>
  <c r="H13" i="30"/>
  <c r="C15" i="30"/>
  <c r="E16" i="30"/>
  <c r="G17" i="30"/>
  <c r="H18" i="30"/>
  <c r="J19" i="30"/>
  <c r="C21" i="30"/>
  <c r="D22" i="30"/>
  <c r="F23" i="30"/>
  <c r="H24" i="30"/>
  <c r="I25" i="30"/>
  <c r="B27" i="30"/>
  <c r="D28" i="30"/>
  <c r="E29" i="30"/>
  <c r="G30" i="30"/>
  <c r="I31" i="30"/>
  <c r="J32" i="30"/>
  <c r="C34" i="30"/>
  <c r="E35" i="30"/>
  <c r="F36" i="30"/>
  <c r="H37" i="30"/>
  <c r="J38" i="30"/>
  <c r="B40" i="30"/>
  <c r="D41" i="30"/>
  <c r="F42" i="30"/>
  <c r="G43" i="30"/>
  <c r="I44" i="30"/>
  <c r="B46" i="30"/>
  <c r="C47" i="30"/>
  <c r="E48" i="30"/>
  <c r="G49" i="30"/>
  <c r="H50" i="30"/>
  <c r="J51" i="30"/>
  <c r="C53" i="30"/>
  <c r="D54" i="30"/>
  <c r="F55" i="30"/>
  <c r="H56" i="30"/>
  <c r="I57" i="30"/>
  <c r="B59" i="30"/>
  <c r="D60" i="30"/>
  <c r="E61" i="30"/>
  <c r="G62" i="30"/>
  <c r="I63" i="30"/>
  <c r="J64" i="30"/>
  <c r="E67" i="30"/>
  <c r="F68" i="30"/>
  <c r="J70" i="30"/>
  <c r="F74" i="30"/>
  <c r="B78" i="30"/>
  <c r="E12" i="30"/>
  <c r="H17" i="30"/>
  <c r="C20" i="30"/>
  <c r="F22" i="30"/>
  <c r="I24" i="30"/>
  <c r="D27" i="30"/>
  <c r="G29" i="30"/>
  <c r="J31" i="30"/>
  <c r="E34" i="30"/>
  <c r="H36" i="30"/>
  <c r="B39" i="30"/>
  <c r="F41" i="30"/>
  <c r="I43" i="30"/>
  <c r="C46" i="30"/>
  <c r="G48" i="30"/>
  <c r="J50" i="30"/>
  <c r="D53" i="30"/>
  <c r="H55" i="30"/>
  <c r="F11" i="30"/>
  <c r="D13" i="30"/>
  <c r="G14" i="30"/>
  <c r="J15" i="30"/>
  <c r="C17" i="30"/>
  <c r="E18" i="30"/>
  <c r="F19" i="30"/>
  <c r="H20" i="30"/>
  <c r="J21" i="30"/>
  <c r="B23" i="30"/>
  <c r="D24" i="30"/>
  <c r="F25" i="30"/>
  <c r="G26" i="30"/>
  <c r="I27" i="30"/>
  <c r="B29" i="30"/>
  <c r="C30" i="30"/>
  <c r="E31" i="30"/>
  <c r="G32" i="30"/>
  <c r="H33" i="30"/>
  <c r="J34" i="30"/>
  <c r="C36" i="30"/>
  <c r="D37" i="30"/>
  <c r="F38" i="30"/>
  <c r="H39" i="30"/>
  <c r="I40" i="30"/>
  <c r="B42" i="30"/>
  <c r="D43" i="30"/>
  <c r="E44" i="30"/>
  <c r="G45" i="30"/>
  <c r="I46" i="30"/>
  <c r="J47" i="30"/>
  <c r="C49" i="30"/>
  <c r="E50" i="30"/>
  <c r="F51" i="30"/>
  <c r="H52" i="30"/>
  <c r="J53" i="30"/>
  <c r="B55" i="30"/>
  <c r="D56" i="30"/>
  <c r="F57" i="30"/>
  <c r="G58" i="30"/>
  <c r="I59" i="30"/>
  <c r="B61" i="30"/>
  <c r="C62" i="30"/>
  <c r="E63" i="30"/>
  <c r="G64" i="30"/>
  <c r="H65" i="30"/>
  <c r="J66" i="30"/>
  <c r="C68" i="30"/>
  <c r="D69" i="30"/>
  <c r="F70" i="30"/>
  <c r="H71" i="30"/>
  <c r="I72" i="30"/>
  <c r="B74" i="30"/>
  <c r="D75" i="30"/>
  <c r="E76" i="30"/>
  <c r="G77" i="30"/>
  <c r="I78" i="30"/>
  <c r="J79" i="30"/>
  <c r="G11" i="30"/>
  <c r="E13" i="30"/>
  <c r="J14" i="30"/>
  <c r="B16" i="30"/>
  <c r="D17" i="30"/>
  <c r="F18" i="30"/>
  <c r="G19" i="30"/>
  <c r="I20" i="30"/>
  <c r="H10" i="30"/>
  <c r="F14" i="30"/>
  <c r="B18" i="30"/>
  <c r="E21" i="30"/>
  <c r="I23" i="30"/>
  <c r="C26" i="30"/>
  <c r="F28" i="30"/>
  <c r="J30" i="30"/>
  <c r="D33" i="30"/>
  <c r="G35" i="30"/>
  <c r="B38" i="30"/>
  <c r="E40" i="30"/>
  <c r="H42" i="30"/>
  <c r="C45" i="30"/>
  <c r="F47" i="30"/>
  <c r="I49" i="30"/>
  <c r="D52" i="30"/>
  <c r="G54" i="30"/>
  <c r="I56" i="30"/>
  <c r="F58" i="30"/>
  <c r="F60" i="30"/>
  <c r="D62" i="30"/>
  <c r="D64" i="30"/>
  <c r="E66" i="30"/>
  <c r="J67" i="30"/>
  <c r="B70" i="30"/>
  <c r="I71" i="30"/>
  <c r="H73" i="30"/>
  <c r="I75" i="30"/>
  <c r="E77" i="30"/>
  <c r="F79" i="30"/>
  <c r="I52" i="30"/>
  <c r="C65" i="30"/>
  <c r="G74" i="30"/>
  <c r="H16" i="30"/>
  <c r="B32" i="30"/>
  <c r="G41" i="30"/>
  <c r="H48" i="30"/>
  <c r="I55" i="30"/>
  <c r="G61" i="30"/>
  <c r="B67" i="30"/>
  <c r="H72" i="30"/>
  <c r="F78" i="30"/>
  <c r="C13" i="30"/>
  <c r="B11" i="30"/>
  <c r="F15" i="30"/>
  <c r="C18" i="30"/>
  <c r="G21" i="30"/>
  <c r="J23" i="30"/>
  <c r="E26" i="30"/>
  <c r="H28" i="30"/>
  <c r="B31" i="30"/>
  <c r="F33" i="30"/>
  <c r="I35" i="30"/>
  <c r="C38" i="30"/>
  <c r="G40" i="30"/>
  <c r="J42" i="30"/>
  <c r="D45" i="30"/>
  <c r="H47" i="30"/>
  <c r="B50" i="30"/>
  <c r="E52" i="30"/>
  <c r="I54" i="30"/>
  <c r="J56" i="30"/>
  <c r="H58" i="30"/>
  <c r="H60" i="30"/>
  <c r="I62" i="30"/>
  <c r="E64" i="30"/>
  <c r="F66" i="30"/>
  <c r="D68" i="30"/>
  <c r="C70" i="30"/>
  <c r="D72" i="30"/>
  <c r="I73" i="30"/>
  <c r="J75" i="30"/>
  <c r="H77" i="30"/>
  <c r="H79" i="30"/>
  <c r="E11" i="30"/>
  <c r="B19" i="30"/>
  <c r="H21" i="30"/>
  <c r="B24" i="30"/>
  <c r="F26" i="30"/>
  <c r="I28" i="30"/>
  <c r="C31" i="30"/>
  <c r="J35" i="30"/>
  <c r="D38" i="30"/>
  <c r="H40" i="30"/>
  <c r="B43" i="30"/>
  <c r="E45" i="30"/>
  <c r="I47" i="30"/>
  <c r="F52" i="30"/>
  <c r="J54" i="30"/>
  <c r="C57" i="30"/>
  <c r="D59" i="30"/>
  <c r="I60" i="30"/>
  <c r="J62" i="30"/>
  <c r="G66" i="30"/>
  <c r="H68" i="30"/>
  <c r="D70" i="30"/>
  <c r="E72" i="30"/>
  <c r="C74" i="30"/>
  <c r="C76" i="30"/>
  <c r="C78" i="30"/>
  <c r="F12" i="30"/>
  <c r="D19" i="30"/>
  <c r="B22" i="30"/>
  <c r="E24" i="30"/>
  <c r="H26" i="30"/>
  <c r="C29" i="30"/>
  <c r="F31" i="30"/>
  <c r="I33" i="30"/>
  <c r="G38" i="30"/>
  <c r="J40" i="30"/>
  <c r="H45" i="30"/>
  <c r="F50" i="30"/>
  <c r="C55" i="30"/>
  <c r="E59" i="30"/>
  <c r="B63" i="30"/>
  <c r="H66" i="30"/>
  <c r="G70" i="30"/>
  <c r="D76" i="30"/>
  <c r="E19" i="30"/>
  <c r="J24" i="30"/>
  <c r="H29" i="30"/>
  <c r="I36" i="30"/>
  <c r="J43" i="30"/>
  <c r="B51" i="30"/>
  <c r="F59" i="30"/>
  <c r="D65" i="30"/>
  <c r="B71" i="30"/>
  <c r="F76" i="30"/>
  <c r="H15" i="30"/>
  <c r="G33" i="30"/>
  <c r="C50" i="30"/>
  <c r="H64" i="30"/>
  <c r="I79" i="30"/>
  <c r="I15" i="30"/>
  <c r="D36" i="30"/>
  <c r="E43" i="30"/>
  <c r="B48" i="30"/>
  <c r="D57" i="30"/>
  <c r="C61" i="30"/>
  <c r="I68" i="30"/>
  <c r="G72" i="30"/>
  <c r="D78" i="30"/>
  <c r="I12" i="30"/>
  <c r="G22" i="30"/>
  <c r="E27" i="30"/>
  <c r="F34" i="30"/>
  <c r="C39" i="30"/>
  <c r="D46" i="30"/>
  <c r="E53" i="30"/>
  <c r="G57" i="30"/>
  <c r="C63" i="30"/>
  <c r="B69" i="30"/>
  <c r="H74" i="30"/>
  <c r="C14" i="30"/>
  <c r="I22" i="30"/>
  <c r="J27" i="30"/>
  <c r="H34" i="30"/>
  <c r="H41" i="30"/>
  <c r="J46" i="30"/>
  <c r="H53" i="30"/>
  <c r="G59" i="30"/>
  <c r="B64" i="30"/>
  <c r="E69" i="30"/>
  <c r="J74" i="30"/>
  <c r="E79" i="30"/>
  <c r="C23" i="30"/>
  <c r="B30" i="30"/>
  <c r="C42" i="30"/>
  <c r="J55" i="30"/>
  <c r="G65" i="30"/>
  <c r="E75" i="30"/>
  <c r="J16" i="30"/>
  <c r="D30" i="30"/>
  <c r="C44" i="30"/>
  <c r="B56" i="30"/>
  <c r="E71" i="30"/>
  <c r="D25" i="30"/>
  <c r="D32" i="30"/>
  <c r="D44" i="30"/>
  <c r="E56" i="30"/>
  <c r="F67" i="30"/>
  <c r="G25" i="30"/>
  <c r="F44" i="30"/>
  <c r="B58" i="30"/>
  <c r="J72" i="30"/>
  <c r="F27" i="30"/>
  <c r="G51" i="30"/>
  <c r="I67" i="30"/>
  <c r="G34" i="30"/>
  <c r="G46" i="30"/>
  <c r="J63" i="30"/>
  <c r="D14" i="30"/>
  <c r="J22" i="30"/>
  <c r="J29" i="30"/>
  <c r="B35" i="30"/>
  <c r="I41" i="30"/>
  <c r="I48" i="30"/>
  <c r="B54" i="30"/>
  <c r="J59" i="30"/>
  <c r="F65" i="30"/>
  <c r="J69" i="30"/>
  <c r="B75" i="30"/>
  <c r="I16" i="30"/>
  <c r="B37" i="30"/>
  <c r="J48" i="30"/>
  <c r="E60" i="30"/>
  <c r="C71" i="30"/>
  <c r="C25" i="30"/>
  <c r="C37" i="30"/>
  <c r="D49" i="30"/>
  <c r="H61" i="30"/>
  <c r="I65" i="30"/>
  <c r="B77" i="30"/>
  <c r="I17" i="30"/>
  <c r="E37" i="30"/>
  <c r="D51" i="30"/>
  <c r="J61" i="30"/>
  <c r="F71" i="30"/>
  <c r="D20" i="30"/>
  <c r="E32" i="30"/>
  <c r="E51" i="30"/>
  <c r="B62" i="30"/>
  <c r="D77" i="30"/>
  <c r="E20" i="30"/>
  <c r="F46" i="30"/>
  <c r="F63" i="30"/>
  <c r="G78" i="30"/>
  <c r="G27" i="30"/>
  <c r="G53" i="30"/>
  <c r="C69" i="30"/>
  <c r="J78" i="30"/>
  <c r="C77" i="30"/>
  <c r="E39" i="30"/>
  <c r="G67" i="30"/>
  <c r="H32" i="30"/>
  <c r="F39" i="30"/>
  <c r="C58" i="30"/>
  <c r="F73" i="30"/>
  <c r="F20" i="30"/>
  <c r="I39" i="30"/>
  <c r="E58" i="30"/>
  <c r="G73" i="30"/>
  <c r="I34" i="29"/>
  <c r="H34" i="29"/>
  <c r="G34" i="29"/>
  <c r="F34" i="29"/>
  <c r="E34" i="29"/>
  <c r="D34" i="29"/>
  <c r="C34" i="29"/>
  <c r="I51" i="29" l="1"/>
  <c r="H51" i="29"/>
  <c r="G51" i="29"/>
  <c r="F51" i="29"/>
  <c r="E51" i="29"/>
  <c r="D51" i="29"/>
  <c r="C51" i="29"/>
  <c r="I32" i="29"/>
  <c r="H32" i="29"/>
  <c r="G32" i="29"/>
  <c r="F32" i="29"/>
  <c r="E32" i="29"/>
  <c r="D32" i="29"/>
  <c r="C32" i="29"/>
  <c r="C7" i="30" l="1"/>
  <c r="F7" i="30"/>
  <c r="E7" i="30"/>
  <c r="H7" i="30"/>
  <c r="D7" i="30"/>
  <c r="G7" i="30"/>
  <c r="I7" i="30"/>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E18" i="29"/>
  <c r="D18" i="29"/>
  <c r="F18" i="29"/>
  <c r="I18" i="29"/>
  <c r="C18" i="29"/>
  <c r="H18" i="29"/>
  <c r="G18" i="29"/>
  <c r="M48" i="28" l="1"/>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G21" i="27" l="1"/>
  <c r="G21" i="4" l="1"/>
  <c r="F22" i="3"/>
  <c r="F20" i="2"/>
  <c r="F7" i="2"/>
  <c r="K39" i="4" l="1"/>
  <c r="G6" i="24" l="1"/>
  <c r="G23" i="4" l="1"/>
  <c r="G23" i="28"/>
  <c r="G66" i="28"/>
  <c r="G23" i="27"/>
  <c r="G66" i="4"/>
  <c r="G66" i="27"/>
  <c r="F8" i="2" l="1"/>
  <c r="C31" i="29" l="1"/>
  <c r="F8" i="3"/>
  <c r="F9" i="3" l="1"/>
  <c r="G7" i="4" l="1"/>
  <c r="G7" i="27"/>
  <c r="G8" i="27" l="1"/>
  <c r="G8" i="4"/>
  <c r="G7" i="28"/>
  <c r="G8" i="28" l="1"/>
  <c r="C54" i="29"/>
  <c r="H54" i="29"/>
  <c r="G57" i="29"/>
  <c r="D55" i="29"/>
  <c r="F54" i="29"/>
  <c r="C56" i="29"/>
  <c r="D57" i="29"/>
  <c r="G55" i="29"/>
  <c r="I57" i="29"/>
  <c r="D54" i="29"/>
  <c r="E55" i="29"/>
  <c r="F55" i="29"/>
  <c r="D56" i="29"/>
  <c r="I56" i="29"/>
  <c r="G56" i="29"/>
  <c r="E54" i="29"/>
  <c r="C55" i="29"/>
  <c r="E57" i="29"/>
  <c r="G54" i="29"/>
  <c r="C57" i="29"/>
  <c r="E56" i="29"/>
  <c r="I55" i="29"/>
  <c r="H55" i="29"/>
  <c r="I54" i="29"/>
  <c r="H57" i="29"/>
  <c r="F56" i="29"/>
  <c r="F57" i="29"/>
  <c r="H56" i="29"/>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<sst xmlns="http://schemas.openxmlformats.org/spreadsheetml/2006/main" count="1969" uniqueCount="465">
  <si>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</si>
  <si>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</si>
  <si>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</si>
  <si>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</si>
  <si>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</si>
  <si>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</si>
  <si>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</si>
  <si>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</si>
  <si>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</si>
  <si>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</si>
  <si>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</si>
  <si>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</si>
  <si>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</si>
  <si>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</si>
  <si>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</si>
  <si>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</si>
  <si>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</si>
  <si>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</si>
  <si>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</si>
  <si>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</si>
  <si>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</si>
  <si>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</si>
  <si>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</si>
  <si>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</si>
  <si>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</si>
  <si>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</si>
  <si>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</si>
  <si>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</si>
  <si>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</si>
  <si>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</si>
  <si>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</si>
  <si>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</si>
  <si>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</si>
  <si>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</si>
  <si>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</si>
  <si>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</si>
  <si>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</si>
  <si>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</si>
  <si>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</si>
  <si>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</si>
  <si>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</si>
  <si>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</si>
  <si>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</si>
  <si>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</si>
  <si>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</si>
  <si>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</si>
  <si>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</si>
  <si>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</si>
  <si>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</si>
  <si>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</si>
  <si>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</si>
  <si>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</si>
  <si>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</si>
  <si>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</si>
  <si>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</si>
  <si>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</si>
  <si>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</si>
  <si>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</si>
  <si>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</si>
  <si>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</si>
  <si>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</si>
  <si>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</si>
  <si>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</si>
  <si>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</si>
  <si>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</si>
  <si>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</si>
  <si>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</si>
  <si>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</si>
  <si>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</si>
  <si>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</si>
  <si>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</si>
  <si>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</si>
  <si>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</si>
  <si>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</si>
  <si>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</si>
  <si>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</si>
  <si>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</si>
  <si>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</si>
  <si>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</si>
  <si>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</si>
  <si>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</si>
  <si>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</si>
  <si>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</si>
  <si>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</si>
  <si>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</si>
  <si>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</si>
  <si>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</si>
  <si>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</si>
  <si>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</si>
  <si>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</si>
  <si>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</si>
  <si>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</si>
  <si>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</si>
  <si>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</si>
  <si>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</si>
  <si>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</si>
  <si>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</si>
  <si>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</si>
  <si>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</si>
  <si>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</si>
  <si>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</si>
  <si>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</si>
  <si>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</si>
  <si>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</si>
  <si>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</si>
  <si>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</si>
  <si>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</si>
  <si>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</si>
  <si>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</si>
  <si>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</si>
  <si>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</si>
  <si>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</si>
  <si>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</si>
  <si>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</si>
  <si>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</si>
  <si>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</si>
  <si>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</si>
  <si>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</si>
  <si>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</si>
  <si>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</si>
  <si>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</si>
  <si>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</si>
  <si>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</si>
  <si>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</si>
  <si>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</si>
  <si>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</si>
  <si>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</si>
  <si>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</si>
  <si>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</si>
  <si>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</si>
  <si>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</si>
  <si>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</si>
  <si>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</si>
  <si>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</si>
  <si>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</si>
  <si>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</si>
  <si>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</si>
  <si>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</si>
  <si>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</si>
  <si>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</si>
  <si>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</si>
  <si>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</si>
  <si>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</si>
  <si>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</si>
  <si>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</si>
  <si>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</si>
  <si>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</si>
  <si>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</si>
  <si>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</si>
  <si>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</si>
  <si>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</si>
  <si>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</si>
  <si>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</si>
  <si>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</si>
  <si>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</si>
  <si>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</si>
  <si>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</si>
  <si>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</si>
  <si>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</si>
  <si>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</si>
  <si>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</si>
  <si>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</si>
  <si>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</si>
  <si>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</si>
  <si>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</si>
  <si>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</si>
  <si>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</si>
  <si>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</si>
  <si>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EUR3ML</t>
  </si>
  <si>
    <t>Notional</t>
  </si>
  <si>
    <t>0D</t>
  </si>
  <si>
    <t>ShortStart</t>
  </si>
  <si>
    <t>CSA</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</si>
  <si>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</si>
  <si>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</si>
  <si>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</si>
  <si>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</si>
  <si>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</si>
  <si>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</si>
  <si>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</si>
  <si>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</si>
  <si>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</si>
  <si>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</si>
  <si>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</si>
  <si>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</si>
  <si>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</si>
  <si>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</si>
  <si>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</si>
  <si>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</si>
  <si>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</si>
  <si>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</si>
  <si>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</si>
  <si>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</si>
  <si>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</si>
  <si>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</si>
  <si>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</si>
  <si>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</si>
  <si>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</si>
  <si>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</si>
  <si>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</si>
  <si>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</si>
  <si>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</si>
  <si>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</si>
  <si>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</si>
  <si>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</si>
  <si>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</si>
  <si>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</si>
  <si>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</si>
  <si>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</si>
  <si>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</si>
  <si>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</si>
  <si>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</si>
  <si>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</si>
  <si>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</si>
  <si>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</si>
  <si>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</si>
  <si>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</si>
  <si>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</si>
  <si>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</si>
  <si>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</si>
  <si>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</si>
  <si>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</si>
  <si>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</si>
  <si>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</si>
  <si>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</si>
  <si>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</si>
  <si>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</si>
  <si>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</si>
  <si>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</si>
  <si>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</si>
  <si>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</si>
  <si>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</si>
  <si>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</si>
  <si>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</si>
  <si>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</si>
  <si>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</si>
  <si>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</si>
  <si>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</si>
  <si>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</si>
  <si>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</si>
  <si>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</si>
  <si>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</si>
  <si>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</si>
  <si>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</si>
  <si>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</si>
  <si>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</si>
  <si>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</si>
  <si>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</si>
  <si>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</si>
  <si>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</si>
  <si>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</si>
  <si>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</si>
  <si>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</si>
  <si>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</si>
  <si>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</si>
  <si>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</si>
  <si>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</si>
  <si>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</si>
  <si>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</si>
  <si>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</si>
  <si>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</si>
  <si>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</si>
  <si>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</si>
  <si>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</si>
  <si>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</si>
  <si>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</si>
  <si>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</si>
  <si>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</si>
  <si>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</si>
  <si>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</si>
  <si>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</si>
  <si>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</si>
  <si>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</si>
  <si>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</si>
  <si>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</si>
  <si>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</si>
  <si>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</si>
  <si>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</si>
  <si>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</si>
  <si>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</si>
  <si>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</si>
  <si>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</si>
  <si>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</si>
  <si>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</si>
  <si>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</si>
  <si>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</si>
  <si>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</si>
  <si>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</si>
  <si>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</si>
  <si>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</si>
  <si>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</si>
  <si>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</si>
  <si>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</si>
  <si>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</si>
  <si>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</si>
  <si>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</si>
  <si>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</si>
  <si>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</si>
  <si>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</si>
  <si>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</si>
  <si>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</si>
  <si>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</si>
  <si>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</si>
  <si>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</si>
  <si>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</si>
  <si>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</si>
  <si>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</si>
  <si>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</si>
  <si>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</si>
  <si>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</si>
  <si>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</si>
  <si>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</si>
  <si>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</si>
  <si>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</si>
  <si>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</si>
  <si>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</si>
  <si>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</si>
  <si>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</si>
  <si>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</si>
  <si>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</si>
  <si>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</si>
  <si>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</si>
  <si>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</si>
  <si>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</si>
  <si>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</si>
  <si>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</si>
  <si>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</si>
  <si>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</si>
  <si>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</si>
  <si>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</si>
  <si>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</si>
  <si>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</si>
  <si>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</si>
  <si>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</si>
  <si>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</si>
  <si>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</si>
  <si>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</si>
  <si>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</si>
  <si>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</si>
  <si>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</si>
  <si>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</si>
  <si>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</si>
  <si>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</si>
  <si>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</si>
  <si>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</si>
  <si>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</si>
  <si>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</si>
  <si>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</si>
  <si>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</si>
  <si>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</si>
  <si>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</si>
  <si>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</si>
  <si>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</si>
  <si>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</si>
  <si>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</si>
  <si>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</si>
  <si>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</si>
  <si>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</si>
  <si>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</si>
  <si>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</si>
  <si>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</si>
  <si>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</si>
  <si>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</si>
  <si>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</si>
  <si>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</si>
  <si>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</si>
  <si>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</si>
  <si>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</si>
  <si>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</si>
  <si>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</si>
  <si>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</si>
  <si>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</si>
  <si>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NORMAL</t>
  </si>
  <si>
    <t>CurveFrequency</t>
  </si>
  <si>
    <t>Daily</t>
  </si>
  <si>
    <t>ForecastCurveSet</t>
  </si>
  <si>
    <t>Calculation Mode</t>
  </si>
  <si>
    <t>CalcMode</t>
  </si>
  <si>
    <t>MANUAL</t>
  </si>
  <si>
    <t>16Y</t>
  </si>
  <si>
    <t>17Y</t>
  </si>
  <si>
    <t>IRS_15Y</t>
  </si>
  <si>
    <t>IRS_16Y</t>
  </si>
  <si>
    <t>IRS_17Y</t>
  </si>
  <si>
    <t>Pillars</t>
  </si>
  <si>
    <t>EURYC_STD_O_N</t>
  </si>
  <si>
    <t>EURYC_STD_T_N</t>
  </si>
  <si>
    <t>EURYC_STD_LIBOR_1M</t>
  </si>
  <si>
    <t>EURYC_STD_LIBOR_3M</t>
  </si>
  <si>
    <t>EURYC_STD_LIBOR_6M</t>
  </si>
  <si>
    <t>EURYC_STD_LIBOR_12M</t>
  </si>
  <si>
    <t>EURYC_STD_FUTURE_ERU6 COMDTY_20160921_20161221</t>
  </si>
  <si>
    <t>EURYC_STD_FUTURE_ERV6 COMDTY_20161019_20170118</t>
  </si>
  <si>
    <t>EURYC_STD_FUTURE_ERX6 COMDTY_20161116_20170215</t>
  </si>
  <si>
    <t>EURYC_STD_FUTURE_ERZ6 COMDTY_20161221_20170315</t>
  </si>
  <si>
    <t>EURYC_STD_FUTURE_ERH7 COMDTY_20170315_20170621</t>
  </si>
  <si>
    <t>EURYC_STD_FUTURE_ERM7 COMDTY_20170621_20170920</t>
  </si>
  <si>
    <t>EURYC_STD_FUTURE_ERU7 COMDTY_20170920_20171220</t>
  </si>
  <si>
    <t>EURYC_STD_FUTURE_ERZ7 COMDTY_20171220_20180321</t>
  </si>
  <si>
    <t>EURYC_STD_FUTURE_ERH8 COMDTY_20180321_20180620</t>
  </si>
  <si>
    <t>EURYC_STD_3MLIBORSWAP_3Y</t>
  </si>
  <si>
    <t>EURYC_STD_3MLIBORSWAP_4Y</t>
  </si>
  <si>
    <t>EURYC_STD_3MLIBORSWAP_5Y</t>
  </si>
  <si>
    <t>EURYC_STD_3MLIBORSWAP_6Y</t>
  </si>
  <si>
    <t>EURYC_STD_3MLIBORSWAP_7Y</t>
  </si>
  <si>
    <t>EURYC_STD_3MLIBORSWAP_8Y</t>
  </si>
  <si>
    <t>EURYC_STD_3MLIBORSWAP_9Y</t>
  </si>
  <si>
    <t>EURYC_STD_3MLIBORSWAP_10Y</t>
  </si>
  <si>
    <t>EURYC_STD_3MLIBORSWAP_11Y</t>
  </si>
  <si>
    <t>EURYC_STD_3MLIBORSWAP_12Y</t>
  </si>
  <si>
    <t>EURYC_STD_3MLIBORSWAP_15Y</t>
  </si>
  <si>
    <t>EURYC_STD_3MLIBORSWAP_20Y</t>
  </si>
  <si>
    <t>EURYC_STD_3MLIBORSWAP_25Y</t>
  </si>
  <si>
    <t>EURYC_STD_3MLIBORSWAP_30Y</t>
  </si>
  <si>
    <t>EURYC_OIS_OUTRIGHTOISSWAP_ON</t>
  </si>
  <si>
    <t>EURYC_OIS_CBRate_EUSF1A</t>
  </si>
  <si>
    <t>EURYC_OIS_CBRate_EUSF2A</t>
  </si>
  <si>
    <t>EURYC_OIS_CBRate_EUSF3A</t>
  </si>
  <si>
    <t>EURYC_OIS_CBRate_EUSF4A</t>
  </si>
  <si>
    <t>EURYC_OIS_OUTRIGHTOISSWAP_12M</t>
  </si>
  <si>
    <t>EURYC_OIS_OUTRIGHTOISSWAP_18M</t>
  </si>
  <si>
    <t>EURYC_OIS_OUTRIGHTOISSWAP_2Y</t>
  </si>
  <si>
    <t>EURYC_OIS_BASISRATE_3Y</t>
  </si>
  <si>
    <t>EURYC_OIS_3MLIBORSWAP_3Y</t>
  </si>
  <si>
    <t>EURYC_OIS_BASISRATE_4Y</t>
  </si>
  <si>
    <t>EURYC_OIS_3MLIBORSWAP_4Y</t>
  </si>
  <si>
    <t>EURYC_OIS_BASISRATE_5Y</t>
  </si>
  <si>
    <t>EURYC_OIS_3MLIBORSWAP_5Y</t>
  </si>
  <si>
    <t>EURYC_OIS_BASISRATE_6Y</t>
  </si>
  <si>
    <t>EURYC_OIS_3MLIBORSWAP_6Y</t>
  </si>
  <si>
    <t>EURYC_OIS_BASISRATE_7Y</t>
  </si>
  <si>
    <t>EURYC_OIS_3MLIBORSWAP_7Y</t>
  </si>
  <si>
    <t>EURYC_OIS_BASISRATE_8Y</t>
  </si>
  <si>
    <t>EURYC_OIS_3MLIBORSWAP_8Y</t>
  </si>
  <si>
    <t>EURYC_OIS_BASISRATE_9Y</t>
  </si>
  <si>
    <t>EURYC_OIS_3MLIBORSWAP_9Y</t>
  </si>
  <si>
    <t>EURYC_OIS_BASISRATE_10Y</t>
  </si>
  <si>
    <t>EURYC_OIS_3MLIBORSWAP_10Y</t>
  </si>
  <si>
    <t>EURYC_OIS_BASISRATE_11Y</t>
  </si>
  <si>
    <t>EURYC_OIS_3MLIBORSWAP_11Y</t>
  </si>
  <si>
    <t>EURYC_OIS_BASISRATE_12Y</t>
  </si>
  <si>
    <t>EURYC_OIS_3MLIBORSWAP_12Y</t>
  </si>
  <si>
    <t>EURYC_OIS_BASISRATE_15Y</t>
  </si>
  <si>
    <t>EURYC_OIS_3MLIBORSWAP_15Y</t>
  </si>
  <si>
    <t>EURYC_OIS_BASISRATE_20Y</t>
  </si>
  <si>
    <t>EURYC_OIS_3MLIBORSWAP_20Y</t>
  </si>
  <si>
    <t>EURYC_OIS_BASISRATE_25Y</t>
  </si>
  <si>
    <t>EURYC_OIS_3MLIBORSWAP_25Y</t>
  </si>
  <si>
    <t>EURYC_OIS_BASISRATE_30Y</t>
  </si>
  <si>
    <t>EURYC_OIS_3MLIBORSWAP_30Y</t>
  </si>
  <si>
    <t>EURYC_OIS_BASISRATE_40Y</t>
  </si>
  <si>
    <t>EURYC_OIS_3MLIBORSWAP_40Y</t>
  </si>
  <si>
    <t>EURYC_OIS_BASISRATE_50Y</t>
  </si>
  <si>
    <t>EURYC_OIS_3MLIBORSWAP_50Y</t>
  </si>
  <si>
    <t>1=meUtilityClearLWOCache()</t>
  </si>
  <si>
    <t>MonotoneConvex</t>
  </si>
  <si>
    <t>Spline 1 Basis Point(s) Bump Mode: Central</t>
  </si>
  <si>
    <t>MonotoneConvex 1 Basis Point(s) Bump Mode: Central</t>
  </si>
  <si>
    <t>MonotoneConvex 0.01 Basis Point(s) Bump Mode: Central</t>
  </si>
  <si>
    <t>MonotoneConvex 0.01 Basis Point(s) Bump Mode: Up</t>
  </si>
  <si>
    <t>MonotoneConvex 0.01 Basis Point(s) Bump Mode: Down</t>
  </si>
  <si>
    <t>MonotoneConvex 1 Basis Point(s) Bump Mode: Up</t>
  </si>
  <si>
    <t>MonotoneConvex 1 Basis Point(s) Bump Mode: Down</t>
  </si>
  <si>
    <t>+/-</t>
  </si>
  <si>
    <t>Spline 0.01 Basis Point(s) Bump Mode: Central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</si>
</sst>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164" formatCode="0.000%"/>
    <numFmt numFmtId="165" formatCode="0.00000%"/>
    <numFmt numFmtId="166" formatCode="#,##0.0000"/>
    <numFmt numFmtId="167" formatCode="ddd\ d\-mmm\-yy"/>
    <numFmt numFmtId="168" formatCode="#,##0_ ;[Red]\-#,##0\ "/>
    <numFmt numFmtId="171" formatCode="ddd\,\ d\-mmm\-yy"/>
    <numFmt numFmtId="172" formatCode="ddd\,\ d\-mmm\-yy\ h:mm"/>
    <numFmt numFmtId="173" formatCode="0.0000%"/>
  </numFmts>
  <fonts count="3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34">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333">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6" xfId="0" applyFill="1" applyBorder="1"/>
    <xf numFmtId="0" fontId="0" fillId="2" borderId="27" xfId="0" applyFill="1" applyBorder="1"/>
    <xf numFmtId="0" fontId="0" fillId="2" borderId="25" xfId="0" applyFill="1" applyBorder="1"/>
    <xf numFmtId="0" fontId="22" fillId="0" borderId="0" xfId="0" applyFont="1"/>
    <xf numFmtId="0" fontId="23" fillId="0" borderId="0" xfId="0" applyFont="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4" fillId="2" borderId="0" xfId="0" applyFont="1" applyFill="1" applyBorder="1"/>
    <xf numFmtId="15" fontId="0" fillId="0" borderId="0" xfId="0" applyNumberFormat="1"/>
    <xf numFmtId="0" fontId="24" fillId="2" borderId="2" xfId="0" applyFont="1" applyFill="1" applyBorder="1"/>
    <xf numFmtId="164" fontId="0" fillId="0" borderId="0" xfId="0" quotePrefix="1" applyNumberFormat="1" applyAlignment="1">
      <alignment horizontal="center" vertical="center"/>
    </xf>
    <xf numFmtId="173" fontId="0" fillId="0" borderId="0" xfId="0" applyNumberFormat="1" applyAlignment="1">
      <alignment horizontal="center"/>
    </xf>
    <xf numFmtId="0" fontId="26"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21" fillId="0" borderId="4" xfId="0" applyFont="1" applyBorder="1" applyAlignment="1">
      <alignment horizontal="center" vertical="center" textRotation="90" wrapText="1"/>
    </xf>
    <xf numFmtId="0" fontId="21"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5" fillId="2" borderId="0" xfId="0" applyFont="1" applyFill="1" applyBorder="1" applyAlignment="1">
      <alignment horizontal="left" vertical="center"/>
    </xf>
    <xf numFmtId="0" fontId="27" fillId="5" borderId="16" xfId="0" applyFont="1" applyFill="1" applyBorder="1" applyAlignment="1">
      <alignment horizontal="center" vertical="center"/>
    </xf>
    <xf numFmtId="0" fontId="27"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29" fillId="0" borderId="0" xfId="0" applyFont="1"/>
    <xf numFmtId="0" fontId="30"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3" fillId="0" borderId="0" xfId="0" applyFont="1"/>
    <xf numFmtId="0" fontId="6" fillId="2" borderId="29" xfId="0" applyFont="1" applyFill="1" applyBorder="1" applyAlignment="1">
      <alignment horizontal="center" vertical="center"/>
    </xf>
    <xf numFmtId="0" fontId="6" fillId="2" borderId="29" xfId="0" applyFont="1" applyFill="1" applyBorder="1" applyAlignment="1">
      <alignment horizontal="center"/>
    </xf>
    <xf numFmtId="0" fontId="0" fillId="2" borderId="29" xfId="0" applyNumberFormat="1" applyFill="1" applyBorder="1" applyAlignment="1">
      <alignment horizontal="left" vertical="center" wrapText="1"/>
    </xf>
    <xf numFmtId="0" fontId="0" fillId="2" borderId="30" xfId="0" applyNumberFormat="1" applyFill="1" applyBorder="1" applyAlignment="1">
      <alignment horizontal="left" vertical="center" wrapText="1"/>
    </xf>
    <xf numFmtId="167" fontId="6" fillId="0" borderId="32"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167" fontId="9" fillId="6" borderId="29" xfId="0" applyNumberFormat="1" applyFont="1" applyFill="1" applyBorder="1" applyAlignment="1">
      <alignment horizontal="center" vertical="center"/>
    </xf>
    <xf numFmtId="0" fontId="6" fillId="6" borderId="32" xfId="0" applyFont="1" applyFill="1" applyBorder="1" applyAlignment="1">
      <alignment horizontal="center" vertical="center"/>
    </xf>
    <xf numFmtId="0" fontId="6" fillId="6" borderId="29" xfId="0" quotePrefix="1" applyFont="1" applyFill="1" applyBorder="1" applyAlignment="1">
      <alignment horizontal="center" vertical="center"/>
    </xf>
    <xf numFmtId="0" fontId="6" fillId="6" borderId="29" xfId="0" applyFont="1" applyFill="1" applyBorder="1" applyAlignment="1">
      <alignment horizontal="center" vertical="center"/>
    </xf>
    <xf numFmtId="167" fontId="6" fillId="6" borderId="29" xfId="0" applyNumberFormat="1" applyFont="1" applyFill="1" applyBorder="1" applyAlignment="1">
      <alignment horizontal="center" vertical="center"/>
    </xf>
    <xf numFmtId="0" fontId="9" fillId="6" borderId="29" xfId="0" applyFont="1" applyFill="1" applyBorder="1" applyAlignment="1">
      <alignment horizontal="center" vertical="center"/>
    </xf>
    <xf numFmtId="165" fontId="6" fillId="6" borderId="29" xfId="0" applyNumberFormat="1" applyFont="1" applyFill="1" applyBorder="1" applyAlignment="1">
      <alignment horizontal="center" vertical="center"/>
    </xf>
    <xf numFmtId="173" fontId="0" fillId="0" borderId="0" xfId="0" applyNumberFormat="1"/>
    <xf numFmtId="0" fontId="0" fillId="2" borderId="28" xfId="0" applyFont="1" applyFill="1" applyBorder="1"/>
    <xf numFmtId="0" fontId="0" fillId="2" borderId="29" xfId="0" applyFont="1" applyFill="1" applyBorder="1"/>
    <xf numFmtId="0" fontId="0" fillId="2" borderId="30" xfId="0" applyFont="1" applyFill="1" applyBorder="1"/>
    <xf numFmtId="0" fontId="5" fillId="0" borderId="0" xfId="0" applyFont="1" applyAlignment="1">
      <alignment horizontal="left"/>
    </xf>
    <xf numFmtId="10" fontId="9" fillId="6" borderId="33" xfId="0" applyNumberFormat="1" applyFont="1" applyFill="1" applyBorder="1" applyAlignment="1">
      <alignment horizontal="center" vertical="center"/>
    </xf>
    <xf numFmtId="0" fontId="9" fillId="6" borderId="32" xfId="0" applyFont="1" applyFill="1" applyBorder="1" applyAlignment="1">
      <alignment horizontal="center"/>
    </xf>
    <xf numFmtId="4" fontId="9" fillId="6" borderId="29" xfId="0" applyNumberFormat="1" applyFont="1" applyFill="1" applyBorder="1" applyAlignment="1">
      <alignment horizontal="center" vertical="center"/>
    </xf>
    <xf numFmtId="3" fontId="9" fillId="6" borderId="28" xfId="0" applyNumberFormat="1" applyFont="1" applyFill="1" applyBorder="1" applyAlignment="1">
      <alignment horizontal="center" vertical="center"/>
    </xf>
    <xf numFmtId="167" fontId="9" fillId="6" borderId="33" xfId="0" applyNumberFormat="1" applyFont="1" applyFill="1" applyBorder="1" applyAlignment="1">
      <alignment horizontal="center" vertical="center"/>
    </xf>
    <xf numFmtId="10" fontId="6" fillId="6" borderId="29" xfId="0" applyNumberFormat="1" applyFont="1" applyFill="1" applyBorder="1" applyAlignment="1">
      <alignment horizontal="center" vertical="center"/>
    </xf>
    <xf numFmtId="4" fontId="6" fillId="6" borderId="30" xfId="0" applyNumberFormat="1" applyFont="1" applyFill="1" applyBorder="1" applyAlignment="1">
      <alignment horizontal="center" vertical="center"/>
    </xf>
    <xf numFmtId="4" fontId="6" fillId="6" borderId="28" xfId="0" applyNumberFormat="1" applyFont="1" applyFill="1" applyBorder="1" applyAlignment="1">
      <alignment horizontal="center" vertical="center"/>
    </xf>
    <xf numFmtId="0" fontId="0" fillId="2" borderId="28" xfId="0" applyNumberFormat="1" applyFont="1" applyFill="1" applyBorder="1" applyAlignment="1">
      <alignment horizontal="left" vertical="center" wrapText="1"/>
    </xf>
    <xf numFmtId="3" fontId="9" fillId="6" borderId="29" xfId="0" applyNumberFormat="1" applyFont="1" applyFill="1" applyBorder="1" applyAlignment="1">
      <alignment horizontal="center" vertical="center"/>
    </xf>
    <xf numFmtId="0" fontId="0" fillId="2" borderId="29" xfId="0" applyNumberFormat="1" applyFont="1" applyFill="1" applyBorder="1" applyAlignment="1">
      <alignment horizontal="left" vertical="center" wrapText="1"/>
    </xf>
    <xf numFmtId="3" fontId="0" fillId="6" borderId="29"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29" xfId="0" applyNumberFormat="1" applyFont="1" applyFill="1" applyBorder="1" applyAlignment="1">
      <alignment horizontal="center" vertical="center"/>
    </xf>
    <xf numFmtId="0" fontId="9" fillId="0" borderId="30"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2" fillId="0" borderId="0" xfId="0" applyFont="1" applyAlignment="1">
      <alignment horizontal="left" vertical="center"/>
    </xf>
    <xf numFmtId="0" fontId="32" fillId="0" borderId="0" xfId="0" applyFont="1" applyAlignment="1">
      <alignment horizontal="left" vertical="center"/>
    </xf>
    <xf numFmtId="0" fontId="5" fillId="0" borderId="0" xfId="0" applyFont="1" applyAlignment="1">
      <alignment horizontal="left" vertical="center"/>
    </xf>
    <xf numFmtId="3" fontId="0" fillId="6" borderId="31"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2" fillId="0" borderId="0" xfId="0" applyFont="1"/>
    <xf numFmtId="0" fontId="23" fillId="0" borderId="0" xfId="0" applyFont="1" applyAlignment="1">
      <alignment horizontal="left" vertical="center"/>
    </xf>
    <xf numFmtId="0" fontId="23" fillId="0" borderId="0" xfId="0" applyFont="1" applyAlignment="1">
      <alignment vertical="center"/>
    </xf>
    <xf numFmtId="0" fontId="0" fillId="0" borderId="0" xfId="0" applyFill="1" applyBorder="1"/>
    <xf numFmtId="0" fontId="0" fillId="0" borderId="8" xfId="0" applyFill="1" applyBorder="1"/>
    <xf numFmtId="4" fontId="9" fillId="0" borderId="30"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0" fontId="7" fillId="0" borderId="0" xfId="0" applyFont="1"/>
    <xf numFmtId="3" fontId="6" fillId="0" borderId="10" xfId="0" applyNumberFormat="1" applyFont="1" applyBorder="1" applyAlignment="1">
      <alignment horizontal="center" vertical="center"/>
    </xf>
    <xf numFmtId="3" fontId="6" fillId="0" borderId="13" xfId="0" applyNumberFormat="1" applyFont="1" applyBorder="1" applyAlignment="1">
      <alignment horizontal="center" vertical="center"/>
    </xf>
    <xf numFmtId="168" fontId="9" fillId="2" borderId="8" xfId="0" applyNumberFormat="1" applyFont="1" applyFill="1" applyBorder="1" applyAlignment="1">
      <alignment horizontal="center" vertical="center"/>
    </xf>
    <xf numFmtId="0" fontId="21" fillId="0" borderId="16" xfId="0" applyFont="1" applyFill="1" applyBorder="1" applyAlignment="1">
      <alignment horizontal="center" vertical="center" textRotation="90"/>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0" fillId="0" borderId="16" xfId="0" applyFont="1" applyFill="1" applyBorder="1" applyAlignment="1">
      <alignment horizontal="center" vertical="center" textRotation="90" wrapText="1"/>
    </xf>
    <xf numFmtId="0" fontId="20" fillId="0" borderId="4" xfId="0" applyFont="1" applyBorder="1" applyAlignment="1">
      <alignment horizontal="center" vertical="center" textRotation="90"/>
    </xf>
    <xf numFmtId="0" fontId="20"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wrapText="1"/>
    </xf>
    <xf numFmtId="0" fontId="21" fillId="0" borderId="11" xfId="0" applyFont="1" applyBorder="1" applyAlignment="1">
      <alignment horizontal="center" vertical="center" textRotation="90" wrapText="1"/>
    </xf>
    <xf numFmtId="166" fontId="6" fillId="0" borderId="1" xfId="0" applyNumberFormat="1" applyFont="1" applyFill="1" applyBorder="1" applyAlignment="1">
      <alignment horizontal="center" vertical="center"/>
    </xf>
    <xf numFmtId="3" fontId="6" fillId="0" borderId="0" xfId="0" applyNumberFormat="1" applyFont="1"/>
    <xf numFmtId="0" fontId="11" fillId="0" borderId="0" xfId="0" applyFont="1"/>
    <xf numFmtId="3" fontId="9" fillId="0" borderId="0" xfId="0" applyNumberFormat="1" applyFont="1" applyAlignment="1">
      <alignment horizontal="left" vertical="center"/>
    </xf>
    <xf numFmtId="0" fontId="11" fillId="2" borderId="6" xfId="0" applyFont="1" applyFill="1" applyBorder="1" applyAlignment="1">
      <alignment horizontal="left" vertical="center"/>
    </xf>
    <xf numFmtId="3" fontId="11" fillId="2" borderId="7" xfId="0" applyNumberFormat="1" applyFont="1" applyFill="1" applyBorder="1" applyAlignment="1">
      <alignment horizontal="center" vertical="center"/>
    </xf>
    <xf numFmtId="3" fontId="11" fillId="2" borderId="8" xfId="0" applyNumberFormat="1" applyFont="1" applyFill="1" applyBorder="1" applyAlignment="1">
      <alignment horizontal="center" vertical="center"/>
    </xf>
    <xf numFmtId="0" fontId="9" fillId="2" borderId="9" xfId="0" applyFont="1" applyFill="1" applyBorder="1" applyAlignment="1">
      <alignment horizontal="left" vertical="center"/>
    </xf>
    <xf numFmtId="3" fontId="9" fillId="2" borderId="0" xfId="0" applyNumberFormat="1" applyFont="1" applyFill="1" applyBorder="1" applyAlignment="1">
      <alignment horizontal="center" vertical="center"/>
    </xf>
    <xf numFmtId="3" fontId="9" fillId="2" borderId="10" xfId="0" applyNumberFormat="1" applyFont="1" applyFill="1" applyBorder="1" applyAlignment="1">
      <alignment horizontal="center" vertical="center"/>
    </xf>
    <xf numFmtId="0" fontId="9" fillId="2" borderId="14" xfId="0" applyFont="1" applyFill="1" applyBorder="1" applyAlignment="1">
      <alignment horizontal="left" vertical="center"/>
    </xf>
    <xf numFmtId="3" fontId="9" fillId="2" borderId="12" xfId="0" applyNumberFormat="1" applyFont="1" applyFill="1" applyBorder="1" applyAlignment="1">
      <alignment horizontal="center" vertical="center"/>
    </xf>
    <xf numFmtId="3" fontId="9" fillId="2" borderId="13" xfId="0" applyNumberFormat="1" applyFont="1" applyFill="1" applyBorder="1" applyAlignment="1">
      <alignment horizontal="center" vertical="center"/>
    </xf>
    <xf numFmtId="0" fontId="28" fillId="0" borderId="0" xfId="0" quotePrefix="1" applyFont="1"/>
    <xf numFmtId="3" fontId="28" fillId="0" borderId="0" xfId="0" applyNumberFormat="1" applyFont="1" applyAlignment="1">
      <alignment horizontal="left"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FFFFCC"/>
      <color rgb="FF0000FF"/>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20"/>
  <sheetViews>
    <sheetView showGridLines="0" workbookViewId="0"/>
  </sheetViews>
  <sheetFormatPr defaultRowHeight="15" x14ac:dyDescent="0.25"/>
  <cols>
    <col min="3" max="3" width="9.140625" customWidth="1"/>
    <col min="4" max="4" width="9.140625" style="107" customWidth="1"/>
    <col min="5" max="5" width="13.85546875" bestFit="1" customWidth="1"/>
    <col min="6" max="6" width="20.42578125" customWidth="1"/>
    <col min="7" max="8" width="10.7109375" customWidth="1"/>
    <col min="9" max="9" width="10.7109375" style="107" customWidth="1"/>
    <col min="10" max="10" width="20.7109375" style="107" customWidth="1"/>
    <col min="11" max="11" width="16.85546875" style="107" customWidth="1"/>
  </cols>
  <sheetData>
    <row r="2" spans="2:12" x14ac:dyDescent="0.25">
      <c r="B2" s="79"/>
      <c r="C2" s="80"/>
      <c r="D2" s="80"/>
      <c r="E2" s="80"/>
      <c r="F2" s="80"/>
      <c r="G2" s="80"/>
      <c r="H2" s="80"/>
      <c r="I2" s="80"/>
      <c r="J2" s="80"/>
      <c r="K2" s="80"/>
      <c r="L2" s="81"/>
    </row>
    <row r="3" spans="2:12" s="107" customFormat="1" x14ac:dyDescent="0.25">
      <c r="B3" s="82"/>
      <c r="C3" s="112"/>
      <c r="D3" s="112"/>
      <c r="E3" s="112"/>
      <c r="F3" s="112"/>
      <c r="G3" s="112"/>
      <c r="H3" s="112"/>
      <c r="I3" s="112"/>
      <c r="J3" s="112"/>
      <c r="K3" s="112"/>
      <c r="L3" s="83"/>
    </row>
    <row r="4" spans="2:12" x14ac:dyDescent="0.25">
      <c r="B4" s="82"/>
      <c r="C4" s="77" t="s">
        <v>177</v>
      </c>
      <c r="D4" s="77"/>
      <c r="E4" s="77" t="s">
        <v>363</v>
      </c>
      <c r="F4" s="5"/>
      <c r="G4" s="5"/>
      <c r="H4" s="5"/>
      <c r="I4" s="112"/>
      <c r="J4" s="77" t="s">
        <v>362</v>
      </c>
      <c r="K4" s="112"/>
      <c r="L4" s="83"/>
    </row>
    <row r="5" spans="2:12" x14ac:dyDescent="0.25">
      <c r="B5" s="82"/>
      <c r="C5" s="5"/>
      <c r="D5" s="112"/>
      <c r="E5" s="101" t="s">
        <v>176</v>
      </c>
      <c r="F5" s="273">
        <v>42521</v>
      </c>
      <c r="G5" s="5"/>
      <c r="H5" s="5"/>
      <c r="I5" s="112"/>
      <c r="J5" s="269" t="s">
        <v>375</v>
      </c>
      <c r="K5" s="270" t="s">
        <v>373</v>
      </c>
      <c r="L5" s="83"/>
    </row>
    <row r="6" spans="2:12" x14ac:dyDescent="0.25">
      <c r="B6" s="82"/>
      <c r="C6" s="5"/>
      <c r="D6" s="112"/>
      <c r="E6" s="102" t="s">
        <v>110</v>
      </c>
      <c r="F6" s="276" t="s">
        <v>455</v>
      </c>
      <c r="G6" s="89" t="str">
        <f ca="1">"fn_"&amp;Interpolation&amp;"Interpolation"</f>
        <v>fn_MonotoneConvexInterpolation</v>
      </c>
      <c r="H6" s="5"/>
      <c r="I6" s="112"/>
      <c r="J6" s="265" t="s">
        <v>195</v>
      </c>
      <c r="K6" s="266" t="s">
        <v>374</v>
      </c>
      <c r="L6" s="83"/>
    </row>
    <row r="7" spans="2:12" x14ac:dyDescent="0.25">
      <c r="B7" s="82"/>
      <c r="C7" s="5"/>
      <c r="D7" s="112"/>
      <c r="E7" s="103" t="s">
        <v>97</v>
      </c>
      <c r="F7" s="274" t="b">
        <v>1</v>
      </c>
      <c r="G7" s="5"/>
      <c r="H7" s="5"/>
      <c r="I7" s="112"/>
      <c r="J7" s="265" t="s">
        <v>198</v>
      </c>
      <c r="K7" s="266" t="s">
        <v>197</v>
      </c>
      <c r="L7" s="83"/>
    </row>
    <row r="8" spans="2:12" x14ac:dyDescent="0.25">
      <c r="B8" s="82"/>
      <c r="C8" s="90"/>
      <c r="D8" s="90"/>
      <c r="E8" s="5"/>
      <c r="F8" s="5"/>
      <c r="G8" s="5"/>
      <c r="H8" s="5"/>
      <c r="I8" s="112"/>
      <c r="J8" s="265" t="s">
        <v>168</v>
      </c>
      <c r="K8" s="266" t="s">
        <v>28</v>
      </c>
      <c r="L8" s="83"/>
    </row>
    <row r="9" spans="2:12" s="107" customFormat="1" x14ac:dyDescent="0.25">
      <c r="B9" s="82"/>
      <c r="C9" s="90"/>
      <c r="D9" s="90"/>
      <c r="E9" s="77" t="s">
        <v>376</v>
      </c>
      <c r="F9" s="112"/>
      <c r="G9" s="112"/>
      <c r="H9" s="112"/>
      <c r="I9" s="112"/>
      <c r="J9" s="265" t="s">
        <v>162</v>
      </c>
      <c r="K9" s="266" t="s">
        <v>108</v>
      </c>
      <c r="L9" s="83"/>
    </row>
    <row r="10" spans="2:12" s="107" customFormat="1" x14ac:dyDescent="0.25">
      <c r="B10" s="82"/>
      <c r="C10" s="90"/>
      <c r="D10" s="90"/>
      <c r="E10" s="303" t="s">
        <v>377</v>
      </c>
      <c r="F10" s="304" t="s">
        <v>378</v>
      </c>
      <c r="G10" s="90"/>
      <c r="H10" s="112"/>
      <c r="I10" s="112"/>
      <c r="J10" s="267" t="s">
        <v>205</v>
      </c>
      <c r="K10" s="268" t="s">
        <v>26</v>
      </c>
      <c r="L10" s="83"/>
    </row>
    <row r="11" spans="2:12" s="107" customFormat="1" x14ac:dyDescent="0.25">
      <c r="B11" s="82"/>
      <c r="C11" s="90"/>
      <c r="D11" s="90"/>
      <c r="E11" s="90"/>
      <c r="F11" s="90"/>
      <c r="G11" s="90"/>
      <c r="H11" s="112"/>
      <c r="I11" s="112"/>
      <c r="J11" s="112"/>
      <c r="K11" s="112"/>
      <c r="L11" s="83"/>
    </row>
    <row r="12" spans="2:12" s="107" customFormat="1" x14ac:dyDescent="0.25">
      <c r="B12" s="82"/>
      <c r="C12" s="90"/>
      <c r="D12" s="90"/>
      <c r="E12" s="77" t="s">
        <v>364</v>
      </c>
      <c r="F12" s="112"/>
      <c r="G12" s="112"/>
      <c r="H12" s="112"/>
      <c r="I12" s="112"/>
      <c r="J12" s="112"/>
      <c r="K12" s="112"/>
      <c r="L12" s="83"/>
    </row>
    <row r="13" spans="2:12" s="107" customFormat="1" x14ac:dyDescent="0.25">
      <c r="B13" s="82"/>
      <c r="C13" s="90"/>
      <c r="D13" s="90"/>
      <c r="E13" s="101" t="s">
        <v>353</v>
      </c>
      <c r="F13" s="318">
        <v>0.01</v>
      </c>
      <c r="G13" s="89" t="str">
        <f ca="1">F13&amp;" Basis Point(s)"</f>
        <v>0.01 Basis Point(s)</v>
      </c>
      <c r="H13" s="112"/>
      <c r="I13" s="112"/>
      <c r="J13" s="269" t="s">
        <v>361</v>
      </c>
      <c r="K13" s="270" t="s">
        <v>373</v>
      </c>
      <c r="L13" s="83"/>
    </row>
    <row r="14" spans="2:12" s="107" customFormat="1" x14ac:dyDescent="0.25">
      <c r="B14" s="82"/>
      <c r="C14" s="90"/>
      <c r="D14" s="90"/>
      <c r="E14" s="103" t="s">
        <v>354</v>
      </c>
      <c r="F14" s="275" t="s">
        <v>365</v>
      </c>
      <c r="G14" s="112"/>
      <c r="H14" s="112"/>
      <c r="I14" s="112"/>
      <c r="J14" s="267" t="s">
        <v>324</v>
      </c>
      <c r="K14" s="301" t="s">
        <v>374</v>
      </c>
      <c r="L14" s="83"/>
    </row>
    <row r="15" spans="2:12" s="107" customFormat="1" x14ac:dyDescent="0.25">
      <c r="B15" s="82"/>
      <c r="C15" s="90"/>
      <c r="D15" s="90"/>
      <c r="E15" s="112"/>
      <c r="F15" s="112"/>
      <c r="G15" s="112"/>
      <c r="H15" s="112"/>
      <c r="I15" s="112"/>
      <c r="J15" s="112"/>
      <c r="K15" s="112"/>
      <c r="L15" s="83"/>
    </row>
    <row r="16" spans="2:12" x14ac:dyDescent="0.25">
      <c r="B16" s="82"/>
      <c r="C16" s="5"/>
      <c r="D16" s="112"/>
      <c r="E16" s="5"/>
      <c r="F16" s="5"/>
      <c r="G16" s="5"/>
      <c r="H16" s="5"/>
      <c r="I16" s="112"/>
      <c r="J16" s="112"/>
      <c r="K16" s="112"/>
      <c r="L16" s="83"/>
    </row>
    <row r="17" spans="2:12" x14ac:dyDescent="0.25">
      <c r="B17" s="84"/>
      <c r="C17" s="85"/>
      <c r="D17" s="85"/>
      <c r="E17" s="85"/>
      <c r="F17" s="85"/>
      <c r="G17" s="85"/>
      <c r="H17" s="85"/>
      <c r="I17" s="85"/>
      <c r="J17" s="85"/>
      <c r="K17" s="85"/>
      <c r="L17" s="86"/>
    </row>
    <row r="20" spans="2:12" x14ac:dyDescent="0.25">
      <c r="F20" t="s">
        <v>454</v>
      </c>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07" hidden="1" customWidth="1"/>
    <col min="4" max="4" width="4.7109375" style="107" hidden="1" customWidth="1"/>
    <col min="5" max="5" width="25.140625" style="178" bestFit="1" customWidth="1"/>
    <col min="6" max="6" width="32.7109375" style="188" customWidth="1"/>
    <col min="7" max="7" width="4.7109375" style="107" customWidth="1"/>
    <col min="8" max="10" width="10.7109375" customWidth="1"/>
    <col min="11" max="11" width="13.7109375" customWidth="1"/>
    <col min="12" max="12" width="18.28515625" customWidth="1"/>
    <col min="13" max="13" width="4.7109375" style="107" customWidth="1"/>
    <col min="14" max="15" width="10.7109375" customWidth="1"/>
    <col min="16" max="16" width="2.7109375" customWidth="1"/>
  </cols>
  <sheetData>
    <row r="2" spans="2:16" ht="23.25" x14ac:dyDescent="0.35">
      <c r="B2" s="208" t="s">
        <v>319</v>
      </c>
      <c r="C2" s="133"/>
      <c r="D2" s="133"/>
    </row>
    <row r="3" spans="2:16" ht="23.25" x14ac:dyDescent="0.35">
      <c r="B3" s="209" t="s">
        <v>318</v>
      </c>
      <c r="C3" s="133"/>
      <c r="D3" s="133"/>
    </row>
    <row r="4" spans="2:16" x14ac:dyDescent="0.25">
      <c r="B4" s="44"/>
      <c r="C4" s="133"/>
      <c r="D4" s="133"/>
    </row>
    <row r="5" spans="2:16" x14ac:dyDescent="0.25">
      <c r="B5" s="44" t="s">
        <v>232</v>
      </c>
      <c r="C5" s="133"/>
      <c r="D5" s="133"/>
    </row>
    <row r="6" spans="2:16" x14ac:dyDescent="0.25">
      <c r="B6" s="1"/>
      <c r="C6" s="109"/>
      <c r="D6" s="109"/>
      <c r="E6" s="194"/>
      <c r="F6" s="123"/>
      <c r="G6" s="123"/>
      <c r="H6" s="2"/>
      <c r="I6" s="2"/>
      <c r="J6" s="2"/>
      <c r="K6" s="2"/>
      <c r="L6" s="2"/>
      <c r="M6" s="109"/>
      <c r="N6" s="2"/>
      <c r="O6" s="2"/>
      <c r="P6" s="3"/>
    </row>
    <row r="7" spans="2:16" x14ac:dyDescent="0.25">
      <c r="B7" s="4"/>
      <c r="C7" s="126"/>
      <c r="D7" s="112"/>
      <c r="E7" s="195" t="s">
        <v>232</v>
      </c>
      <c r="F7" s="131"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(0.04300 sec)</v>
      </c>
      <c r="G7" s="163"/>
      <c r="H7" s="43"/>
      <c r="I7" s="5"/>
      <c r="J7" s="5"/>
      <c r="K7" s="5"/>
      <c r="L7" s="5"/>
      <c r="M7" s="112"/>
      <c r="N7" s="5"/>
      <c r="O7" s="5"/>
      <c r="P7" s="6"/>
    </row>
    <row r="8" spans="2:16" x14ac:dyDescent="0.25">
      <c r="B8" s="4"/>
      <c r="C8" s="112"/>
      <c r="D8" s="112"/>
      <c r="E8" s="196" t="s">
        <v>167</v>
      </c>
      <c r="F8" s="153" t="b">
        <f ca="1">LEFT(F7,5)=Curve.CollectionName</f>
        <v>1</v>
      </c>
      <c r="G8" s="153"/>
      <c r="H8" s="5"/>
      <c r="I8" s="5"/>
      <c r="J8" s="5"/>
      <c r="K8" s="5"/>
      <c r="L8" s="5"/>
      <c r="M8" s="112"/>
      <c r="N8" s="5"/>
      <c r="O8" s="5"/>
      <c r="P8" s="6"/>
    </row>
    <row r="9" spans="2:16" x14ac:dyDescent="0.25">
      <c r="B9" s="4"/>
      <c r="C9" s="112"/>
      <c r="D9" s="112"/>
      <c r="E9" s="197"/>
      <c r="F9" s="130"/>
      <c r="G9" s="130"/>
      <c r="H9" s="5"/>
      <c r="I9" s="5"/>
      <c r="J9" s="5"/>
      <c r="K9" s="5"/>
      <c r="L9" s="5"/>
      <c r="M9" s="112"/>
      <c r="N9" s="5"/>
      <c r="O9" s="5"/>
      <c r="P9" s="6"/>
    </row>
    <row r="10" spans="2:16" x14ac:dyDescent="0.25">
      <c r="B10" s="4"/>
      <c r="C10" s="116"/>
      <c r="D10" s="112"/>
      <c r="E10" s="198" t="s">
        <v>0</v>
      </c>
      <c r="F10" s="129"/>
      <c r="G10" s="164"/>
      <c r="H10" s="5"/>
      <c r="I10" s="5"/>
      <c r="J10" s="5"/>
      <c r="K10" s="5"/>
      <c r="L10" s="5"/>
      <c r="M10" s="112"/>
      <c r="N10" s="5"/>
      <c r="O10" s="5"/>
      <c r="P10" s="6"/>
    </row>
    <row r="11" spans="2:16" ht="30" x14ac:dyDescent="0.25">
      <c r="B11" s="4"/>
      <c r="C11" s="156" t="s">
        <v>239</v>
      </c>
      <c r="D11" s="112"/>
      <c r="E11" s="199" t="s">
        <v>80</v>
      </c>
      <c r="F11" s="147" t="s">
        <v>78</v>
      </c>
      <c r="G11" s="164"/>
      <c r="H11" s="5"/>
      <c r="I11" s="5"/>
      <c r="J11" s="5"/>
      <c r="K11" s="5"/>
      <c r="L11" s="5"/>
      <c r="M11" s="112"/>
      <c r="N11" s="5"/>
      <c r="O11" s="5"/>
      <c r="P11" s="6"/>
    </row>
    <row r="12" spans="2:16" ht="30" x14ac:dyDescent="0.25">
      <c r="B12" s="4"/>
      <c r="C12" s="156" t="s">
        <v>315</v>
      </c>
      <c r="D12" s="112"/>
      <c r="E12" s="200" t="s">
        <v>79</v>
      </c>
      <c r="F12" s="148" t="s">
        <v>9</v>
      </c>
      <c r="G12" s="164"/>
      <c r="H12" s="5"/>
      <c r="I12" s="5"/>
      <c r="J12" s="5"/>
      <c r="K12" s="5"/>
      <c r="L12" s="5"/>
      <c r="M12" s="112"/>
      <c r="N12" s="5"/>
      <c r="O12" s="5"/>
      <c r="P12" s="6"/>
    </row>
    <row r="13" spans="2:16" ht="30" x14ac:dyDescent="0.25">
      <c r="B13" s="4"/>
      <c r="C13" s="156" t="s">
        <v>316</v>
      </c>
      <c r="D13" s="112"/>
      <c r="E13" s="202" t="s">
        <v>81</v>
      </c>
      <c r="F13" s="149" t="s">
        <v>163</v>
      </c>
      <c r="G13" s="164"/>
      <c r="H13" s="5"/>
      <c r="I13" s="5"/>
      <c r="J13" s="5" t="s">
        <v>4</v>
      </c>
      <c r="K13" s="5" t="s">
        <v>4</v>
      </c>
      <c r="L13" s="5" t="s">
        <v>4</v>
      </c>
      <c r="M13" s="112"/>
      <c r="N13" s="5" t="s">
        <v>4</v>
      </c>
      <c r="O13" s="5" t="s">
        <v>4</v>
      </c>
      <c r="P13" s="6" t="s">
        <v>4</v>
      </c>
    </row>
    <row r="14" spans="2:16" x14ac:dyDescent="0.25">
      <c r="B14" s="9"/>
      <c r="C14" s="116"/>
      <c r="D14" s="116"/>
      <c r="E14" s="181"/>
      <c r="F14" s="189"/>
      <c r="G14" s="116"/>
      <c r="H14" s="10"/>
      <c r="I14" s="10"/>
      <c r="J14" s="10"/>
      <c r="K14" s="10"/>
      <c r="L14" s="10"/>
      <c r="M14" s="116"/>
      <c r="N14" s="10"/>
      <c r="O14" s="10"/>
      <c r="P14" s="11"/>
    </row>
    <row r="17" spans="2:16" x14ac:dyDescent="0.25">
      <c r="B17" s="40" t="s">
        <v>68</v>
      </c>
      <c r="C17" s="128"/>
      <c r="D17" s="128"/>
    </row>
    <row r="18" spans="2:16" x14ac:dyDescent="0.25">
      <c r="B18" s="1"/>
      <c r="C18" s="109"/>
      <c r="D18" s="109"/>
      <c r="E18" s="194"/>
      <c r="F18" s="123"/>
      <c r="G18" s="123"/>
      <c r="H18" s="2"/>
      <c r="I18" s="2"/>
      <c r="J18" s="45"/>
      <c r="K18" s="2"/>
      <c r="L18" s="2"/>
      <c r="M18" s="109"/>
      <c r="N18" s="2"/>
      <c r="O18" s="2"/>
      <c r="P18" s="3"/>
    </row>
    <row r="19" spans="2:16" x14ac:dyDescent="0.25">
      <c r="B19" s="4"/>
      <c r="C19" s="112"/>
      <c r="D19" s="112"/>
      <c r="E19" s="198" t="s">
        <v>68</v>
      </c>
      <c r="F19" s="124"/>
      <c r="G19" s="165"/>
      <c r="H19" s="5"/>
      <c r="I19" s="5"/>
      <c r="J19" s="5"/>
      <c r="K19" s="5"/>
      <c r="L19" s="5"/>
      <c r="M19" s="112"/>
      <c r="N19" s="5"/>
      <c r="O19" s="5"/>
      <c r="P19" s="6"/>
    </row>
    <row r="20" spans="2:16" ht="30" x14ac:dyDescent="0.25">
      <c r="B20" s="4"/>
      <c r="C20" s="156" t="s">
        <v>240</v>
      </c>
      <c r="D20" s="111"/>
      <c r="E20" s="199" t="s">
        <v>10</v>
      </c>
      <c r="F20" s="147">
        <f>COB</f>
        <v>42521</v>
      </c>
      <c r="G20" s="165"/>
      <c r="H20" s="5"/>
      <c r="I20" s="5"/>
      <c r="J20" s="5"/>
      <c r="K20" s="5"/>
      <c r="L20" s="5"/>
      <c r="M20" s="112"/>
      <c r="N20" s="5"/>
      <c r="O20" s="5"/>
      <c r="P20" s="6"/>
    </row>
    <row r="21" spans="2:16" ht="30" x14ac:dyDescent="0.25">
      <c r="B21" s="4"/>
      <c r="C21" s="156" t="s">
        <v>241</v>
      </c>
      <c r="D21" s="111"/>
      <c r="E21" s="200" t="s">
        <v>16</v>
      </c>
      <c r="F21" s="148" t="s">
        <v>17</v>
      </c>
      <c r="G21" s="165"/>
      <c r="H21" s="5"/>
      <c r="I21" s="5"/>
      <c r="J21" s="5"/>
      <c r="K21" s="5"/>
      <c r="L21" s="5"/>
      <c r="M21" s="112"/>
      <c r="N21" s="5"/>
      <c r="O21" s="5"/>
      <c r="P21" s="6"/>
    </row>
    <row r="22" spans="2:16" ht="30" x14ac:dyDescent="0.25">
      <c r="B22" s="4"/>
      <c r="C22" s="156" t="s">
        <v>242</v>
      </c>
      <c r="D22" s="111"/>
      <c r="E22" s="200" t="s">
        <v>83</v>
      </c>
      <c r="F22" s="150" t="str">
        <f ca="1">interpolationFunction</f>
        <v>fn_MonotoneConvexInterpolation</v>
      </c>
      <c r="G22" s="165"/>
      <c r="H22" s="5"/>
      <c r="I22" s="5"/>
      <c r="J22" s="5"/>
      <c r="K22" s="5"/>
      <c r="L22" s="5"/>
      <c r="M22" s="112"/>
      <c r="N22" s="5"/>
      <c r="O22" s="5"/>
      <c r="P22" s="6"/>
    </row>
    <row r="23" spans="2:16" ht="30" x14ac:dyDescent="0.25">
      <c r="B23" s="4"/>
      <c r="C23" s="161" t="s">
        <v>317</v>
      </c>
      <c r="D23" s="111"/>
      <c r="E23" s="200" t="s">
        <v>24</v>
      </c>
      <c r="F23" s="150" t="str">
        <f ca="1">interpolationFunction</f>
        <v>fn_MonotoneConvexInterpolation</v>
      </c>
      <c r="G23" s="165"/>
      <c r="H23" s="5"/>
      <c r="I23" s="5"/>
      <c r="J23" s="5"/>
      <c r="K23" s="5"/>
      <c r="L23" s="5"/>
      <c r="M23" s="112"/>
      <c r="N23" s="5"/>
      <c r="O23" s="5"/>
      <c r="P23" s="6"/>
    </row>
    <row r="24" spans="2:16" x14ac:dyDescent="0.25">
      <c r="B24" s="4"/>
      <c r="C24" s="162"/>
      <c r="D24" s="112"/>
      <c r="E24" s="202"/>
      <c r="F24" s="149"/>
      <c r="G24" s="165"/>
      <c r="H24" s="5"/>
      <c r="I24" s="5"/>
      <c r="J24" s="5"/>
      <c r="K24" s="5"/>
      <c r="L24" s="5"/>
      <c r="M24" s="112"/>
      <c r="N24" s="5"/>
      <c r="O24" s="5"/>
      <c r="P24" s="6"/>
    </row>
    <row r="25" spans="2:16" x14ac:dyDescent="0.25">
      <c r="B25" s="9"/>
      <c r="C25" s="116"/>
      <c r="D25" s="116"/>
      <c r="E25" s="181"/>
      <c r="F25" s="189"/>
      <c r="G25" s="116"/>
      <c r="H25" s="10"/>
      <c r="I25" s="10"/>
      <c r="J25" s="10"/>
      <c r="K25" s="10"/>
      <c r="L25" s="10"/>
      <c r="M25" s="116"/>
      <c r="N25" s="10"/>
      <c r="O25" s="10"/>
      <c r="P25" s="11"/>
    </row>
    <row r="27" spans="2:16" x14ac:dyDescent="0.25">
      <c r="H27" s="46"/>
    </row>
    <row r="28" spans="2:16" x14ac:dyDescent="0.25">
      <c r="B28" s="40" t="s">
        <v>77</v>
      </c>
      <c r="C28" s="128"/>
      <c r="D28" s="128"/>
    </row>
    <row r="29" spans="2:16" x14ac:dyDescent="0.25">
      <c r="B29" s="1"/>
      <c r="C29" s="109"/>
      <c r="D29" s="109"/>
      <c r="E29" s="179"/>
      <c r="F29" s="190"/>
      <c r="G29" s="109"/>
      <c r="H29" s="2"/>
      <c r="I29" s="2"/>
      <c r="J29" s="2"/>
      <c r="K29" s="2"/>
      <c r="L29" s="2"/>
      <c r="M29" s="109"/>
      <c r="N29" s="2"/>
      <c r="O29" s="2"/>
      <c r="P29" s="3"/>
    </row>
    <row r="30" spans="2:16" x14ac:dyDescent="0.25">
      <c r="B30" s="4"/>
      <c r="C30" s="112"/>
      <c r="D30" s="112"/>
      <c r="E30" s="204" t="s">
        <v>5</v>
      </c>
      <c r="F30" s="191"/>
      <c r="G30" s="114"/>
      <c r="H30" s="34" t="s">
        <v>70</v>
      </c>
      <c r="I30" s="8"/>
      <c r="J30" s="8"/>
      <c r="K30" s="8"/>
      <c r="L30" s="8"/>
      <c r="M30" s="114"/>
      <c r="N30" s="34" t="s">
        <v>72</v>
      </c>
      <c r="O30" s="8"/>
      <c r="P30" s="39"/>
    </row>
    <row r="31" spans="2:16" ht="30" x14ac:dyDescent="0.25">
      <c r="B31" s="4"/>
      <c r="C31" s="157" t="s">
        <v>244</v>
      </c>
      <c r="D31" s="111"/>
      <c r="E31" s="199" t="s">
        <v>3</v>
      </c>
      <c r="F31" s="119" t="s">
        <v>2</v>
      </c>
      <c r="G31" s="114"/>
      <c r="H31" s="41" t="s">
        <v>11</v>
      </c>
      <c r="I31" s="41" t="s">
        <v>12</v>
      </c>
      <c r="J31" s="41" t="s">
        <v>13</v>
      </c>
      <c r="K31" s="41" t="s">
        <v>14</v>
      </c>
      <c r="L31" s="41" t="s">
        <v>8</v>
      </c>
      <c r="M31" s="114"/>
      <c r="N31" s="41" t="s">
        <v>73</v>
      </c>
      <c r="O31" s="41" t="s">
        <v>12</v>
      </c>
      <c r="P31" s="39"/>
    </row>
    <row r="32" spans="2:16" ht="30" x14ac:dyDescent="0.25">
      <c r="B32" s="4"/>
      <c r="C32" s="157" t="s">
        <v>243</v>
      </c>
      <c r="D32" s="111"/>
      <c r="E32" s="200" t="s">
        <v>7</v>
      </c>
      <c r="F32" s="120" t="s">
        <v>6</v>
      </c>
      <c r="G32" s="114"/>
      <c r="H32" s="14" t="s">
        <v>46</v>
      </c>
      <c r="I32" s="12">
        <v>-3.4499999999999999E-3</v>
      </c>
      <c r="J32" s="13" t="s">
        <v>37</v>
      </c>
      <c r="K32" s="13" t="s">
        <v>37</v>
      </c>
      <c r="L32" s="31" t="b">
        <v>1</v>
      </c>
      <c r="M32" s="114"/>
      <c r="N32" s="37"/>
      <c r="O32" s="35"/>
      <c r="P32" s="39"/>
    </row>
    <row r="33" spans="2:16" ht="30" x14ac:dyDescent="0.25">
      <c r="B33" s="4"/>
      <c r="C33" s="157" t="s">
        <v>245</v>
      </c>
      <c r="D33" s="111"/>
      <c r="E33" s="200" t="s">
        <v>25</v>
      </c>
      <c r="F33" s="120" t="s">
        <v>26</v>
      </c>
      <c r="G33" s="114"/>
      <c r="H33" s="210" t="s">
        <v>48</v>
      </c>
      <c r="I33" s="211">
        <v>-3.4000000000000002E-3</v>
      </c>
      <c r="J33" s="212">
        <v>42523</v>
      </c>
      <c r="K33" s="212">
        <v>42572</v>
      </c>
      <c r="L33" s="213" t="b">
        <v>1</v>
      </c>
      <c r="M33" s="114"/>
      <c r="N33" s="37"/>
      <c r="O33" s="35"/>
      <c r="P33" s="39"/>
    </row>
    <row r="34" spans="2:16" ht="30" x14ac:dyDescent="0.25">
      <c r="B34" s="4"/>
      <c r="C34" s="157" t="s">
        <v>246</v>
      </c>
      <c r="D34" s="111"/>
      <c r="E34" s="200" t="s">
        <v>15</v>
      </c>
      <c r="F34" s="120" t="s">
        <v>30</v>
      </c>
      <c r="G34" s="114"/>
      <c r="H34" s="210" t="s">
        <v>49</v>
      </c>
      <c r="I34" s="211">
        <v>-3.4999999999999996E-3</v>
      </c>
      <c r="J34" s="212">
        <v>42572</v>
      </c>
      <c r="K34" s="212">
        <v>42621</v>
      </c>
      <c r="L34" s="213" t="b">
        <v>1</v>
      </c>
      <c r="M34" s="114"/>
      <c r="N34" s="37"/>
      <c r="O34" s="35"/>
      <c r="P34" s="39"/>
    </row>
    <row r="35" spans="2:16" ht="30" x14ac:dyDescent="0.25">
      <c r="B35" s="4"/>
      <c r="C35" s="157" t="s">
        <v>269</v>
      </c>
      <c r="D35" s="111"/>
      <c r="E35" s="200" t="s">
        <v>23</v>
      </c>
      <c r="F35" s="120" t="s">
        <v>22</v>
      </c>
      <c r="G35" s="114"/>
      <c r="H35" s="210" t="s">
        <v>51</v>
      </c>
      <c r="I35" s="211">
        <v>-3.7099999999999998E-3</v>
      </c>
      <c r="J35" s="212">
        <v>42621</v>
      </c>
      <c r="K35" s="212">
        <v>42663</v>
      </c>
      <c r="L35" s="213" t="b">
        <v>1</v>
      </c>
      <c r="M35" s="114"/>
      <c r="N35" s="37"/>
      <c r="O35" s="35"/>
      <c r="P35" s="39"/>
    </row>
    <row r="36" spans="2:16" ht="30" x14ac:dyDescent="0.25">
      <c r="B36" s="4"/>
      <c r="C36" s="157" t="s">
        <v>247</v>
      </c>
      <c r="D36" s="111"/>
      <c r="E36" s="200" t="s">
        <v>31</v>
      </c>
      <c r="F36" s="120" t="b">
        <v>1</v>
      </c>
      <c r="G36" s="114"/>
      <c r="H36" s="210" t="s">
        <v>53</v>
      </c>
      <c r="I36" s="211">
        <v>-3.82E-3</v>
      </c>
      <c r="J36" s="212">
        <v>42663</v>
      </c>
      <c r="K36" s="212">
        <v>42712</v>
      </c>
      <c r="L36" s="213" t="b">
        <v>1</v>
      </c>
      <c r="M36" s="114"/>
      <c r="N36" s="37"/>
      <c r="O36" s="35"/>
      <c r="P36" s="39"/>
    </row>
    <row r="37" spans="2:16" ht="30" x14ac:dyDescent="0.25">
      <c r="B37" s="4"/>
      <c r="C37" s="157" t="s">
        <v>248</v>
      </c>
      <c r="D37" s="111"/>
      <c r="E37" s="200" t="s">
        <v>32</v>
      </c>
      <c r="F37" s="121">
        <v>31</v>
      </c>
      <c r="G37" s="114"/>
      <c r="H37" s="14" t="s">
        <v>56</v>
      </c>
      <c r="I37" s="12">
        <v>-3.82E-3</v>
      </c>
      <c r="J37" s="13" t="s">
        <v>37</v>
      </c>
      <c r="K37" s="13" t="s">
        <v>37</v>
      </c>
      <c r="L37" s="31" t="b">
        <v>1</v>
      </c>
      <c r="M37" s="114"/>
      <c r="N37" s="37"/>
      <c r="O37" s="35"/>
      <c r="P37" s="39"/>
    </row>
    <row r="38" spans="2:16" ht="30" x14ac:dyDescent="0.25">
      <c r="B38" s="4"/>
      <c r="C38" s="157" t="s">
        <v>249</v>
      </c>
      <c r="D38" s="111"/>
      <c r="E38" s="200" t="s">
        <v>33</v>
      </c>
      <c r="F38" s="120" t="s">
        <v>34</v>
      </c>
      <c r="G38" s="114"/>
      <c r="H38" s="14" t="s">
        <v>58</v>
      </c>
      <c r="I38" s="12">
        <v>-3.9500000000000004E-3</v>
      </c>
      <c r="J38" s="13" t="s">
        <v>37</v>
      </c>
      <c r="K38" s="13" t="s">
        <v>37</v>
      </c>
      <c r="L38" s="31" t="b">
        <v>1</v>
      </c>
      <c r="M38" s="114"/>
      <c r="N38" s="37"/>
      <c r="O38" s="35"/>
      <c r="P38" s="39"/>
    </row>
    <row r="39" spans="2:16" ht="45" x14ac:dyDescent="0.25">
      <c r="B39" s="4"/>
      <c r="C39" s="157" t="s">
        <v>274</v>
      </c>
      <c r="D39" s="111"/>
      <c r="E39" s="200" t="s">
        <v>35</v>
      </c>
      <c r="F39" s="120" t="s">
        <v>36</v>
      </c>
      <c r="G39" s="114"/>
      <c r="H39" s="14" t="s">
        <v>47</v>
      </c>
      <c r="I39" s="12">
        <v>-4.0100000000000005E-3</v>
      </c>
      <c r="J39" s="13" t="s">
        <v>37</v>
      </c>
      <c r="K39" s="13" t="s">
        <v>37</v>
      </c>
      <c r="L39" s="31" t="b">
        <v>1</v>
      </c>
      <c r="M39" s="114"/>
      <c r="N39" s="37"/>
      <c r="O39" s="35"/>
      <c r="P39" s="39"/>
    </row>
    <row r="40" spans="2:16" ht="45" x14ac:dyDescent="0.25">
      <c r="B40" s="4"/>
      <c r="C40" s="157" t="s">
        <v>250</v>
      </c>
      <c r="D40" s="111"/>
      <c r="E40" s="200" t="s">
        <v>38</v>
      </c>
      <c r="F40" s="120" t="s">
        <v>39</v>
      </c>
      <c r="G40" s="114"/>
      <c r="H40" s="14" t="s">
        <v>43</v>
      </c>
      <c r="I40" s="12">
        <v>-3.8500000000000001E-3</v>
      </c>
      <c r="J40" s="13" t="s">
        <v>37</v>
      </c>
      <c r="K40" s="13" t="s">
        <v>37</v>
      </c>
      <c r="L40" s="31" t="b">
        <v>1</v>
      </c>
      <c r="M40" s="114"/>
      <c r="N40" s="37"/>
      <c r="O40" s="35"/>
      <c r="P40" s="39"/>
    </row>
    <row r="41" spans="2:16" ht="45" x14ac:dyDescent="0.25">
      <c r="B41" s="4"/>
      <c r="C41" s="157" t="s">
        <v>252</v>
      </c>
      <c r="D41" s="111"/>
      <c r="E41" s="200" t="s">
        <v>40</v>
      </c>
      <c r="F41" s="120" t="s">
        <v>41</v>
      </c>
      <c r="G41" s="114"/>
      <c r="H41" s="14" t="s">
        <v>50</v>
      </c>
      <c r="I41" s="12">
        <v>-3.4200000000000003E-3</v>
      </c>
      <c r="J41" s="13" t="s">
        <v>37</v>
      </c>
      <c r="K41" s="13" t="s">
        <v>37</v>
      </c>
      <c r="L41" s="31" t="b">
        <v>1</v>
      </c>
      <c r="M41" s="114"/>
      <c r="N41" s="37"/>
      <c r="O41" s="35"/>
      <c r="P41" s="39"/>
    </row>
    <row r="42" spans="2:16" ht="30" x14ac:dyDescent="0.25">
      <c r="B42" s="4"/>
      <c r="C42" s="157" t="s">
        <v>251</v>
      </c>
      <c r="D42" s="111"/>
      <c r="E42" s="200" t="s">
        <v>42</v>
      </c>
      <c r="F42" s="120" t="s">
        <v>43</v>
      </c>
      <c r="G42" s="114"/>
      <c r="H42" s="14" t="s">
        <v>52</v>
      </c>
      <c r="I42" s="12">
        <v>-2.7100000000000002E-3</v>
      </c>
      <c r="J42" s="13" t="s">
        <v>37</v>
      </c>
      <c r="K42" s="13" t="s">
        <v>37</v>
      </c>
      <c r="L42" s="31" t="b">
        <v>1</v>
      </c>
      <c r="M42" s="114"/>
      <c r="N42" s="37"/>
      <c r="O42" s="35"/>
      <c r="P42" s="39"/>
    </row>
    <row r="43" spans="2:16" ht="45" x14ac:dyDescent="0.25">
      <c r="B43" s="4"/>
      <c r="C43" s="157" t="s">
        <v>253</v>
      </c>
      <c r="D43" s="111"/>
      <c r="E43" s="200" t="s">
        <v>44</v>
      </c>
      <c r="F43" s="120" t="s">
        <v>45</v>
      </c>
      <c r="G43" s="114"/>
      <c r="H43" s="14" t="s">
        <v>54</v>
      </c>
      <c r="I43" s="12">
        <v>-1.7599999999999998E-3</v>
      </c>
      <c r="J43" s="13" t="s">
        <v>37</v>
      </c>
      <c r="K43" s="13" t="s">
        <v>37</v>
      </c>
      <c r="L43" s="31" t="b">
        <v>1</v>
      </c>
      <c r="M43" s="114"/>
      <c r="N43" s="37"/>
      <c r="O43" s="35"/>
      <c r="P43" s="39"/>
    </row>
    <row r="44" spans="2:16" ht="30" x14ac:dyDescent="0.25">
      <c r="B44" s="4"/>
      <c r="C44" s="157" t="s">
        <v>254</v>
      </c>
      <c r="D44" s="111"/>
      <c r="E44" s="200" t="s">
        <v>113</v>
      </c>
      <c r="F44" s="122">
        <v>1E-10</v>
      </c>
      <c r="G44" s="114"/>
      <c r="H44" s="14" t="s">
        <v>55</v>
      </c>
      <c r="I44" s="12">
        <v>-6.6E-4</v>
      </c>
      <c r="J44" s="13" t="s">
        <v>37</v>
      </c>
      <c r="K44" s="13" t="s">
        <v>37</v>
      </c>
      <c r="L44" s="31" t="b">
        <v>1</v>
      </c>
      <c r="M44" s="114"/>
      <c r="N44" s="37"/>
      <c r="O44" s="35"/>
      <c r="P44" s="39"/>
    </row>
    <row r="45" spans="2:16" ht="30" x14ac:dyDescent="0.25">
      <c r="B45" s="4"/>
      <c r="C45" s="157" t="s">
        <v>255</v>
      </c>
      <c r="D45" s="111"/>
      <c r="E45" s="200" t="s">
        <v>114</v>
      </c>
      <c r="F45" s="146">
        <v>1000</v>
      </c>
      <c r="G45" s="114"/>
      <c r="H45" s="14" t="s">
        <v>57</v>
      </c>
      <c r="I45" s="12">
        <v>5.5000000000000003E-4</v>
      </c>
      <c r="J45" s="13" t="s">
        <v>37</v>
      </c>
      <c r="K45" s="13" t="s">
        <v>37</v>
      </c>
      <c r="L45" s="31" t="b">
        <v>1</v>
      </c>
      <c r="M45" s="114"/>
      <c r="N45" s="37"/>
      <c r="O45" s="35"/>
      <c r="P45" s="39"/>
    </row>
    <row r="46" spans="2:16" ht="60" x14ac:dyDescent="0.25">
      <c r="B46" s="4"/>
      <c r="C46" s="158" t="s">
        <v>256</v>
      </c>
      <c r="D46" s="111"/>
      <c r="E46" s="200" t="s">
        <v>196</v>
      </c>
      <c r="F46" s="120" t="b">
        <v>1</v>
      </c>
      <c r="G46" s="114"/>
      <c r="H46" s="14" t="s">
        <v>59</v>
      </c>
      <c r="I46" s="12">
        <v>1.7499999999999998E-3</v>
      </c>
      <c r="J46" s="13" t="s">
        <v>37</v>
      </c>
      <c r="K46" s="13" t="s">
        <v>37</v>
      </c>
      <c r="L46" s="31" t="b">
        <v>1</v>
      </c>
      <c r="M46" s="114"/>
      <c r="N46" s="37"/>
      <c r="O46" s="35"/>
      <c r="P46" s="39"/>
    </row>
    <row r="47" spans="2:16" x14ac:dyDescent="0.25">
      <c r="B47" s="4"/>
      <c r="C47" s="159"/>
      <c r="D47" s="111"/>
      <c r="E47" s="205"/>
      <c r="F47" s="120"/>
      <c r="G47" s="114"/>
      <c r="H47" s="14" t="s">
        <v>60</v>
      </c>
      <c r="I47" s="12">
        <v>2.8399999999999996E-3</v>
      </c>
      <c r="J47" s="13" t="s">
        <v>37</v>
      </c>
      <c r="K47" s="13" t="s">
        <v>37</v>
      </c>
      <c r="L47" s="31" t="b">
        <v>1</v>
      </c>
      <c r="M47" s="114"/>
      <c r="N47" s="37"/>
      <c r="O47" s="35"/>
      <c r="P47" s="39"/>
    </row>
    <row r="48" spans="2:16" x14ac:dyDescent="0.25">
      <c r="B48" s="4"/>
      <c r="C48" s="159"/>
      <c r="D48" s="111"/>
      <c r="E48" s="205"/>
      <c r="F48" s="192"/>
      <c r="G48" s="114"/>
      <c r="H48" s="14" t="s">
        <v>61</v>
      </c>
      <c r="I48" s="12">
        <v>3.8600000000000001E-3</v>
      </c>
      <c r="J48" s="13" t="s">
        <v>37</v>
      </c>
      <c r="K48" s="13" t="s">
        <v>37</v>
      </c>
      <c r="L48" s="31" t="b">
        <v>1</v>
      </c>
      <c r="M48" s="114"/>
      <c r="N48" s="37"/>
      <c r="O48" s="35"/>
      <c r="P48" s="39"/>
    </row>
    <row r="49" spans="2:16" x14ac:dyDescent="0.25">
      <c r="B49" s="4"/>
      <c r="C49" s="159" t="s">
        <v>260</v>
      </c>
      <c r="D49" s="111"/>
      <c r="E49" s="205"/>
      <c r="F49" s="192"/>
      <c r="G49" s="114"/>
      <c r="H49" s="14" t="s">
        <v>62</v>
      </c>
      <c r="I49" s="12">
        <v>4.7699999999999999E-3</v>
      </c>
      <c r="J49" s="13" t="s">
        <v>37</v>
      </c>
      <c r="K49" s="13" t="s">
        <v>37</v>
      </c>
      <c r="L49" s="31" t="b">
        <v>1</v>
      </c>
      <c r="M49" s="114"/>
      <c r="N49" s="37"/>
      <c r="O49" s="35"/>
      <c r="P49" s="39"/>
    </row>
    <row r="50" spans="2:16" x14ac:dyDescent="0.25">
      <c r="B50" s="4"/>
      <c r="C50" s="166" t="s">
        <v>257</v>
      </c>
      <c r="D50" s="111"/>
      <c r="E50" s="205"/>
      <c r="F50" s="192"/>
      <c r="G50" s="114"/>
      <c r="H50" s="14" t="s">
        <v>63</v>
      </c>
      <c r="I50" s="12">
        <v>6.8799999999999998E-3</v>
      </c>
      <c r="J50" s="13" t="s">
        <v>37</v>
      </c>
      <c r="K50" s="13" t="s">
        <v>37</v>
      </c>
      <c r="L50" s="31" t="b">
        <v>1</v>
      </c>
      <c r="M50" s="114"/>
      <c r="N50" s="37"/>
      <c r="O50" s="35"/>
      <c r="P50" s="39"/>
    </row>
    <row r="51" spans="2:16" x14ac:dyDescent="0.25">
      <c r="B51" s="4"/>
      <c r="C51" s="166" t="s">
        <v>258</v>
      </c>
      <c r="D51" s="111"/>
      <c r="E51" s="205"/>
      <c r="F51" s="192"/>
      <c r="G51" s="114"/>
      <c r="H51" s="14" t="s">
        <v>64</v>
      </c>
      <c r="I51" s="12">
        <v>8.7100000000000007E-3</v>
      </c>
      <c r="J51" s="13" t="s">
        <v>37</v>
      </c>
      <c r="K51" s="13" t="s">
        <v>37</v>
      </c>
      <c r="L51" s="31" t="b">
        <v>1</v>
      </c>
      <c r="M51" s="114"/>
      <c r="N51" s="37"/>
      <c r="O51" s="35"/>
      <c r="P51" s="39"/>
    </row>
    <row r="52" spans="2:16" x14ac:dyDescent="0.25">
      <c r="B52" s="4"/>
      <c r="C52" s="166" t="s">
        <v>259</v>
      </c>
      <c r="D52" s="111"/>
      <c r="E52" s="205"/>
      <c r="F52" s="192"/>
      <c r="G52" s="114"/>
      <c r="H52" s="14" t="s">
        <v>65</v>
      </c>
      <c r="I52" s="12">
        <v>9.3600000000000003E-3</v>
      </c>
      <c r="J52" s="13" t="s">
        <v>37</v>
      </c>
      <c r="K52" s="13" t="s">
        <v>37</v>
      </c>
      <c r="L52" s="31" t="b">
        <v>1</v>
      </c>
      <c r="M52" s="114"/>
      <c r="N52" s="37"/>
      <c r="O52" s="35"/>
      <c r="P52" s="39"/>
    </row>
    <row r="53" spans="2:16" x14ac:dyDescent="0.25">
      <c r="B53" s="4"/>
      <c r="C53" s="159"/>
      <c r="D53" s="111"/>
      <c r="E53" s="205"/>
      <c r="F53" s="192"/>
      <c r="G53" s="114"/>
      <c r="H53" s="14" t="s">
        <v>66</v>
      </c>
      <c r="I53" s="12">
        <v>9.6100000000000005E-3</v>
      </c>
      <c r="J53" s="13" t="s">
        <v>37</v>
      </c>
      <c r="K53" s="13" t="s">
        <v>37</v>
      </c>
      <c r="L53" s="31" t="b">
        <v>1</v>
      </c>
      <c r="M53" s="114"/>
      <c r="N53" s="37"/>
      <c r="O53" s="35"/>
      <c r="P53" s="39"/>
    </row>
    <row r="54" spans="2:16" x14ac:dyDescent="0.25">
      <c r="B54" s="4"/>
      <c r="C54" s="159"/>
      <c r="D54" s="111"/>
      <c r="E54" s="205"/>
      <c r="F54" s="192"/>
      <c r="G54" s="114"/>
      <c r="H54" s="14" t="s">
        <v>67</v>
      </c>
      <c r="I54" s="12">
        <v>9.7299999999999991E-3</v>
      </c>
      <c r="J54" s="13" t="s">
        <v>37</v>
      </c>
      <c r="K54" s="13" t="s">
        <v>37</v>
      </c>
      <c r="L54" s="31" t="b">
        <v>1</v>
      </c>
      <c r="M54" s="114"/>
      <c r="N54" s="37"/>
      <c r="O54" s="35"/>
      <c r="P54" s="39"/>
    </row>
    <row r="55" spans="2:16" x14ac:dyDescent="0.25">
      <c r="B55" s="4"/>
      <c r="C55" s="159"/>
      <c r="D55" s="111"/>
      <c r="E55" s="205"/>
      <c r="F55" s="192"/>
      <c r="G55" s="114"/>
      <c r="H55" s="14" t="s">
        <v>201</v>
      </c>
      <c r="I55" s="12">
        <v>9.3200000000000002E-3</v>
      </c>
      <c r="J55" s="13" t="s">
        <v>37</v>
      </c>
      <c r="K55" s="13" t="s">
        <v>37</v>
      </c>
      <c r="L55" s="31" t="b">
        <v>1</v>
      </c>
      <c r="M55" s="114"/>
      <c r="N55" s="37"/>
      <c r="O55" s="35"/>
      <c r="P55" s="39"/>
    </row>
    <row r="56" spans="2:16" x14ac:dyDescent="0.25">
      <c r="B56" s="4"/>
      <c r="C56" s="159"/>
      <c r="D56" s="111"/>
      <c r="E56" s="205"/>
      <c r="F56" s="192"/>
      <c r="G56" s="114"/>
      <c r="H56" s="14"/>
      <c r="I56" s="12"/>
      <c r="J56" s="13"/>
      <c r="K56" s="13"/>
      <c r="L56" s="31"/>
      <c r="M56" s="114"/>
      <c r="N56" s="37"/>
      <c r="O56" s="35"/>
      <c r="P56" s="39"/>
    </row>
    <row r="57" spans="2:16" x14ac:dyDescent="0.25">
      <c r="B57" s="4"/>
      <c r="C57" s="160"/>
      <c r="D57" s="111"/>
      <c r="E57" s="206"/>
      <c r="F57" s="193"/>
      <c r="G57" s="114"/>
      <c r="H57" s="15"/>
      <c r="I57" s="16"/>
      <c r="J57" s="32"/>
      <c r="K57" s="32"/>
      <c r="L57" s="33"/>
      <c r="M57" s="114"/>
      <c r="N57" s="38"/>
      <c r="O57" s="36"/>
      <c r="P57" s="39"/>
    </row>
    <row r="58" spans="2:16" x14ac:dyDescent="0.25">
      <c r="B58" s="9"/>
      <c r="C58" s="116"/>
      <c r="D58" s="116"/>
      <c r="E58" s="181"/>
      <c r="F58" s="189"/>
      <c r="G58" s="116"/>
      <c r="H58" s="10"/>
      <c r="I58" s="10"/>
      <c r="J58" s="10"/>
      <c r="K58" s="10"/>
      <c r="L58" s="10"/>
      <c r="M58" s="116"/>
      <c r="N58" s="10"/>
      <c r="O58" s="10"/>
      <c r="P58" s="11"/>
    </row>
    <row r="61" spans="2:16" x14ac:dyDescent="0.25">
      <c r="B61" s="40" t="s">
        <v>76</v>
      </c>
      <c r="C61" s="128"/>
      <c r="D61" s="128"/>
    </row>
    <row r="62" spans="2:16" x14ac:dyDescent="0.25">
      <c r="B62" s="1"/>
      <c r="C62" s="109"/>
      <c r="D62" s="109"/>
      <c r="E62" s="179"/>
      <c r="F62" s="190"/>
      <c r="G62" s="109"/>
      <c r="H62" s="2"/>
      <c r="I62" s="2"/>
      <c r="J62" s="2"/>
      <c r="K62" s="2"/>
      <c r="L62" s="2"/>
      <c r="M62" s="109"/>
      <c r="N62" s="2"/>
      <c r="O62" s="2"/>
      <c r="P62" s="3"/>
    </row>
    <row r="63" spans="2:16" x14ac:dyDescent="0.25">
      <c r="B63" s="4"/>
      <c r="C63" s="112"/>
      <c r="D63" s="112"/>
      <c r="E63" s="204" t="s">
        <v>69</v>
      </c>
      <c r="F63" s="191"/>
      <c r="G63" s="114"/>
      <c r="H63" s="34" t="s">
        <v>71</v>
      </c>
      <c r="I63" s="8"/>
      <c r="J63" s="8"/>
      <c r="K63" s="34" t="s">
        <v>74</v>
      </c>
      <c r="L63" s="8"/>
      <c r="M63" s="114"/>
      <c r="N63" s="34" t="s">
        <v>75</v>
      </c>
      <c r="O63" s="8"/>
      <c r="P63" s="39"/>
    </row>
    <row r="64" spans="2:16" ht="30" x14ac:dyDescent="0.25">
      <c r="B64" s="4"/>
      <c r="C64" s="157" t="s">
        <v>244</v>
      </c>
      <c r="D64" s="111"/>
      <c r="E64" s="199" t="s">
        <v>1</v>
      </c>
      <c r="F64" s="119" t="s">
        <v>2</v>
      </c>
      <c r="G64" s="114"/>
      <c r="H64" s="41" t="s">
        <v>11</v>
      </c>
      <c r="I64" s="41" t="s">
        <v>12</v>
      </c>
      <c r="J64" s="8"/>
      <c r="K64" s="17" t="s">
        <v>3</v>
      </c>
      <c r="L64" s="24" t="s">
        <v>2</v>
      </c>
      <c r="M64" s="114"/>
      <c r="N64" s="41" t="s">
        <v>11</v>
      </c>
      <c r="O64" s="41" t="s">
        <v>12</v>
      </c>
      <c r="P64" s="39"/>
    </row>
    <row r="65" spans="2:16" ht="30" x14ac:dyDescent="0.25">
      <c r="B65" s="4"/>
      <c r="C65" s="157" t="s">
        <v>243</v>
      </c>
      <c r="D65" s="111"/>
      <c r="E65" s="200" t="s">
        <v>18</v>
      </c>
      <c r="F65" s="120" t="s">
        <v>6</v>
      </c>
      <c r="G65" s="114"/>
      <c r="H65" s="14" t="s">
        <v>47</v>
      </c>
      <c r="I65" s="35">
        <v>1.1099999999999999E-3</v>
      </c>
      <c r="J65" s="8"/>
      <c r="K65" s="18" t="s">
        <v>19</v>
      </c>
      <c r="L65" s="25" t="s">
        <v>20</v>
      </c>
      <c r="M65" s="114"/>
      <c r="N65" s="14" t="s">
        <v>47</v>
      </c>
      <c r="O65" s="35">
        <v>-2.9299999999999999E-3</v>
      </c>
      <c r="P65" s="39"/>
    </row>
    <row r="66" spans="2:16" ht="30" x14ac:dyDescent="0.25">
      <c r="B66" s="4"/>
      <c r="C66" s="157" t="s">
        <v>245</v>
      </c>
      <c r="D66" s="111"/>
      <c r="E66" s="200" t="s">
        <v>27</v>
      </c>
      <c r="F66" s="120" t="s">
        <v>28</v>
      </c>
      <c r="G66" s="114"/>
      <c r="H66" s="14" t="s">
        <v>43</v>
      </c>
      <c r="I66" s="35">
        <v>1.1800000000000001E-3</v>
      </c>
      <c r="J66" s="8"/>
      <c r="K66" s="18" t="s">
        <v>29</v>
      </c>
      <c r="L66" s="25" t="s">
        <v>26</v>
      </c>
      <c r="M66" s="114"/>
      <c r="N66" s="14" t="s">
        <v>43</v>
      </c>
      <c r="O66" s="35">
        <v>-2.7100000000000002E-3</v>
      </c>
      <c r="P66" s="39"/>
    </row>
    <row r="67" spans="2:16" ht="30" x14ac:dyDescent="0.25">
      <c r="B67" s="4"/>
      <c r="C67" s="157" t="s">
        <v>269</v>
      </c>
      <c r="D67" s="111"/>
      <c r="E67" s="200" t="s">
        <v>21</v>
      </c>
      <c r="F67" s="120" t="s">
        <v>22</v>
      </c>
      <c r="G67" s="114"/>
      <c r="H67" s="14" t="s">
        <v>50</v>
      </c>
      <c r="I67" s="35">
        <v>1.24E-3</v>
      </c>
      <c r="J67" s="8"/>
      <c r="K67" s="18" t="s">
        <v>23</v>
      </c>
      <c r="L67" s="25" t="s">
        <v>22</v>
      </c>
      <c r="M67" s="114"/>
      <c r="N67" s="14" t="s">
        <v>50</v>
      </c>
      <c r="O67" s="35">
        <v>-2.2200000000000002E-3</v>
      </c>
      <c r="P67" s="39"/>
    </row>
    <row r="68" spans="2:16" x14ac:dyDescent="0.25">
      <c r="B68" s="4"/>
      <c r="C68" s="159"/>
      <c r="D68" s="111"/>
      <c r="E68" s="200"/>
      <c r="F68" s="120"/>
      <c r="G68" s="114"/>
      <c r="H68" s="14" t="s">
        <v>52</v>
      </c>
      <c r="I68" s="35">
        <v>1.2600000000000001E-3</v>
      </c>
      <c r="J68" s="8"/>
      <c r="K68" s="18"/>
      <c r="L68" s="25"/>
      <c r="M68" s="114"/>
      <c r="N68" s="14" t="s">
        <v>52</v>
      </c>
      <c r="O68" s="35">
        <v>-1.48E-3</v>
      </c>
      <c r="P68" s="39"/>
    </row>
    <row r="69" spans="2:16" x14ac:dyDescent="0.25">
      <c r="B69" s="4"/>
      <c r="C69" s="159"/>
      <c r="D69" s="111"/>
      <c r="E69" s="200"/>
      <c r="F69" s="120"/>
      <c r="G69" s="114"/>
      <c r="H69" s="14" t="s">
        <v>54</v>
      </c>
      <c r="I69" s="35">
        <v>1.2600000000000001E-3</v>
      </c>
      <c r="J69" s="8"/>
      <c r="K69" s="19"/>
      <c r="L69" s="25"/>
      <c r="M69" s="114"/>
      <c r="N69" s="14" t="s">
        <v>54</v>
      </c>
      <c r="O69" s="35">
        <v>-5.0999999999999993E-4</v>
      </c>
      <c r="P69" s="39"/>
    </row>
    <row r="70" spans="2:16" x14ac:dyDescent="0.25">
      <c r="B70" s="4"/>
      <c r="C70" s="159"/>
      <c r="D70" s="111"/>
      <c r="E70" s="200"/>
      <c r="F70" s="121"/>
      <c r="G70" s="114"/>
      <c r="H70" s="14" t="s">
        <v>55</v>
      </c>
      <c r="I70" s="35">
        <v>1.25E-3</v>
      </c>
      <c r="J70" s="8"/>
      <c r="K70" s="20"/>
      <c r="L70" s="26"/>
      <c r="M70" s="114"/>
      <c r="N70" s="14" t="s">
        <v>55</v>
      </c>
      <c r="O70" s="35">
        <v>5.9999999999999995E-4</v>
      </c>
      <c r="P70" s="39"/>
    </row>
    <row r="71" spans="2:16" x14ac:dyDescent="0.25">
      <c r="B71" s="4"/>
      <c r="C71" s="159"/>
      <c r="D71" s="111"/>
      <c r="E71" s="200"/>
      <c r="F71" s="120"/>
      <c r="G71" s="114"/>
      <c r="H71" s="14" t="s">
        <v>57</v>
      </c>
      <c r="I71" s="35">
        <v>1.2199999999999999E-3</v>
      </c>
      <c r="J71" s="8"/>
      <c r="K71" s="18"/>
      <c r="L71" s="25"/>
      <c r="M71" s="114"/>
      <c r="N71" s="14" t="s">
        <v>57</v>
      </c>
      <c r="O71" s="35">
        <v>1.8E-3</v>
      </c>
      <c r="P71" s="39"/>
    </row>
    <row r="72" spans="2:16" x14ac:dyDescent="0.25">
      <c r="B72" s="4"/>
      <c r="C72" s="159"/>
      <c r="D72" s="111"/>
      <c r="E72" s="200"/>
      <c r="F72" s="120"/>
      <c r="G72" s="114"/>
      <c r="H72" s="14" t="s">
        <v>59</v>
      </c>
      <c r="I72" s="35">
        <v>1.1900000000000001E-3</v>
      </c>
      <c r="J72" s="8"/>
      <c r="K72" s="18"/>
      <c r="L72" s="25"/>
      <c r="M72" s="114"/>
      <c r="N72" s="14" t="s">
        <v>59</v>
      </c>
      <c r="O72" s="35">
        <v>2.98E-3</v>
      </c>
      <c r="P72" s="39"/>
    </row>
    <row r="73" spans="2:16" x14ac:dyDescent="0.25">
      <c r="B73" s="4"/>
      <c r="C73" s="159"/>
      <c r="D73" s="111"/>
      <c r="E73" s="200"/>
      <c r="F73" s="120"/>
      <c r="G73" s="114"/>
      <c r="H73" s="14" t="s">
        <v>60</v>
      </c>
      <c r="I73" s="35">
        <v>1.1800000000000001E-3</v>
      </c>
      <c r="J73" s="8"/>
      <c r="K73" s="18"/>
      <c r="L73" s="25"/>
      <c r="M73" s="114"/>
      <c r="N73" s="14" t="s">
        <v>60</v>
      </c>
      <c r="O73" s="35">
        <v>4.0799999999999994E-3</v>
      </c>
      <c r="P73" s="39"/>
    </row>
    <row r="74" spans="2:16" x14ac:dyDescent="0.25">
      <c r="B74" s="4"/>
      <c r="C74" s="159"/>
      <c r="D74" s="111"/>
      <c r="E74" s="200"/>
      <c r="F74" s="120"/>
      <c r="G74" s="114"/>
      <c r="H74" s="14" t="s">
        <v>61</v>
      </c>
      <c r="I74" s="35">
        <v>1.16E-3</v>
      </c>
      <c r="J74" s="8"/>
      <c r="K74" s="18"/>
      <c r="L74" s="25"/>
      <c r="M74" s="114"/>
      <c r="N74" s="14" t="s">
        <v>61</v>
      </c>
      <c r="O74" s="35">
        <v>5.1000000000000004E-3</v>
      </c>
      <c r="P74" s="39"/>
    </row>
    <row r="75" spans="2:16" x14ac:dyDescent="0.25">
      <c r="B75" s="4"/>
      <c r="C75" s="159" t="s">
        <v>260</v>
      </c>
      <c r="D75" s="111"/>
      <c r="E75" s="200"/>
      <c r="F75" s="120"/>
      <c r="G75" s="114"/>
      <c r="H75" s="14" t="s">
        <v>62</v>
      </c>
      <c r="I75" s="35">
        <v>1.15E-3</v>
      </c>
      <c r="J75" s="8"/>
      <c r="K75" s="18"/>
      <c r="L75" s="25"/>
      <c r="M75" s="114"/>
      <c r="N75" s="14" t="s">
        <v>62</v>
      </c>
      <c r="O75" s="35">
        <v>6.0099999999999997E-3</v>
      </c>
      <c r="P75" s="39"/>
    </row>
    <row r="76" spans="2:16" x14ac:dyDescent="0.25">
      <c r="B76" s="4"/>
      <c r="C76" s="166" t="s">
        <v>261</v>
      </c>
      <c r="D76" s="111"/>
      <c r="E76" s="200"/>
      <c r="F76" s="120"/>
      <c r="G76" s="114"/>
      <c r="H76" s="14" t="s">
        <v>63</v>
      </c>
      <c r="I76" s="35">
        <v>1.08E-3</v>
      </c>
      <c r="J76" s="8"/>
      <c r="K76" s="19"/>
      <c r="L76" s="25"/>
      <c r="M76" s="114"/>
      <c r="N76" s="14" t="s">
        <v>63</v>
      </c>
      <c r="O76" s="35">
        <v>8.0700000000000008E-3</v>
      </c>
      <c r="P76" s="39"/>
    </row>
    <row r="77" spans="2:16" x14ac:dyDescent="0.25">
      <c r="B77" s="4"/>
      <c r="C77" s="166" t="s">
        <v>262</v>
      </c>
      <c r="D77" s="111"/>
      <c r="E77" s="207"/>
      <c r="F77" s="192"/>
      <c r="G77" s="114"/>
      <c r="H77" s="14" t="s">
        <v>64</v>
      </c>
      <c r="I77" s="35">
        <v>9.5999999999999992E-4</v>
      </c>
      <c r="J77" s="8"/>
      <c r="K77" s="21"/>
      <c r="L77" s="27"/>
      <c r="M77" s="114"/>
      <c r="N77" s="14" t="s">
        <v>64</v>
      </c>
      <c r="O77" s="35">
        <v>9.8099999999999993E-3</v>
      </c>
      <c r="P77" s="39"/>
    </row>
    <row r="78" spans="2:16" x14ac:dyDescent="0.25">
      <c r="B78" s="4"/>
      <c r="C78" s="166"/>
      <c r="D78" s="111"/>
      <c r="E78" s="207"/>
      <c r="F78" s="122"/>
      <c r="G78" s="114"/>
      <c r="H78" s="14" t="s">
        <v>65</v>
      </c>
      <c r="I78" s="35">
        <v>8.5999999999999998E-4</v>
      </c>
      <c r="J78" s="8"/>
      <c r="K78" s="21"/>
      <c r="L78" s="28"/>
      <c r="M78" s="114"/>
      <c r="N78" s="14" t="s">
        <v>65</v>
      </c>
      <c r="O78" s="35">
        <v>1.0369999999999999E-2</v>
      </c>
      <c r="P78" s="39"/>
    </row>
    <row r="79" spans="2:16" x14ac:dyDescent="0.25">
      <c r="B79" s="4"/>
      <c r="C79" s="159"/>
      <c r="D79" s="111"/>
      <c r="E79" s="207"/>
      <c r="F79" s="192"/>
      <c r="G79" s="114"/>
      <c r="H79" s="14" t="s">
        <v>66</v>
      </c>
      <c r="I79" s="35">
        <v>7.7000000000000007E-4</v>
      </c>
      <c r="J79" s="8"/>
      <c r="K79" s="21"/>
      <c r="L79" s="27"/>
      <c r="M79" s="114"/>
      <c r="N79" s="14" t="s">
        <v>66</v>
      </c>
      <c r="O79" s="35">
        <v>1.0529999999999999E-2</v>
      </c>
      <c r="P79" s="39"/>
    </row>
    <row r="80" spans="2:16" x14ac:dyDescent="0.25">
      <c r="B80" s="4"/>
      <c r="C80" s="159"/>
      <c r="D80" s="111"/>
      <c r="E80" s="205"/>
      <c r="F80" s="120"/>
      <c r="G80" s="114"/>
      <c r="H80" s="14" t="s">
        <v>67</v>
      </c>
      <c r="I80" s="35">
        <v>6.4000000000000005E-4</v>
      </c>
      <c r="J80" s="8"/>
      <c r="K80" s="22"/>
      <c r="L80" s="25"/>
      <c r="M80" s="114"/>
      <c r="N80" s="14" t="s">
        <v>67</v>
      </c>
      <c r="O80" s="35">
        <v>1.0529999999999999E-2</v>
      </c>
      <c r="P80" s="39"/>
    </row>
    <row r="81" spans="2:16" x14ac:dyDescent="0.25">
      <c r="B81" s="4"/>
      <c r="C81" s="159"/>
      <c r="D81" s="111"/>
      <c r="E81" s="205"/>
      <c r="F81" s="192"/>
      <c r="G81" s="114"/>
      <c r="H81" s="14" t="s">
        <v>201</v>
      </c>
      <c r="I81" s="35">
        <v>5.5999999999999995E-4</v>
      </c>
      <c r="J81" s="8"/>
      <c r="K81" s="22"/>
      <c r="L81" s="29"/>
      <c r="M81" s="114"/>
      <c r="N81" s="14" t="s">
        <v>201</v>
      </c>
      <c r="O81" s="35">
        <v>1.0029999999999999E-2</v>
      </c>
      <c r="P81" s="39"/>
    </row>
    <row r="82" spans="2:16" x14ac:dyDescent="0.25">
      <c r="B82" s="4"/>
      <c r="C82" s="159"/>
      <c r="D82" s="111"/>
      <c r="E82" s="205"/>
      <c r="F82" s="192"/>
      <c r="G82" s="114"/>
      <c r="H82" s="14"/>
      <c r="I82" s="35"/>
      <c r="J82" s="8"/>
      <c r="K82" s="22"/>
      <c r="L82" s="29"/>
      <c r="M82" s="114"/>
      <c r="N82" s="14"/>
      <c r="O82" s="35"/>
      <c r="P82" s="39"/>
    </row>
    <row r="83" spans="2:16" x14ac:dyDescent="0.25">
      <c r="B83" s="4"/>
      <c r="C83" s="159"/>
      <c r="D83" s="111"/>
      <c r="E83" s="205"/>
      <c r="F83" s="192"/>
      <c r="G83" s="114"/>
      <c r="H83" s="14"/>
      <c r="I83" s="35"/>
      <c r="J83" s="8"/>
      <c r="K83" s="22"/>
      <c r="L83" s="29"/>
      <c r="M83" s="114"/>
      <c r="N83" s="14"/>
      <c r="O83" s="35"/>
      <c r="P83" s="39"/>
    </row>
    <row r="84" spans="2:16" x14ac:dyDescent="0.25">
      <c r="B84" s="4"/>
      <c r="C84" s="159"/>
      <c r="D84" s="111"/>
      <c r="E84" s="205"/>
      <c r="F84" s="192"/>
      <c r="G84" s="114"/>
      <c r="H84" s="14"/>
      <c r="I84" s="35"/>
      <c r="J84" s="8"/>
      <c r="K84" s="22"/>
      <c r="L84" s="29"/>
      <c r="M84" s="114"/>
      <c r="N84" s="14"/>
      <c r="O84" s="35"/>
      <c r="P84" s="39"/>
    </row>
    <row r="85" spans="2:16" x14ac:dyDescent="0.25">
      <c r="B85" s="4"/>
      <c r="C85" s="159"/>
      <c r="D85" s="111"/>
      <c r="E85" s="205"/>
      <c r="F85" s="192"/>
      <c r="G85" s="114"/>
      <c r="H85" s="14"/>
      <c r="I85" s="35"/>
      <c r="J85" s="8"/>
      <c r="K85" s="22"/>
      <c r="L85" s="29"/>
      <c r="M85" s="114"/>
      <c r="N85" s="14"/>
      <c r="O85" s="35"/>
      <c r="P85" s="39"/>
    </row>
    <row r="86" spans="2:16" x14ac:dyDescent="0.25">
      <c r="B86" s="4"/>
      <c r="C86" s="159"/>
      <c r="D86" s="111"/>
      <c r="E86" s="205"/>
      <c r="F86" s="192"/>
      <c r="G86" s="114"/>
      <c r="H86" s="14"/>
      <c r="I86" s="35"/>
      <c r="J86" s="8"/>
      <c r="K86" s="22"/>
      <c r="L86" s="29"/>
      <c r="M86" s="114"/>
      <c r="N86" s="14"/>
      <c r="O86" s="35"/>
      <c r="P86" s="39"/>
    </row>
    <row r="87" spans="2:16" x14ac:dyDescent="0.25">
      <c r="B87" s="4"/>
      <c r="C87" s="159"/>
      <c r="D87" s="111"/>
      <c r="E87" s="205"/>
      <c r="F87" s="192"/>
      <c r="G87" s="114"/>
      <c r="H87" s="14"/>
      <c r="I87" s="35"/>
      <c r="J87" s="8"/>
      <c r="K87" s="22"/>
      <c r="L87" s="29"/>
      <c r="M87" s="114"/>
      <c r="N87" s="14"/>
      <c r="O87" s="35"/>
      <c r="P87" s="39"/>
    </row>
    <row r="88" spans="2:16" x14ac:dyDescent="0.25">
      <c r="B88" s="4"/>
      <c r="C88" s="159"/>
      <c r="D88" s="111"/>
      <c r="E88" s="205"/>
      <c r="F88" s="192"/>
      <c r="G88" s="114"/>
      <c r="H88" s="14"/>
      <c r="I88" s="35"/>
      <c r="J88" s="8"/>
      <c r="K88" s="22"/>
      <c r="L88" s="29"/>
      <c r="M88" s="114"/>
      <c r="N88" s="14"/>
      <c r="O88" s="35"/>
      <c r="P88" s="39"/>
    </row>
    <row r="89" spans="2:16" x14ac:dyDescent="0.25">
      <c r="B89" s="4"/>
      <c r="C89" s="160"/>
      <c r="D89" s="111"/>
      <c r="E89" s="206"/>
      <c r="F89" s="193"/>
      <c r="G89" s="114"/>
      <c r="H89" s="15"/>
      <c r="I89" s="36"/>
      <c r="J89" s="8"/>
      <c r="K89" s="23"/>
      <c r="L89" s="30"/>
      <c r="M89" s="114"/>
      <c r="N89" s="15"/>
      <c r="O89" s="36"/>
      <c r="P89" s="39"/>
    </row>
    <row r="90" spans="2:16" x14ac:dyDescent="0.25">
      <c r="B90" s="9"/>
      <c r="C90" s="116"/>
      <c r="D90" s="116"/>
      <c r="E90" s="181"/>
      <c r="F90" s="189"/>
      <c r="G90" s="116"/>
      <c r="H90" s="10"/>
      <c r="I90" s="10"/>
      <c r="J90" s="10"/>
      <c r="K90" s="10"/>
      <c r="L90" s="10"/>
      <c r="M90" s="116"/>
      <c r="N90" s="10"/>
      <c r="O90" s="10"/>
      <c r="P90" s="11"/>
    </row>
  </sheetData>
  <dataValidations count="1">
    <dataValidation type="list" allowBlank="1" showInputMessage="1" showErrorMessage="1" sqref="G19:G24 F22:F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05" hidden="1" customWidth="1"/>
    <col min="4" max="4" width="4.7109375" style="107" hidden="1" customWidth="1"/>
    <col min="5" max="5" width="21.85546875" style="178" customWidth="1"/>
    <col min="6" max="6" width="32.7109375" style="188"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07"/>
    </row>
    <row r="2" spans="1:15" ht="23.25" x14ac:dyDescent="0.35">
      <c r="A2" s="107"/>
      <c r="B2" s="297" t="s">
        <v>370</v>
      </c>
      <c r="C2" s="106"/>
      <c r="D2" s="128"/>
    </row>
    <row r="3" spans="1:15" ht="23.25" x14ac:dyDescent="0.35">
      <c r="B3" s="223" t="s">
        <v>321</v>
      </c>
    </row>
    <row r="4" spans="1:15" ht="23.25" x14ac:dyDescent="0.35">
      <c r="B4" s="223" t="s">
        <v>320</v>
      </c>
    </row>
    <row r="5" spans="1:15" s="235" customFormat="1" x14ac:dyDescent="0.25">
      <c r="C5" s="236"/>
      <c r="E5" s="237"/>
      <c r="F5" s="238"/>
    </row>
    <row r="6" spans="1:15" x14ac:dyDescent="0.25">
      <c r="B6" s="40" t="s">
        <v>233</v>
      </c>
      <c r="C6" s="106"/>
      <c r="D6" s="128"/>
    </row>
    <row r="7" spans="1:15" x14ac:dyDescent="0.25">
      <c r="B7" s="1"/>
      <c r="C7" s="109"/>
      <c r="D7" s="109"/>
      <c r="E7" s="194"/>
      <c r="F7" s="123"/>
      <c r="G7" s="2"/>
      <c r="H7" s="2"/>
      <c r="I7" s="2"/>
      <c r="J7" s="2"/>
      <c r="K7" s="2"/>
      <c r="L7" s="2"/>
      <c r="M7" s="2"/>
      <c r="N7" s="2"/>
      <c r="O7" s="3"/>
    </row>
    <row r="8" spans="1:15" x14ac:dyDescent="0.25">
      <c r="B8" s="4"/>
      <c r="C8" s="126"/>
      <c r="D8" s="112"/>
      <c r="E8" s="195" t="s">
        <v>233</v>
      </c>
      <c r="F8" s="131"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(0.02000 sec)</v>
      </c>
      <c r="G8" s="42"/>
      <c r="H8" s="43"/>
      <c r="I8" s="5"/>
      <c r="J8" s="5"/>
      <c r="K8" s="5"/>
      <c r="L8" s="5"/>
      <c r="M8" s="5"/>
      <c r="N8" s="5"/>
      <c r="O8" s="6"/>
    </row>
    <row r="9" spans="1:15" x14ac:dyDescent="0.25">
      <c r="B9" s="4"/>
      <c r="C9" s="112"/>
      <c r="D9" s="112"/>
      <c r="E9" s="196" t="s">
        <v>167</v>
      </c>
      <c r="F9" s="153" t="b">
        <f ca="1">LEFT(F8,5)=STDCurve.CollectionName</f>
        <v>1</v>
      </c>
      <c r="G9" s="5"/>
      <c r="H9" s="5"/>
      <c r="I9" s="5"/>
      <c r="J9" s="5"/>
      <c r="K9" s="5"/>
      <c r="L9" s="5"/>
      <c r="M9" s="5"/>
      <c r="N9" s="5"/>
      <c r="O9" s="6"/>
    </row>
    <row r="10" spans="1:15" x14ac:dyDescent="0.25">
      <c r="B10" s="4"/>
      <c r="C10" s="112"/>
      <c r="D10" s="112"/>
      <c r="E10" s="180"/>
      <c r="F10" s="130"/>
      <c r="G10" s="5"/>
      <c r="H10" s="5"/>
      <c r="I10" s="5"/>
      <c r="J10" s="5"/>
      <c r="K10" s="5"/>
      <c r="L10" s="5"/>
      <c r="M10" s="5"/>
      <c r="N10" s="5"/>
      <c r="O10" s="6"/>
    </row>
    <row r="11" spans="1:15" x14ac:dyDescent="0.25">
      <c r="B11" s="4"/>
      <c r="C11" s="112"/>
      <c r="D11" s="112"/>
      <c r="E11" s="197"/>
      <c r="F11" s="130"/>
      <c r="G11" s="5"/>
      <c r="H11" s="5"/>
      <c r="I11" s="5"/>
      <c r="J11" s="5"/>
      <c r="K11" s="5"/>
      <c r="L11" s="5"/>
      <c r="M11" s="5"/>
      <c r="N11" s="5"/>
      <c r="O11" s="6"/>
    </row>
    <row r="12" spans="1:15" x14ac:dyDescent="0.25">
      <c r="B12" s="4"/>
      <c r="C12" s="112"/>
      <c r="D12" s="112"/>
      <c r="E12" s="198" t="s">
        <v>0</v>
      </c>
      <c r="F12" s="129"/>
      <c r="G12" s="5"/>
      <c r="H12" s="5"/>
      <c r="I12" s="5"/>
      <c r="J12" s="5"/>
      <c r="K12" s="5"/>
      <c r="L12" s="5"/>
      <c r="M12" s="5"/>
      <c r="N12" s="5"/>
      <c r="O12" s="6"/>
    </row>
    <row r="13" spans="1:15" ht="30" x14ac:dyDescent="0.25">
      <c r="B13" s="4"/>
      <c r="C13" s="156" t="s">
        <v>239</v>
      </c>
      <c r="D13" s="112"/>
      <c r="E13" s="199" t="s">
        <v>80</v>
      </c>
      <c r="F13" s="147" t="s">
        <v>78</v>
      </c>
      <c r="G13" s="5"/>
      <c r="H13" s="5"/>
      <c r="I13" s="5"/>
      <c r="J13" s="5"/>
      <c r="K13" s="5"/>
      <c r="L13" s="5"/>
      <c r="M13" s="5"/>
      <c r="N13" s="5"/>
      <c r="O13" s="6"/>
    </row>
    <row r="14" spans="1:15" ht="30" x14ac:dyDescent="0.25">
      <c r="B14" s="4"/>
      <c r="C14" s="156" t="s">
        <v>315</v>
      </c>
      <c r="D14" s="112"/>
      <c r="E14" s="200" t="s">
        <v>79</v>
      </c>
      <c r="F14" s="148" t="s">
        <v>82</v>
      </c>
      <c r="G14" s="5"/>
      <c r="H14" s="5"/>
      <c r="I14" s="5"/>
      <c r="J14" s="5"/>
      <c r="K14" s="5"/>
      <c r="L14" s="5"/>
      <c r="M14" s="5"/>
      <c r="N14" s="5"/>
      <c r="O14" s="6"/>
    </row>
    <row r="15" spans="1:15" ht="30" x14ac:dyDescent="0.25">
      <c r="B15" s="4"/>
      <c r="C15" s="156" t="s">
        <v>316</v>
      </c>
      <c r="D15" s="112"/>
      <c r="E15" s="202" t="s">
        <v>81</v>
      </c>
      <c r="F15" s="149" t="s">
        <v>184</v>
      </c>
      <c r="G15" s="5"/>
      <c r="H15" s="5"/>
      <c r="I15" s="5"/>
      <c r="J15" s="5" t="s">
        <v>4</v>
      </c>
      <c r="K15" s="5" t="s">
        <v>4</v>
      </c>
      <c r="L15" s="5" t="s">
        <v>4</v>
      </c>
      <c r="M15" s="5"/>
      <c r="N15" s="5"/>
      <c r="O15" s="6" t="s">
        <v>4</v>
      </c>
    </row>
    <row r="16" spans="1:15" x14ac:dyDescent="0.25">
      <c r="B16" s="9"/>
      <c r="C16" s="116"/>
      <c r="D16" s="116"/>
      <c r="E16" s="181"/>
      <c r="F16" s="189"/>
      <c r="G16" s="10"/>
      <c r="H16" s="10"/>
      <c r="I16" s="10"/>
      <c r="J16" s="10"/>
      <c r="K16" s="10"/>
      <c r="L16" s="10"/>
      <c r="M16" s="10"/>
      <c r="N16" s="10"/>
      <c r="O16" s="11"/>
    </row>
    <row r="19" spans="2:15" x14ac:dyDescent="0.25">
      <c r="B19" s="40" t="s">
        <v>68</v>
      </c>
      <c r="C19" s="106"/>
      <c r="D19" s="128"/>
    </row>
    <row r="20" spans="2:15" x14ac:dyDescent="0.25">
      <c r="B20" s="1"/>
      <c r="C20" s="109"/>
      <c r="D20" s="109"/>
      <c r="E20" s="194"/>
      <c r="F20" s="123"/>
      <c r="G20" s="2"/>
      <c r="H20" s="2"/>
      <c r="I20" s="2"/>
      <c r="J20" s="45"/>
      <c r="K20" s="2"/>
      <c r="L20" s="2"/>
      <c r="M20" s="2"/>
      <c r="N20" s="2"/>
      <c r="O20" s="3"/>
    </row>
    <row r="21" spans="2:15" x14ac:dyDescent="0.25">
      <c r="B21" s="4"/>
      <c r="C21" s="112"/>
      <c r="D21" s="112"/>
      <c r="E21" s="198" t="s">
        <v>68</v>
      </c>
      <c r="F21" s="124"/>
      <c r="G21" s="5"/>
      <c r="H21" s="5"/>
      <c r="I21" s="5"/>
      <c r="J21" s="5"/>
      <c r="K21" s="5"/>
      <c r="L21" s="5"/>
      <c r="M21" s="5"/>
      <c r="N21" s="5"/>
      <c r="O21" s="6"/>
    </row>
    <row r="22" spans="2:15" ht="30" x14ac:dyDescent="0.25">
      <c r="B22" s="4"/>
      <c r="C22" s="156" t="s">
        <v>240</v>
      </c>
      <c r="D22" s="112"/>
      <c r="E22" s="199" t="s">
        <v>10</v>
      </c>
      <c r="F22" s="147">
        <f>COB</f>
        <v>42521</v>
      </c>
      <c r="G22" s="5"/>
      <c r="H22" s="5"/>
      <c r="I22" s="5"/>
      <c r="J22" s="5"/>
      <c r="K22" s="5"/>
      <c r="L22" s="5"/>
      <c r="M22" s="5"/>
      <c r="N22" s="5"/>
      <c r="O22" s="6"/>
    </row>
    <row r="23" spans="2:15" ht="30" x14ac:dyDescent="0.25">
      <c r="B23" s="4"/>
      <c r="C23" s="156" t="s">
        <v>241</v>
      </c>
      <c r="D23" s="112"/>
      <c r="E23" s="200" t="s">
        <v>16</v>
      </c>
      <c r="F23" s="148" t="s">
        <v>17</v>
      </c>
      <c r="G23" s="5"/>
      <c r="H23" s="5"/>
      <c r="I23" s="5"/>
      <c r="J23" s="5"/>
      <c r="K23" s="5"/>
      <c r="L23" s="5"/>
      <c r="M23" s="5"/>
      <c r="N23" s="5"/>
      <c r="O23" s="6"/>
    </row>
    <row r="24" spans="2:15" ht="30" x14ac:dyDescent="0.25">
      <c r="B24" s="4"/>
      <c r="C24" s="156" t="s">
        <v>242</v>
      </c>
      <c r="D24" s="112"/>
      <c r="E24" s="200" t="s">
        <v>83</v>
      </c>
      <c r="F24" s="150" t="str">
        <f ca="1">interpolationFunction</f>
        <v>fn_MonotoneConvexInterpolation</v>
      </c>
      <c r="G24" s="5"/>
      <c r="H24" s="5"/>
      <c r="I24" s="5"/>
      <c r="J24" s="5"/>
      <c r="K24" s="5"/>
      <c r="L24" s="5"/>
      <c r="M24" s="5"/>
      <c r="N24" s="5"/>
      <c r="O24" s="6"/>
    </row>
    <row r="25" spans="2:15" ht="30" x14ac:dyDescent="0.25">
      <c r="B25" s="4"/>
      <c r="C25" s="161" t="s">
        <v>317</v>
      </c>
      <c r="D25" s="112"/>
      <c r="E25" s="200" t="s">
        <v>24</v>
      </c>
      <c r="F25" s="150" t="str">
        <f ca="1">interpolationFunction</f>
        <v>fn_MonotoneConvexInterpolation</v>
      </c>
      <c r="G25" s="5"/>
      <c r="H25" s="5"/>
      <c r="I25" s="5"/>
      <c r="J25" s="5"/>
      <c r="K25" s="5"/>
      <c r="L25" s="5"/>
      <c r="M25" s="5"/>
      <c r="N25" s="5"/>
      <c r="O25" s="6"/>
    </row>
    <row r="26" spans="2:15" ht="30" x14ac:dyDescent="0.25">
      <c r="B26" s="4"/>
      <c r="C26" s="161" t="s">
        <v>263</v>
      </c>
      <c r="D26" s="112"/>
      <c r="E26" s="200" t="s">
        <v>85</v>
      </c>
      <c r="F26" s="148" t="b">
        <v>0</v>
      </c>
      <c r="G26" s="5"/>
      <c r="H26" s="5"/>
      <c r="I26" s="5"/>
      <c r="J26" s="5"/>
      <c r="K26" s="5"/>
      <c r="L26" s="5"/>
      <c r="M26" s="5"/>
      <c r="N26" s="5"/>
      <c r="O26" s="6"/>
    </row>
    <row r="27" spans="2:15" ht="30" x14ac:dyDescent="0.25">
      <c r="B27" s="4"/>
      <c r="C27" s="161" t="s">
        <v>264</v>
      </c>
      <c r="D27" s="112"/>
      <c r="E27" s="200" t="s">
        <v>84</v>
      </c>
      <c r="F27" s="148" t="b">
        <v>1</v>
      </c>
      <c r="G27" s="5"/>
      <c r="H27" s="5"/>
      <c r="I27" s="5"/>
      <c r="J27" s="5"/>
      <c r="K27" s="5"/>
      <c r="L27" s="5"/>
      <c r="M27" s="5"/>
      <c r="N27" s="5"/>
      <c r="O27" s="6"/>
    </row>
    <row r="28" spans="2:15" ht="30" x14ac:dyDescent="0.25">
      <c r="B28" s="4"/>
      <c r="C28" s="157" t="s">
        <v>265</v>
      </c>
      <c r="D28" s="112"/>
      <c r="E28" s="200" t="s">
        <v>27</v>
      </c>
      <c r="F28" s="148" t="s">
        <v>28</v>
      </c>
      <c r="G28" s="5"/>
      <c r="H28" s="5"/>
      <c r="I28" s="5"/>
      <c r="J28" s="5"/>
      <c r="K28" s="5"/>
      <c r="L28" s="5"/>
      <c r="M28" s="5"/>
      <c r="N28" s="5"/>
      <c r="O28" s="6"/>
    </row>
    <row r="29" spans="2:15" ht="45" x14ac:dyDescent="0.25">
      <c r="B29" s="4"/>
      <c r="C29" s="161" t="s">
        <v>266</v>
      </c>
      <c r="D29" s="112"/>
      <c r="E29" s="200" t="s">
        <v>86</v>
      </c>
      <c r="F29" s="148" t="s">
        <v>9</v>
      </c>
      <c r="G29" s="5"/>
      <c r="H29" s="5"/>
      <c r="I29" s="5"/>
      <c r="J29" s="5"/>
      <c r="K29" s="5"/>
      <c r="L29" s="5"/>
      <c r="M29" s="5"/>
      <c r="N29" s="5"/>
      <c r="O29" s="6"/>
    </row>
    <row r="30" spans="2:15" x14ac:dyDescent="0.25">
      <c r="B30" s="4"/>
      <c r="C30" s="166"/>
      <c r="D30" s="112"/>
      <c r="E30" s="200"/>
      <c r="F30" s="148"/>
      <c r="G30" s="5"/>
      <c r="H30" s="5"/>
      <c r="I30" s="5"/>
      <c r="J30" s="5"/>
      <c r="K30" s="5"/>
      <c r="L30" s="5"/>
      <c r="M30" s="5"/>
      <c r="N30" s="5"/>
      <c r="O30" s="6"/>
    </row>
    <row r="31" spans="2:15" x14ac:dyDescent="0.25">
      <c r="B31" s="4"/>
      <c r="C31" s="162"/>
      <c r="D31" s="112"/>
      <c r="E31" s="202"/>
      <c r="F31" s="149"/>
      <c r="G31" s="5"/>
      <c r="H31" s="5"/>
      <c r="I31" s="5"/>
      <c r="J31" s="5"/>
      <c r="K31" s="5"/>
      <c r="L31" s="5"/>
      <c r="M31" s="5"/>
      <c r="N31" s="5"/>
      <c r="O31" s="6"/>
    </row>
    <row r="32" spans="2:15" x14ac:dyDescent="0.25">
      <c r="B32" s="9"/>
      <c r="C32" s="116"/>
      <c r="D32" s="116"/>
      <c r="E32" s="181"/>
      <c r="F32" s="189"/>
      <c r="G32" s="10"/>
      <c r="H32" s="10"/>
      <c r="I32" s="10"/>
      <c r="J32" s="10"/>
      <c r="K32" s="10"/>
      <c r="L32" s="10"/>
      <c r="M32" s="10"/>
      <c r="N32" s="10"/>
      <c r="O32" s="11"/>
    </row>
    <row r="35" spans="2:15" x14ac:dyDescent="0.25">
      <c r="B35" s="40" t="s">
        <v>87</v>
      </c>
      <c r="C35" s="106"/>
      <c r="D35" s="128"/>
    </row>
    <row r="36" spans="2:15" x14ac:dyDescent="0.25">
      <c r="B36" s="1"/>
      <c r="C36" s="109"/>
      <c r="D36" s="109"/>
      <c r="E36" s="179"/>
      <c r="F36" s="190"/>
      <c r="G36" s="2"/>
      <c r="H36" s="2"/>
      <c r="I36" s="2"/>
      <c r="J36" s="2"/>
      <c r="K36" s="2"/>
      <c r="L36" s="2"/>
      <c r="M36" s="2"/>
      <c r="N36" s="2"/>
      <c r="O36" s="3"/>
    </row>
    <row r="37" spans="2:15" x14ac:dyDescent="0.25">
      <c r="B37" s="4"/>
      <c r="C37" s="112"/>
      <c r="D37" s="112"/>
      <c r="E37" s="204" t="s">
        <v>203</v>
      </c>
      <c r="F37" s="191"/>
      <c r="G37" s="8"/>
      <c r="H37" s="34" t="s">
        <v>204</v>
      </c>
      <c r="I37" s="8"/>
      <c r="J37" s="8"/>
      <c r="K37" s="34" t="s">
        <v>202</v>
      </c>
      <c r="L37" s="8"/>
      <c r="M37" s="8"/>
      <c r="N37" s="8"/>
      <c r="O37" s="39"/>
    </row>
    <row r="38" spans="2:15" ht="30" x14ac:dyDescent="0.25">
      <c r="B38" s="4"/>
      <c r="C38" s="157" t="s">
        <v>244</v>
      </c>
      <c r="D38" s="112"/>
      <c r="E38" s="199" t="s">
        <v>1</v>
      </c>
      <c r="F38" s="119" t="s">
        <v>2</v>
      </c>
      <c r="G38" s="5"/>
      <c r="H38" s="167" t="s">
        <v>1</v>
      </c>
      <c r="I38" s="119" t="s">
        <v>2</v>
      </c>
      <c r="J38" s="8"/>
      <c r="K38" s="53" t="s">
        <v>11</v>
      </c>
      <c r="L38" s="53" t="s">
        <v>12</v>
      </c>
      <c r="M38" s="53"/>
      <c r="N38" s="53"/>
      <c r="O38" s="39"/>
    </row>
    <row r="39" spans="2:15" ht="30" x14ac:dyDescent="0.25">
      <c r="B39" s="4"/>
      <c r="C39" s="157" t="s">
        <v>243</v>
      </c>
      <c r="D39" s="112"/>
      <c r="E39" s="200" t="s">
        <v>88</v>
      </c>
      <c r="F39" s="120" t="s">
        <v>6</v>
      </c>
      <c r="G39" s="7"/>
      <c r="H39" s="104" t="s">
        <v>18</v>
      </c>
      <c r="I39" s="135" t="s">
        <v>6</v>
      </c>
      <c r="J39" s="8"/>
      <c r="K39" s="47" t="s">
        <v>161</v>
      </c>
      <c r="L39" s="50">
        <v>-3.49E-3</v>
      </c>
      <c r="M39" s="53"/>
      <c r="N39" s="53"/>
      <c r="O39" s="39"/>
    </row>
    <row r="40" spans="2:15" ht="30" x14ac:dyDescent="0.25">
      <c r="B40" s="4"/>
      <c r="C40" s="158" t="s">
        <v>269</v>
      </c>
      <c r="D40" s="112"/>
      <c r="E40" s="200" t="s">
        <v>89</v>
      </c>
      <c r="F40" s="120" t="s">
        <v>90</v>
      </c>
      <c r="G40" s="7"/>
      <c r="H40" s="104" t="s">
        <v>27</v>
      </c>
      <c r="I40" s="120" t="s">
        <v>91</v>
      </c>
      <c r="J40" s="8"/>
      <c r="K40" s="48" t="s">
        <v>145</v>
      </c>
      <c r="L40" s="51">
        <v>-2.6099999999999999E-3</v>
      </c>
      <c r="M40" s="53"/>
      <c r="N40" s="53"/>
      <c r="O40" s="39"/>
    </row>
    <row r="41" spans="2:15" x14ac:dyDescent="0.25">
      <c r="B41" s="4"/>
      <c r="C41" s="159"/>
      <c r="D41" s="112"/>
      <c r="E41" s="200"/>
      <c r="F41" s="120"/>
      <c r="G41" s="7"/>
      <c r="H41" s="104" t="s">
        <v>92</v>
      </c>
      <c r="I41" s="135">
        <v>2</v>
      </c>
      <c r="J41" s="8"/>
      <c r="K41" s="48" t="s">
        <v>94</v>
      </c>
      <c r="L41" s="51">
        <v>-1.5299999999999999E-3</v>
      </c>
      <c r="M41" s="53"/>
      <c r="N41" s="53"/>
      <c r="O41" s="39"/>
    </row>
    <row r="42" spans="2:15" x14ac:dyDescent="0.25">
      <c r="B42" s="4"/>
      <c r="C42" s="159"/>
      <c r="D42" s="112"/>
      <c r="E42" s="200"/>
      <c r="F42" s="120"/>
      <c r="G42" s="7"/>
      <c r="H42" s="104" t="s">
        <v>21</v>
      </c>
      <c r="I42" s="135" t="s">
        <v>22</v>
      </c>
      <c r="J42" s="8"/>
      <c r="K42" s="48" t="s">
        <v>56</v>
      </c>
      <c r="L42" s="51">
        <v>-1.4999999999999999E-4</v>
      </c>
      <c r="M42" s="53"/>
      <c r="N42" s="53"/>
      <c r="O42" s="39"/>
    </row>
    <row r="43" spans="2:15" x14ac:dyDescent="0.25">
      <c r="B43" s="4"/>
      <c r="C43" s="160"/>
      <c r="D43" s="112"/>
      <c r="E43" s="206"/>
      <c r="F43" s="193"/>
      <c r="G43" s="7"/>
      <c r="H43" s="168"/>
      <c r="I43" s="136"/>
      <c r="J43" s="8"/>
      <c r="K43" s="49"/>
      <c r="L43" s="52"/>
      <c r="M43" s="53"/>
      <c r="N43" s="53"/>
      <c r="O43" s="39"/>
    </row>
    <row r="44" spans="2:15" x14ac:dyDescent="0.25">
      <c r="B44" s="4"/>
      <c r="C44" s="112"/>
      <c r="D44" s="112"/>
      <c r="E44" s="183"/>
      <c r="F44" s="215"/>
      <c r="G44" s="7"/>
      <c r="H44" s="8"/>
      <c r="I44" s="8"/>
      <c r="J44" s="8"/>
      <c r="K44" s="93" t="s">
        <v>323</v>
      </c>
      <c r="L44" s="8"/>
      <c r="M44" s="8"/>
      <c r="N44" s="8"/>
      <c r="O44" s="39"/>
    </row>
    <row r="45" spans="2:15" x14ac:dyDescent="0.25">
      <c r="B45" s="9"/>
      <c r="C45" s="116"/>
      <c r="D45" s="116"/>
      <c r="E45" s="181"/>
      <c r="F45" s="189"/>
      <c r="G45" s="10"/>
      <c r="H45" s="10"/>
      <c r="I45" s="10"/>
      <c r="J45" s="10"/>
      <c r="K45" s="10"/>
      <c r="L45" s="10"/>
      <c r="M45" s="10"/>
      <c r="N45" s="10"/>
      <c r="O45" s="11"/>
    </row>
    <row r="48" spans="2:15" x14ac:dyDescent="0.25">
      <c r="B48" s="40" t="s">
        <v>95</v>
      </c>
      <c r="C48" s="106"/>
      <c r="D48" s="128"/>
    </row>
    <row r="49" spans="2:15" x14ac:dyDescent="0.25">
      <c r="B49" s="1"/>
      <c r="C49" s="109"/>
      <c r="D49" s="109"/>
      <c r="E49" s="179"/>
      <c r="F49" s="190"/>
      <c r="G49" s="2"/>
      <c r="H49" s="2"/>
      <c r="I49" s="2"/>
      <c r="J49" s="2"/>
      <c r="K49" s="2"/>
      <c r="L49" s="2"/>
      <c r="M49" s="2"/>
      <c r="N49" s="2"/>
      <c r="O49" s="3"/>
    </row>
    <row r="50" spans="2:15" x14ac:dyDescent="0.25">
      <c r="B50" s="4"/>
      <c r="C50" s="112"/>
      <c r="D50" s="112"/>
      <c r="E50" s="204" t="s">
        <v>96</v>
      </c>
      <c r="F50" s="191"/>
      <c r="G50" s="8"/>
      <c r="H50" s="34" t="s">
        <v>115</v>
      </c>
      <c r="I50" s="8"/>
      <c r="J50" s="8"/>
      <c r="K50" s="34" t="s">
        <v>116</v>
      </c>
      <c r="L50" s="8"/>
      <c r="M50" s="8"/>
      <c r="N50" s="8"/>
      <c r="O50" s="39"/>
    </row>
    <row r="51" spans="2:15" x14ac:dyDescent="0.25">
      <c r="B51" s="4"/>
      <c r="C51" s="112"/>
      <c r="D51" s="112"/>
      <c r="E51" s="199"/>
      <c r="F51" s="119"/>
      <c r="G51" s="5"/>
      <c r="H51" s="53" t="s">
        <v>11</v>
      </c>
      <c r="I51" s="53" t="s">
        <v>12</v>
      </c>
      <c r="J51" s="8"/>
      <c r="K51" s="53" t="s">
        <v>11</v>
      </c>
      <c r="L51" s="53" t="s">
        <v>12</v>
      </c>
      <c r="M51" s="53"/>
      <c r="N51" s="53"/>
      <c r="O51" s="39"/>
    </row>
    <row r="52" spans="2:15" x14ac:dyDescent="0.25">
      <c r="B52" s="4"/>
      <c r="C52" s="112"/>
      <c r="D52" s="112"/>
      <c r="E52" s="200"/>
      <c r="F52" s="120"/>
      <c r="G52" s="7"/>
      <c r="H52" s="47"/>
      <c r="I52" s="50"/>
      <c r="J52" s="8"/>
      <c r="K52" s="47"/>
      <c r="L52" s="50"/>
      <c r="M52" s="53"/>
      <c r="N52" s="53"/>
      <c r="O52" s="39"/>
    </row>
    <row r="53" spans="2:15" x14ac:dyDescent="0.25">
      <c r="B53" s="4"/>
      <c r="C53" s="112"/>
      <c r="D53" s="112"/>
      <c r="E53" s="200"/>
      <c r="F53" s="120"/>
      <c r="G53" s="7"/>
      <c r="H53" s="48"/>
      <c r="I53" s="51"/>
      <c r="J53" s="8"/>
      <c r="K53" s="48"/>
      <c r="L53" s="51"/>
      <c r="M53" s="53"/>
      <c r="N53" s="53"/>
      <c r="O53" s="39"/>
    </row>
    <row r="54" spans="2:15" x14ac:dyDescent="0.25">
      <c r="B54" s="4"/>
      <c r="C54" s="112"/>
      <c r="D54" s="112"/>
      <c r="E54" s="200"/>
      <c r="F54" s="120"/>
      <c r="G54" s="7"/>
      <c r="H54" s="48"/>
      <c r="I54" s="51"/>
      <c r="J54" s="8"/>
      <c r="K54" s="48"/>
      <c r="L54" s="51"/>
      <c r="M54" s="53"/>
      <c r="N54" s="53"/>
      <c r="O54" s="39"/>
    </row>
    <row r="55" spans="2:15" x14ac:dyDescent="0.25">
      <c r="B55" s="4"/>
      <c r="C55" s="112"/>
      <c r="D55" s="112"/>
      <c r="E55" s="200"/>
      <c r="F55" s="120"/>
      <c r="G55" s="7"/>
      <c r="H55" s="48"/>
      <c r="I55" s="51"/>
      <c r="J55" s="8"/>
      <c r="K55" s="48"/>
      <c r="L55" s="51"/>
      <c r="M55" s="53"/>
      <c r="N55" s="53"/>
      <c r="O55" s="39"/>
    </row>
    <row r="56" spans="2:15" x14ac:dyDescent="0.25">
      <c r="B56" s="4"/>
      <c r="C56" s="112"/>
      <c r="D56" s="112"/>
      <c r="E56" s="200"/>
      <c r="F56" s="120"/>
      <c r="G56" s="7"/>
      <c r="H56" s="48"/>
      <c r="I56" s="51"/>
      <c r="J56" s="8"/>
      <c r="K56" s="48"/>
      <c r="L56" s="51"/>
      <c r="M56" s="53"/>
      <c r="N56" s="53"/>
      <c r="O56" s="39"/>
    </row>
    <row r="57" spans="2:15" x14ac:dyDescent="0.25">
      <c r="B57" s="4"/>
      <c r="C57" s="112"/>
      <c r="D57" s="112"/>
      <c r="E57" s="200"/>
      <c r="F57" s="120"/>
      <c r="G57" s="7"/>
      <c r="H57" s="48"/>
      <c r="I57" s="51"/>
      <c r="J57" s="8"/>
      <c r="K57" s="48"/>
      <c r="L57" s="51"/>
      <c r="M57" s="53"/>
      <c r="N57" s="53"/>
      <c r="O57" s="39"/>
    </row>
    <row r="58" spans="2:15" x14ac:dyDescent="0.25">
      <c r="B58" s="4"/>
      <c r="C58" s="112"/>
      <c r="D58" s="112"/>
      <c r="E58" s="200"/>
      <c r="F58" s="120"/>
      <c r="G58" s="7"/>
      <c r="H58" s="48"/>
      <c r="I58" s="51"/>
      <c r="J58" s="8"/>
      <c r="K58" s="48"/>
      <c r="L58" s="51"/>
      <c r="M58" s="53"/>
      <c r="N58" s="53"/>
      <c r="O58" s="39"/>
    </row>
    <row r="59" spans="2:15" x14ac:dyDescent="0.25">
      <c r="B59" s="4"/>
      <c r="C59" s="112"/>
      <c r="D59" s="112"/>
      <c r="E59" s="200"/>
      <c r="F59" s="120"/>
      <c r="G59" s="7"/>
      <c r="H59" s="48"/>
      <c r="I59" s="51"/>
      <c r="J59" s="8"/>
      <c r="K59" s="48"/>
      <c r="L59" s="51"/>
      <c r="M59" s="53"/>
      <c r="N59" s="53"/>
      <c r="O59" s="39"/>
    </row>
    <row r="60" spans="2:15" x14ac:dyDescent="0.25">
      <c r="B60" s="4"/>
      <c r="C60" s="112"/>
      <c r="D60" s="112"/>
      <c r="E60" s="200"/>
      <c r="F60" s="120"/>
      <c r="G60" s="7"/>
      <c r="H60" s="48"/>
      <c r="I60" s="51"/>
      <c r="J60" s="8"/>
      <c r="K60" s="48"/>
      <c r="L60" s="51"/>
      <c r="M60" s="53"/>
      <c r="N60" s="53"/>
      <c r="O60" s="39"/>
    </row>
    <row r="61" spans="2:15" x14ac:dyDescent="0.25">
      <c r="B61" s="4"/>
      <c r="C61" s="112"/>
      <c r="D61" s="112"/>
      <c r="E61" s="200"/>
      <c r="F61" s="120"/>
      <c r="G61" s="7"/>
      <c r="H61" s="48"/>
      <c r="I61" s="51"/>
      <c r="J61" s="8"/>
      <c r="K61" s="48"/>
      <c r="L61" s="51"/>
      <c r="M61" s="53"/>
      <c r="N61" s="53"/>
      <c r="O61" s="39"/>
    </row>
    <row r="62" spans="2:15" x14ac:dyDescent="0.25">
      <c r="B62" s="4"/>
      <c r="C62" s="112"/>
      <c r="D62" s="112"/>
      <c r="E62" s="200"/>
      <c r="F62" s="120"/>
      <c r="G62" s="7"/>
      <c r="H62" s="48"/>
      <c r="I62" s="51"/>
      <c r="J62" s="8"/>
      <c r="K62" s="48"/>
      <c r="L62" s="51"/>
      <c r="M62" s="53"/>
      <c r="N62" s="53"/>
      <c r="O62" s="39"/>
    </row>
    <row r="63" spans="2:15" x14ac:dyDescent="0.25">
      <c r="B63" s="4"/>
      <c r="C63" s="112"/>
      <c r="D63" s="112"/>
      <c r="E63" s="200"/>
      <c r="F63" s="120"/>
      <c r="G63" s="7"/>
      <c r="H63" s="48"/>
      <c r="I63" s="51"/>
      <c r="J63" s="8"/>
      <c r="K63" s="48"/>
      <c r="L63" s="51"/>
      <c r="M63" s="53"/>
      <c r="N63" s="53"/>
      <c r="O63" s="39"/>
    </row>
    <row r="64" spans="2:15" x14ac:dyDescent="0.25">
      <c r="B64" s="4"/>
      <c r="C64" s="112"/>
      <c r="D64" s="112"/>
      <c r="E64" s="206"/>
      <c r="F64" s="193"/>
      <c r="G64" s="7"/>
      <c r="H64" s="49"/>
      <c r="I64" s="52"/>
      <c r="J64" s="8"/>
      <c r="K64" s="49"/>
      <c r="L64" s="52"/>
      <c r="M64" s="53"/>
      <c r="N64" s="53"/>
      <c r="O64" s="39"/>
    </row>
    <row r="65" spans="2:15" x14ac:dyDescent="0.25">
      <c r="B65" s="4"/>
      <c r="C65" s="112"/>
      <c r="D65" s="112"/>
      <c r="E65" s="183"/>
      <c r="F65" s="215"/>
      <c r="G65" s="7"/>
      <c r="H65" s="8"/>
      <c r="I65" s="8"/>
      <c r="J65" s="8"/>
      <c r="K65" s="8"/>
      <c r="L65" s="8"/>
      <c r="M65" s="53"/>
      <c r="N65" s="53"/>
      <c r="O65" s="39"/>
    </row>
    <row r="66" spans="2:15" x14ac:dyDescent="0.25">
      <c r="B66" s="9"/>
      <c r="C66" s="116"/>
      <c r="D66" s="116"/>
      <c r="E66" s="181"/>
      <c r="F66" s="189"/>
      <c r="G66" s="10"/>
      <c r="H66" s="10"/>
      <c r="I66" s="10"/>
      <c r="J66" s="10"/>
      <c r="K66" s="10"/>
      <c r="L66" s="10"/>
      <c r="M66" s="10"/>
      <c r="N66" s="10"/>
      <c r="O66" s="11"/>
    </row>
    <row r="69" spans="2:15" x14ac:dyDescent="0.25">
      <c r="B69" s="40" t="s">
        <v>99</v>
      </c>
      <c r="C69" s="106"/>
      <c r="D69" s="128"/>
    </row>
    <row r="70" spans="2:15" x14ac:dyDescent="0.25">
      <c r="B70" s="1"/>
      <c r="C70" s="109"/>
      <c r="D70" s="109"/>
      <c r="E70" s="179"/>
      <c r="F70" s="190"/>
      <c r="G70" s="2"/>
      <c r="H70" s="2"/>
      <c r="I70" s="2"/>
      <c r="J70" s="2"/>
      <c r="K70" s="2"/>
      <c r="L70" s="2"/>
      <c r="M70" s="2"/>
      <c r="N70" s="2"/>
      <c r="O70" s="3"/>
    </row>
    <row r="71" spans="2:15" x14ac:dyDescent="0.25">
      <c r="B71" s="4"/>
      <c r="C71" s="112"/>
      <c r="D71" s="112"/>
      <c r="E71" s="204" t="s">
        <v>100</v>
      </c>
      <c r="F71" s="191"/>
      <c r="G71" s="8"/>
      <c r="H71" s="34" t="s">
        <v>103</v>
      </c>
      <c r="I71" s="8"/>
      <c r="J71" s="8"/>
      <c r="K71" s="8"/>
      <c r="L71" s="8"/>
      <c r="M71" s="8"/>
      <c r="N71" s="8"/>
      <c r="O71" s="39"/>
    </row>
    <row r="72" spans="2:15" ht="30" x14ac:dyDescent="0.25">
      <c r="B72" s="4"/>
      <c r="C72" s="157" t="s">
        <v>244</v>
      </c>
      <c r="D72" s="112"/>
      <c r="E72" s="199" t="s">
        <v>3</v>
      </c>
      <c r="F72" s="119" t="s">
        <v>2</v>
      </c>
      <c r="G72" s="5"/>
      <c r="H72" s="72" t="s">
        <v>117</v>
      </c>
      <c r="I72" s="72" t="s">
        <v>13</v>
      </c>
      <c r="J72" s="72" t="s">
        <v>14</v>
      </c>
      <c r="K72" s="72" t="s">
        <v>12</v>
      </c>
      <c r="L72" s="72" t="s">
        <v>102</v>
      </c>
      <c r="M72" s="78"/>
      <c r="N72" s="78"/>
      <c r="O72" s="39"/>
    </row>
    <row r="73" spans="2:15" ht="30" x14ac:dyDescent="0.25">
      <c r="B73" s="4"/>
      <c r="C73" s="157" t="s">
        <v>243</v>
      </c>
      <c r="D73" s="112"/>
      <c r="E73" s="200" t="s">
        <v>7</v>
      </c>
      <c r="F73" s="120" t="s">
        <v>124</v>
      </c>
      <c r="G73" s="98">
        <v>4</v>
      </c>
      <c r="H73" s="54" t="s">
        <v>185</v>
      </c>
      <c r="I73" s="55">
        <v>42634</v>
      </c>
      <c r="J73" s="55">
        <v>42725</v>
      </c>
      <c r="K73" s="56">
        <v>100.28</v>
      </c>
      <c r="L73" s="57">
        <v>5.1399999999999996E-3</v>
      </c>
      <c r="M73" s="78"/>
      <c r="N73" s="78"/>
      <c r="O73" s="39"/>
    </row>
    <row r="74" spans="2:15" ht="30" x14ac:dyDescent="0.25">
      <c r="B74" s="4"/>
      <c r="C74" s="157" t="s">
        <v>246</v>
      </c>
      <c r="D74" s="112"/>
      <c r="E74" s="200" t="s">
        <v>15</v>
      </c>
      <c r="F74" s="120" t="s">
        <v>101</v>
      </c>
      <c r="G74" s="98">
        <f>G73+1</f>
        <v>5</v>
      </c>
      <c r="H74" s="58" t="s">
        <v>186</v>
      </c>
      <c r="I74" s="55">
        <v>42662</v>
      </c>
      <c r="J74" s="55">
        <v>42753</v>
      </c>
      <c r="K74" s="56">
        <v>100.285</v>
      </c>
      <c r="L74" s="57">
        <v>5.1399999999999996E-3</v>
      </c>
      <c r="M74" s="78"/>
      <c r="N74" s="78"/>
      <c r="O74" s="39"/>
    </row>
    <row r="75" spans="2:15" ht="30" x14ac:dyDescent="0.25">
      <c r="B75" s="4"/>
      <c r="C75" s="157" t="s">
        <v>269</v>
      </c>
      <c r="D75" s="112"/>
      <c r="E75" s="200" t="s">
        <v>23</v>
      </c>
      <c r="F75" s="145" t="s">
        <v>22</v>
      </c>
      <c r="G75" s="98">
        <f t="shared" ref="G75:G81" si="0">G74+1</f>
        <v>6</v>
      </c>
      <c r="H75" s="59" t="s">
        <v>187</v>
      </c>
      <c r="I75" s="60">
        <v>42690</v>
      </c>
      <c r="J75" s="60">
        <v>42781</v>
      </c>
      <c r="K75" s="61">
        <v>100.29</v>
      </c>
      <c r="L75" s="62">
        <v>5.1399999999999996E-3</v>
      </c>
      <c r="M75" s="78"/>
      <c r="N75" s="78"/>
      <c r="O75" s="39"/>
    </row>
    <row r="76" spans="2:15" ht="45" x14ac:dyDescent="0.25">
      <c r="B76" s="4"/>
      <c r="C76" s="157" t="s">
        <v>271</v>
      </c>
      <c r="D76" s="112"/>
      <c r="E76" s="200" t="s">
        <v>164</v>
      </c>
      <c r="F76" s="140">
        <v>0.03</v>
      </c>
      <c r="G76" s="98">
        <f t="shared" si="0"/>
        <v>7</v>
      </c>
      <c r="H76" s="59" t="s">
        <v>188</v>
      </c>
      <c r="I76" s="60">
        <v>42725</v>
      </c>
      <c r="J76" s="60">
        <v>42809</v>
      </c>
      <c r="K76" s="61">
        <v>100.295</v>
      </c>
      <c r="L76" s="62">
        <v>5.1399999999999996E-3</v>
      </c>
      <c r="M76" s="78"/>
      <c r="N76" s="78"/>
      <c r="O76" s="39"/>
    </row>
    <row r="77" spans="2:15" ht="30" x14ac:dyDescent="0.25">
      <c r="B77" s="4"/>
      <c r="C77" s="157" t="s">
        <v>272</v>
      </c>
      <c r="D77" s="112"/>
      <c r="E77" s="200" t="s">
        <v>97</v>
      </c>
      <c r="F77" s="120" t="b">
        <f>ApplyTension</f>
        <v>1</v>
      </c>
      <c r="G77" s="98">
        <f t="shared" si="0"/>
        <v>8</v>
      </c>
      <c r="H77" s="59" t="s">
        <v>189</v>
      </c>
      <c r="I77" s="60">
        <v>42809</v>
      </c>
      <c r="J77" s="60">
        <v>42907</v>
      </c>
      <c r="K77" s="61">
        <v>100.3</v>
      </c>
      <c r="L77" s="62">
        <v>5.1399999999999996E-3</v>
      </c>
      <c r="M77" s="78"/>
      <c r="N77" s="78"/>
      <c r="O77" s="39"/>
    </row>
    <row r="78" spans="2:15" ht="30" x14ac:dyDescent="0.25">
      <c r="B78" s="4"/>
      <c r="C78" s="158" t="s">
        <v>273</v>
      </c>
      <c r="D78" s="112"/>
      <c r="E78" s="200" t="s">
        <v>98</v>
      </c>
      <c r="F78" s="120">
        <v>2</v>
      </c>
      <c r="G78" s="98">
        <f t="shared" si="0"/>
        <v>9</v>
      </c>
      <c r="H78" s="59" t="s">
        <v>190</v>
      </c>
      <c r="I78" s="60">
        <v>42907</v>
      </c>
      <c r="J78" s="60">
        <v>42998</v>
      </c>
      <c r="K78" s="61">
        <v>100.30500000000001</v>
      </c>
      <c r="L78" s="62">
        <v>5.1399999999999996E-3</v>
      </c>
      <c r="M78" s="78"/>
      <c r="N78" s="78"/>
      <c r="O78" s="39"/>
    </row>
    <row r="79" spans="2:15" x14ac:dyDescent="0.25">
      <c r="B79" s="4"/>
      <c r="C79" s="159"/>
      <c r="D79" s="112"/>
      <c r="E79" s="200"/>
      <c r="F79" s="120"/>
      <c r="G79" s="98">
        <f t="shared" si="0"/>
        <v>10</v>
      </c>
      <c r="H79" s="59" t="s">
        <v>191</v>
      </c>
      <c r="I79" s="60">
        <v>42998</v>
      </c>
      <c r="J79" s="60">
        <v>43089</v>
      </c>
      <c r="K79" s="61">
        <v>100.30500000000001</v>
      </c>
      <c r="L79" s="62">
        <v>5.1399999999999996E-3</v>
      </c>
      <c r="M79" s="78"/>
      <c r="N79" s="78"/>
      <c r="O79" s="39"/>
    </row>
    <row r="80" spans="2:15" x14ac:dyDescent="0.25">
      <c r="B80" s="4"/>
      <c r="C80" s="159"/>
      <c r="D80" s="112"/>
      <c r="E80" s="200"/>
      <c r="F80" s="120"/>
      <c r="G80" s="98">
        <f t="shared" si="0"/>
        <v>11</v>
      </c>
      <c r="H80" s="59" t="s">
        <v>192</v>
      </c>
      <c r="I80" s="60">
        <v>43089</v>
      </c>
      <c r="J80" s="60">
        <v>43180</v>
      </c>
      <c r="K80" s="61">
        <v>100.3</v>
      </c>
      <c r="L80" s="62">
        <v>5.1399999999999996E-3</v>
      </c>
      <c r="M80" s="78"/>
      <c r="N80" s="78"/>
      <c r="O80" s="39"/>
    </row>
    <row r="81" spans="2:18" x14ac:dyDescent="0.25">
      <c r="B81" s="4"/>
      <c r="C81" s="159"/>
      <c r="D81" s="112"/>
      <c r="E81" s="200"/>
      <c r="F81" s="120"/>
      <c r="G81" s="98">
        <f t="shared" si="0"/>
        <v>12</v>
      </c>
      <c r="H81" s="59" t="s">
        <v>193</v>
      </c>
      <c r="I81" s="60">
        <v>43180</v>
      </c>
      <c r="J81" s="60">
        <v>43271</v>
      </c>
      <c r="K81" s="61">
        <v>100.285</v>
      </c>
      <c r="L81" s="62">
        <v>5.1399999999999996E-3</v>
      </c>
      <c r="M81" s="78"/>
      <c r="N81" s="78"/>
      <c r="O81" s="39"/>
    </row>
    <row r="82" spans="2:18" x14ac:dyDescent="0.25">
      <c r="B82" s="4"/>
      <c r="C82" s="159"/>
      <c r="D82" s="112"/>
      <c r="E82" s="200"/>
      <c r="F82" s="120"/>
      <c r="G82" s="7"/>
      <c r="H82" s="63"/>
      <c r="I82" s="60"/>
      <c r="J82" s="60"/>
      <c r="K82" s="64"/>
      <c r="L82" s="62"/>
      <c r="M82" s="78"/>
      <c r="N82" s="78"/>
      <c r="O82" s="39"/>
    </row>
    <row r="83" spans="2:18" x14ac:dyDescent="0.25">
      <c r="B83" s="4"/>
      <c r="C83" s="159"/>
      <c r="D83" s="112"/>
      <c r="E83" s="200"/>
      <c r="F83" s="120"/>
      <c r="G83" s="7"/>
      <c r="H83" s="65"/>
      <c r="I83" s="66"/>
      <c r="J83" s="66"/>
      <c r="K83" s="64"/>
      <c r="L83" s="67"/>
      <c r="M83" s="78"/>
      <c r="N83" s="78"/>
      <c r="O83" s="39"/>
      <c r="Q83" s="94"/>
      <c r="R83" s="94"/>
    </row>
    <row r="84" spans="2:18" x14ac:dyDescent="0.25">
      <c r="B84" s="4"/>
      <c r="C84" s="159"/>
      <c r="D84" s="112"/>
      <c r="E84" s="200"/>
      <c r="F84" s="120"/>
      <c r="G84" s="7"/>
      <c r="H84" s="65"/>
      <c r="I84" s="66"/>
      <c r="J84" s="66"/>
      <c r="K84" s="64"/>
      <c r="L84" s="67"/>
      <c r="M84" s="78"/>
      <c r="N84" s="78"/>
      <c r="O84" s="39"/>
    </row>
    <row r="85" spans="2:18" x14ac:dyDescent="0.25">
      <c r="B85" s="4"/>
      <c r="C85" s="160"/>
      <c r="D85" s="112"/>
      <c r="E85" s="206"/>
      <c r="F85" s="216"/>
      <c r="G85" s="7"/>
      <c r="H85" s="68"/>
      <c r="I85" s="69"/>
      <c r="J85" s="69"/>
      <c r="K85" s="70"/>
      <c r="L85" s="71"/>
      <c r="M85" s="78"/>
      <c r="N85" s="78"/>
      <c r="O85" s="39"/>
    </row>
    <row r="86" spans="2:18" x14ac:dyDescent="0.25">
      <c r="B86" s="4"/>
      <c r="C86" s="112"/>
      <c r="D86" s="112"/>
      <c r="E86" s="183"/>
      <c r="F86" s="215"/>
      <c r="G86" s="7"/>
      <c r="H86" s="8"/>
      <c r="I86" s="8"/>
      <c r="J86" s="8"/>
      <c r="K86" s="8"/>
      <c r="L86" s="8"/>
      <c r="M86" s="78"/>
      <c r="N86" s="78"/>
      <c r="O86" s="39"/>
    </row>
    <row r="87" spans="2:18" x14ac:dyDescent="0.25">
      <c r="B87" s="9"/>
      <c r="C87" s="116"/>
      <c r="D87" s="116"/>
      <c r="E87" s="181"/>
      <c r="F87" s="189"/>
      <c r="G87" s="10"/>
      <c r="H87" s="10"/>
      <c r="I87" s="10"/>
      <c r="J87" s="10"/>
      <c r="K87" s="10"/>
      <c r="L87" s="10"/>
      <c r="M87" s="10"/>
      <c r="N87" s="10"/>
      <c r="O87" s="11"/>
    </row>
    <row r="90" spans="2:18" x14ac:dyDescent="0.25">
      <c r="B90" s="40" t="s">
        <v>104</v>
      </c>
      <c r="C90" s="106"/>
      <c r="D90" s="128"/>
    </row>
    <row r="91" spans="2:18" x14ac:dyDescent="0.25">
      <c r="B91" s="1"/>
      <c r="C91" s="109"/>
      <c r="D91" s="109"/>
      <c r="E91" s="179"/>
      <c r="F91" s="190"/>
      <c r="G91" s="2"/>
      <c r="H91" s="2"/>
      <c r="I91" s="2"/>
      <c r="J91" s="2"/>
      <c r="K91" s="2"/>
      <c r="L91" s="2"/>
      <c r="M91" s="2"/>
      <c r="N91" s="2"/>
      <c r="O91" s="3"/>
    </row>
    <row r="92" spans="2:18" x14ac:dyDescent="0.25">
      <c r="B92" s="4"/>
      <c r="C92" s="112"/>
      <c r="D92" s="112"/>
      <c r="E92" s="204" t="s">
        <v>105</v>
      </c>
      <c r="F92" s="191"/>
      <c r="G92" s="8"/>
      <c r="H92" s="34" t="s">
        <v>106</v>
      </c>
      <c r="I92" s="8"/>
      <c r="J92" s="8"/>
      <c r="K92" s="8"/>
      <c r="L92" s="8"/>
      <c r="M92" s="8"/>
      <c r="N92" s="8"/>
      <c r="O92" s="39"/>
    </row>
    <row r="93" spans="2:18" ht="30" x14ac:dyDescent="0.25">
      <c r="B93" s="4"/>
      <c r="C93" s="157" t="s">
        <v>244</v>
      </c>
      <c r="D93" s="112"/>
      <c r="E93" s="214" t="s">
        <v>1</v>
      </c>
      <c r="F93" s="119" t="s">
        <v>2</v>
      </c>
      <c r="G93" s="5"/>
      <c r="H93" s="53" t="s">
        <v>11</v>
      </c>
      <c r="I93" s="53" t="s">
        <v>12</v>
      </c>
      <c r="J93" s="53" t="s">
        <v>8</v>
      </c>
      <c r="K93" s="8"/>
      <c r="L93" s="8"/>
      <c r="M93" s="8"/>
      <c r="N93" s="8"/>
      <c r="O93" s="39"/>
    </row>
    <row r="94" spans="2:18" ht="30" x14ac:dyDescent="0.25">
      <c r="B94" s="4"/>
      <c r="C94" s="157" t="s">
        <v>243</v>
      </c>
      <c r="D94" s="112"/>
      <c r="E94" s="201" t="s">
        <v>88</v>
      </c>
      <c r="F94" s="120" t="s">
        <v>20</v>
      </c>
      <c r="G94" s="7"/>
      <c r="H94" s="76" t="s">
        <v>43</v>
      </c>
      <c r="I94" s="73">
        <v>-2.65E-3</v>
      </c>
      <c r="J94" s="50" t="b">
        <v>1</v>
      </c>
      <c r="K94" s="99"/>
      <c r="L94" s="99"/>
      <c r="M94" s="99"/>
      <c r="N94" s="99"/>
      <c r="O94" s="39"/>
    </row>
    <row r="95" spans="2:18" ht="30" x14ac:dyDescent="0.25">
      <c r="B95" s="4"/>
      <c r="C95" s="157" t="s">
        <v>267</v>
      </c>
      <c r="D95" s="112"/>
      <c r="E95" s="201" t="s">
        <v>107</v>
      </c>
      <c r="F95" s="120" t="s">
        <v>6</v>
      </c>
      <c r="G95" s="7"/>
      <c r="H95" s="14" t="s">
        <v>50</v>
      </c>
      <c r="I95" s="74">
        <v>-2.0500000000000002E-3</v>
      </c>
      <c r="J95" s="51" t="b">
        <v>1</v>
      </c>
      <c r="K95" s="99"/>
      <c r="L95" s="99"/>
      <c r="M95" s="99"/>
      <c r="N95" s="99"/>
      <c r="O95" s="39"/>
    </row>
    <row r="96" spans="2:18" ht="30" x14ac:dyDescent="0.25">
      <c r="B96" s="4"/>
      <c r="C96" s="157" t="s">
        <v>245</v>
      </c>
      <c r="D96" s="112"/>
      <c r="E96" s="201" t="s">
        <v>27</v>
      </c>
      <c r="F96" s="120" t="s">
        <v>26</v>
      </c>
      <c r="G96" s="7"/>
      <c r="H96" s="14" t="s">
        <v>52</v>
      </c>
      <c r="I96" s="74">
        <v>-1.2475000000000001E-3</v>
      </c>
      <c r="J96" s="51" t="b">
        <v>1</v>
      </c>
      <c r="K96" s="99"/>
      <c r="L96" s="99"/>
      <c r="M96" s="99"/>
      <c r="N96" s="99"/>
      <c r="O96" s="39"/>
    </row>
    <row r="97" spans="2:17" ht="30" x14ac:dyDescent="0.25">
      <c r="B97" s="4"/>
      <c r="C97" s="157" t="s">
        <v>268</v>
      </c>
      <c r="D97" s="112"/>
      <c r="E97" s="201" t="s">
        <v>109</v>
      </c>
      <c r="F97" s="120" t="s">
        <v>28</v>
      </c>
      <c r="G97" s="7"/>
      <c r="H97" s="14" t="s">
        <v>54</v>
      </c>
      <c r="I97" s="74">
        <v>-2.4750000000000011E-4</v>
      </c>
      <c r="J97" s="51" t="b">
        <v>1</v>
      </c>
      <c r="K97" s="99"/>
      <c r="L97" s="99"/>
      <c r="M97" s="99"/>
      <c r="N97" s="99"/>
      <c r="O97" s="39"/>
    </row>
    <row r="98" spans="2:17" ht="30" x14ac:dyDescent="0.25">
      <c r="B98" s="4"/>
      <c r="C98" s="156" t="s">
        <v>242</v>
      </c>
      <c r="D98" s="112"/>
      <c r="E98" s="201" t="s">
        <v>110</v>
      </c>
      <c r="F98" s="150" t="str">
        <f ca="1">interpolationFunction</f>
        <v>fn_MonotoneConvexInterpolation</v>
      </c>
      <c r="G98" s="7"/>
      <c r="H98" s="14" t="s">
        <v>55</v>
      </c>
      <c r="I98" s="74">
        <v>9.0249999999999966E-4</v>
      </c>
      <c r="J98" s="51" t="b">
        <v>1</v>
      </c>
      <c r="K98" s="99"/>
      <c r="L98" s="99"/>
      <c r="M98" s="99"/>
      <c r="N98" s="99"/>
      <c r="O98" s="39"/>
    </row>
    <row r="99" spans="2:17" ht="30" x14ac:dyDescent="0.25">
      <c r="B99" s="4"/>
      <c r="C99" s="157" t="s">
        <v>247</v>
      </c>
      <c r="D99" s="112"/>
      <c r="E99" s="201" t="s">
        <v>93</v>
      </c>
      <c r="F99" s="120" t="b">
        <v>1</v>
      </c>
      <c r="G99" s="7"/>
      <c r="H99" s="14" t="s">
        <v>57</v>
      </c>
      <c r="I99" s="74">
        <v>2.1275000000000001E-3</v>
      </c>
      <c r="J99" s="51" t="b">
        <v>1</v>
      </c>
      <c r="K99" s="99"/>
      <c r="L99" s="99"/>
      <c r="M99" s="99"/>
      <c r="N99" s="99"/>
      <c r="O99" s="39"/>
    </row>
    <row r="100" spans="2:17" ht="30" x14ac:dyDescent="0.25">
      <c r="B100" s="4"/>
      <c r="C100" s="157" t="s">
        <v>248</v>
      </c>
      <c r="D100" s="112"/>
      <c r="E100" s="201" t="s">
        <v>194</v>
      </c>
      <c r="F100" s="120">
        <v>31</v>
      </c>
      <c r="G100" s="7"/>
      <c r="H100" s="14" t="s">
        <v>59</v>
      </c>
      <c r="I100" s="74">
        <v>3.3224999999999999E-3</v>
      </c>
      <c r="J100" s="51" t="b">
        <v>1</v>
      </c>
      <c r="K100" s="99"/>
      <c r="L100" s="99"/>
      <c r="M100" s="99"/>
      <c r="N100" s="99"/>
      <c r="O100" s="39"/>
    </row>
    <row r="101" spans="2:17" ht="30" x14ac:dyDescent="0.25">
      <c r="B101" s="4"/>
      <c r="C101" s="157" t="s">
        <v>246</v>
      </c>
      <c r="D101" s="112"/>
      <c r="E101" s="201" t="s">
        <v>92</v>
      </c>
      <c r="F101" s="120">
        <v>2</v>
      </c>
      <c r="G101" s="7"/>
      <c r="H101" s="14" t="s">
        <v>60</v>
      </c>
      <c r="I101" s="74">
        <v>4.4425000000000003E-3</v>
      </c>
      <c r="J101" s="51" t="b">
        <v>1</v>
      </c>
      <c r="K101" s="99"/>
      <c r="L101" s="99"/>
      <c r="M101" s="99"/>
      <c r="N101" s="99"/>
      <c r="O101" s="39"/>
    </row>
    <row r="102" spans="2:17" ht="30" x14ac:dyDescent="0.25">
      <c r="B102" s="4"/>
      <c r="C102" s="157" t="s">
        <v>269</v>
      </c>
      <c r="D102" s="112"/>
      <c r="E102" s="201" t="s">
        <v>21</v>
      </c>
      <c r="F102" s="134" t="s">
        <v>22</v>
      </c>
      <c r="G102" s="7"/>
      <c r="H102" s="14" t="s">
        <v>61</v>
      </c>
      <c r="I102" s="74">
        <v>5.43334E-3</v>
      </c>
      <c r="J102" s="51" t="b">
        <v>1</v>
      </c>
      <c r="K102" s="99"/>
      <c r="L102" s="99"/>
      <c r="M102" s="99"/>
      <c r="N102" s="99"/>
      <c r="O102" s="39"/>
    </row>
    <row r="103" spans="2:17" ht="30" x14ac:dyDescent="0.25">
      <c r="B103" s="4"/>
      <c r="C103" s="157" t="s">
        <v>270</v>
      </c>
      <c r="D103" s="112"/>
      <c r="E103" s="201" t="s">
        <v>111</v>
      </c>
      <c r="F103" s="120" t="b">
        <v>1</v>
      </c>
      <c r="G103" s="7"/>
      <c r="H103" s="14" t="s">
        <v>62</v>
      </c>
      <c r="I103" s="74">
        <v>6.3458400000000002E-3</v>
      </c>
      <c r="J103" s="51" t="b">
        <v>1</v>
      </c>
      <c r="K103" s="99"/>
      <c r="L103" s="99"/>
      <c r="M103" s="99"/>
      <c r="N103" s="99"/>
      <c r="O103" s="39"/>
    </row>
    <row r="104" spans="2:17" ht="30" x14ac:dyDescent="0.25">
      <c r="B104" s="4"/>
      <c r="C104" s="157" t="s">
        <v>308</v>
      </c>
      <c r="D104" s="112"/>
      <c r="E104" s="201" t="s">
        <v>112</v>
      </c>
      <c r="F104" s="120" t="b">
        <v>1</v>
      </c>
      <c r="G104" s="7"/>
      <c r="H104" s="14" t="s">
        <v>63</v>
      </c>
      <c r="I104" s="74">
        <v>8.432499999999999E-3</v>
      </c>
      <c r="J104" s="51" t="b">
        <v>1</v>
      </c>
      <c r="K104" s="99"/>
      <c r="L104" s="99"/>
      <c r="M104" s="99"/>
      <c r="N104" s="99"/>
      <c r="O104" s="39"/>
    </row>
    <row r="105" spans="2:17" ht="30" x14ac:dyDescent="0.25">
      <c r="B105" s="4"/>
      <c r="C105" s="157" t="s">
        <v>254</v>
      </c>
      <c r="D105" s="112"/>
      <c r="E105" s="201" t="s">
        <v>113</v>
      </c>
      <c r="F105" s="122">
        <v>1.0000000000000001E-9</v>
      </c>
      <c r="G105" s="7"/>
      <c r="H105" s="14" t="s">
        <v>64</v>
      </c>
      <c r="I105" s="74">
        <v>1.0167500000000001E-2</v>
      </c>
      <c r="J105" s="51" t="b">
        <v>1</v>
      </c>
      <c r="K105" s="99"/>
      <c r="L105" s="99"/>
      <c r="M105" s="99"/>
      <c r="N105" s="99"/>
      <c r="O105" s="39"/>
    </row>
    <row r="106" spans="2:17" ht="30" x14ac:dyDescent="0.25">
      <c r="B106" s="4"/>
      <c r="C106" s="158" t="s">
        <v>255</v>
      </c>
      <c r="D106" s="112"/>
      <c r="E106" s="201" t="s">
        <v>114</v>
      </c>
      <c r="F106" s="146">
        <v>1000</v>
      </c>
      <c r="G106" s="7"/>
      <c r="H106" s="14" t="s">
        <v>65</v>
      </c>
      <c r="I106" s="74">
        <v>1.069667E-2</v>
      </c>
      <c r="J106" s="51" t="b">
        <v>1</v>
      </c>
      <c r="K106" s="99"/>
      <c r="L106" s="99"/>
      <c r="M106" s="99"/>
      <c r="N106" s="99"/>
      <c r="O106" s="39"/>
    </row>
    <row r="107" spans="2:17" x14ac:dyDescent="0.25">
      <c r="B107" s="4"/>
      <c r="C107" s="159"/>
      <c r="D107" s="112"/>
      <c r="E107" s="201"/>
      <c r="F107" s="120"/>
      <c r="G107" s="7"/>
      <c r="H107" s="14" t="s">
        <v>66</v>
      </c>
      <c r="I107" s="74">
        <v>1.08675E-2</v>
      </c>
      <c r="J107" s="51" t="b">
        <v>1</v>
      </c>
      <c r="K107" s="99"/>
      <c r="L107" s="99"/>
      <c r="M107" s="99"/>
      <c r="N107" s="99"/>
      <c r="O107" s="39"/>
    </row>
    <row r="108" spans="2:17" x14ac:dyDescent="0.25">
      <c r="B108" s="4"/>
      <c r="C108" s="159"/>
      <c r="D108" s="112"/>
      <c r="E108" s="201"/>
      <c r="F108" s="120"/>
      <c r="G108" s="7"/>
      <c r="H108" s="14"/>
      <c r="I108" s="74"/>
      <c r="J108" s="51"/>
      <c r="K108" s="53"/>
      <c r="L108" s="100"/>
      <c r="M108" s="100"/>
      <c r="N108" s="100"/>
      <c r="O108" s="39"/>
    </row>
    <row r="109" spans="2:17" x14ac:dyDescent="0.25">
      <c r="B109" s="4"/>
      <c r="C109" s="159"/>
      <c r="D109" s="112"/>
      <c r="E109" s="201"/>
      <c r="F109" s="120"/>
      <c r="G109" s="7"/>
      <c r="H109" s="14"/>
      <c r="I109" s="74"/>
      <c r="J109" s="51"/>
      <c r="K109" s="53"/>
      <c r="L109" s="100"/>
      <c r="M109" s="100"/>
      <c r="N109" s="100"/>
      <c r="O109" s="39"/>
    </row>
    <row r="110" spans="2:17" x14ac:dyDescent="0.25">
      <c r="B110" s="4"/>
      <c r="C110" s="159"/>
      <c r="D110" s="112"/>
      <c r="E110" s="201"/>
      <c r="F110" s="120"/>
      <c r="G110" s="7"/>
      <c r="H110" s="14"/>
      <c r="I110" s="74"/>
      <c r="J110" s="51"/>
      <c r="K110" s="53"/>
      <c r="L110" s="8"/>
      <c r="M110" s="8"/>
      <c r="N110" s="8"/>
      <c r="O110" s="39"/>
      <c r="Q110" s="96"/>
    </row>
    <row r="111" spans="2:17" x14ac:dyDescent="0.25">
      <c r="B111" s="4"/>
      <c r="C111" s="160"/>
      <c r="D111" s="112"/>
      <c r="E111" s="203"/>
      <c r="F111" s="216"/>
      <c r="G111" s="7"/>
      <c r="H111" s="15"/>
      <c r="I111" s="75"/>
      <c r="J111" s="52"/>
      <c r="K111" s="53"/>
      <c r="L111" s="8"/>
      <c r="M111" s="8"/>
      <c r="N111" s="8"/>
      <c r="O111" s="39"/>
    </row>
    <row r="112" spans="2:17" x14ac:dyDescent="0.25">
      <c r="B112" s="4"/>
      <c r="C112" s="112"/>
      <c r="D112" s="112"/>
      <c r="E112" s="183"/>
      <c r="F112" s="215"/>
      <c r="G112" s="7"/>
      <c r="H112" s="8"/>
      <c r="I112" s="8"/>
      <c r="J112" s="8"/>
      <c r="K112" s="8"/>
      <c r="L112" s="8"/>
      <c r="M112" s="8"/>
      <c r="N112" s="8"/>
      <c r="O112" s="39"/>
    </row>
    <row r="113" spans="2:15" x14ac:dyDescent="0.25">
      <c r="B113" s="9"/>
      <c r="C113" s="116"/>
      <c r="D113" s="116"/>
      <c r="E113" s="181"/>
      <c r="F113" s="189"/>
      <c r="G113" s="10"/>
      <c r="H113" s="10"/>
      <c r="I113" s="10"/>
      <c r="J113" s="10"/>
      <c r="K113" s="10"/>
      <c r="L113" s="10"/>
      <c r="M113" s="10"/>
      <c r="N113" s="10"/>
      <c r="O113" s="11"/>
    </row>
  </sheetData>
  <dataValidations count="3">
    <dataValidation type="list" allowBlank="1" showInputMessage="1" showErrorMessage="1" sqref="F24:F25 F98">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07" hidden="1" customWidth="1"/>
    <col min="4" max="4" width="4.7109375" style="107" hidden="1" customWidth="1"/>
    <col min="5" max="5" width="13" style="107" customWidth="1"/>
    <col min="6" max="6" width="26.7109375" style="178" customWidth="1"/>
    <col min="7" max="7" width="32.7109375" style="188" customWidth="1"/>
    <col min="8" max="8" width="4.7109375" style="178" customWidth="1"/>
    <col min="9" max="11" width="12.7109375" customWidth="1"/>
    <col min="12" max="13" width="18.7109375" customWidth="1"/>
    <col min="14" max="14" width="2.7109375" customWidth="1"/>
    <col min="15" max="16" width="9.140625" customWidth="1"/>
  </cols>
  <sheetData>
    <row r="1" spans="1:14" x14ac:dyDescent="0.25">
      <c r="A1" s="107"/>
    </row>
    <row r="2" spans="1:14" s="223" customFormat="1" ht="23.25" x14ac:dyDescent="0.35">
      <c r="B2" s="297" t="s">
        <v>371</v>
      </c>
      <c r="F2" s="298"/>
      <c r="G2" s="299"/>
      <c r="H2" s="298"/>
    </row>
    <row r="3" spans="1:14" s="223" customFormat="1" ht="23.25" x14ac:dyDescent="0.35">
      <c r="B3" s="87" t="s">
        <v>322</v>
      </c>
      <c r="F3" s="298"/>
      <c r="G3" s="299"/>
      <c r="H3" s="298"/>
    </row>
    <row r="5" spans="1:14" x14ac:dyDescent="0.25">
      <c r="B5" s="40" t="s">
        <v>234</v>
      </c>
      <c r="C5" s="128"/>
      <c r="D5" s="128"/>
      <c r="E5" s="128"/>
    </row>
    <row r="6" spans="1:14" x14ac:dyDescent="0.25">
      <c r="B6" s="1"/>
      <c r="C6" s="109"/>
      <c r="D6" s="109"/>
      <c r="E6" s="109"/>
      <c r="F6" s="194"/>
      <c r="G6" s="123"/>
      <c r="H6" s="179"/>
      <c r="I6" s="2"/>
      <c r="J6" s="2"/>
      <c r="K6" s="2"/>
      <c r="L6" s="2"/>
      <c r="M6" s="2"/>
      <c r="N6" s="3"/>
    </row>
    <row r="7" spans="1:14" x14ac:dyDescent="0.25">
      <c r="B7" s="4"/>
      <c r="C7" s="126"/>
      <c r="D7" s="112"/>
      <c r="E7" s="112"/>
      <c r="F7" s="195" t="s">
        <v>234</v>
      </c>
      <c r="G7" s="131"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(0.01300 sec)</v>
      </c>
      <c r="H7" s="163"/>
      <c r="I7" s="43"/>
      <c r="J7" s="5"/>
      <c r="K7" s="5"/>
      <c r="L7" s="5"/>
      <c r="M7" s="5"/>
      <c r="N7" s="6"/>
    </row>
    <row r="8" spans="1:14" x14ac:dyDescent="0.25">
      <c r="B8" s="4"/>
      <c r="C8" s="112"/>
      <c r="D8" s="112"/>
      <c r="E8" s="112"/>
      <c r="F8" s="196" t="s">
        <v>167</v>
      </c>
      <c r="G8" s="153" t="b">
        <f ca="1">LEFT(G7,5)=TenorBasisCurve3M6M.CollectionName</f>
        <v>1</v>
      </c>
      <c r="H8" s="180"/>
      <c r="I8" s="5"/>
      <c r="J8" s="5"/>
      <c r="K8" s="5"/>
      <c r="L8" s="5"/>
      <c r="M8" s="5"/>
      <c r="N8" s="6"/>
    </row>
    <row r="9" spans="1:14" x14ac:dyDescent="0.25">
      <c r="B9" s="4"/>
      <c r="C9" s="112"/>
      <c r="D9" s="112"/>
      <c r="E9" s="112"/>
      <c r="F9" s="197"/>
      <c r="G9" s="130"/>
      <c r="H9" s="180"/>
      <c r="I9" s="5"/>
      <c r="J9" s="5"/>
      <c r="K9" s="5"/>
      <c r="L9" s="5"/>
      <c r="M9" s="5"/>
      <c r="N9" s="6"/>
    </row>
    <row r="10" spans="1:14" x14ac:dyDescent="0.25">
      <c r="B10" s="4"/>
      <c r="C10" s="112"/>
      <c r="D10" s="112"/>
      <c r="E10" s="112"/>
      <c r="F10" s="197"/>
      <c r="G10" s="130"/>
      <c r="H10" s="180"/>
      <c r="I10" s="5"/>
      <c r="J10" s="5"/>
      <c r="K10" s="5"/>
      <c r="L10" s="5"/>
      <c r="M10" s="5"/>
      <c r="N10" s="6"/>
    </row>
    <row r="11" spans="1:14" x14ac:dyDescent="0.25">
      <c r="B11" s="4"/>
      <c r="C11" s="112"/>
      <c r="D11" s="112"/>
      <c r="E11" s="112"/>
      <c r="F11" s="198" t="s">
        <v>0</v>
      </c>
      <c r="G11" s="129"/>
      <c r="H11" s="180"/>
      <c r="I11" s="5"/>
      <c r="J11" s="5"/>
      <c r="K11" s="5"/>
      <c r="L11" s="5"/>
      <c r="M11" s="5"/>
      <c r="N11" s="6"/>
    </row>
    <row r="12" spans="1:14" ht="30" x14ac:dyDescent="0.25">
      <c r="B12" s="4"/>
      <c r="C12" s="156" t="s">
        <v>239</v>
      </c>
      <c r="D12" s="112"/>
      <c r="E12" s="112"/>
      <c r="F12" s="199" t="s">
        <v>80</v>
      </c>
      <c r="G12" s="147" t="s">
        <v>78</v>
      </c>
      <c r="H12" s="180"/>
      <c r="I12" s="5"/>
      <c r="J12" s="5"/>
      <c r="K12" s="5"/>
      <c r="L12" s="5"/>
      <c r="M12" s="5"/>
      <c r="N12" s="6"/>
    </row>
    <row r="13" spans="1:14" ht="30" x14ac:dyDescent="0.25">
      <c r="B13" s="4"/>
      <c r="C13" s="156" t="s">
        <v>315</v>
      </c>
      <c r="D13" s="112"/>
      <c r="E13" s="112"/>
      <c r="F13" s="200" t="s">
        <v>79</v>
      </c>
      <c r="G13" s="148" t="s">
        <v>355</v>
      </c>
      <c r="H13" s="180"/>
      <c r="I13" s="5"/>
      <c r="J13" s="5"/>
      <c r="K13" s="5"/>
      <c r="L13" s="5"/>
      <c r="M13" s="5"/>
      <c r="N13" s="6"/>
    </row>
    <row r="14" spans="1:14" ht="30" x14ac:dyDescent="0.25">
      <c r="B14" s="4"/>
      <c r="C14" s="156" t="s">
        <v>316</v>
      </c>
      <c r="D14" s="112"/>
      <c r="E14" s="112"/>
      <c r="F14" s="202" t="s">
        <v>81</v>
      </c>
      <c r="G14" s="149" t="s">
        <v>356</v>
      </c>
      <c r="H14" s="180"/>
      <c r="I14" s="5"/>
      <c r="J14" s="5"/>
      <c r="K14" s="5"/>
      <c r="L14" s="5"/>
      <c r="M14" s="5"/>
      <c r="N14" s="6" t="s">
        <v>4</v>
      </c>
    </row>
    <row r="15" spans="1:14" x14ac:dyDescent="0.25">
      <c r="B15" s="9"/>
      <c r="C15" s="116"/>
      <c r="D15" s="116"/>
      <c r="E15" s="116"/>
      <c r="F15" s="181"/>
      <c r="G15" s="189"/>
      <c r="H15" s="181"/>
      <c r="I15" s="10"/>
      <c r="J15" s="10"/>
      <c r="K15" s="10"/>
      <c r="L15" s="10"/>
      <c r="M15" s="10"/>
      <c r="N15" s="11"/>
    </row>
    <row r="18" spans="2:14" x14ac:dyDescent="0.25">
      <c r="B18" s="40" t="s">
        <v>68</v>
      </c>
      <c r="C18" s="128"/>
      <c r="D18" s="128"/>
      <c r="E18" s="128"/>
    </row>
    <row r="19" spans="2:14" x14ac:dyDescent="0.25">
      <c r="B19" s="1"/>
      <c r="C19" s="109"/>
      <c r="D19" s="109"/>
      <c r="E19" s="109"/>
      <c r="F19" s="194"/>
      <c r="G19" s="123"/>
      <c r="H19" s="179"/>
      <c r="I19" s="2"/>
      <c r="J19" s="2"/>
      <c r="K19" s="2"/>
      <c r="L19" s="2"/>
      <c r="M19" s="2"/>
      <c r="N19" s="3"/>
    </row>
    <row r="20" spans="2:14" x14ac:dyDescent="0.25">
      <c r="B20" s="4"/>
      <c r="C20" s="112"/>
      <c r="D20" s="112"/>
      <c r="E20" s="112"/>
      <c r="F20" s="198" t="s">
        <v>68</v>
      </c>
      <c r="G20" s="124"/>
      <c r="H20" s="180"/>
      <c r="I20" s="5"/>
      <c r="J20" s="5"/>
      <c r="K20" s="5"/>
      <c r="L20" s="5"/>
      <c r="M20" s="5"/>
      <c r="N20" s="6"/>
    </row>
    <row r="21" spans="2:14" ht="30" x14ac:dyDescent="0.25">
      <c r="B21" s="4"/>
      <c r="C21" s="156" t="s">
        <v>240</v>
      </c>
      <c r="D21" s="112"/>
      <c r="E21" s="112"/>
      <c r="F21" s="199" t="s">
        <v>10</v>
      </c>
      <c r="G21" s="147">
        <f>COB</f>
        <v>42521</v>
      </c>
      <c r="H21" s="180"/>
      <c r="I21" s="5"/>
      <c r="J21" s="5"/>
      <c r="K21" s="5"/>
      <c r="L21" s="5"/>
      <c r="M21" s="5"/>
      <c r="N21" s="6"/>
    </row>
    <row r="22" spans="2:14" ht="30" x14ac:dyDescent="0.25">
      <c r="B22" s="4"/>
      <c r="C22" s="156" t="s">
        <v>241</v>
      </c>
      <c r="D22" s="112"/>
      <c r="E22" s="112"/>
      <c r="F22" s="200" t="s">
        <v>16</v>
      </c>
      <c r="G22" s="148" t="s">
        <v>17</v>
      </c>
      <c r="H22" s="180"/>
      <c r="I22" s="5"/>
      <c r="J22" s="5"/>
      <c r="K22" s="5"/>
      <c r="L22" s="5"/>
      <c r="M22" s="5"/>
      <c r="N22" s="6"/>
    </row>
    <row r="23" spans="2:14" ht="45" x14ac:dyDescent="0.25">
      <c r="B23" s="4"/>
      <c r="C23" s="156" t="s">
        <v>276</v>
      </c>
      <c r="D23" s="112"/>
      <c r="E23" s="112"/>
      <c r="F23" s="200" t="s">
        <v>231</v>
      </c>
      <c r="G23" s="150" t="str">
        <f ca="1">interpolationFunction</f>
        <v>fn_MonotoneConvexInterpolation</v>
      </c>
      <c r="H23" s="180"/>
      <c r="I23" s="5"/>
      <c r="J23" s="5"/>
      <c r="K23" s="5"/>
      <c r="L23" s="5"/>
      <c r="M23" s="5"/>
      <c r="N23" s="6"/>
    </row>
    <row r="24" spans="2:14" ht="45" x14ac:dyDescent="0.25">
      <c r="B24" s="4"/>
      <c r="C24" s="157" t="s">
        <v>275</v>
      </c>
      <c r="D24" s="112"/>
      <c r="E24" s="112"/>
      <c r="F24" s="200" t="s">
        <v>175</v>
      </c>
      <c r="G24" s="148" t="b">
        <v>1</v>
      </c>
      <c r="H24" s="180"/>
      <c r="I24" s="5"/>
      <c r="J24" s="5"/>
      <c r="K24" s="5"/>
      <c r="L24" s="5"/>
      <c r="M24" s="5"/>
      <c r="N24" s="6"/>
    </row>
    <row r="25" spans="2:14" ht="45" x14ac:dyDescent="0.25">
      <c r="B25" s="4"/>
      <c r="C25" s="161" t="s">
        <v>266</v>
      </c>
      <c r="D25" s="112"/>
      <c r="E25" s="112"/>
      <c r="F25" s="200" t="s">
        <v>174</v>
      </c>
      <c r="G25" s="148" t="s">
        <v>9</v>
      </c>
      <c r="H25" s="180"/>
      <c r="I25" s="5"/>
      <c r="J25" s="5"/>
      <c r="K25" s="5"/>
      <c r="L25" s="5"/>
      <c r="M25" s="5"/>
      <c r="N25" s="6"/>
    </row>
    <row r="26" spans="2:14" x14ac:dyDescent="0.25">
      <c r="B26" s="4"/>
      <c r="C26" s="166"/>
      <c r="D26" s="112"/>
      <c r="E26" s="112"/>
      <c r="F26" s="200"/>
      <c r="G26" s="148"/>
      <c r="H26" s="180"/>
      <c r="I26" s="5"/>
      <c r="J26" s="5"/>
      <c r="K26" s="5"/>
      <c r="L26" s="5"/>
      <c r="M26" s="5"/>
      <c r="N26" s="6"/>
    </row>
    <row r="27" spans="2:14" x14ac:dyDescent="0.25">
      <c r="B27" s="4"/>
      <c r="C27" s="162"/>
      <c r="D27" s="112"/>
      <c r="E27" s="112"/>
      <c r="F27" s="202"/>
      <c r="G27" s="149"/>
      <c r="H27" s="180"/>
      <c r="I27" s="5"/>
      <c r="J27" s="5"/>
      <c r="K27" s="5"/>
      <c r="L27" s="5"/>
      <c r="M27" s="5"/>
      <c r="N27" s="6"/>
    </row>
    <row r="28" spans="2:14" x14ac:dyDescent="0.25">
      <c r="B28" s="9"/>
      <c r="C28" s="116"/>
      <c r="D28" s="116"/>
      <c r="E28" s="116"/>
      <c r="F28" s="181"/>
      <c r="G28" s="189"/>
      <c r="H28" s="181"/>
      <c r="I28" s="10"/>
      <c r="J28" s="10"/>
      <c r="K28" s="10"/>
      <c r="L28" s="10"/>
      <c r="M28" s="10"/>
      <c r="N28" s="11"/>
    </row>
    <row r="31" spans="2:14" x14ac:dyDescent="0.25">
      <c r="B31" s="40" t="s">
        <v>118</v>
      </c>
      <c r="C31" s="128"/>
      <c r="D31" s="128"/>
      <c r="E31" s="128"/>
      <c r="L31" s="13"/>
    </row>
    <row r="32" spans="2:14" x14ac:dyDescent="0.25">
      <c r="B32" s="1"/>
      <c r="C32" s="109"/>
      <c r="D32" s="109"/>
      <c r="E32" s="109"/>
      <c r="F32" s="179"/>
      <c r="G32" s="190"/>
      <c r="H32" s="179"/>
      <c r="I32" s="95" t="s">
        <v>183</v>
      </c>
      <c r="J32" s="95"/>
      <c r="K32" s="2"/>
      <c r="L32" s="2"/>
      <c r="M32" s="2"/>
      <c r="N32" s="3"/>
    </row>
    <row r="33" spans="2:14" x14ac:dyDescent="0.25">
      <c r="B33" s="4"/>
      <c r="C33" s="112"/>
      <c r="D33" s="112"/>
      <c r="E33" s="112"/>
      <c r="F33" s="204" t="s">
        <v>160</v>
      </c>
      <c r="G33" s="191"/>
      <c r="H33" s="182"/>
      <c r="I33" s="125" t="s">
        <v>209</v>
      </c>
      <c r="J33" s="114"/>
      <c r="K33" s="8"/>
      <c r="L33" s="8"/>
      <c r="M33" s="8"/>
      <c r="N33" s="39"/>
    </row>
    <row r="34" spans="2:14" ht="45" x14ac:dyDescent="0.25">
      <c r="B34" s="4"/>
      <c r="C34" s="156" t="s">
        <v>277</v>
      </c>
      <c r="D34" s="112"/>
      <c r="E34" s="152"/>
      <c r="F34" s="199" t="s">
        <v>119</v>
      </c>
      <c r="G34" s="119" t="s">
        <v>120</v>
      </c>
      <c r="H34" s="182"/>
      <c r="I34" s="53" t="s">
        <v>11</v>
      </c>
      <c r="J34" s="53" t="s">
        <v>12</v>
      </c>
      <c r="K34" s="53" t="s">
        <v>230</v>
      </c>
      <c r="L34" s="53" t="s">
        <v>181</v>
      </c>
      <c r="M34" s="53" t="s">
        <v>182</v>
      </c>
      <c r="N34" s="39"/>
    </row>
    <row r="35" spans="2:14" ht="45" x14ac:dyDescent="0.25">
      <c r="B35" s="4"/>
      <c r="C35" s="156" t="s">
        <v>278</v>
      </c>
      <c r="D35" s="112"/>
      <c r="E35" s="309" t="s">
        <v>165</v>
      </c>
      <c r="F35" s="217" t="s">
        <v>121</v>
      </c>
      <c r="G35" s="151" t="b">
        <v>1</v>
      </c>
      <c r="H35" s="182"/>
      <c r="I35" s="47" t="s">
        <v>94</v>
      </c>
      <c r="J35" s="73">
        <v>1.2999999999999999E-3</v>
      </c>
      <c r="K35" s="169" t="b">
        <v>1</v>
      </c>
      <c r="L35" s="170">
        <v>42523</v>
      </c>
      <c r="M35" s="171">
        <v>42706</v>
      </c>
      <c r="N35" s="39"/>
    </row>
    <row r="36" spans="2:14" ht="30" x14ac:dyDescent="0.25">
      <c r="B36" s="4"/>
      <c r="C36" s="156" t="s">
        <v>279</v>
      </c>
      <c r="D36" s="112"/>
      <c r="E36" s="310"/>
      <c r="F36" s="200" t="s">
        <v>122</v>
      </c>
      <c r="G36" s="120" t="s">
        <v>2</v>
      </c>
      <c r="H36" s="182"/>
      <c r="I36" s="48" t="s">
        <v>94</v>
      </c>
      <c r="J36" s="74">
        <v>1.2999999999999999E-3</v>
      </c>
      <c r="K36" s="172" t="b">
        <v>1</v>
      </c>
      <c r="L36" s="173">
        <v>42706</v>
      </c>
      <c r="M36" s="174">
        <v>42888</v>
      </c>
      <c r="N36" s="39"/>
    </row>
    <row r="37" spans="2:14" ht="30" x14ac:dyDescent="0.25">
      <c r="B37" s="4"/>
      <c r="C37" s="156" t="s">
        <v>280</v>
      </c>
      <c r="D37" s="112"/>
      <c r="E37" s="310"/>
      <c r="F37" s="200" t="s">
        <v>123</v>
      </c>
      <c r="G37" s="120" t="s">
        <v>124</v>
      </c>
      <c r="H37" s="182"/>
      <c r="I37" s="48" t="s">
        <v>94</v>
      </c>
      <c r="J37" s="74">
        <v>1.2999999999999999E-3</v>
      </c>
      <c r="K37" s="172" t="b">
        <v>1</v>
      </c>
      <c r="L37" s="173">
        <v>42888</v>
      </c>
      <c r="M37" s="174">
        <v>43073</v>
      </c>
      <c r="N37" s="39"/>
    </row>
    <row r="38" spans="2:14" ht="30" x14ac:dyDescent="0.25">
      <c r="B38" s="4"/>
      <c r="C38" s="156" t="s">
        <v>281</v>
      </c>
      <c r="D38" s="112"/>
      <c r="E38" s="310"/>
      <c r="F38" s="200" t="s">
        <v>125</v>
      </c>
      <c r="G38" s="134" t="s">
        <v>28</v>
      </c>
      <c r="H38" s="182"/>
      <c r="I38" s="48" t="s">
        <v>94</v>
      </c>
      <c r="J38" s="74">
        <v>1.2999999999999999E-3</v>
      </c>
      <c r="K38" s="172" t="b">
        <v>1</v>
      </c>
      <c r="L38" s="173">
        <v>43073</v>
      </c>
      <c r="M38" s="174">
        <v>43255</v>
      </c>
      <c r="N38" s="39"/>
    </row>
    <row r="39" spans="2:14" ht="30" x14ac:dyDescent="0.25">
      <c r="B39" s="4"/>
      <c r="C39" s="156" t="s">
        <v>282</v>
      </c>
      <c r="D39" s="112"/>
      <c r="E39" s="310"/>
      <c r="F39" s="200" t="s">
        <v>126</v>
      </c>
      <c r="G39" s="134" t="s">
        <v>22</v>
      </c>
      <c r="H39" s="182"/>
      <c r="I39" s="48" t="s">
        <v>43</v>
      </c>
      <c r="J39" s="74">
        <v>1.2999999999999999E-3</v>
      </c>
      <c r="K39" s="172" t="b">
        <f t="shared" ref="K39" si="0">ISNUMBER(L39)</f>
        <v>0</v>
      </c>
      <c r="L39" s="173" t="s">
        <v>178</v>
      </c>
      <c r="M39" s="174" t="str">
        <f>I39</f>
        <v>3Y</v>
      </c>
      <c r="N39" s="39"/>
    </row>
    <row r="40" spans="2:14" ht="30" x14ac:dyDescent="0.25">
      <c r="B40" s="4"/>
      <c r="C40" s="156" t="s">
        <v>292</v>
      </c>
      <c r="D40" s="112"/>
      <c r="E40" s="310"/>
      <c r="F40" s="200" t="s">
        <v>127</v>
      </c>
      <c r="G40" s="120" t="s">
        <v>101</v>
      </c>
      <c r="H40" s="182"/>
      <c r="I40" s="48" t="s">
        <v>50</v>
      </c>
      <c r="J40" s="74">
        <v>1.3499999999999999E-3</v>
      </c>
      <c r="K40" s="172" t="b">
        <f t="shared" ref="K40:K52" si="1">ISNUMBER(L40)</f>
        <v>0</v>
      </c>
      <c r="L40" s="173" t="s">
        <v>178</v>
      </c>
      <c r="M40" s="174" t="str">
        <f t="shared" ref="M40:M52" si="2">I40</f>
        <v>4Y</v>
      </c>
      <c r="N40" s="39"/>
    </row>
    <row r="41" spans="2:14" ht="30" x14ac:dyDescent="0.25">
      <c r="B41" s="4"/>
      <c r="C41" s="156" t="s">
        <v>284</v>
      </c>
      <c r="D41" s="112"/>
      <c r="E41" s="310"/>
      <c r="F41" s="200" t="s">
        <v>128</v>
      </c>
      <c r="G41" s="120" t="s">
        <v>9</v>
      </c>
      <c r="H41" s="182"/>
      <c r="I41" s="48" t="s">
        <v>52</v>
      </c>
      <c r="J41" s="74">
        <v>1.39E-3</v>
      </c>
      <c r="K41" s="172" t="b">
        <f t="shared" si="1"/>
        <v>0</v>
      </c>
      <c r="L41" s="173" t="s">
        <v>178</v>
      </c>
      <c r="M41" s="174" t="str">
        <f t="shared" si="2"/>
        <v>5Y</v>
      </c>
      <c r="N41" s="39"/>
    </row>
    <row r="42" spans="2:14" ht="30" x14ac:dyDescent="0.25">
      <c r="B42" s="4"/>
      <c r="C42" s="156" t="s">
        <v>283</v>
      </c>
      <c r="D42" s="112"/>
      <c r="E42" s="310"/>
      <c r="F42" s="200" t="s">
        <v>129</v>
      </c>
      <c r="G42" s="120" t="s">
        <v>168</v>
      </c>
      <c r="H42" s="182"/>
      <c r="I42" s="48" t="s">
        <v>54</v>
      </c>
      <c r="J42" s="74">
        <v>1.39E-3</v>
      </c>
      <c r="K42" s="172" t="b">
        <f t="shared" si="1"/>
        <v>0</v>
      </c>
      <c r="L42" s="173" t="s">
        <v>178</v>
      </c>
      <c r="M42" s="174" t="str">
        <f t="shared" si="2"/>
        <v>6Y</v>
      </c>
      <c r="N42" s="39"/>
    </row>
    <row r="43" spans="2:14" ht="30" x14ac:dyDescent="0.25">
      <c r="B43" s="4"/>
      <c r="C43" s="156" t="s">
        <v>285</v>
      </c>
      <c r="D43" s="112"/>
      <c r="E43" s="310"/>
      <c r="F43" s="200" t="s">
        <v>130</v>
      </c>
      <c r="G43" s="134" t="s">
        <v>145</v>
      </c>
      <c r="H43" s="182"/>
      <c r="I43" s="48" t="s">
        <v>55</v>
      </c>
      <c r="J43" s="74">
        <v>1.3699999999999999E-3</v>
      </c>
      <c r="K43" s="172" t="b">
        <f t="shared" si="1"/>
        <v>0</v>
      </c>
      <c r="L43" s="173" t="s">
        <v>178</v>
      </c>
      <c r="M43" s="174" t="str">
        <f t="shared" si="2"/>
        <v>7Y</v>
      </c>
      <c r="N43" s="39"/>
    </row>
    <row r="44" spans="2:14" ht="30" x14ac:dyDescent="0.25">
      <c r="B44" s="4"/>
      <c r="C44" s="156" t="s">
        <v>286</v>
      </c>
      <c r="D44" s="112"/>
      <c r="E44" s="310"/>
      <c r="F44" s="200" t="s">
        <v>131</v>
      </c>
      <c r="G44" s="120" t="s">
        <v>124</v>
      </c>
      <c r="H44" s="182"/>
      <c r="I44" s="48" t="s">
        <v>57</v>
      </c>
      <c r="J44" s="74">
        <v>1.3249999999999998E-3</v>
      </c>
      <c r="K44" s="172" t="b">
        <f t="shared" si="1"/>
        <v>0</v>
      </c>
      <c r="L44" s="173" t="s">
        <v>178</v>
      </c>
      <c r="M44" s="174" t="str">
        <f t="shared" si="2"/>
        <v>8Y</v>
      </c>
      <c r="N44" s="39"/>
    </row>
    <row r="45" spans="2:14" ht="30" x14ac:dyDescent="0.25">
      <c r="B45" s="4"/>
      <c r="C45" s="156" t="s">
        <v>287</v>
      </c>
      <c r="D45" s="112"/>
      <c r="E45" s="310"/>
      <c r="F45" s="200" t="s">
        <v>132</v>
      </c>
      <c r="G45" s="120" t="s">
        <v>2</v>
      </c>
      <c r="H45" s="182"/>
      <c r="I45" s="48" t="s">
        <v>59</v>
      </c>
      <c r="J45" s="74">
        <v>1.2599999999999998E-3</v>
      </c>
      <c r="K45" s="172" t="b">
        <f t="shared" si="1"/>
        <v>0</v>
      </c>
      <c r="L45" s="173" t="s">
        <v>178</v>
      </c>
      <c r="M45" s="174" t="str">
        <f t="shared" si="2"/>
        <v>9Y</v>
      </c>
      <c r="N45" s="39"/>
    </row>
    <row r="46" spans="2:14" ht="30" x14ac:dyDescent="0.25">
      <c r="B46" s="4"/>
      <c r="C46" s="156" t="s">
        <v>288</v>
      </c>
      <c r="D46" s="112"/>
      <c r="E46" s="310"/>
      <c r="F46" s="200" t="s">
        <v>133</v>
      </c>
      <c r="G46" s="120" t="s">
        <v>91</v>
      </c>
      <c r="H46" s="182"/>
      <c r="I46" s="48" t="s">
        <v>60</v>
      </c>
      <c r="J46" s="74">
        <v>1.1899999999999999E-3</v>
      </c>
      <c r="K46" s="172" t="b">
        <f t="shared" si="1"/>
        <v>0</v>
      </c>
      <c r="L46" s="173" t="s">
        <v>178</v>
      </c>
      <c r="M46" s="174" t="str">
        <f t="shared" si="2"/>
        <v>10Y</v>
      </c>
      <c r="N46" s="39"/>
    </row>
    <row r="47" spans="2:14" ht="30" x14ac:dyDescent="0.25">
      <c r="B47" s="4"/>
      <c r="C47" s="156" t="s">
        <v>289</v>
      </c>
      <c r="D47" s="112"/>
      <c r="E47" s="310"/>
      <c r="F47" s="200" t="s">
        <v>134</v>
      </c>
      <c r="G47" s="120" t="s">
        <v>2</v>
      </c>
      <c r="H47" s="182"/>
      <c r="I47" s="48" t="s">
        <v>61</v>
      </c>
      <c r="J47" s="74">
        <v>1.1249999999999999E-3</v>
      </c>
      <c r="K47" s="172" t="b">
        <f t="shared" si="1"/>
        <v>0</v>
      </c>
      <c r="L47" s="173" t="s">
        <v>178</v>
      </c>
      <c r="M47" s="174" t="str">
        <f t="shared" si="2"/>
        <v>11Y</v>
      </c>
      <c r="N47" s="39"/>
    </row>
    <row r="48" spans="2:14" ht="30" x14ac:dyDescent="0.25">
      <c r="B48" s="4"/>
      <c r="C48" s="156" t="s">
        <v>290</v>
      </c>
      <c r="D48" s="112"/>
      <c r="E48" s="310"/>
      <c r="F48" s="200" t="s">
        <v>135</v>
      </c>
      <c r="G48" s="120">
        <v>2</v>
      </c>
      <c r="H48" s="182"/>
      <c r="I48" s="48" t="s">
        <v>62</v>
      </c>
      <c r="J48" s="74">
        <v>1.0649999999999998E-3</v>
      </c>
      <c r="K48" s="172" t="b">
        <f t="shared" si="1"/>
        <v>0</v>
      </c>
      <c r="L48" s="173" t="s">
        <v>178</v>
      </c>
      <c r="M48" s="174" t="str">
        <f t="shared" si="2"/>
        <v>12Y</v>
      </c>
      <c r="N48" s="39"/>
    </row>
    <row r="49" spans="2:16" ht="30" x14ac:dyDescent="0.25">
      <c r="B49" s="4"/>
      <c r="C49" s="156" t="s">
        <v>291</v>
      </c>
      <c r="D49" s="112"/>
      <c r="E49" s="311"/>
      <c r="F49" s="218" t="s">
        <v>136</v>
      </c>
      <c r="G49" s="134" t="s">
        <v>22</v>
      </c>
      <c r="H49" s="182"/>
      <c r="I49" s="48" t="s">
        <v>63</v>
      </c>
      <c r="J49" s="74">
        <v>9.0999999999999978E-4</v>
      </c>
      <c r="K49" s="172" t="b">
        <f t="shared" si="1"/>
        <v>0</v>
      </c>
      <c r="L49" s="173" t="s">
        <v>178</v>
      </c>
      <c r="M49" s="174" t="str">
        <f t="shared" si="2"/>
        <v>15Y</v>
      </c>
      <c r="N49" s="39"/>
    </row>
    <row r="50" spans="2:16" ht="30" x14ac:dyDescent="0.25">
      <c r="B50" s="4"/>
      <c r="C50" s="156" t="s">
        <v>293</v>
      </c>
      <c r="D50" s="112"/>
      <c r="E50" s="312" t="s">
        <v>166</v>
      </c>
      <c r="F50" s="217" t="s">
        <v>137</v>
      </c>
      <c r="G50" s="151" t="s">
        <v>2</v>
      </c>
      <c r="H50" s="182"/>
      <c r="I50" s="48" t="s">
        <v>64</v>
      </c>
      <c r="J50" s="74">
        <v>7.099999999999998E-4</v>
      </c>
      <c r="K50" s="172" t="b">
        <f t="shared" si="1"/>
        <v>0</v>
      </c>
      <c r="L50" s="173" t="s">
        <v>178</v>
      </c>
      <c r="M50" s="174" t="str">
        <f t="shared" si="2"/>
        <v>20Y</v>
      </c>
      <c r="N50" s="39"/>
    </row>
    <row r="51" spans="2:16" ht="30" x14ac:dyDescent="0.25">
      <c r="B51" s="4"/>
      <c r="C51" s="156" t="s">
        <v>294</v>
      </c>
      <c r="D51" s="112"/>
      <c r="E51" s="313"/>
      <c r="F51" s="200" t="s">
        <v>138</v>
      </c>
      <c r="G51" s="120" t="s">
        <v>124</v>
      </c>
      <c r="H51" s="182"/>
      <c r="I51" s="48" t="s">
        <v>65</v>
      </c>
      <c r="J51" s="74">
        <v>5.8249999999999979E-4</v>
      </c>
      <c r="K51" s="172" t="b">
        <f t="shared" si="1"/>
        <v>0</v>
      </c>
      <c r="L51" s="173" t="s">
        <v>178</v>
      </c>
      <c r="M51" s="174" t="str">
        <f t="shared" si="2"/>
        <v>25Y</v>
      </c>
      <c r="N51" s="39"/>
    </row>
    <row r="52" spans="2:16" ht="30" x14ac:dyDescent="0.25">
      <c r="B52" s="4"/>
      <c r="C52" s="156" t="s">
        <v>295</v>
      </c>
      <c r="D52" s="112"/>
      <c r="E52" s="313"/>
      <c r="F52" s="200" t="s">
        <v>139</v>
      </c>
      <c r="G52" s="134" t="s">
        <v>108</v>
      </c>
      <c r="H52" s="182"/>
      <c r="I52" s="48" t="s">
        <v>66</v>
      </c>
      <c r="J52" s="74">
        <v>4.8999999999999988E-4</v>
      </c>
      <c r="K52" s="172" t="b">
        <f t="shared" si="1"/>
        <v>0</v>
      </c>
      <c r="L52" s="173" t="s">
        <v>178</v>
      </c>
      <c r="M52" s="174" t="str">
        <f t="shared" si="2"/>
        <v>30Y</v>
      </c>
      <c r="N52" s="39"/>
    </row>
    <row r="53" spans="2:16" ht="30" x14ac:dyDescent="0.25">
      <c r="B53" s="4"/>
      <c r="C53" s="156" t="s">
        <v>296</v>
      </c>
      <c r="D53" s="112"/>
      <c r="E53" s="313"/>
      <c r="F53" s="200" t="s">
        <v>140</v>
      </c>
      <c r="G53" s="134" t="s">
        <v>22</v>
      </c>
      <c r="H53" s="182"/>
      <c r="I53" s="48"/>
      <c r="J53" s="74"/>
      <c r="K53" s="172"/>
      <c r="L53" s="173"/>
      <c r="M53" s="174"/>
      <c r="N53" s="39"/>
    </row>
    <row r="54" spans="2:16" ht="30" x14ac:dyDescent="0.25">
      <c r="B54" s="4"/>
      <c r="C54" s="156" t="s">
        <v>297</v>
      </c>
      <c r="D54" s="112"/>
      <c r="E54" s="313"/>
      <c r="F54" s="200" t="s">
        <v>141</v>
      </c>
      <c r="G54" s="120" t="s">
        <v>101</v>
      </c>
      <c r="H54" s="183"/>
      <c r="I54" s="48"/>
      <c r="J54" s="74"/>
      <c r="K54" s="172"/>
      <c r="L54" s="173"/>
      <c r="M54" s="174"/>
      <c r="N54" s="39"/>
    </row>
    <row r="55" spans="2:16" ht="30" x14ac:dyDescent="0.25">
      <c r="B55" s="4"/>
      <c r="C55" s="156" t="s">
        <v>298</v>
      </c>
      <c r="D55" s="112"/>
      <c r="E55" s="313"/>
      <c r="F55" s="200" t="s">
        <v>142</v>
      </c>
      <c r="G55" s="120" t="s">
        <v>9</v>
      </c>
      <c r="H55" s="183"/>
      <c r="I55" s="48"/>
      <c r="J55" s="74"/>
      <c r="K55" s="172"/>
      <c r="L55" s="173"/>
      <c r="M55" s="174"/>
      <c r="N55" s="39"/>
    </row>
    <row r="56" spans="2:16" ht="30" x14ac:dyDescent="0.25">
      <c r="B56" s="4"/>
      <c r="C56" s="156" t="s">
        <v>299</v>
      </c>
      <c r="D56" s="112"/>
      <c r="E56" s="313"/>
      <c r="F56" s="200" t="s">
        <v>143</v>
      </c>
      <c r="G56" s="186" t="s">
        <v>82</v>
      </c>
      <c r="H56" s="184" t="s">
        <v>179</v>
      </c>
      <c r="I56" s="48"/>
      <c r="J56" s="74"/>
      <c r="K56" s="172"/>
      <c r="L56" s="173"/>
      <c r="M56" s="174"/>
      <c r="N56" s="39"/>
    </row>
    <row r="57" spans="2:16" ht="30" x14ac:dyDescent="0.25">
      <c r="B57" s="4"/>
      <c r="C57" s="156" t="s">
        <v>300</v>
      </c>
      <c r="D57" s="112"/>
      <c r="E57" s="313"/>
      <c r="F57" s="200" t="s">
        <v>144</v>
      </c>
      <c r="G57" s="134" t="s">
        <v>94</v>
      </c>
      <c r="H57" s="183"/>
      <c r="I57" s="48"/>
      <c r="J57" s="74"/>
      <c r="K57" s="172"/>
      <c r="L57" s="173"/>
      <c r="M57" s="174"/>
      <c r="N57" s="39"/>
      <c r="P57" s="97"/>
    </row>
    <row r="58" spans="2:16" ht="30" x14ac:dyDescent="0.25">
      <c r="B58" s="4"/>
      <c r="C58" s="156" t="s">
        <v>301</v>
      </c>
      <c r="D58" s="112"/>
      <c r="E58" s="313"/>
      <c r="F58" s="200" t="s">
        <v>146</v>
      </c>
      <c r="G58" s="120" t="s">
        <v>124</v>
      </c>
      <c r="H58" s="183"/>
      <c r="I58" s="48"/>
      <c r="J58" s="74"/>
      <c r="K58" s="172"/>
      <c r="L58" s="173"/>
      <c r="M58" s="174"/>
      <c r="N58" s="39"/>
      <c r="P58" s="97"/>
    </row>
    <row r="59" spans="2:16" ht="30" x14ac:dyDescent="0.25">
      <c r="B59" s="4"/>
      <c r="C59" s="156" t="s">
        <v>302</v>
      </c>
      <c r="D59" s="112"/>
      <c r="E59" s="313"/>
      <c r="F59" s="200" t="s">
        <v>147</v>
      </c>
      <c r="G59" s="120" t="s">
        <v>2</v>
      </c>
      <c r="H59" s="183"/>
      <c r="I59" s="48"/>
      <c r="J59" s="74"/>
      <c r="K59" s="172"/>
      <c r="L59" s="173"/>
      <c r="M59" s="174"/>
      <c r="N59" s="39"/>
      <c r="P59" s="97"/>
    </row>
    <row r="60" spans="2:16" ht="30" x14ac:dyDescent="0.25">
      <c r="B60" s="4"/>
      <c r="C60" s="156" t="s">
        <v>303</v>
      </c>
      <c r="D60" s="112"/>
      <c r="E60" s="313"/>
      <c r="F60" s="200" t="s">
        <v>148</v>
      </c>
      <c r="G60" s="120" t="s">
        <v>91</v>
      </c>
      <c r="H60" s="183"/>
      <c r="I60" s="48"/>
      <c r="J60" s="74"/>
      <c r="K60" s="172"/>
      <c r="L60" s="173"/>
      <c r="M60" s="174"/>
      <c r="N60" s="39"/>
      <c r="P60" s="97"/>
    </row>
    <row r="61" spans="2:16" ht="30" x14ac:dyDescent="0.25">
      <c r="B61" s="4"/>
      <c r="C61" s="156" t="s">
        <v>304</v>
      </c>
      <c r="D61" s="112"/>
      <c r="E61" s="313"/>
      <c r="F61" s="200" t="s">
        <v>149</v>
      </c>
      <c r="G61" s="120" t="s">
        <v>2</v>
      </c>
      <c r="H61" s="183"/>
      <c r="I61" s="48"/>
      <c r="J61" s="74"/>
      <c r="K61" s="172"/>
      <c r="L61" s="173"/>
      <c r="M61" s="174"/>
      <c r="N61" s="39"/>
      <c r="P61" s="97"/>
    </row>
    <row r="62" spans="2:16" ht="30" x14ac:dyDescent="0.25">
      <c r="B62" s="4"/>
      <c r="C62" s="156" t="s">
        <v>305</v>
      </c>
      <c r="D62" s="112"/>
      <c r="E62" s="313"/>
      <c r="F62" s="200" t="s">
        <v>150</v>
      </c>
      <c r="G62" s="120">
        <v>2</v>
      </c>
      <c r="H62" s="183"/>
      <c r="I62" s="48"/>
      <c r="J62" s="74"/>
      <c r="K62" s="172"/>
      <c r="L62" s="173"/>
      <c r="M62" s="174"/>
      <c r="N62" s="39"/>
      <c r="P62" s="97"/>
    </row>
    <row r="63" spans="2:16" ht="30" x14ac:dyDescent="0.25">
      <c r="B63" s="4"/>
      <c r="C63" s="156" t="s">
        <v>306</v>
      </c>
      <c r="D63" s="112"/>
      <c r="E63" s="314"/>
      <c r="F63" s="218" t="s">
        <v>151</v>
      </c>
      <c r="G63" s="134" t="s">
        <v>22</v>
      </c>
      <c r="H63" s="183"/>
      <c r="I63" s="48"/>
      <c r="J63" s="74"/>
      <c r="K63" s="172"/>
      <c r="L63" s="173"/>
      <c r="M63" s="174"/>
      <c r="N63" s="39"/>
      <c r="P63" s="97"/>
    </row>
    <row r="64" spans="2:16" ht="30" x14ac:dyDescent="0.25">
      <c r="B64" s="4"/>
      <c r="C64" s="156" t="s">
        <v>307</v>
      </c>
      <c r="D64" s="112"/>
      <c r="E64" s="315" t="str">
        <f>"Solving For :"&amp;CHAR(32)&amp;$H$64</f>
        <v>Solving For : &lt;--- Solver: Target</v>
      </c>
      <c r="F64" s="219" t="s">
        <v>152</v>
      </c>
      <c r="G64" s="185" t="s">
        <v>153</v>
      </c>
      <c r="H64" s="184" t="s">
        <v>180</v>
      </c>
      <c r="I64" s="48"/>
      <c r="J64" s="74"/>
      <c r="K64" s="172"/>
      <c r="L64" s="173"/>
      <c r="M64" s="174"/>
      <c r="N64" s="39"/>
      <c r="P64" s="97"/>
    </row>
    <row r="65" spans="2:16" ht="30" x14ac:dyDescent="0.25">
      <c r="B65" s="4"/>
      <c r="C65" s="157" t="s">
        <v>309</v>
      </c>
      <c r="D65" s="112"/>
      <c r="E65" s="316"/>
      <c r="F65" s="200" t="s">
        <v>112</v>
      </c>
      <c r="G65" s="120" t="b">
        <v>1</v>
      </c>
      <c r="H65" s="183"/>
      <c r="I65" s="48"/>
      <c r="J65" s="74"/>
      <c r="K65" s="172"/>
      <c r="L65" s="173"/>
      <c r="M65" s="174"/>
      <c r="N65" s="39"/>
      <c r="P65" s="97"/>
    </row>
    <row r="66" spans="2:16" ht="30" x14ac:dyDescent="0.25">
      <c r="B66" s="4"/>
      <c r="C66" s="157" t="s">
        <v>310</v>
      </c>
      <c r="D66" s="112"/>
      <c r="E66" s="316"/>
      <c r="F66" s="200" t="s">
        <v>154</v>
      </c>
      <c r="G66" s="150" t="str">
        <f ca="1">interpolationFunction</f>
        <v>fn_MonotoneConvexInterpolation</v>
      </c>
      <c r="H66" s="183"/>
      <c r="I66" s="48"/>
      <c r="J66" s="74"/>
      <c r="K66" s="172"/>
      <c r="L66" s="173"/>
      <c r="M66" s="174"/>
      <c r="N66" s="39"/>
      <c r="P66" s="97"/>
    </row>
    <row r="67" spans="2:16" ht="45" x14ac:dyDescent="0.25">
      <c r="B67" s="4"/>
      <c r="C67" s="157" t="s">
        <v>311</v>
      </c>
      <c r="D67" s="112"/>
      <c r="E67" s="316"/>
      <c r="F67" s="200" t="s">
        <v>155</v>
      </c>
      <c r="G67" s="120" t="b">
        <v>1</v>
      </c>
      <c r="H67" s="183"/>
      <c r="I67" s="48"/>
      <c r="J67" s="74"/>
      <c r="K67" s="172"/>
      <c r="L67" s="173"/>
      <c r="M67" s="174"/>
      <c r="N67" s="39"/>
      <c r="P67" s="97"/>
    </row>
    <row r="68" spans="2:16" ht="45" x14ac:dyDescent="0.25">
      <c r="B68" s="4"/>
      <c r="C68" s="157" t="s">
        <v>312</v>
      </c>
      <c r="D68" s="112"/>
      <c r="E68" s="316"/>
      <c r="F68" s="200" t="s">
        <v>156</v>
      </c>
      <c r="G68" s="120" t="b">
        <v>1</v>
      </c>
      <c r="H68" s="183"/>
      <c r="I68" s="48"/>
      <c r="J68" s="74"/>
      <c r="K68" s="172"/>
      <c r="L68" s="173"/>
      <c r="M68" s="174"/>
      <c r="N68" s="39"/>
      <c r="P68" s="97"/>
    </row>
    <row r="69" spans="2:16" ht="45" x14ac:dyDescent="0.25">
      <c r="B69" s="4"/>
      <c r="C69" s="157" t="s">
        <v>313</v>
      </c>
      <c r="D69" s="112"/>
      <c r="E69" s="316"/>
      <c r="F69" s="200" t="s">
        <v>157</v>
      </c>
      <c r="G69" s="134" t="s">
        <v>94</v>
      </c>
      <c r="H69" s="183"/>
      <c r="I69" s="48"/>
      <c r="J69" s="74"/>
      <c r="K69" s="172"/>
      <c r="L69" s="173"/>
      <c r="M69" s="174"/>
      <c r="N69" s="39"/>
    </row>
    <row r="70" spans="2:16" ht="30" x14ac:dyDescent="0.25">
      <c r="B70" s="4"/>
      <c r="C70" s="157" t="s">
        <v>314</v>
      </c>
      <c r="D70" s="112"/>
      <c r="E70" s="316"/>
      <c r="F70" s="200" t="s">
        <v>158</v>
      </c>
      <c r="G70" s="120" t="b">
        <v>0</v>
      </c>
      <c r="H70" s="183"/>
      <c r="I70" s="48"/>
      <c r="J70" s="74"/>
      <c r="K70" s="172"/>
      <c r="L70" s="173"/>
      <c r="M70" s="174"/>
      <c r="N70" s="39"/>
    </row>
    <row r="71" spans="2:16" ht="30" x14ac:dyDescent="0.25">
      <c r="B71" s="4"/>
      <c r="C71" s="157" t="s">
        <v>254</v>
      </c>
      <c r="D71" s="112"/>
      <c r="E71" s="316"/>
      <c r="F71" s="200" t="s">
        <v>113</v>
      </c>
      <c r="G71" s="122">
        <v>1.0000000000000001E-9</v>
      </c>
      <c r="H71" s="183"/>
      <c r="I71" s="48"/>
      <c r="J71" s="74"/>
      <c r="K71" s="172"/>
      <c r="L71" s="173"/>
      <c r="M71" s="174"/>
      <c r="N71" s="39"/>
    </row>
    <row r="72" spans="2:16" ht="30" x14ac:dyDescent="0.25">
      <c r="B72" s="4"/>
      <c r="C72" s="158" t="s">
        <v>255</v>
      </c>
      <c r="D72" s="112"/>
      <c r="E72" s="316"/>
      <c r="F72" s="200" t="s">
        <v>114</v>
      </c>
      <c r="G72" s="146">
        <v>1000</v>
      </c>
      <c r="H72" s="183"/>
      <c r="I72" s="48"/>
      <c r="J72" s="74"/>
      <c r="K72" s="172"/>
      <c r="L72" s="173"/>
      <c r="M72" s="174"/>
      <c r="N72" s="39"/>
    </row>
    <row r="73" spans="2:16" x14ac:dyDescent="0.25">
      <c r="B73" s="4"/>
      <c r="C73" s="154"/>
      <c r="D73" s="112"/>
      <c r="E73" s="316"/>
      <c r="F73" s="200"/>
      <c r="G73" s="120"/>
      <c r="H73" s="183"/>
      <c r="I73" s="48"/>
      <c r="J73" s="74"/>
      <c r="K73" s="172"/>
      <c r="L73" s="173"/>
      <c r="M73" s="174"/>
      <c r="N73" s="39"/>
    </row>
    <row r="74" spans="2:16" x14ac:dyDescent="0.25">
      <c r="B74" s="4"/>
      <c r="C74" s="154"/>
      <c r="D74" s="112"/>
      <c r="E74" s="316"/>
      <c r="F74" s="200"/>
      <c r="G74" s="120"/>
      <c r="H74" s="183"/>
      <c r="I74" s="48"/>
      <c r="J74" s="74"/>
      <c r="K74" s="172"/>
      <c r="L74" s="173"/>
      <c r="M74" s="174"/>
      <c r="N74" s="39"/>
    </row>
    <row r="75" spans="2:16" x14ac:dyDescent="0.25">
      <c r="B75" s="4"/>
      <c r="C75" s="154"/>
      <c r="D75" s="112"/>
      <c r="E75" s="316"/>
      <c r="F75" s="200"/>
      <c r="G75" s="120"/>
      <c r="H75" s="183"/>
      <c r="I75" s="48"/>
      <c r="J75" s="74"/>
      <c r="K75" s="172"/>
      <c r="L75" s="173"/>
      <c r="M75" s="174"/>
      <c r="N75" s="39"/>
    </row>
    <row r="76" spans="2:16" x14ac:dyDescent="0.25">
      <c r="B76" s="4"/>
      <c r="C76" s="155"/>
      <c r="D76" s="112"/>
      <c r="E76" s="317"/>
      <c r="F76" s="206"/>
      <c r="G76" s="216"/>
      <c r="H76" s="183"/>
      <c r="I76" s="49"/>
      <c r="J76" s="75"/>
      <c r="K76" s="175"/>
      <c r="L76" s="176"/>
      <c r="M76" s="177"/>
      <c r="N76" s="39"/>
    </row>
    <row r="77" spans="2:16" x14ac:dyDescent="0.25">
      <c r="B77" s="4"/>
      <c r="C77" s="112"/>
      <c r="D77" s="112"/>
      <c r="E77" s="112"/>
      <c r="F77" s="183"/>
      <c r="G77" s="215"/>
      <c r="H77" s="183"/>
      <c r="I77" s="8" t="s">
        <v>4</v>
      </c>
      <c r="J77" s="8" t="s">
        <v>4</v>
      </c>
      <c r="K77" s="53" t="s">
        <v>4</v>
      </c>
      <c r="L77" s="91" t="s">
        <v>4</v>
      </c>
      <c r="M77" s="92" t="s">
        <v>4</v>
      </c>
      <c r="N77" s="39"/>
    </row>
    <row r="78" spans="2:16" x14ac:dyDescent="0.25">
      <c r="B78" s="9"/>
      <c r="C78" s="116"/>
      <c r="D78" s="116"/>
      <c r="E78" s="116"/>
      <c r="F78" s="181"/>
      <c r="G78" s="189"/>
      <c r="H78" s="181"/>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07"/>
    <col min="2" max="2" width="2.7109375" style="107" customWidth="1"/>
    <col min="3" max="3" width="110.7109375" style="107" hidden="1" customWidth="1"/>
    <col min="4" max="4" width="4.7109375" style="107" hidden="1" customWidth="1"/>
    <col min="5" max="5" width="13" style="107" customWidth="1"/>
    <col min="6" max="6" width="26.7109375" style="178" customWidth="1"/>
    <col min="7" max="7" width="32.7109375" style="187" customWidth="1"/>
    <col min="8" max="8" width="4.7109375" style="178" customWidth="1"/>
    <col min="9" max="10" width="12.7109375" style="107" customWidth="1"/>
    <col min="11" max="13" width="18.7109375" style="107" customWidth="1"/>
    <col min="14" max="14" width="2.7109375" style="107" customWidth="1"/>
    <col min="15" max="16" width="9.140625" style="107" customWidth="1"/>
    <col min="17" max="16384" width="9.140625" style="107"/>
  </cols>
  <sheetData>
    <row r="2" spans="2:14" s="223" customFormat="1" ht="23.25" x14ac:dyDescent="0.35">
      <c r="B2" s="297" t="s">
        <v>371</v>
      </c>
      <c r="F2" s="298"/>
      <c r="G2" s="88"/>
      <c r="H2" s="298"/>
    </row>
    <row r="3" spans="2:14" s="223" customFormat="1" ht="23.25" x14ac:dyDescent="0.35">
      <c r="B3" s="87" t="s">
        <v>322</v>
      </c>
      <c r="F3" s="298"/>
      <c r="G3" s="88"/>
      <c r="H3" s="298"/>
    </row>
    <row r="5" spans="2:14" x14ac:dyDescent="0.25">
      <c r="B5" s="128" t="s">
        <v>234</v>
      </c>
      <c r="C5" s="128"/>
      <c r="D5" s="128"/>
      <c r="E5" s="128"/>
    </row>
    <row r="6" spans="2:14" x14ac:dyDescent="0.25">
      <c r="B6" s="108"/>
      <c r="C6" s="109"/>
      <c r="D6" s="109"/>
      <c r="E6" s="109"/>
      <c r="F6" s="194"/>
      <c r="G6" s="123"/>
      <c r="H6" s="179"/>
      <c r="I6" s="109"/>
      <c r="J6" s="109"/>
      <c r="K6" s="109"/>
      <c r="L6" s="109"/>
      <c r="M6" s="109"/>
      <c r="N6" s="110"/>
    </row>
    <row r="7" spans="2:14" x14ac:dyDescent="0.25">
      <c r="B7" s="111"/>
      <c r="C7" s="126"/>
      <c r="D7" s="112"/>
      <c r="E7" s="112"/>
      <c r="F7" s="195" t="s">
        <v>234</v>
      </c>
      <c r="G7" s="131"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(0.02100 sec)</v>
      </c>
      <c r="H7" s="163"/>
      <c r="I7" s="132"/>
      <c r="J7" s="112"/>
      <c r="K7" s="112"/>
      <c r="L7" s="112"/>
      <c r="M7" s="112"/>
      <c r="N7" s="113"/>
    </row>
    <row r="8" spans="2:14" x14ac:dyDescent="0.25">
      <c r="B8" s="111"/>
      <c r="C8" s="112"/>
      <c r="D8" s="112"/>
      <c r="E8" s="112"/>
      <c r="F8" s="196" t="s">
        <v>167</v>
      </c>
      <c r="G8" s="153" t="b">
        <f ca="1">LEFT(G7,5)=TenorBasisCurve1M3M.CollectionName</f>
        <v>1</v>
      </c>
      <c r="H8" s="180"/>
      <c r="I8" s="112"/>
      <c r="J8" s="112"/>
      <c r="K8" s="112"/>
      <c r="L8" s="112"/>
      <c r="M8" s="112"/>
      <c r="N8" s="113"/>
    </row>
    <row r="9" spans="2:14" x14ac:dyDescent="0.25">
      <c r="B9" s="111"/>
      <c r="C9" s="112"/>
      <c r="D9" s="112"/>
      <c r="E9" s="112"/>
      <c r="F9" s="197"/>
      <c r="G9" s="130"/>
      <c r="H9" s="180"/>
      <c r="I9" s="112"/>
      <c r="J9" s="112"/>
      <c r="K9" s="112"/>
      <c r="L9" s="112"/>
      <c r="M9" s="112"/>
      <c r="N9" s="113"/>
    </row>
    <row r="10" spans="2:14" x14ac:dyDescent="0.25">
      <c r="B10" s="111"/>
      <c r="C10" s="112"/>
      <c r="D10" s="112"/>
      <c r="E10" s="112"/>
      <c r="F10" s="197"/>
      <c r="G10" s="130"/>
      <c r="H10" s="180"/>
      <c r="I10" s="112"/>
      <c r="J10" s="112"/>
      <c r="K10" s="112"/>
      <c r="L10" s="112"/>
      <c r="M10" s="112"/>
      <c r="N10" s="113"/>
    </row>
    <row r="11" spans="2:14" x14ac:dyDescent="0.25">
      <c r="B11" s="111"/>
      <c r="C11" s="112"/>
      <c r="D11" s="112"/>
      <c r="E11" s="112"/>
      <c r="F11" s="198" t="s">
        <v>0</v>
      </c>
      <c r="G11" s="129"/>
      <c r="H11" s="180"/>
      <c r="I11" s="112"/>
      <c r="J11" s="112"/>
      <c r="K11" s="112"/>
      <c r="L11" s="112"/>
      <c r="M11" s="112"/>
      <c r="N11" s="113"/>
    </row>
    <row r="12" spans="2:14" ht="30" x14ac:dyDescent="0.25">
      <c r="B12" s="111"/>
      <c r="C12" s="156" t="s">
        <v>239</v>
      </c>
      <c r="D12" s="112"/>
      <c r="E12" s="112"/>
      <c r="F12" s="199" t="s">
        <v>80</v>
      </c>
      <c r="G12" s="147" t="s">
        <v>78</v>
      </c>
      <c r="H12" s="180"/>
      <c r="I12" s="112"/>
      <c r="J12" s="112"/>
      <c r="K12" s="112"/>
      <c r="L12" s="112"/>
      <c r="M12" s="112"/>
      <c r="N12" s="113"/>
    </row>
    <row r="13" spans="2:14" ht="30" x14ac:dyDescent="0.25">
      <c r="B13" s="111"/>
      <c r="C13" s="156" t="s">
        <v>315</v>
      </c>
      <c r="D13" s="112"/>
      <c r="E13" s="112"/>
      <c r="F13" s="200" t="s">
        <v>79</v>
      </c>
      <c r="G13" s="148" t="s">
        <v>357</v>
      </c>
      <c r="H13" s="180"/>
      <c r="I13" s="112"/>
      <c r="J13" s="112"/>
      <c r="K13" s="112"/>
      <c r="L13" s="112"/>
      <c r="M13" s="112"/>
      <c r="N13" s="113"/>
    </row>
    <row r="14" spans="2:14" ht="30" x14ac:dyDescent="0.25">
      <c r="B14" s="111"/>
      <c r="C14" s="156" t="s">
        <v>316</v>
      </c>
      <c r="D14" s="112"/>
      <c r="E14" s="112"/>
      <c r="F14" s="202" t="s">
        <v>81</v>
      </c>
      <c r="G14" s="149" t="s">
        <v>358</v>
      </c>
      <c r="H14" s="180"/>
      <c r="I14" s="112"/>
      <c r="J14" s="112"/>
      <c r="K14" s="112"/>
      <c r="L14" s="112"/>
      <c r="M14" s="112"/>
      <c r="N14" s="113" t="s">
        <v>4</v>
      </c>
    </row>
    <row r="15" spans="2:14" x14ac:dyDescent="0.25">
      <c r="B15" s="115"/>
      <c r="C15" s="116"/>
      <c r="D15" s="116"/>
      <c r="E15" s="116"/>
      <c r="F15" s="181"/>
      <c r="G15" s="220"/>
      <c r="H15" s="181"/>
      <c r="I15" s="116"/>
      <c r="J15" s="116"/>
      <c r="K15" s="116"/>
      <c r="L15" s="116"/>
      <c r="M15" s="116"/>
      <c r="N15" s="117"/>
    </row>
    <row r="18" spans="2:14" x14ac:dyDescent="0.25">
      <c r="B18" s="128" t="s">
        <v>68</v>
      </c>
      <c r="C18" s="128"/>
      <c r="D18" s="128"/>
      <c r="E18" s="128"/>
    </row>
    <row r="19" spans="2:14" x14ac:dyDescent="0.25">
      <c r="B19" s="108"/>
      <c r="C19" s="109"/>
      <c r="D19" s="109"/>
      <c r="E19" s="109"/>
      <c r="F19" s="194"/>
      <c r="G19" s="123"/>
      <c r="H19" s="179"/>
      <c r="I19" s="109"/>
      <c r="J19" s="109"/>
      <c r="K19" s="109"/>
      <c r="L19" s="109"/>
      <c r="M19" s="109"/>
      <c r="N19" s="110"/>
    </row>
    <row r="20" spans="2:14" x14ac:dyDescent="0.25">
      <c r="B20" s="111"/>
      <c r="C20" s="112"/>
      <c r="D20" s="112"/>
      <c r="E20" s="112"/>
      <c r="F20" s="198" t="s">
        <v>68</v>
      </c>
      <c r="G20" s="124"/>
      <c r="H20" s="180"/>
      <c r="I20" s="112"/>
      <c r="J20" s="112"/>
      <c r="K20" s="112"/>
      <c r="L20" s="112"/>
      <c r="M20" s="112"/>
      <c r="N20" s="113"/>
    </row>
    <row r="21" spans="2:14" ht="30" x14ac:dyDescent="0.25">
      <c r="B21" s="111"/>
      <c r="C21" s="156" t="s">
        <v>240</v>
      </c>
      <c r="D21" s="112"/>
      <c r="E21" s="112"/>
      <c r="F21" s="199" t="s">
        <v>10</v>
      </c>
      <c r="G21" s="147">
        <f>COB</f>
        <v>42521</v>
      </c>
      <c r="H21" s="180"/>
      <c r="I21" s="112"/>
      <c r="J21" s="112"/>
      <c r="K21" s="112"/>
      <c r="L21" s="112"/>
      <c r="M21" s="112"/>
      <c r="N21" s="113"/>
    </row>
    <row r="22" spans="2:14" ht="30" x14ac:dyDescent="0.25">
      <c r="B22" s="111"/>
      <c r="C22" s="156" t="s">
        <v>241</v>
      </c>
      <c r="D22" s="112"/>
      <c r="E22" s="112"/>
      <c r="F22" s="200" t="s">
        <v>16</v>
      </c>
      <c r="G22" s="148" t="s">
        <v>17</v>
      </c>
      <c r="H22" s="180"/>
      <c r="I22" s="112"/>
      <c r="J22" s="112"/>
      <c r="K22" s="112"/>
      <c r="L22" s="112"/>
      <c r="M22" s="112"/>
      <c r="N22" s="113"/>
    </row>
    <row r="23" spans="2:14" ht="45" x14ac:dyDescent="0.25">
      <c r="B23" s="111"/>
      <c r="C23" s="156" t="s">
        <v>276</v>
      </c>
      <c r="D23" s="112"/>
      <c r="E23" s="112"/>
      <c r="F23" s="200" t="s">
        <v>231</v>
      </c>
      <c r="G23" s="150" t="str">
        <f ca="1">interpolationFunction</f>
        <v>fn_MonotoneConvexInterpolation</v>
      </c>
      <c r="H23" s="180"/>
      <c r="I23" s="112"/>
      <c r="J23" s="112"/>
      <c r="K23" s="112"/>
      <c r="L23" s="112"/>
      <c r="M23" s="112"/>
      <c r="N23" s="113"/>
    </row>
    <row r="24" spans="2:14" ht="45" x14ac:dyDescent="0.25">
      <c r="B24" s="111"/>
      <c r="C24" s="157" t="s">
        <v>275</v>
      </c>
      <c r="D24" s="112"/>
      <c r="E24" s="112"/>
      <c r="F24" s="200" t="s">
        <v>175</v>
      </c>
      <c r="G24" s="148" t="b">
        <v>1</v>
      </c>
      <c r="H24" s="180"/>
      <c r="I24" s="112"/>
      <c r="J24" s="112"/>
      <c r="K24" s="112"/>
      <c r="L24" s="112"/>
      <c r="M24" s="112"/>
      <c r="N24" s="113"/>
    </row>
    <row r="25" spans="2:14" ht="45" x14ac:dyDescent="0.25">
      <c r="B25" s="111"/>
      <c r="C25" s="161" t="s">
        <v>266</v>
      </c>
      <c r="D25" s="112"/>
      <c r="E25" s="112"/>
      <c r="F25" s="200" t="s">
        <v>174</v>
      </c>
      <c r="G25" s="148" t="s">
        <v>9</v>
      </c>
      <c r="H25" s="180"/>
      <c r="I25" s="112"/>
      <c r="J25" s="112"/>
      <c r="K25" s="112"/>
      <c r="L25" s="112"/>
      <c r="M25" s="112"/>
      <c r="N25" s="113"/>
    </row>
    <row r="26" spans="2:14" x14ac:dyDescent="0.25">
      <c r="B26" s="111"/>
      <c r="C26" s="166"/>
      <c r="D26" s="112"/>
      <c r="E26" s="112"/>
      <c r="F26" s="200"/>
      <c r="G26" s="148"/>
      <c r="H26" s="180"/>
      <c r="I26" s="112"/>
      <c r="J26" s="112"/>
      <c r="K26" s="112"/>
      <c r="L26" s="112"/>
      <c r="M26" s="112"/>
      <c r="N26" s="113"/>
    </row>
    <row r="27" spans="2:14" x14ac:dyDescent="0.25">
      <c r="B27" s="111"/>
      <c r="C27" s="162"/>
      <c r="D27" s="112"/>
      <c r="E27" s="112"/>
      <c r="F27" s="202"/>
      <c r="G27" s="149"/>
      <c r="H27" s="180"/>
      <c r="I27" s="112"/>
      <c r="J27" s="112"/>
      <c r="K27" s="112"/>
      <c r="L27" s="112"/>
      <c r="M27" s="112"/>
      <c r="N27" s="113"/>
    </row>
    <row r="28" spans="2:14" x14ac:dyDescent="0.25">
      <c r="B28" s="115"/>
      <c r="C28" s="116"/>
      <c r="D28" s="116"/>
      <c r="E28" s="116"/>
      <c r="F28" s="181"/>
      <c r="G28" s="220"/>
      <c r="H28" s="181"/>
      <c r="I28" s="116"/>
      <c r="J28" s="116"/>
      <c r="K28" s="116"/>
      <c r="L28" s="116"/>
      <c r="M28" s="116"/>
      <c r="N28" s="117"/>
    </row>
    <row r="31" spans="2:14" x14ac:dyDescent="0.25">
      <c r="B31" s="128" t="s">
        <v>118</v>
      </c>
      <c r="C31" s="128"/>
      <c r="D31" s="128"/>
      <c r="E31" s="128"/>
      <c r="L31" s="118"/>
    </row>
    <row r="32" spans="2:14" x14ac:dyDescent="0.25">
      <c r="B32" s="108"/>
      <c r="C32" s="109"/>
      <c r="D32" s="109"/>
      <c r="E32" s="109"/>
      <c r="F32" s="179"/>
      <c r="G32" s="221"/>
      <c r="H32" s="179"/>
      <c r="I32" s="95" t="s">
        <v>183</v>
      </c>
      <c r="J32" s="95"/>
      <c r="K32" s="109"/>
      <c r="L32" s="109"/>
      <c r="M32" s="109"/>
      <c r="N32" s="110"/>
    </row>
    <row r="33" spans="2:14" x14ac:dyDescent="0.25">
      <c r="B33" s="111"/>
      <c r="C33" s="112"/>
      <c r="D33" s="112"/>
      <c r="E33" s="112"/>
      <c r="F33" s="204" t="s">
        <v>200</v>
      </c>
      <c r="G33" s="141"/>
      <c r="H33" s="182"/>
      <c r="I33" s="125" t="s">
        <v>209</v>
      </c>
      <c r="J33" s="114"/>
      <c r="K33" s="114"/>
      <c r="L33" s="114"/>
      <c r="M33" s="114"/>
      <c r="N33" s="127"/>
    </row>
    <row r="34" spans="2:14" ht="45" x14ac:dyDescent="0.25">
      <c r="B34" s="111"/>
      <c r="C34" s="156" t="s">
        <v>277</v>
      </c>
      <c r="D34" s="112"/>
      <c r="E34" s="152"/>
      <c r="F34" s="199" t="s">
        <v>119</v>
      </c>
      <c r="G34" s="119" t="s">
        <v>199</v>
      </c>
      <c r="H34" s="182"/>
      <c r="I34" s="141" t="s">
        <v>11</v>
      </c>
      <c r="J34" s="141" t="s">
        <v>12</v>
      </c>
      <c r="K34" s="141" t="s">
        <v>230</v>
      </c>
      <c r="L34" s="141" t="s">
        <v>181</v>
      </c>
      <c r="M34" s="141" t="s">
        <v>182</v>
      </c>
      <c r="N34" s="127"/>
    </row>
    <row r="35" spans="2:14" ht="45" x14ac:dyDescent="0.25">
      <c r="B35" s="111"/>
      <c r="C35" s="156" t="s">
        <v>278</v>
      </c>
      <c r="D35" s="112"/>
      <c r="E35" s="309" t="s">
        <v>165</v>
      </c>
      <c r="F35" s="217" t="s">
        <v>121</v>
      </c>
      <c r="G35" s="151" t="b">
        <v>0</v>
      </c>
      <c r="H35" s="182"/>
      <c r="I35" s="137" t="s">
        <v>159</v>
      </c>
      <c r="J35" s="142">
        <v>8.9999999999999998E-4</v>
      </c>
      <c r="K35" s="169" t="b">
        <v>0</v>
      </c>
      <c r="L35" s="170" t="s">
        <v>178</v>
      </c>
      <c r="M35" s="171" t="str">
        <f>I35</f>
        <v>1Y</v>
      </c>
      <c r="N35" s="127"/>
    </row>
    <row r="36" spans="2:14" ht="30" x14ac:dyDescent="0.25">
      <c r="B36" s="111"/>
      <c r="C36" s="156" t="s">
        <v>279</v>
      </c>
      <c r="D36" s="112"/>
      <c r="E36" s="310"/>
      <c r="F36" s="200" t="s">
        <v>122</v>
      </c>
      <c r="G36" s="120" t="s">
        <v>2</v>
      </c>
      <c r="H36" s="182"/>
      <c r="I36" s="138" t="s">
        <v>47</v>
      </c>
      <c r="J36" s="143">
        <v>9.2000000000000003E-4</v>
      </c>
      <c r="K36" s="172" t="b">
        <v>0</v>
      </c>
      <c r="L36" s="173" t="s">
        <v>178</v>
      </c>
      <c r="M36" s="174" t="str">
        <f>I36</f>
        <v>2Y</v>
      </c>
      <c r="N36" s="127"/>
    </row>
    <row r="37" spans="2:14" ht="30" x14ac:dyDescent="0.25">
      <c r="B37" s="111"/>
      <c r="C37" s="156" t="s">
        <v>280</v>
      </c>
      <c r="D37" s="112"/>
      <c r="E37" s="310"/>
      <c r="F37" s="200" t="s">
        <v>123</v>
      </c>
      <c r="G37" s="120" t="s">
        <v>124</v>
      </c>
      <c r="H37" s="182"/>
      <c r="I37" s="138" t="s">
        <v>43</v>
      </c>
      <c r="J37" s="143">
        <v>9.4000000000000008E-4</v>
      </c>
      <c r="K37" s="172" t="b">
        <v>0</v>
      </c>
      <c r="L37" s="173" t="s">
        <v>178</v>
      </c>
      <c r="M37" s="174" t="str">
        <f>I37</f>
        <v>3Y</v>
      </c>
      <c r="N37" s="127"/>
    </row>
    <row r="38" spans="2:14" ht="30" x14ac:dyDescent="0.25">
      <c r="B38" s="111"/>
      <c r="C38" s="156" t="s">
        <v>281</v>
      </c>
      <c r="D38" s="112"/>
      <c r="E38" s="310"/>
      <c r="F38" s="200" t="s">
        <v>125</v>
      </c>
      <c r="G38" s="134" t="s">
        <v>28</v>
      </c>
      <c r="H38" s="182"/>
      <c r="I38" s="138" t="s">
        <v>50</v>
      </c>
      <c r="J38" s="143">
        <v>9.8999999999999999E-4</v>
      </c>
      <c r="K38" s="172" t="b">
        <v>0</v>
      </c>
      <c r="L38" s="173" t="s">
        <v>178</v>
      </c>
      <c r="M38" s="174" t="str">
        <f t="shared" ref="M38:M48" si="0">I38</f>
        <v>4Y</v>
      </c>
      <c r="N38" s="127"/>
    </row>
    <row r="39" spans="2:14" ht="30" x14ac:dyDescent="0.25">
      <c r="B39" s="111"/>
      <c r="C39" s="156" t="s">
        <v>282</v>
      </c>
      <c r="D39" s="112"/>
      <c r="E39" s="310"/>
      <c r="F39" s="200" t="s">
        <v>126</v>
      </c>
      <c r="G39" s="134" t="s">
        <v>22</v>
      </c>
      <c r="H39" s="182"/>
      <c r="I39" s="138" t="s">
        <v>52</v>
      </c>
      <c r="J39" s="143">
        <v>9.8499999999999998E-4</v>
      </c>
      <c r="K39" s="172" t="b">
        <v>0</v>
      </c>
      <c r="L39" s="173" t="s">
        <v>178</v>
      </c>
      <c r="M39" s="174" t="str">
        <f t="shared" si="0"/>
        <v>5Y</v>
      </c>
      <c r="N39" s="127"/>
    </row>
    <row r="40" spans="2:14" ht="30" x14ac:dyDescent="0.25">
      <c r="B40" s="111"/>
      <c r="C40" s="156" t="s">
        <v>292</v>
      </c>
      <c r="D40" s="112"/>
      <c r="E40" s="310"/>
      <c r="F40" s="200" t="s">
        <v>127</v>
      </c>
      <c r="G40" s="120" t="s">
        <v>101</v>
      </c>
      <c r="H40" s="182"/>
      <c r="I40" s="138" t="s">
        <v>54</v>
      </c>
      <c r="J40" s="143">
        <v>9.8999999999999999E-4</v>
      </c>
      <c r="K40" s="172" t="b">
        <f t="shared" ref="K40:K48" si="1">ISNUMBER(L40)</f>
        <v>0</v>
      </c>
      <c r="L40" s="173" t="s">
        <v>178</v>
      </c>
      <c r="M40" s="174" t="str">
        <f t="shared" si="0"/>
        <v>6Y</v>
      </c>
      <c r="N40" s="127"/>
    </row>
    <row r="41" spans="2:14" ht="30" x14ac:dyDescent="0.25">
      <c r="B41" s="111"/>
      <c r="C41" s="156" t="s">
        <v>284</v>
      </c>
      <c r="D41" s="112"/>
      <c r="E41" s="310"/>
      <c r="F41" s="200" t="s">
        <v>128</v>
      </c>
      <c r="G41" s="120" t="s">
        <v>9</v>
      </c>
      <c r="H41" s="182"/>
      <c r="I41" s="138" t="s">
        <v>55</v>
      </c>
      <c r="J41" s="143">
        <v>9.8999999999999999E-4</v>
      </c>
      <c r="K41" s="172" t="b">
        <f t="shared" si="1"/>
        <v>0</v>
      </c>
      <c r="L41" s="173" t="s">
        <v>178</v>
      </c>
      <c r="M41" s="174" t="str">
        <f t="shared" si="0"/>
        <v>7Y</v>
      </c>
      <c r="N41" s="127"/>
    </row>
    <row r="42" spans="2:14" ht="30" x14ac:dyDescent="0.25">
      <c r="B42" s="111"/>
      <c r="C42" s="156" t="s">
        <v>283</v>
      </c>
      <c r="D42" s="112"/>
      <c r="E42" s="310"/>
      <c r="F42" s="200" t="s">
        <v>129</v>
      </c>
      <c r="G42" s="120" t="s">
        <v>168</v>
      </c>
      <c r="H42" s="182"/>
      <c r="I42" s="138" t="s">
        <v>57</v>
      </c>
      <c r="J42" s="143">
        <v>9.2000000000000003E-4</v>
      </c>
      <c r="K42" s="172" t="b">
        <f t="shared" si="1"/>
        <v>0</v>
      </c>
      <c r="L42" s="173" t="s">
        <v>178</v>
      </c>
      <c r="M42" s="174" t="str">
        <f t="shared" si="0"/>
        <v>8Y</v>
      </c>
      <c r="N42" s="127"/>
    </row>
    <row r="43" spans="2:14" ht="30" x14ac:dyDescent="0.25">
      <c r="B43" s="111"/>
      <c r="C43" s="156" t="s">
        <v>285</v>
      </c>
      <c r="D43" s="112"/>
      <c r="E43" s="310"/>
      <c r="F43" s="200" t="s">
        <v>130</v>
      </c>
      <c r="G43" s="134" t="s">
        <v>145</v>
      </c>
      <c r="H43" s="182"/>
      <c r="I43" s="138" t="s">
        <v>59</v>
      </c>
      <c r="J43" s="143">
        <v>9.2000000000000003E-4</v>
      </c>
      <c r="K43" s="172" t="b">
        <f t="shared" si="1"/>
        <v>0</v>
      </c>
      <c r="L43" s="173" t="s">
        <v>178</v>
      </c>
      <c r="M43" s="174" t="str">
        <f t="shared" si="0"/>
        <v>9Y</v>
      </c>
      <c r="N43" s="127"/>
    </row>
    <row r="44" spans="2:14" ht="30" x14ac:dyDescent="0.25">
      <c r="B44" s="111"/>
      <c r="C44" s="156" t="s">
        <v>286</v>
      </c>
      <c r="D44" s="112"/>
      <c r="E44" s="310"/>
      <c r="F44" s="200" t="s">
        <v>131</v>
      </c>
      <c r="G44" s="120" t="s">
        <v>124</v>
      </c>
      <c r="H44" s="182"/>
      <c r="I44" s="138" t="s">
        <v>60</v>
      </c>
      <c r="J44" s="143">
        <v>8.9000000000000006E-4</v>
      </c>
      <c r="K44" s="172" t="b">
        <f t="shared" si="1"/>
        <v>0</v>
      </c>
      <c r="L44" s="173" t="s">
        <v>178</v>
      </c>
      <c r="M44" s="174" t="str">
        <f t="shared" si="0"/>
        <v>10Y</v>
      </c>
      <c r="N44" s="127"/>
    </row>
    <row r="45" spans="2:14" ht="30" x14ac:dyDescent="0.25">
      <c r="B45" s="111"/>
      <c r="C45" s="156" t="s">
        <v>287</v>
      </c>
      <c r="D45" s="112"/>
      <c r="E45" s="310"/>
      <c r="F45" s="200" t="s">
        <v>132</v>
      </c>
      <c r="G45" s="120" t="s">
        <v>2</v>
      </c>
      <c r="H45" s="182"/>
      <c r="I45" s="138" t="s">
        <v>63</v>
      </c>
      <c r="J45" s="143">
        <v>7.3500000000000008E-4</v>
      </c>
      <c r="K45" s="172" t="b">
        <f t="shared" si="1"/>
        <v>0</v>
      </c>
      <c r="L45" s="173" t="s">
        <v>178</v>
      </c>
      <c r="M45" s="174" t="str">
        <f t="shared" si="0"/>
        <v>15Y</v>
      </c>
      <c r="N45" s="127"/>
    </row>
    <row r="46" spans="2:14" ht="30" x14ac:dyDescent="0.25">
      <c r="B46" s="111"/>
      <c r="C46" s="156" t="s">
        <v>288</v>
      </c>
      <c r="D46" s="112"/>
      <c r="E46" s="310"/>
      <c r="F46" s="200" t="s">
        <v>133</v>
      </c>
      <c r="G46" s="120" t="s">
        <v>91</v>
      </c>
      <c r="H46" s="182"/>
      <c r="I46" s="138" t="s">
        <v>64</v>
      </c>
      <c r="J46" s="143">
        <v>5.350000000000001E-4</v>
      </c>
      <c r="K46" s="172" t="b">
        <f t="shared" si="1"/>
        <v>0</v>
      </c>
      <c r="L46" s="173" t="s">
        <v>178</v>
      </c>
      <c r="M46" s="174" t="str">
        <f t="shared" si="0"/>
        <v>20Y</v>
      </c>
      <c r="N46" s="127"/>
    </row>
    <row r="47" spans="2:14" ht="30" x14ac:dyDescent="0.25">
      <c r="B47" s="111"/>
      <c r="C47" s="156" t="s">
        <v>289</v>
      </c>
      <c r="D47" s="112"/>
      <c r="E47" s="310"/>
      <c r="F47" s="200" t="s">
        <v>134</v>
      </c>
      <c r="G47" s="120" t="s">
        <v>2</v>
      </c>
      <c r="H47" s="182"/>
      <c r="I47" s="138" t="s">
        <v>65</v>
      </c>
      <c r="J47" s="143">
        <v>4.0750000000000009E-4</v>
      </c>
      <c r="K47" s="172" t="b">
        <f t="shared" si="1"/>
        <v>0</v>
      </c>
      <c r="L47" s="173" t="s">
        <v>178</v>
      </c>
      <c r="M47" s="174" t="str">
        <f t="shared" si="0"/>
        <v>25Y</v>
      </c>
      <c r="N47" s="127"/>
    </row>
    <row r="48" spans="2:14" ht="30" x14ac:dyDescent="0.25">
      <c r="B48" s="111"/>
      <c r="C48" s="156" t="s">
        <v>290</v>
      </c>
      <c r="D48" s="112"/>
      <c r="E48" s="310"/>
      <c r="F48" s="200" t="s">
        <v>135</v>
      </c>
      <c r="G48" s="120">
        <v>2</v>
      </c>
      <c r="H48" s="182"/>
      <c r="I48" s="138" t="s">
        <v>66</v>
      </c>
      <c r="J48" s="143">
        <v>3.1500000000000018E-4</v>
      </c>
      <c r="K48" s="172" t="b">
        <f t="shared" si="1"/>
        <v>0</v>
      </c>
      <c r="L48" s="173" t="s">
        <v>178</v>
      </c>
      <c r="M48" s="174" t="str">
        <f t="shared" si="0"/>
        <v>30Y</v>
      </c>
      <c r="N48" s="127"/>
    </row>
    <row r="49" spans="2:16" ht="30" x14ac:dyDescent="0.25">
      <c r="B49" s="111"/>
      <c r="C49" s="156" t="s">
        <v>291</v>
      </c>
      <c r="D49" s="112"/>
      <c r="E49" s="311"/>
      <c r="F49" s="218" t="s">
        <v>136</v>
      </c>
      <c r="G49" s="134" t="s">
        <v>22</v>
      </c>
      <c r="H49" s="182"/>
      <c r="I49" s="138"/>
      <c r="J49" s="143"/>
      <c r="K49" s="172"/>
      <c r="L49" s="173"/>
      <c r="M49" s="174"/>
      <c r="N49" s="127"/>
    </row>
    <row r="50" spans="2:16" ht="30" x14ac:dyDescent="0.25">
      <c r="B50" s="111"/>
      <c r="C50" s="156" t="s">
        <v>293</v>
      </c>
      <c r="D50" s="112"/>
      <c r="E50" s="312" t="s">
        <v>166</v>
      </c>
      <c r="F50" s="217" t="s">
        <v>137</v>
      </c>
      <c r="G50" s="151" t="s">
        <v>2</v>
      </c>
      <c r="H50" s="182"/>
      <c r="I50" s="138"/>
      <c r="J50" s="143"/>
      <c r="K50" s="172"/>
      <c r="L50" s="173"/>
      <c r="M50" s="174"/>
      <c r="N50" s="127"/>
    </row>
    <row r="51" spans="2:16" ht="30" x14ac:dyDescent="0.25">
      <c r="B51" s="111"/>
      <c r="C51" s="156" t="s">
        <v>294</v>
      </c>
      <c r="D51" s="112"/>
      <c r="E51" s="313"/>
      <c r="F51" s="200" t="s">
        <v>138</v>
      </c>
      <c r="G51" s="120" t="s">
        <v>124</v>
      </c>
      <c r="H51" s="182"/>
      <c r="I51" s="138"/>
      <c r="J51" s="143"/>
      <c r="K51" s="172"/>
      <c r="L51" s="173"/>
      <c r="M51" s="174"/>
      <c r="N51" s="127"/>
    </row>
    <row r="52" spans="2:16" ht="30" x14ac:dyDescent="0.25">
      <c r="B52" s="111"/>
      <c r="C52" s="156" t="s">
        <v>295</v>
      </c>
      <c r="D52" s="112"/>
      <c r="E52" s="313"/>
      <c r="F52" s="200" t="s">
        <v>139</v>
      </c>
      <c r="G52" s="134" t="s">
        <v>197</v>
      </c>
      <c r="H52" s="182"/>
      <c r="I52" s="138"/>
      <c r="J52" s="143"/>
      <c r="K52" s="172"/>
      <c r="L52" s="173"/>
      <c r="M52" s="174"/>
      <c r="N52" s="127"/>
    </row>
    <row r="53" spans="2:16" ht="30" x14ac:dyDescent="0.25">
      <c r="B53" s="111"/>
      <c r="C53" s="156" t="s">
        <v>296</v>
      </c>
      <c r="D53" s="112"/>
      <c r="E53" s="313"/>
      <c r="F53" s="200" t="s">
        <v>140</v>
      </c>
      <c r="G53" s="134" t="s">
        <v>22</v>
      </c>
      <c r="H53" s="182"/>
      <c r="I53" s="138"/>
      <c r="J53" s="143"/>
      <c r="K53" s="172"/>
      <c r="L53" s="173"/>
      <c r="M53" s="174"/>
      <c r="N53" s="127"/>
    </row>
    <row r="54" spans="2:16" ht="30" x14ac:dyDescent="0.25">
      <c r="B54" s="111"/>
      <c r="C54" s="156" t="s">
        <v>297</v>
      </c>
      <c r="D54" s="112"/>
      <c r="E54" s="313"/>
      <c r="F54" s="200" t="s">
        <v>141</v>
      </c>
      <c r="G54" s="120" t="s">
        <v>101</v>
      </c>
      <c r="H54" s="183"/>
      <c r="I54" s="138"/>
      <c r="J54" s="143"/>
      <c r="K54" s="172"/>
      <c r="L54" s="173"/>
      <c r="M54" s="174"/>
      <c r="N54" s="127"/>
    </row>
    <row r="55" spans="2:16" ht="30" x14ac:dyDescent="0.25">
      <c r="B55" s="111"/>
      <c r="C55" s="156" t="s">
        <v>298</v>
      </c>
      <c r="D55" s="112"/>
      <c r="E55" s="313"/>
      <c r="F55" s="200" t="s">
        <v>142</v>
      </c>
      <c r="G55" s="120" t="s">
        <v>9</v>
      </c>
      <c r="H55" s="183"/>
      <c r="I55" s="138"/>
      <c r="J55" s="143"/>
      <c r="K55" s="172"/>
      <c r="L55" s="173"/>
      <c r="M55" s="174"/>
      <c r="N55" s="127"/>
    </row>
    <row r="56" spans="2:16" ht="30" x14ac:dyDescent="0.25">
      <c r="B56" s="111"/>
      <c r="C56" s="156" t="s">
        <v>299</v>
      </c>
      <c r="D56" s="112"/>
      <c r="E56" s="313"/>
      <c r="F56" s="200" t="s">
        <v>143</v>
      </c>
      <c r="G56" s="186" t="s">
        <v>82</v>
      </c>
      <c r="H56" s="184" t="s">
        <v>179</v>
      </c>
      <c r="I56" s="138"/>
      <c r="J56" s="143"/>
      <c r="K56" s="172"/>
      <c r="L56" s="173"/>
      <c r="M56" s="174"/>
      <c r="N56" s="127"/>
    </row>
    <row r="57" spans="2:16" ht="30" x14ac:dyDescent="0.25">
      <c r="B57" s="111"/>
      <c r="C57" s="156" t="s">
        <v>300</v>
      </c>
      <c r="D57" s="112"/>
      <c r="E57" s="313"/>
      <c r="F57" s="200" t="s">
        <v>144</v>
      </c>
      <c r="G57" s="134" t="s">
        <v>161</v>
      </c>
      <c r="H57" s="183"/>
      <c r="I57" s="138"/>
      <c r="J57" s="143"/>
      <c r="K57" s="172"/>
      <c r="L57" s="173"/>
      <c r="M57" s="174"/>
      <c r="N57" s="127"/>
      <c r="P57" s="97"/>
    </row>
    <row r="58" spans="2:16" ht="30" x14ac:dyDescent="0.25">
      <c r="B58" s="111"/>
      <c r="C58" s="156" t="s">
        <v>301</v>
      </c>
      <c r="D58" s="112"/>
      <c r="E58" s="313"/>
      <c r="F58" s="200" t="s">
        <v>146</v>
      </c>
      <c r="G58" s="120" t="s">
        <v>124</v>
      </c>
      <c r="H58" s="183"/>
      <c r="I58" s="138"/>
      <c r="J58" s="143"/>
      <c r="K58" s="172"/>
      <c r="L58" s="173"/>
      <c r="M58" s="174"/>
      <c r="N58" s="127"/>
      <c r="P58" s="97"/>
    </row>
    <row r="59" spans="2:16" ht="30" x14ac:dyDescent="0.25">
      <c r="B59" s="111"/>
      <c r="C59" s="156" t="s">
        <v>302</v>
      </c>
      <c r="D59" s="112"/>
      <c r="E59" s="313"/>
      <c r="F59" s="200" t="s">
        <v>147</v>
      </c>
      <c r="G59" s="120" t="s">
        <v>2</v>
      </c>
      <c r="H59" s="183"/>
      <c r="I59" s="138"/>
      <c r="J59" s="143"/>
      <c r="K59" s="172"/>
      <c r="L59" s="173"/>
      <c r="M59" s="174"/>
      <c r="N59" s="127"/>
      <c r="P59" s="97"/>
    </row>
    <row r="60" spans="2:16" ht="30" x14ac:dyDescent="0.25">
      <c r="B60" s="111"/>
      <c r="C60" s="156" t="s">
        <v>303</v>
      </c>
      <c r="D60" s="112"/>
      <c r="E60" s="313"/>
      <c r="F60" s="200" t="s">
        <v>148</v>
      </c>
      <c r="G60" s="120" t="s">
        <v>91</v>
      </c>
      <c r="H60" s="183"/>
      <c r="I60" s="138"/>
      <c r="J60" s="143"/>
      <c r="K60" s="172"/>
      <c r="L60" s="173"/>
      <c r="M60" s="174"/>
      <c r="N60" s="127"/>
      <c r="P60" s="97"/>
    </row>
    <row r="61" spans="2:16" ht="30" x14ac:dyDescent="0.25">
      <c r="B61" s="111"/>
      <c r="C61" s="156" t="s">
        <v>304</v>
      </c>
      <c r="D61" s="112"/>
      <c r="E61" s="313"/>
      <c r="F61" s="200" t="s">
        <v>149</v>
      </c>
      <c r="G61" s="120" t="s">
        <v>2</v>
      </c>
      <c r="H61" s="183"/>
      <c r="I61" s="138"/>
      <c r="J61" s="143"/>
      <c r="K61" s="172"/>
      <c r="L61" s="173"/>
      <c r="M61" s="174"/>
      <c r="N61" s="127"/>
      <c r="P61" s="97"/>
    </row>
    <row r="62" spans="2:16" ht="30" x14ac:dyDescent="0.25">
      <c r="B62" s="111"/>
      <c r="C62" s="156" t="s">
        <v>305</v>
      </c>
      <c r="D62" s="112"/>
      <c r="E62" s="313"/>
      <c r="F62" s="200" t="s">
        <v>150</v>
      </c>
      <c r="G62" s="120">
        <v>2</v>
      </c>
      <c r="H62" s="183"/>
      <c r="I62" s="138"/>
      <c r="J62" s="143"/>
      <c r="K62" s="172"/>
      <c r="L62" s="173"/>
      <c r="M62" s="174"/>
      <c r="N62" s="127"/>
      <c r="P62" s="97"/>
    </row>
    <row r="63" spans="2:16" ht="30" x14ac:dyDescent="0.25">
      <c r="B63" s="111"/>
      <c r="C63" s="156" t="s">
        <v>306</v>
      </c>
      <c r="D63" s="112"/>
      <c r="E63" s="314"/>
      <c r="F63" s="218" t="s">
        <v>151</v>
      </c>
      <c r="G63" s="134" t="s">
        <v>22</v>
      </c>
      <c r="H63" s="183"/>
      <c r="I63" s="138"/>
      <c r="J63" s="143"/>
      <c r="K63" s="172"/>
      <c r="L63" s="173"/>
      <c r="M63" s="174"/>
      <c r="N63" s="127"/>
      <c r="P63" s="97"/>
    </row>
    <row r="64" spans="2:16" ht="30" x14ac:dyDescent="0.25">
      <c r="B64" s="111"/>
      <c r="C64" s="156" t="s">
        <v>307</v>
      </c>
      <c r="D64" s="112"/>
      <c r="E64" s="315" t="str">
        <f>"Solving For :"&amp;CHAR(32)&amp;$H$64</f>
        <v>Solving For : &lt;--- Solver: Target</v>
      </c>
      <c r="F64" s="219" t="s">
        <v>152</v>
      </c>
      <c r="G64" s="185" t="s">
        <v>153</v>
      </c>
      <c r="H64" s="184" t="s">
        <v>180</v>
      </c>
      <c r="I64" s="138"/>
      <c r="J64" s="143"/>
      <c r="K64" s="172"/>
      <c r="L64" s="173"/>
      <c r="M64" s="174"/>
      <c r="N64" s="127"/>
      <c r="P64" s="97"/>
    </row>
    <row r="65" spans="2:16" ht="30" x14ac:dyDescent="0.25">
      <c r="B65" s="111"/>
      <c r="C65" s="157" t="s">
        <v>309</v>
      </c>
      <c r="D65" s="112"/>
      <c r="E65" s="316"/>
      <c r="F65" s="200" t="s">
        <v>112</v>
      </c>
      <c r="G65" s="120" t="b">
        <v>1</v>
      </c>
      <c r="H65" s="183"/>
      <c r="I65" s="138"/>
      <c r="J65" s="143"/>
      <c r="K65" s="172"/>
      <c r="L65" s="173"/>
      <c r="M65" s="174"/>
      <c r="N65" s="127"/>
      <c r="P65" s="97"/>
    </row>
    <row r="66" spans="2:16" ht="30" x14ac:dyDescent="0.25">
      <c r="B66" s="111"/>
      <c r="C66" s="157" t="s">
        <v>310</v>
      </c>
      <c r="D66" s="112"/>
      <c r="E66" s="316"/>
      <c r="F66" s="200" t="s">
        <v>154</v>
      </c>
      <c r="G66" s="150" t="str">
        <f ca="1">interpolationFunction</f>
        <v>fn_MonotoneConvexInterpolation</v>
      </c>
      <c r="H66" s="183"/>
      <c r="I66" s="138"/>
      <c r="J66" s="143"/>
      <c r="K66" s="172"/>
      <c r="L66" s="173"/>
      <c r="M66" s="174"/>
      <c r="N66" s="127"/>
      <c r="P66" s="97"/>
    </row>
    <row r="67" spans="2:16" ht="45" x14ac:dyDescent="0.25">
      <c r="B67" s="111"/>
      <c r="C67" s="157" t="s">
        <v>311</v>
      </c>
      <c r="D67" s="112"/>
      <c r="E67" s="316"/>
      <c r="F67" s="200" t="s">
        <v>155</v>
      </c>
      <c r="G67" s="120" t="b">
        <v>1</v>
      </c>
      <c r="H67" s="183"/>
      <c r="I67" s="138"/>
      <c r="J67" s="143"/>
      <c r="K67" s="172"/>
      <c r="L67" s="173"/>
      <c r="M67" s="174"/>
      <c r="N67" s="127"/>
      <c r="P67" s="97"/>
    </row>
    <row r="68" spans="2:16" ht="45" x14ac:dyDescent="0.25">
      <c r="B68" s="111"/>
      <c r="C68" s="157" t="s">
        <v>312</v>
      </c>
      <c r="D68" s="112"/>
      <c r="E68" s="316"/>
      <c r="F68" s="200" t="s">
        <v>156</v>
      </c>
      <c r="G68" s="120" t="b">
        <v>1</v>
      </c>
      <c r="H68" s="183"/>
      <c r="I68" s="138"/>
      <c r="J68" s="143"/>
      <c r="K68" s="172"/>
      <c r="L68" s="173"/>
      <c r="M68" s="174"/>
      <c r="N68" s="127"/>
      <c r="P68" s="97"/>
    </row>
    <row r="69" spans="2:16" ht="45" x14ac:dyDescent="0.25">
      <c r="B69" s="111"/>
      <c r="C69" s="157" t="s">
        <v>313</v>
      </c>
      <c r="D69" s="112"/>
      <c r="E69" s="316"/>
      <c r="F69" s="200" t="s">
        <v>157</v>
      </c>
      <c r="G69" s="134" t="s">
        <v>161</v>
      </c>
      <c r="H69" s="183"/>
      <c r="I69" s="138"/>
      <c r="J69" s="143"/>
      <c r="K69" s="172"/>
      <c r="L69" s="173"/>
      <c r="M69" s="174"/>
      <c r="N69" s="127"/>
    </row>
    <row r="70" spans="2:16" ht="30" x14ac:dyDescent="0.25">
      <c r="B70" s="111"/>
      <c r="C70" s="157" t="s">
        <v>314</v>
      </c>
      <c r="D70" s="112"/>
      <c r="E70" s="316"/>
      <c r="F70" s="200" t="s">
        <v>158</v>
      </c>
      <c r="G70" s="120" t="b">
        <v>0</v>
      </c>
      <c r="H70" s="183"/>
      <c r="I70" s="138"/>
      <c r="J70" s="143"/>
      <c r="K70" s="172"/>
      <c r="L70" s="173"/>
      <c r="M70" s="174"/>
      <c r="N70" s="127"/>
    </row>
    <row r="71" spans="2:16" ht="30" x14ac:dyDescent="0.25">
      <c r="B71" s="111"/>
      <c r="C71" s="157" t="s">
        <v>254</v>
      </c>
      <c r="D71" s="112"/>
      <c r="E71" s="316"/>
      <c r="F71" s="200" t="s">
        <v>113</v>
      </c>
      <c r="G71" s="122">
        <v>1.0000000000000001E-9</v>
      </c>
      <c r="H71" s="183"/>
      <c r="I71" s="138"/>
      <c r="J71" s="143"/>
      <c r="K71" s="172"/>
      <c r="L71" s="173"/>
      <c r="M71" s="174"/>
      <c r="N71" s="127"/>
    </row>
    <row r="72" spans="2:16" ht="30" x14ac:dyDescent="0.25">
      <c r="B72" s="111"/>
      <c r="C72" s="158" t="s">
        <v>255</v>
      </c>
      <c r="D72" s="112"/>
      <c r="E72" s="316"/>
      <c r="F72" s="200" t="s">
        <v>114</v>
      </c>
      <c r="G72" s="146">
        <v>1000</v>
      </c>
      <c r="H72" s="183"/>
      <c r="I72" s="138"/>
      <c r="J72" s="143"/>
      <c r="K72" s="172"/>
      <c r="L72" s="173"/>
      <c r="M72" s="174"/>
      <c r="N72" s="127"/>
    </row>
    <row r="73" spans="2:16" x14ac:dyDescent="0.25">
      <c r="B73" s="111"/>
      <c r="C73" s="154"/>
      <c r="D73" s="112"/>
      <c r="E73" s="316"/>
      <c r="F73" s="200"/>
      <c r="G73" s="120"/>
      <c r="H73" s="183"/>
      <c r="I73" s="138"/>
      <c r="J73" s="143"/>
      <c r="K73" s="172"/>
      <c r="L73" s="173"/>
      <c r="M73" s="174"/>
      <c r="N73" s="127"/>
    </row>
    <row r="74" spans="2:16" x14ac:dyDescent="0.25">
      <c r="B74" s="111"/>
      <c r="C74" s="154"/>
      <c r="D74" s="112"/>
      <c r="E74" s="316"/>
      <c r="F74" s="200"/>
      <c r="G74" s="120"/>
      <c r="H74" s="183"/>
      <c r="I74" s="138"/>
      <c r="J74" s="143"/>
      <c r="K74" s="172"/>
      <c r="L74" s="173"/>
      <c r="M74" s="174"/>
      <c r="N74" s="127"/>
    </row>
    <row r="75" spans="2:16" x14ac:dyDescent="0.25">
      <c r="B75" s="111"/>
      <c r="C75" s="154"/>
      <c r="D75" s="112"/>
      <c r="E75" s="316"/>
      <c r="F75" s="200"/>
      <c r="G75" s="120"/>
      <c r="H75" s="183"/>
      <c r="I75" s="138"/>
      <c r="J75" s="143"/>
      <c r="K75" s="172"/>
      <c r="L75" s="173"/>
      <c r="M75" s="174"/>
      <c r="N75" s="127"/>
    </row>
    <row r="76" spans="2:16" x14ac:dyDescent="0.25">
      <c r="B76" s="111"/>
      <c r="C76" s="155"/>
      <c r="D76" s="112"/>
      <c r="E76" s="317"/>
      <c r="F76" s="206"/>
      <c r="G76" s="216"/>
      <c r="H76" s="183"/>
      <c r="I76" s="139"/>
      <c r="J76" s="144"/>
      <c r="K76" s="175"/>
      <c r="L76" s="176"/>
      <c r="M76" s="177"/>
      <c r="N76" s="127"/>
    </row>
    <row r="77" spans="2:16" x14ac:dyDescent="0.25">
      <c r="B77" s="111"/>
      <c r="C77" s="112"/>
      <c r="D77" s="112"/>
      <c r="E77" s="112"/>
      <c r="F77" s="183"/>
      <c r="G77" s="222"/>
      <c r="H77" s="183"/>
      <c r="I77" s="114" t="s">
        <v>4</v>
      </c>
      <c r="J77" s="114" t="s">
        <v>4</v>
      </c>
      <c r="K77" s="141" t="s">
        <v>4</v>
      </c>
      <c r="L77" s="91" t="s">
        <v>4</v>
      </c>
      <c r="M77" s="92" t="s">
        <v>4</v>
      </c>
      <c r="N77" s="127"/>
    </row>
    <row r="78" spans="2:16" x14ac:dyDescent="0.25">
      <c r="B78" s="115"/>
      <c r="C78" s="116"/>
      <c r="D78" s="116"/>
      <c r="E78" s="116"/>
      <c r="F78" s="181"/>
      <c r="G78" s="220"/>
      <c r="H78" s="181"/>
      <c r="I78" s="116"/>
      <c r="J78" s="116"/>
      <c r="K78" s="116"/>
      <c r="L78" s="116"/>
      <c r="M78" s="116"/>
      <c r="N78" s="117"/>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07"/>
    <col min="2" max="2" width="2.7109375" style="107" customWidth="1"/>
    <col min="3" max="3" width="110.7109375" style="107" hidden="1" customWidth="1"/>
    <col min="4" max="4" width="4.7109375" style="107" hidden="1" customWidth="1"/>
    <col min="5" max="5" width="13" style="107" customWidth="1"/>
    <col min="6" max="6" width="26.7109375" style="178" customWidth="1"/>
    <col min="7" max="7" width="32.7109375" style="187" customWidth="1"/>
    <col min="8" max="8" width="4.7109375" style="178" customWidth="1"/>
    <col min="9" max="10" width="12.7109375" style="107" customWidth="1"/>
    <col min="11" max="13" width="18.7109375" style="107" customWidth="1"/>
    <col min="14" max="14" width="2.7109375" style="107" customWidth="1"/>
    <col min="15" max="16" width="9.140625" style="107" customWidth="1"/>
    <col min="17" max="16384" width="9.140625" style="107"/>
  </cols>
  <sheetData>
    <row r="2" spans="2:14" s="223" customFormat="1" ht="23.25" x14ac:dyDescent="0.35">
      <c r="B2" s="297" t="s">
        <v>371</v>
      </c>
      <c r="F2" s="298"/>
      <c r="G2" s="88"/>
      <c r="H2" s="298"/>
    </row>
    <row r="3" spans="2:14" s="223" customFormat="1" ht="23.25" x14ac:dyDescent="0.35">
      <c r="B3" s="87" t="s">
        <v>322</v>
      </c>
      <c r="F3" s="298"/>
      <c r="G3" s="88"/>
      <c r="H3" s="298"/>
    </row>
    <row r="5" spans="2:14" x14ac:dyDescent="0.25">
      <c r="B5" s="128" t="s">
        <v>234</v>
      </c>
      <c r="C5" s="128"/>
      <c r="D5" s="128"/>
      <c r="E5" s="128"/>
    </row>
    <row r="6" spans="2:14" x14ac:dyDescent="0.25">
      <c r="B6" s="108"/>
      <c r="C6" s="109"/>
      <c r="D6" s="109"/>
      <c r="E6" s="109"/>
      <c r="F6" s="194"/>
      <c r="G6" s="123"/>
      <c r="H6" s="179"/>
      <c r="I6" s="109"/>
      <c r="J6" s="109"/>
      <c r="K6" s="109"/>
      <c r="L6" s="109"/>
      <c r="M6" s="109"/>
      <c r="N6" s="110"/>
    </row>
    <row r="7" spans="2:14" x14ac:dyDescent="0.25">
      <c r="B7" s="111"/>
      <c r="C7" s="126"/>
      <c r="D7" s="112"/>
      <c r="E7" s="112"/>
      <c r="F7" s="195" t="s">
        <v>234</v>
      </c>
      <c r="G7" s="131"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(0.00900 sec)</v>
      </c>
      <c r="H7" s="163"/>
      <c r="I7" s="132"/>
      <c r="J7" s="112"/>
      <c r="K7" s="112"/>
      <c r="L7" s="112"/>
      <c r="M7" s="112"/>
      <c r="N7" s="113"/>
    </row>
    <row r="8" spans="2:14" x14ac:dyDescent="0.25">
      <c r="B8" s="111"/>
      <c r="C8" s="112"/>
      <c r="D8" s="112"/>
      <c r="E8" s="112"/>
      <c r="F8" s="196" t="s">
        <v>167</v>
      </c>
      <c r="G8" s="153" t="b">
        <f ca="1">LEFT(G7,5)=TenorBasisCurve6M12M.CollectionName</f>
        <v>1</v>
      </c>
      <c r="H8" s="180"/>
      <c r="I8" s="112"/>
      <c r="J8" s="112"/>
      <c r="K8" s="112"/>
      <c r="L8" s="112"/>
      <c r="M8" s="112"/>
      <c r="N8" s="113"/>
    </row>
    <row r="9" spans="2:14" x14ac:dyDescent="0.25">
      <c r="B9" s="111"/>
      <c r="C9" s="112"/>
      <c r="D9" s="112"/>
      <c r="E9" s="112"/>
      <c r="F9" s="197"/>
      <c r="G9" s="130"/>
      <c r="H9" s="180"/>
      <c r="I9" s="112"/>
      <c r="J9" s="112"/>
      <c r="K9" s="112"/>
      <c r="L9" s="112"/>
      <c r="M9" s="112"/>
      <c r="N9" s="113"/>
    </row>
    <row r="10" spans="2:14" x14ac:dyDescent="0.25">
      <c r="B10" s="111"/>
      <c r="C10" s="112"/>
      <c r="D10" s="112"/>
      <c r="E10" s="112"/>
      <c r="F10" s="197"/>
      <c r="G10" s="130"/>
      <c r="H10" s="180"/>
      <c r="I10" s="112"/>
      <c r="J10" s="112"/>
      <c r="K10" s="112"/>
      <c r="L10" s="112"/>
      <c r="M10" s="112"/>
      <c r="N10" s="113"/>
    </row>
    <row r="11" spans="2:14" x14ac:dyDescent="0.25">
      <c r="B11" s="111"/>
      <c r="C11" s="112"/>
      <c r="D11" s="112"/>
      <c r="E11" s="112"/>
      <c r="F11" s="198" t="s">
        <v>0</v>
      </c>
      <c r="G11" s="129"/>
      <c r="H11" s="180"/>
      <c r="I11" s="112"/>
      <c r="J11" s="112"/>
      <c r="K11" s="112"/>
      <c r="L11" s="112"/>
      <c r="M11" s="112"/>
      <c r="N11" s="113"/>
    </row>
    <row r="12" spans="2:14" ht="30" x14ac:dyDescent="0.25">
      <c r="B12" s="111"/>
      <c r="C12" s="156" t="s">
        <v>239</v>
      </c>
      <c r="D12" s="112"/>
      <c r="E12" s="112"/>
      <c r="F12" s="199" t="s">
        <v>80</v>
      </c>
      <c r="G12" s="147" t="s">
        <v>78</v>
      </c>
      <c r="H12" s="180"/>
      <c r="I12" s="112"/>
      <c r="J12" s="112"/>
      <c r="K12" s="112"/>
      <c r="L12" s="112"/>
      <c r="M12" s="112"/>
      <c r="N12" s="113"/>
    </row>
    <row r="13" spans="2:14" ht="30" x14ac:dyDescent="0.25">
      <c r="B13" s="111"/>
      <c r="C13" s="156" t="s">
        <v>315</v>
      </c>
      <c r="D13" s="112"/>
      <c r="E13" s="112"/>
      <c r="F13" s="200" t="s">
        <v>79</v>
      </c>
      <c r="G13" s="148" t="s">
        <v>359</v>
      </c>
      <c r="H13" s="180"/>
      <c r="I13" s="112"/>
      <c r="J13" s="112"/>
      <c r="K13" s="112"/>
      <c r="L13" s="112"/>
      <c r="M13" s="112"/>
      <c r="N13" s="113"/>
    </row>
    <row r="14" spans="2:14" ht="30" x14ac:dyDescent="0.25">
      <c r="B14" s="111"/>
      <c r="C14" s="156" t="s">
        <v>316</v>
      </c>
      <c r="D14" s="112"/>
      <c r="E14" s="112"/>
      <c r="F14" s="202" t="s">
        <v>81</v>
      </c>
      <c r="G14" s="149" t="s">
        <v>360</v>
      </c>
      <c r="H14" s="180"/>
      <c r="I14" s="112"/>
      <c r="J14" s="112"/>
      <c r="K14" s="112"/>
      <c r="L14" s="112"/>
      <c r="M14" s="112"/>
      <c r="N14" s="113" t="s">
        <v>4</v>
      </c>
    </row>
    <row r="15" spans="2:14" x14ac:dyDescent="0.25">
      <c r="B15" s="115"/>
      <c r="C15" s="116"/>
      <c r="D15" s="116"/>
      <c r="E15" s="116"/>
      <c r="F15" s="181"/>
      <c r="G15" s="220"/>
      <c r="H15" s="181"/>
      <c r="I15" s="116"/>
      <c r="J15" s="116"/>
      <c r="K15" s="116"/>
      <c r="L15" s="116"/>
      <c r="M15" s="116"/>
      <c r="N15" s="117"/>
    </row>
    <row r="18" spans="2:14" x14ac:dyDescent="0.25">
      <c r="B18" s="128" t="s">
        <v>68</v>
      </c>
      <c r="C18" s="128"/>
      <c r="D18" s="128"/>
      <c r="E18" s="128"/>
    </row>
    <row r="19" spans="2:14" x14ac:dyDescent="0.25">
      <c r="B19" s="108"/>
      <c r="C19" s="109"/>
      <c r="D19" s="109"/>
      <c r="E19" s="109"/>
      <c r="F19" s="194"/>
      <c r="G19" s="123"/>
      <c r="H19" s="179"/>
      <c r="I19" s="109"/>
      <c r="J19" s="109"/>
      <c r="K19" s="109"/>
      <c r="L19" s="109"/>
      <c r="M19" s="109"/>
      <c r="N19" s="110"/>
    </row>
    <row r="20" spans="2:14" x14ac:dyDescent="0.25">
      <c r="B20" s="111"/>
      <c r="C20" s="112"/>
      <c r="D20" s="112"/>
      <c r="E20" s="112"/>
      <c r="F20" s="198" t="s">
        <v>68</v>
      </c>
      <c r="G20" s="124"/>
      <c r="H20" s="180"/>
      <c r="I20" s="112"/>
      <c r="J20" s="112"/>
      <c r="K20" s="112"/>
      <c r="L20" s="112"/>
      <c r="M20" s="112"/>
      <c r="N20" s="113"/>
    </row>
    <row r="21" spans="2:14" ht="30" x14ac:dyDescent="0.25">
      <c r="B21" s="111"/>
      <c r="C21" s="156" t="s">
        <v>240</v>
      </c>
      <c r="D21" s="112"/>
      <c r="E21" s="112"/>
      <c r="F21" s="199" t="s">
        <v>10</v>
      </c>
      <c r="G21" s="147">
        <f>COB</f>
        <v>42521</v>
      </c>
      <c r="H21" s="180"/>
      <c r="I21" s="112"/>
      <c r="J21" s="112"/>
      <c r="K21" s="112"/>
      <c r="L21" s="112"/>
      <c r="M21" s="112"/>
      <c r="N21" s="113"/>
    </row>
    <row r="22" spans="2:14" ht="30" x14ac:dyDescent="0.25">
      <c r="B22" s="111"/>
      <c r="C22" s="156" t="s">
        <v>241</v>
      </c>
      <c r="D22" s="112"/>
      <c r="E22" s="112"/>
      <c r="F22" s="200" t="s">
        <v>16</v>
      </c>
      <c r="G22" s="148" t="s">
        <v>17</v>
      </c>
      <c r="H22" s="180"/>
      <c r="I22" s="112"/>
      <c r="J22" s="112"/>
      <c r="K22" s="112"/>
      <c r="L22" s="112"/>
      <c r="M22" s="112"/>
      <c r="N22" s="113"/>
    </row>
    <row r="23" spans="2:14" ht="45" x14ac:dyDescent="0.25">
      <c r="B23" s="111"/>
      <c r="C23" s="156" t="s">
        <v>276</v>
      </c>
      <c r="D23" s="112"/>
      <c r="E23" s="112"/>
      <c r="F23" s="200" t="s">
        <v>231</v>
      </c>
      <c r="G23" s="150" t="str">
        <f ca="1">interpolationFunction</f>
        <v>fn_MonotoneConvexInterpolation</v>
      </c>
      <c r="H23" s="180"/>
      <c r="I23" s="112"/>
      <c r="J23" s="112"/>
      <c r="K23" s="112"/>
      <c r="L23" s="112"/>
      <c r="M23" s="112"/>
      <c r="N23" s="113"/>
    </row>
    <row r="24" spans="2:14" ht="45" x14ac:dyDescent="0.25">
      <c r="B24" s="111"/>
      <c r="C24" s="157" t="s">
        <v>275</v>
      </c>
      <c r="D24" s="112"/>
      <c r="E24" s="112"/>
      <c r="F24" s="200" t="s">
        <v>175</v>
      </c>
      <c r="G24" s="148" t="b">
        <v>1</v>
      </c>
      <c r="H24" s="180"/>
      <c r="I24" s="112"/>
      <c r="J24" s="112"/>
      <c r="K24" s="112"/>
      <c r="L24" s="112"/>
      <c r="M24" s="112"/>
      <c r="N24" s="113"/>
    </row>
    <row r="25" spans="2:14" ht="45" x14ac:dyDescent="0.25">
      <c r="B25" s="111"/>
      <c r="C25" s="161" t="s">
        <v>266</v>
      </c>
      <c r="D25" s="112"/>
      <c r="E25" s="112"/>
      <c r="F25" s="200" t="s">
        <v>174</v>
      </c>
      <c r="G25" s="148" t="s">
        <v>9</v>
      </c>
      <c r="H25" s="180"/>
      <c r="I25" s="112"/>
      <c r="J25" s="112"/>
      <c r="K25" s="112"/>
      <c r="L25" s="112"/>
      <c r="M25" s="112"/>
      <c r="N25" s="113"/>
    </row>
    <row r="26" spans="2:14" x14ac:dyDescent="0.25">
      <c r="B26" s="111"/>
      <c r="C26" s="166"/>
      <c r="D26" s="112"/>
      <c r="E26" s="112"/>
      <c r="F26" s="200"/>
      <c r="G26" s="148"/>
      <c r="H26" s="180"/>
      <c r="I26" s="112"/>
      <c r="J26" s="112"/>
      <c r="K26" s="112"/>
      <c r="L26" s="112"/>
      <c r="M26" s="112"/>
      <c r="N26" s="113"/>
    </row>
    <row r="27" spans="2:14" x14ac:dyDescent="0.25">
      <c r="B27" s="111"/>
      <c r="C27" s="162"/>
      <c r="D27" s="112"/>
      <c r="E27" s="112"/>
      <c r="F27" s="202"/>
      <c r="G27" s="149"/>
      <c r="H27" s="180"/>
      <c r="I27" s="112"/>
      <c r="J27" s="112"/>
      <c r="K27" s="112"/>
      <c r="L27" s="112"/>
      <c r="M27" s="112"/>
      <c r="N27" s="113"/>
    </row>
    <row r="28" spans="2:14" x14ac:dyDescent="0.25">
      <c r="B28" s="115"/>
      <c r="C28" s="116"/>
      <c r="D28" s="116"/>
      <c r="E28" s="116"/>
      <c r="F28" s="181"/>
      <c r="G28" s="220"/>
      <c r="H28" s="181"/>
      <c r="I28" s="116"/>
      <c r="J28" s="116"/>
      <c r="K28" s="116"/>
      <c r="L28" s="116"/>
      <c r="M28" s="116"/>
      <c r="N28" s="117"/>
    </row>
    <row r="31" spans="2:14" x14ac:dyDescent="0.25">
      <c r="B31" s="128" t="s">
        <v>118</v>
      </c>
      <c r="C31" s="128"/>
      <c r="D31" s="128"/>
      <c r="E31" s="128"/>
      <c r="L31" s="118"/>
    </row>
    <row r="32" spans="2:14" x14ac:dyDescent="0.25">
      <c r="B32" s="108"/>
      <c r="C32" s="109"/>
      <c r="D32" s="109"/>
      <c r="E32" s="109"/>
      <c r="F32" s="179"/>
      <c r="G32" s="221"/>
      <c r="H32" s="179"/>
      <c r="I32" s="95" t="s">
        <v>183</v>
      </c>
      <c r="J32" s="95"/>
      <c r="K32" s="109"/>
      <c r="L32" s="109"/>
      <c r="M32" s="109"/>
      <c r="N32" s="110"/>
    </row>
    <row r="33" spans="2:14" x14ac:dyDescent="0.25">
      <c r="B33" s="111"/>
      <c r="C33" s="112"/>
      <c r="D33" s="112"/>
      <c r="E33" s="112"/>
      <c r="F33" s="204" t="s">
        <v>208</v>
      </c>
      <c r="G33" s="141"/>
      <c r="H33" s="182"/>
      <c r="I33" s="125" t="s">
        <v>209</v>
      </c>
      <c r="J33" s="114"/>
      <c r="K33" s="114"/>
      <c r="L33" s="114"/>
      <c r="M33" s="114"/>
      <c r="N33" s="127"/>
    </row>
    <row r="34" spans="2:14" ht="45" x14ac:dyDescent="0.25">
      <c r="B34" s="111"/>
      <c r="C34" s="156" t="s">
        <v>277</v>
      </c>
      <c r="D34" s="112"/>
      <c r="E34" s="152"/>
      <c r="F34" s="199" t="s">
        <v>119</v>
      </c>
      <c r="G34" s="119" t="s">
        <v>207</v>
      </c>
      <c r="H34" s="182"/>
      <c r="I34" s="141" t="s">
        <v>11</v>
      </c>
      <c r="J34" s="141" t="s">
        <v>12</v>
      </c>
      <c r="K34" s="141" t="s">
        <v>230</v>
      </c>
      <c r="L34" s="141" t="s">
        <v>181</v>
      </c>
      <c r="M34" s="141" t="s">
        <v>182</v>
      </c>
      <c r="N34" s="127"/>
    </row>
    <row r="35" spans="2:14" ht="45" x14ac:dyDescent="0.25">
      <c r="B35" s="111"/>
      <c r="C35" s="156" t="s">
        <v>278</v>
      </c>
      <c r="D35" s="112"/>
      <c r="E35" s="309" t="s">
        <v>165</v>
      </c>
      <c r="F35" s="217" t="s">
        <v>121</v>
      </c>
      <c r="G35" s="151" t="b">
        <v>1</v>
      </c>
      <c r="H35" s="182"/>
      <c r="I35" s="137" t="s">
        <v>159</v>
      </c>
      <c r="J35" s="142">
        <v>1.4199999999999998E-3</v>
      </c>
      <c r="K35" s="169" t="b">
        <v>0</v>
      </c>
      <c r="L35" s="170" t="s">
        <v>178</v>
      </c>
      <c r="M35" s="171" t="str">
        <f>I35</f>
        <v>1Y</v>
      </c>
      <c r="N35" s="127"/>
    </row>
    <row r="36" spans="2:14" ht="30" x14ac:dyDescent="0.25">
      <c r="B36" s="111"/>
      <c r="C36" s="156" t="s">
        <v>279</v>
      </c>
      <c r="D36" s="112"/>
      <c r="E36" s="310"/>
      <c r="F36" s="200" t="s">
        <v>122</v>
      </c>
      <c r="G36" s="120" t="s">
        <v>2</v>
      </c>
      <c r="H36" s="182"/>
      <c r="I36" s="138" t="s">
        <v>47</v>
      </c>
      <c r="J36" s="143">
        <v>1.5E-3</v>
      </c>
      <c r="K36" s="172" t="b">
        <v>0</v>
      </c>
      <c r="L36" s="173" t="s">
        <v>178</v>
      </c>
      <c r="M36" s="174" t="str">
        <f>I36</f>
        <v>2Y</v>
      </c>
      <c r="N36" s="127"/>
    </row>
    <row r="37" spans="2:14" ht="30" x14ac:dyDescent="0.25">
      <c r="B37" s="111"/>
      <c r="C37" s="156" t="s">
        <v>280</v>
      </c>
      <c r="D37" s="112"/>
      <c r="E37" s="310"/>
      <c r="F37" s="200" t="s">
        <v>123</v>
      </c>
      <c r="G37" s="120" t="s">
        <v>124</v>
      </c>
      <c r="H37" s="182"/>
      <c r="I37" s="138" t="s">
        <v>43</v>
      </c>
      <c r="J37" s="143">
        <v>1.5300000000000001E-3</v>
      </c>
      <c r="K37" s="172" t="b">
        <v>0</v>
      </c>
      <c r="L37" s="173" t="s">
        <v>178</v>
      </c>
      <c r="M37" s="174" t="str">
        <f>I37</f>
        <v>3Y</v>
      </c>
      <c r="N37" s="127"/>
    </row>
    <row r="38" spans="2:14" ht="30" x14ac:dyDescent="0.25">
      <c r="B38" s="111"/>
      <c r="C38" s="156" t="s">
        <v>281</v>
      </c>
      <c r="D38" s="112"/>
      <c r="E38" s="310"/>
      <c r="F38" s="200" t="s">
        <v>125</v>
      </c>
      <c r="G38" s="134" t="s">
        <v>108</v>
      </c>
      <c r="H38" s="182"/>
      <c r="I38" s="138" t="s">
        <v>50</v>
      </c>
      <c r="J38" s="143">
        <v>1.5300000000000001E-3</v>
      </c>
      <c r="K38" s="172" t="b">
        <v>0</v>
      </c>
      <c r="L38" s="173" t="s">
        <v>178</v>
      </c>
      <c r="M38" s="174" t="str">
        <f t="shared" ref="M38:M48" si="0">I38</f>
        <v>4Y</v>
      </c>
      <c r="N38" s="127"/>
    </row>
    <row r="39" spans="2:14" ht="30" x14ac:dyDescent="0.25">
      <c r="B39" s="111"/>
      <c r="C39" s="156" t="s">
        <v>282</v>
      </c>
      <c r="D39" s="112"/>
      <c r="E39" s="310"/>
      <c r="F39" s="200" t="s">
        <v>126</v>
      </c>
      <c r="G39" s="134" t="s">
        <v>22</v>
      </c>
      <c r="H39" s="182"/>
      <c r="I39" s="138" t="s">
        <v>52</v>
      </c>
      <c r="J39" s="143">
        <v>1.5E-3</v>
      </c>
      <c r="K39" s="172" t="b">
        <v>0</v>
      </c>
      <c r="L39" s="173" t="s">
        <v>178</v>
      </c>
      <c r="M39" s="174" t="str">
        <f t="shared" si="0"/>
        <v>5Y</v>
      </c>
      <c r="N39" s="127"/>
    </row>
    <row r="40" spans="2:14" ht="30" x14ac:dyDescent="0.25">
      <c r="B40" s="111"/>
      <c r="C40" s="156" t="s">
        <v>292</v>
      </c>
      <c r="D40" s="112"/>
      <c r="E40" s="310"/>
      <c r="F40" s="200" t="s">
        <v>127</v>
      </c>
      <c r="G40" s="120" t="s">
        <v>101</v>
      </c>
      <c r="H40" s="182"/>
      <c r="I40" s="138" t="s">
        <v>54</v>
      </c>
      <c r="J40" s="143">
        <v>1.47E-3</v>
      </c>
      <c r="K40" s="172" t="b">
        <f t="shared" ref="K40:K48" si="1">ISNUMBER(L40)</f>
        <v>0</v>
      </c>
      <c r="L40" s="173" t="s">
        <v>178</v>
      </c>
      <c r="M40" s="174" t="str">
        <f t="shared" si="0"/>
        <v>6Y</v>
      </c>
      <c r="N40" s="127"/>
    </row>
    <row r="41" spans="2:14" ht="30" x14ac:dyDescent="0.25">
      <c r="B41" s="111"/>
      <c r="C41" s="156" t="s">
        <v>284</v>
      </c>
      <c r="D41" s="112"/>
      <c r="E41" s="310"/>
      <c r="F41" s="200" t="s">
        <v>128</v>
      </c>
      <c r="G41" s="120" t="s">
        <v>9</v>
      </c>
      <c r="H41" s="182"/>
      <c r="I41" s="138" t="s">
        <v>55</v>
      </c>
      <c r="J41" s="143">
        <v>1.41E-3</v>
      </c>
      <c r="K41" s="172" t="b">
        <f t="shared" si="1"/>
        <v>0</v>
      </c>
      <c r="L41" s="173" t="s">
        <v>178</v>
      </c>
      <c r="M41" s="174" t="str">
        <f t="shared" si="0"/>
        <v>7Y</v>
      </c>
      <c r="N41" s="127"/>
    </row>
    <row r="42" spans="2:14" ht="30" x14ac:dyDescent="0.25">
      <c r="B42" s="111"/>
      <c r="C42" s="156" t="s">
        <v>283</v>
      </c>
      <c r="D42" s="112"/>
      <c r="E42" s="310"/>
      <c r="F42" s="200" t="s">
        <v>129</v>
      </c>
      <c r="G42" s="120" t="s">
        <v>162</v>
      </c>
      <c r="H42" s="182"/>
      <c r="I42" s="138" t="s">
        <v>57</v>
      </c>
      <c r="J42" s="143">
        <v>1.34E-3</v>
      </c>
      <c r="K42" s="172" t="b">
        <f t="shared" si="1"/>
        <v>0</v>
      </c>
      <c r="L42" s="173" t="s">
        <v>178</v>
      </c>
      <c r="M42" s="174" t="str">
        <f t="shared" si="0"/>
        <v>8Y</v>
      </c>
      <c r="N42" s="127"/>
    </row>
    <row r="43" spans="2:14" ht="30" x14ac:dyDescent="0.25">
      <c r="B43" s="111"/>
      <c r="C43" s="156" t="s">
        <v>285</v>
      </c>
      <c r="D43" s="112"/>
      <c r="E43" s="310"/>
      <c r="F43" s="200" t="s">
        <v>130</v>
      </c>
      <c r="G43" s="134" t="s">
        <v>94</v>
      </c>
      <c r="H43" s="182"/>
      <c r="I43" s="138" t="s">
        <v>59</v>
      </c>
      <c r="J43" s="143">
        <v>1.2800000000000001E-3</v>
      </c>
      <c r="K43" s="172" t="b">
        <f t="shared" si="1"/>
        <v>0</v>
      </c>
      <c r="L43" s="173" t="s">
        <v>178</v>
      </c>
      <c r="M43" s="174" t="str">
        <f t="shared" si="0"/>
        <v>9Y</v>
      </c>
      <c r="N43" s="127"/>
    </row>
    <row r="44" spans="2:14" ht="30" x14ac:dyDescent="0.25">
      <c r="B44" s="111"/>
      <c r="C44" s="156" t="s">
        <v>286</v>
      </c>
      <c r="D44" s="112"/>
      <c r="E44" s="310"/>
      <c r="F44" s="200" t="s">
        <v>131</v>
      </c>
      <c r="G44" s="120" t="s">
        <v>124</v>
      </c>
      <c r="H44" s="182"/>
      <c r="I44" s="138" t="s">
        <v>60</v>
      </c>
      <c r="J44" s="143">
        <v>1.2199999999999999E-3</v>
      </c>
      <c r="K44" s="172" t="b">
        <f t="shared" si="1"/>
        <v>0</v>
      </c>
      <c r="L44" s="173" t="s">
        <v>178</v>
      </c>
      <c r="M44" s="174" t="str">
        <f t="shared" si="0"/>
        <v>10Y</v>
      </c>
      <c r="N44" s="127"/>
    </row>
    <row r="45" spans="2:14" ht="30" x14ac:dyDescent="0.25">
      <c r="B45" s="111"/>
      <c r="C45" s="156" t="s">
        <v>287</v>
      </c>
      <c r="D45" s="112"/>
      <c r="E45" s="310"/>
      <c r="F45" s="200" t="s">
        <v>132</v>
      </c>
      <c r="G45" s="120" t="s">
        <v>2</v>
      </c>
      <c r="H45" s="182"/>
      <c r="I45" s="138" t="s">
        <v>63</v>
      </c>
      <c r="J45" s="143">
        <v>9.3000000000000005E-4</v>
      </c>
      <c r="K45" s="172" t="b">
        <f t="shared" si="1"/>
        <v>0</v>
      </c>
      <c r="L45" s="173" t="s">
        <v>178</v>
      </c>
      <c r="M45" s="174" t="str">
        <f t="shared" si="0"/>
        <v>15Y</v>
      </c>
      <c r="N45" s="127"/>
    </row>
    <row r="46" spans="2:14" ht="30" x14ac:dyDescent="0.25">
      <c r="B46" s="111"/>
      <c r="C46" s="156" t="s">
        <v>288</v>
      </c>
      <c r="D46" s="112"/>
      <c r="E46" s="310"/>
      <c r="F46" s="200" t="s">
        <v>133</v>
      </c>
      <c r="G46" s="120" t="s">
        <v>91</v>
      </c>
      <c r="H46" s="182"/>
      <c r="I46" s="138" t="s">
        <v>64</v>
      </c>
      <c r="J46" s="143">
        <v>7.7999999999999999E-4</v>
      </c>
      <c r="K46" s="172" t="b">
        <f t="shared" si="1"/>
        <v>0</v>
      </c>
      <c r="L46" s="173" t="s">
        <v>178</v>
      </c>
      <c r="M46" s="174" t="str">
        <f t="shared" si="0"/>
        <v>20Y</v>
      </c>
      <c r="N46" s="127"/>
    </row>
    <row r="47" spans="2:14" ht="30" x14ac:dyDescent="0.25">
      <c r="B47" s="111"/>
      <c r="C47" s="156" t="s">
        <v>289</v>
      </c>
      <c r="D47" s="112"/>
      <c r="E47" s="310"/>
      <c r="F47" s="200" t="s">
        <v>134</v>
      </c>
      <c r="G47" s="120" t="s">
        <v>2</v>
      </c>
      <c r="H47" s="182"/>
      <c r="I47" s="138" t="s">
        <v>65</v>
      </c>
      <c r="J47" s="143">
        <v>6.9999999999999999E-4</v>
      </c>
      <c r="K47" s="172" t="b">
        <f t="shared" si="1"/>
        <v>0</v>
      </c>
      <c r="L47" s="173" t="s">
        <v>178</v>
      </c>
      <c r="M47" s="174" t="str">
        <f t="shared" si="0"/>
        <v>25Y</v>
      </c>
      <c r="N47" s="127"/>
    </row>
    <row r="48" spans="2:14" ht="30" x14ac:dyDescent="0.25">
      <c r="B48" s="111"/>
      <c r="C48" s="156" t="s">
        <v>290</v>
      </c>
      <c r="D48" s="112"/>
      <c r="E48" s="310"/>
      <c r="F48" s="200" t="s">
        <v>135</v>
      </c>
      <c r="G48" s="120">
        <v>2</v>
      </c>
      <c r="H48" s="182"/>
      <c r="I48" s="138" t="s">
        <v>66</v>
      </c>
      <c r="J48" s="143">
        <v>6.4000000000000005E-4</v>
      </c>
      <c r="K48" s="172" t="b">
        <f t="shared" si="1"/>
        <v>0</v>
      </c>
      <c r="L48" s="173" t="s">
        <v>178</v>
      </c>
      <c r="M48" s="174" t="str">
        <f t="shared" si="0"/>
        <v>30Y</v>
      </c>
      <c r="N48" s="127"/>
    </row>
    <row r="49" spans="2:16" ht="30" x14ac:dyDescent="0.25">
      <c r="B49" s="111"/>
      <c r="C49" s="156" t="s">
        <v>291</v>
      </c>
      <c r="D49" s="112"/>
      <c r="E49" s="311"/>
      <c r="F49" s="218" t="s">
        <v>136</v>
      </c>
      <c r="G49" s="134" t="s">
        <v>22</v>
      </c>
      <c r="H49" s="182"/>
      <c r="I49" s="138"/>
      <c r="J49" s="143"/>
      <c r="K49" s="172"/>
      <c r="L49" s="173"/>
      <c r="M49" s="174"/>
      <c r="N49" s="127"/>
    </row>
    <row r="50" spans="2:16" ht="30" x14ac:dyDescent="0.25">
      <c r="B50" s="111"/>
      <c r="C50" s="156" t="s">
        <v>293</v>
      </c>
      <c r="D50" s="112"/>
      <c r="E50" s="312" t="s">
        <v>166</v>
      </c>
      <c r="F50" s="217" t="s">
        <v>137</v>
      </c>
      <c r="G50" s="151" t="s">
        <v>2</v>
      </c>
      <c r="H50" s="182"/>
      <c r="I50" s="138"/>
      <c r="J50" s="143"/>
      <c r="K50" s="172"/>
      <c r="L50" s="173"/>
      <c r="M50" s="174"/>
      <c r="N50" s="127"/>
    </row>
    <row r="51" spans="2:16" ht="30" x14ac:dyDescent="0.25">
      <c r="B51" s="111"/>
      <c r="C51" s="156" t="s">
        <v>294</v>
      </c>
      <c r="D51" s="112"/>
      <c r="E51" s="313"/>
      <c r="F51" s="200" t="s">
        <v>138</v>
      </c>
      <c r="G51" s="120" t="s">
        <v>124</v>
      </c>
      <c r="H51" s="182"/>
      <c r="I51" s="138"/>
      <c r="J51" s="143"/>
      <c r="K51" s="172"/>
      <c r="L51" s="173"/>
      <c r="M51" s="174"/>
      <c r="N51" s="127"/>
    </row>
    <row r="52" spans="2:16" ht="30" x14ac:dyDescent="0.25">
      <c r="B52" s="111"/>
      <c r="C52" s="156" t="s">
        <v>295</v>
      </c>
      <c r="D52" s="112"/>
      <c r="E52" s="313"/>
      <c r="F52" s="200" t="s">
        <v>139</v>
      </c>
      <c r="G52" s="134" t="s">
        <v>26</v>
      </c>
      <c r="H52" s="182"/>
      <c r="I52" s="138"/>
      <c r="J52" s="143"/>
      <c r="K52" s="172"/>
      <c r="L52" s="173"/>
      <c r="M52" s="174"/>
      <c r="N52" s="127"/>
    </row>
    <row r="53" spans="2:16" ht="30" x14ac:dyDescent="0.25">
      <c r="B53" s="111"/>
      <c r="C53" s="156" t="s">
        <v>296</v>
      </c>
      <c r="D53" s="112"/>
      <c r="E53" s="313"/>
      <c r="F53" s="200" t="s">
        <v>140</v>
      </c>
      <c r="G53" s="134" t="s">
        <v>22</v>
      </c>
      <c r="H53" s="182"/>
      <c r="I53" s="138"/>
      <c r="J53" s="143"/>
      <c r="K53" s="172"/>
      <c r="L53" s="173"/>
      <c r="M53" s="174"/>
      <c r="N53" s="127"/>
    </row>
    <row r="54" spans="2:16" ht="30" x14ac:dyDescent="0.25">
      <c r="B54" s="111"/>
      <c r="C54" s="156" t="s">
        <v>297</v>
      </c>
      <c r="D54" s="112"/>
      <c r="E54" s="313"/>
      <c r="F54" s="200" t="s">
        <v>141</v>
      </c>
      <c r="G54" s="120" t="s">
        <v>101</v>
      </c>
      <c r="H54" s="183"/>
      <c r="I54" s="138"/>
      <c r="J54" s="143"/>
      <c r="K54" s="172"/>
      <c r="L54" s="173"/>
      <c r="M54" s="174"/>
      <c r="N54" s="127"/>
    </row>
    <row r="55" spans="2:16" ht="30" x14ac:dyDescent="0.25">
      <c r="B55" s="111"/>
      <c r="C55" s="156" t="s">
        <v>298</v>
      </c>
      <c r="D55" s="112"/>
      <c r="E55" s="313"/>
      <c r="F55" s="200" t="s">
        <v>142</v>
      </c>
      <c r="G55" s="120" t="s">
        <v>9</v>
      </c>
      <c r="H55" s="183"/>
      <c r="I55" s="138"/>
      <c r="J55" s="143"/>
      <c r="K55" s="172"/>
      <c r="L55" s="173"/>
      <c r="M55" s="174"/>
      <c r="N55" s="127"/>
    </row>
    <row r="56" spans="2:16" ht="30" x14ac:dyDescent="0.25">
      <c r="B56" s="111"/>
      <c r="C56" s="156" t="s">
        <v>299</v>
      </c>
      <c r="D56" s="112"/>
      <c r="E56" s="313"/>
      <c r="F56" s="200" t="s">
        <v>143</v>
      </c>
      <c r="G56" s="186" t="s">
        <v>82</v>
      </c>
      <c r="H56" s="184" t="s">
        <v>179</v>
      </c>
      <c r="I56" s="138"/>
      <c r="J56" s="143"/>
      <c r="K56" s="172"/>
      <c r="L56" s="173"/>
      <c r="M56" s="174"/>
      <c r="N56" s="127"/>
    </row>
    <row r="57" spans="2:16" ht="30" x14ac:dyDescent="0.25">
      <c r="B57" s="111"/>
      <c r="C57" s="156" t="s">
        <v>300</v>
      </c>
      <c r="D57" s="112"/>
      <c r="E57" s="313"/>
      <c r="F57" s="200" t="s">
        <v>144</v>
      </c>
      <c r="G57" s="134" t="s">
        <v>56</v>
      </c>
      <c r="H57" s="183"/>
      <c r="I57" s="138"/>
      <c r="J57" s="143"/>
      <c r="K57" s="172"/>
      <c r="L57" s="173"/>
      <c r="M57" s="174"/>
      <c r="N57" s="127"/>
      <c r="P57" s="97"/>
    </row>
    <row r="58" spans="2:16" ht="30" x14ac:dyDescent="0.25">
      <c r="B58" s="111"/>
      <c r="C58" s="156" t="s">
        <v>301</v>
      </c>
      <c r="D58" s="112"/>
      <c r="E58" s="313"/>
      <c r="F58" s="200" t="s">
        <v>146</v>
      </c>
      <c r="G58" s="120" t="s">
        <v>124</v>
      </c>
      <c r="H58" s="183"/>
      <c r="I58" s="138"/>
      <c r="J58" s="143"/>
      <c r="K58" s="172"/>
      <c r="L58" s="173"/>
      <c r="M58" s="174"/>
      <c r="N58" s="127"/>
      <c r="P58" s="97"/>
    </row>
    <row r="59" spans="2:16" ht="30" x14ac:dyDescent="0.25">
      <c r="B59" s="111"/>
      <c r="C59" s="156" t="s">
        <v>302</v>
      </c>
      <c r="D59" s="112"/>
      <c r="E59" s="313"/>
      <c r="F59" s="200" t="s">
        <v>147</v>
      </c>
      <c r="G59" s="120" t="s">
        <v>2</v>
      </c>
      <c r="H59" s="183"/>
      <c r="I59" s="138"/>
      <c r="J59" s="143"/>
      <c r="K59" s="172"/>
      <c r="L59" s="173"/>
      <c r="M59" s="174"/>
      <c r="N59" s="127"/>
      <c r="P59" s="97"/>
    </row>
    <row r="60" spans="2:16" ht="30" x14ac:dyDescent="0.25">
      <c r="B60" s="111"/>
      <c r="C60" s="156" t="s">
        <v>303</v>
      </c>
      <c r="D60" s="112"/>
      <c r="E60" s="313"/>
      <c r="F60" s="200" t="s">
        <v>148</v>
      </c>
      <c r="G60" s="120" t="s">
        <v>91</v>
      </c>
      <c r="H60" s="183"/>
      <c r="I60" s="138"/>
      <c r="J60" s="143"/>
      <c r="K60" s="172"/>
      <c r="L60" s="173"/>
      <c r="M60" s="174"/>
      <c r="N60" s="127"/>
      <c r="P60" s="97"/>
    </row>
    <row r="61" spans="2:16" ht="30" x14ac:dyDescent="0.25">
      <c r="B61" s="111"/>
      <c r="C61" s="156" t="s">
        <v>304</v>
      </c>
      <c r="D61" s="112"/>
      <c r="E61" s="313"/>
      <c r="F61" s="200" t="s">
        <v>149</v>
      </c>
      <c r="G61" s="120" t="s">
        <v>2</v>
      </c>
      <c r="H61" s="183"/>
      <c r="I61" s="138"/>
      <c r="J61" s="143"/>
      <c r="K61" s="172"/>
      <c r="L61" s="173"/>
      <c r="M61" s="174"/>
      <c r="N61" s="127"/>
      <c r="P61" s="97"/>
    </row>
    <row r="62" spans="2:16" ht="30" x14ac:dyDescent="0.25">
      <c r="B62" s="111"/>
      <c r="C62" s="156" t="s">
        <v>305</v>
      </c>
      <c r="D62" s="112"/>
      <c r="E62" s="313"/>
      <c r="F62" s="200" t="s">
        <v>150</v>
      </c>
      <c r="G62" s="120">
        <v>2</v>
      </c>
      <c r="H62" s="183"/>
      <c r="I62" s="138"/>
      <c r="J62" s="143"/>
      <c r="K62" s="172"/>
      <c r="L62" s="173"/>
      <c r="M62" s="174"/>
      <c r="N62" s="127"/>
      <c r="P62" s="97"/>
    </row>
    <row r="63" spans="2:16" ht="30" x14ac:dyDescent="0.25">
      <c r="B63" s="111"/>
      <c r="C63" s="156" t="s">
        <v>306</v>
      </c>
      <c r="D63" s="112"/>
      <c r="E63" s="314"/>
      <c r="F63" s="218" t="s">
        <v>151</v>
      </c>
      <c r="G63" s="134" t="s">
        <v>22</v>
      </c>
      <c r="H63" s="183"/>
      <c r="I63" s="138"/>
      <c r="J63" s="143"/>
      <c r="K63" s="172"/>
      <c r="L63" s="173"/>
      <c r="M63" s="174"/>
      <c r="N63" s="127"/>
      <c r="P63" s="97"/>
    </row>
    <row r="64" spans="2:16" ht="30" x14ac:dyDescent="0.25">
      <c r="B64" s="111"/>
      <c r="C64" s="156" t="s">
        <v>307</v>
      </c>
      <c r="D64" s="112"/>
      <c r="E64" s="315" t="str">
        <f>"Solving For :"&amp;CHAR(32)&amp;$H$64</f>
        <v>Solving For : &lt;--- Solver: Target</v>
      </c>
      <c r="F64" s="219" t="s">
        <v>152</v>
      </c>
      <c r="G64" s="185" t="s">
        <v>153</v>
      </c>
      <c r="H64" s="184" t="s">
        <v>180</v>
      </c>
      <c r="I64" s="138"/>
      <c r="J64" s="143"/>
      <c r="K64" s="172"/>
      <c r="L64" s="173"/>
      <c r="M64" s="174"/>
      <c r="N64" s="127"/>
      <c r="P64" s="97"/>
    </row>
    <row r="65" spans="2:16" ht="30" x14ac:dyDescent="0.25">
      <c r="B65" s="111"/>
      <c r="C65" s="157" t="s">
        <v>309</v>
      </c>
      <c r="D65" s="112"/>
      <c r="E65" s="316"/>
      <c r="F65" s="200" t="s">
        <v>112</v>
      </c>
      <c r="G65" s="120" t="b">
        <v>1</v>
      </c>
      <c r="H65" s="183"/>
      <c r="I65" s="138"/>
      <c r="J65" s="143"/>
      <c r="K65" s="172"/>
      <c r="L65" s="173"/>
      <c r="M65" s="174"/>
      <c r="N65" s="127"/>
      <c r="P65" s="97"/>
    </row>
    <row r="66" spans="2:16" ht="30" x14ac:dyDescent="0.25">
      <c r="B66" s="111"/>
      <c r="C66" s="157" t="s">
        <v>310</v>
      </c>
      <c r="D66" s="112"/>
      <c r="E66" s="316"/>
      <c r="F66" s="200" t="s">
        <v>154</v>
      </c>
      <c r="G66" s="150" t="str">
        <f ca="1">interpolationFunction</f>
        <v>fn_MonotoneConvexInterpolation</v>
      </c>
      <c r="H66" s="183"/>
      <c r="I66" s="138"/>
      <c r="J66" s="143"/>
      <c r="K66" s="172"/>
      <c r="L66" s="173"/>
      <c r="M66" s="174"/>
      <c r="N66" s="127"/>
      <c r="P66" s="97"/>
    </row>
    <row r="67" spans="2:16" ht="45" x14ac:dyDescent="0.25">
      <c r="B67" s="111"/>
      <c r="C67" s="157" t="s">
        <v>311</v>
      </c>
      <c r="D67" s="112"/>
      <c r="E67" s="316"/>
      <c r="F67" s="200" t="s">
        <v>155</v>
      </c>
      <c r="G67" s="120" t="b">
        <v>1</v>
      </c>
      <c r="H67" s="183"/>
      <c r="I67" s="138"/>
      <c r="J67" s="143"/>
      <c r="K67" s="172"/>
      <c r="L67" s="173"/>
      <c r="M67" s="174"/>
      <c r="N67" s="127"/>
      <c r="P67" s="97"/>
    </row>
    <row r="68" spans="2:16" ht="45" x14ac:dyDescent="0.25">
      <c r="B68" s="111"/>
      <c r="C68" s="157" t="s">
        <v>312</v>
      </c>
      <c r="D68" s="112"/>
      <c r="E68" s="316"/>
      <c r="F68" s="200" t="s">
        <v>156</v>
      </c>
      <c r="G68" s="120" t="b">
        <v>1</v>
      </c>
      <c r="H68" s="183"/>
      <c r="I68" s="138"/>
      <c r="J68" s="143"/>
      <c r="K68" s="172"/>
      <c r="L68" s="173"/>
      <c r="M68" s="174"/>
      <c r="N68" s="127"/>
      <c r="P68" s="97"/>
    </row>
    <row r="69" spans="2:16" ht="45" x14ac:dyDescent="0.25">
      <c r="B69" s="111"/>
      <c r="C69" s="157" t="s">
        <v>313</v>
      </c>
      <c r="D69" s="112"/>
      <c r="E69" s="316"/>
      <c r="F69" s="200" t="s">
        <v>157</v>
      </c>
      <c r="G69" s="134" t="s">
        <v>56</v>
      </c>
      <c r="H69" s="183"/>
      <c r="I69" s="138"/>
      <c r="J69" s="143"/>
      <c r="K69" s="172"/>
      <c r="L69" s="173"/>
      <c r="M69" s="174"/>
      <c r="N69" s="127"/>
    </row>
    <row r="70" spans="2:16" ht="30" x14ac:dyDescent="0.25">
      <c r="B70" s="111"/>
      <c r="C70" s="157" t="s">
        <v>314</v>
      </c>
      <c r="D70" s="112"/>
      <c r="E70" s="316"/>
      <c r="F70" s="200" t="s">
        <v>158</v>
      </c>
      <c r="G70" s="120" t="b">
        <v>0</v>
      </c>
      <c r="H70" s="183"/>
      <c r="I70" s="138"/>
      <c r="J70" s="143"/>
      <c r="K70" s="172"/>
      <c r="L70" s="173"/>
      <c r="M70" s="174"/>
      <c r="N70" s="127"/>
    </row>
    <row r="71" spans="2:16" ht="30" x14ac:dyDescent="0.25">
      <c r="B71" s="111"/>
      <c r="C71" s="157" t="s">
        <v>254</v>
      </c>
      <c r="D71" s="112"/>
      <c r="E71" s="316"/>
      <c r="F71" s="200" t="s">
        <v>113</v>
      </c>
      <c r="G71" s="122">
        <v>1.0000000000000001E-9</v>
      </c>
      <c r="H71" s="183"/>
      <c r="I71" s="138"/>
      <c r="J71" s="143"/>
      <c r="K71" s="172"/>
      <c r="L71" s="173"/>
      <c r="M71" s="174"/>
      <c r="N71" s="127"/>
    </row>
    <row r="72" spans="2:16" ht="30" x14ac:dyDescent="0.25">
      <c r="B72" s="111"/>
      <c r="C72" s="158" t="s">
        <v>255</v>
      </c>
      <c r="D72" s="112"/>
      <c r="E72" s="316"/>
      <c r="F72" s="200" t="s">
        <v>114</v>
      </c>
      <c r="G72" s="146">
        <v>1000</v>
      </c>
      <c r="H72" s="183"/>
      <c r="I72" s="138"/>
      <c r="J72" s="143"/>
      <c r="K72" s="172"/>
      <c r="L72" s="173"/>
      <c r="M72" s="174"/>
      <c r="N72" s="127"/>
    </row>
    <row r="73" spans="2:16" x14ac:dyDescent="0.25">
      <c r="B73" s="111"/>
      <c r="C73" s="154"/>
      <c r="D73" s="112"/>
      <c r="E73" s="316"/>
      <c r="F73" s="200"/>
      <c r="G73" s="120"/>
      <c r="H73" s="183"/>
      <c r="I73" s="138"/>
      <c r="J73" s="143"/>
      <c r="K73" s="172"/>
      <c r="L73" s="173"/>
      <c r="M73" s="174"/>
      <c r="N73" s="127"/>
    </row>
    <row r="74" spans="2:16" x14ac:dyDescent="0.25">
      <c r="B74" s="111"/>
      <c r="C74" s="154"/>
      <c r="D74" s="112"/>
      <c r="E74" s="316"/>
      <c r="F74" s="200"/>
      <c r="G74" s="120"/>
      <c r="H74" s="183"/>
      <c r="I74" s="138"/>
      <c r="J74" s="143"/>
      <c r="K74" s="172"/>
      <c r="L74" s="173"/>
      <c r="M74" s="174"/>
      <c r="N74" s="127"/>
    </row>
    <row r="75" spans="2:16" x14ac:dyDescent="0.25">
      <c r="B75" s="111"/>
      <c r="C75" s="154"/>
      <c r="D75" s="112"/>
      <c r="E75" s="316"/>
      <c r="F75" s="200"/>
      <c r="G75" s="120"/>
      <c r="H75" s="183"/>
      <c r="I75" s="138"/>
      <c r="J75" s="143"/>
      <c r="K75" s="172"/>
      <c r="L75" s="173"/>
      <c r="M75" s="174"/>
      <c r="N75" s="127"/>
    </row>
    <row r="76" spans="2:16" x14ac:dyDescent="0.25">
      <c r="B76" s="111"/>
      <c r="C76" s="155"/>
      <c r="D76" s="112"/>
      <c r="E76" s="317"/>
      <c r="F76" s="206"/>
      <c r="G76" s="216"/>
      <c r="H76" s="183"/>
      <c r="I76" s="139"/>
      <c r="J76" s="144"/>
      <c r="K76" s="175"/>
      <c r="L76" s="176"/>
      <c r="M76" s="177"/>
      <c r="N76" s="127"/>
    </row>
    <row r="77" spans="2:16" x14ac:dyDescent="0.25">
      <c r="B77" s="111"/>
      <c r="C77" s="112"/>
      <c r="D77" s="112"/>
      <c r="E77" s="112"/>
      <c r="F77" s="183"/>
      <c r="G77" s="222"/>
      <c r="H77" s="183"/>
      <c r="I77" s="114" t="s">
        <v>4</v>
      </c>
      <c r="J77" s="114" t="s">
        <v>4</v>
      </c>
      <c r="K77" s="141" t="s">
        <v>4</v>
      </c>
      <c r="L77" s="91" t="s">
        <v>4</v>
      </c>
      <c r="M77" s="92" t="s">
        <v>4</v>
      </c>
      <c r="N77" s="127"/>
    </row>
    <row r="78" spans="2:16" x14ac:dyDescent="0.25">
      <c r="B78" s="115"/>
      <c r="C78" s="116"/>
      <c r="D78" s="116"/>
      <c r="E78" s="116"/>
      <c r="F78" s="181"/>
      <c r="G78" s="220"/>
      <c r="H78" s="181"/>
      <c r="I78" s="116"/>
      <c r="J78" s="116"/>
      <c r="K78" s="116"/>
      <c r="L78" s="116"/>
      <c r="M78" s="116"/>
      <c r="N78" s="117"/>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107" customWidth="1"/>
    <col min="2" max="2" width="37.5703125" style="107" customWidth="1"/>
    <col min="3" max="9" width="25.7109375" style="107" customWidth="1"/>
    <col min="10" max="16384" width="9.140625" style="107"/>
  </cols>
  <sheetData>
    <row r="2" spans="2:11" ht="23.25" x14ac:dyDescent="0.35">
      <c r="B2" s="223" t="s">
        <v>325</v>
      </c>
      <c r="K2" s="223"/>
    </row>
    <row r="3" spans="2:11" s="235" customFormat="1" x14ac:dyDescent="0.25"/>
    <row r="4" spans="2:11" x14ac:dyDescent="0.25">
      <c r="B4" s="252" t="s">
        <v>335</v>
      </c>
    </row>
    <row r="5" spans="2:11" x14ac:dyDescent="0.25">
      <c r="B5" s="249" t="s">
        <v>339</v>
      </c>
      <c r="C5" s="260">
        <v>1</v>
      </c>
      <c r="D5" s="260">
        <v>1</v>
      </c>
      <c r="E5" s="260">
        <v>1</v>
      </c>
      <c r="F5" s="260">
        <v>1</v>
      </c>
      <c r="G5" s="260">
        <v>1</v>
      </c>
      <c r="H5" s="260">
        <v>1</v>
      </c>
      <c r="I5" s="260">
        <v>1</v>
      </c>
    </row>
    <row r="6" spans="2:11" x14ac:dyDescent="0.25">
      <c r="B6" s="250" t="s">
        <v>330</v>
      </c>
      <c r="C6" s="224" t="s">
        <v>206</v>
      </c>
      <c r="D6" s="224" t="s">
        <v>206</v>
      </c>
      <c r="E6" s="224" t="s">
        <v>206</v>
      </c>
      <c r="F6" s="224" t="s">
        <v>206</v>
      </c>
      <c r="G6" s="224" t="s">
        <v>206</v>
      </c>
      <c r="H6" s="224" t="s">
        <v>206</v>
      </c>
      <c r="I6" s="224" t="s">
        <v>206</v>
      </c>
    </row>
    <row r="7" spans="2:11" x14ac:dyDescent="0.25">
      <c r="B7" s="250" t="s">
        <v>333</v>
      </c>
      <c r="C7" s="258">
        <v>0.01</v>
      </c>
      <c r="D7" s="258">
        <v>0.01</v>
      </c>
      <c r="E7" s="258">
        <v>0.01</v>
      </c>
      <c r="F7" s="258">
        <v>0.01</v>
      </c>
      <c r="G7" s="258">
        <v>0.01</v>
      </c>
      <c r="H7" s="258">
        <v>0.01</v>
      </c>
      <c r="I7" s="258">
        <v>0.01</v>
      </c>
    </row>
    <row r="8" spans="2:11" x14ac:dyDescent="0.25">
      <c r="B8" s="250" t="s">
        <v>331</v>
      </c>
      <c r="C8" s="245" t="s">
        <v>159</v>
      </c>
      <c r="D8" s="245" t="s">
        <v>47</v>
      </c>
      <c r="E8" s="245" t="s">
        <v>43</v>
      </c>
      <c r="F8" s="245" t="s">
        <v>50</v>
      </c>
      <c r="G8" s="245" t="s">
        <v>63</v>
      </c>
      <c r="H8" s="245" t="s">
        <v>379</v>
      </c>
      <c r="I8" s="245" t="s">
        <v>380</v>
      </c>
    </row>
    <row r="9" spans="2:11" x14ac:dyDescent="0.25">
      <c r="B9" s="250" t="s">
        <v>332</v>
      </c>
      <c r="C9" s="225" t="s">
        <v>168</v>
      </c>
      <c r="D9" s="225" t="s">
        <v>168</v>
      </c>
      <c r="E9" s="225" t="s">
        <v>168</v>
      </c>
      <c r="F9" s="225" t="s">
        <v>168</v>
      </c>
      <c r="G9" s="225" t="s">
        <v>168</v>
      </c>
      <c r="H9" s="225" t="s">
        <v>168</v>
      </c>
      <c r="I9" s="225" t="s">
        <v>168</v>
      </c>
    </row>
    <row r="10" spans="2:11" x14ac:dyDescent="0.25">
      <c r="B10" s="250" t="s">
        <v>334</v>
      </c>
      <c r="C10" s="271">
        <v>0</v>
      </c>
      <c r="D10" s="271">
        <v>0</v>
      </c>
      <c r="E10" s="271">
        <v>0</v>
      </c>
      <c r="F10" s="271">
        <v>0</v>
      </c>
      <c r="G10" s="271">
        <v>0</v>
      </c>
      <c r="H10" s="271">
        <v>0</v>
      </c>
      <c r="I10" s="271">
        <v>0</v>
      </c>
    </row>
    <row r="11" spans="2:11" x14ac:dyDescent="0.25">
      <c r="B11" s="251" t="s">
        <v>172</v>
      </c>
      <c r="C11" s="259" t="s">
        <v>195</v>
      </c>
      <c r="D11" s="259" t="s">
        <v>195</v>
      </c>
      <c r="E11" s="259" t="s">
        <v>195</v>
      </c>
      <c r="F11" s="259" t="s">
        <v>195</v>
      </c>
      <c r="G11" s="259" t="s">
        <v>195</v>
      </c>
      <c r="H11" s="259" t="s">
        <v>195</v>
      </c>
      <c r="I11" s="259" t="s">
        <v>195</v>
      </c>
    </row>
    <row r="12" spans="2:11" s="235" customFormat="1" x14ac:dyDescent="0.25"/>
    <row r="13" spans="2:11" s="235" customFormat="1" x14ac:dyDescent="0.25">
      <c r="B13" s="128" t="s">
        <v>336</v>
      </c>
      <c r="C13" s="285"/>
      <c r="D13" s="285"/>
      <c r="E13" s="285"/>
      <c r="F13" s="285"/>
      <c r="G13" s="285"/>
      <c r="H13" s="285"/>
      <c r="I13" s="285"/>
    </row>
    <row r="14" spans="2:11" s="235" customFormat="1" x14ac:dyDescent="0.25">
      <c r="B14" s="261" t="s">
        <v>352</v>
      </c>
      <c r="C14" s="256" t="str">
        <f>"IRS_"&amp;C19</f>
        <v>IRS_1Y</v>
      </c>
      <c r="D14" s="256" t="str">
        <f t="shared" ref="D14:I14" si="0">"IRS_"&amp;D19</f>
        <v>IRS_2Y</v>
      </c>
      <c r="E14" s="256" t="str">
        <f t="shared" si="0"/>
        <v>IRS_3Y</v>
      </c>
      <c r="F14" s="256" t="str">
        <f t="shared" si="0"/>
        <v>IRS_4Y</v>
      </c>
      <c r="G14" s="256" t="str">
        <f t="shared" si="0"/>
        <v>IRS_15Y</v>
      </c>
      <c r="H14" s="256" t="str">
        <f t="shared" si="0"/>
        <v>IRS_16Y</v>
      </c>
      <c r="I14" s="256" t="str">
        <f t="shared" si="0"/>
        <v>IRS_17Y</v>
      </c>
    </row>
    <row r="15" spans="2:11" s="235" customFormat="1" x14ac:dyDescent="0.25">
      <c r="B15" s="263" t="s">
        <v>350</v>
      </c>
      <c r="C15" s="264" t="s">
        <v>351</v>
      </c>
      <c r="D15" s="264" t="s">
        <v>351</v>
      </c>
      <c r="E15" s="264" t="s">
        <v>351</v>
      </c>
      <c r="F15" s="264" t="s">
        <v>351</v>
      </c>
      <c r="G15" s="264" t="s">
        <v>351</v>
      </c>
      <c r="H15" s="264" t="s">
        <v>351</v>
      </c>
      <c r="I15" s="264" t="s">
        <v>351</v>
      </c>
    </row>
    <row r="16" spans="2:11" x14ac:dyDescent="0.25">
      <c r="B16" s="226" t="s">
        <v>169</v>
      </c>
      <c r="C16" s="262">
        <f>C5*1000000</f>
        <v>1000000</v>
      </c>
      <c r="D16" s="262">
        <f t="shared" ref="D16:I16" si="1">D5*1000000</f>
        <v>1000000</v>
      </c>
      <c r="E16" s="262">
        <f t="shared" si="1"/>
        <v>1000000</v>
      </c>
      <c r="F16" s="262">
        <f t="shared" si="1"/>
        <v>1000000</v>
      </c>
      <c r="G16" s="262">
        <f t="shared" si="1"/>
        <v>1000000</v>
      </c>
      <c r="H16" s="262">
        <f t="shared" si="1"/>
        <v>1000000</v>
      </c>
      <c r="I16" s="262">
        <f t="shared" si="1"/>
        <v>1000000</v>
      </c>
    </row>
    <row r="17" spans="1:9" x14ac:dyDescent="0.25">
      <c r="A17" s="239" t="s">
        <v>337</v>
      </c>
      <c r="B17" s="226" t="s">
        <v>210</v>
      </c>
      <c r="C17" s="246" t="str">
        <f t="shared" ref="C17:I17" si="2">C6</f>
        <v>RECEIVER</v>
      </c>
      <c r="D17" s="246" t="str">
        <f t="shared" si="2"/>
        <v>RECEIVER</v>
      </c>
      <c r="E17" s="246" t="str">
        <f t="shared" si="2"/>
        <v>RECEIVER</v>
      </c>
      <c r="F17" s="246" t="str">
        <f t="shared" si="2"/>
        <v>RECEIVER</v>
      </c>
      <c r="G17" s="246" t="str">
        <f t="shared" si="2"/>
        <v>RECEIVER</v>
      </c>
      <c r="H17" s="246" t="str">
        <f t="shared" si="2"/>
        <v>RECEIVER</v>
      </c>
      <c r="I17" s="246" t="str">
        <f t="shared" si="2"/>
        <v>RECEIVER</v>
      </c>
    </row>
    <row r="18" spans="1:9" x14ac:dyDescent="0.25">
      <c r="A18" s="240" t="s">
        <v>173</v>
      </c>
      <c r="B18" s="226" t="s">
        <v>211</v>
      </c>
      <c r="C18" s="241">
        <f ca="1">_xll.meDateFromTenor(COB,$A$18,C24,C25)</f>
        <v>42523</v>
      </c>
      <c r="D18" s="241">
        <f ca="1">_xll.meDateFromTenor(COB,$A$18,D24,D25)</f>
        <v>42523</v>
      </c>
      <c r="E18" s="241">
        <f ca="1">_xll.meDateFromTenor(COB,$A$18,E24,E25)</f>
        <v>42523</v>
      </c>
      <c r="F18" s="241">
        <f ca="1">_xll.meDateFromTenor(COB,$A$18,F24,F25)</f>
        <v>42523</v>
      </c>
      <c r="G18" s="241">
        <f ca="1">_xll.meDateFromTenor(COB,$A$18,G24,G25)</f>
        <v>42523</v>
      </c>
      <c r="H18" s="241">
        <f ca="1">_xll.meDateFromTenor(COB,$A$18,H24,H25)</f>
        <v>42523</v>
      </c>
      <c r="I18" s="241">
        <f ca="1">_xll.meDateFromTenor(COB,$A$18,I24,I25)</f>
        <v>42523</v>
      </c>
    </row>
    <row r="19" spans="1:9" x14ac:dyDescent="0.25">
      <c r="B19" s="226" t="s">
        <v>212</v>
      </c>
      <c r="C19" s="257" t="str">
        <f t="shared" ref="C19:I19" si="3">C8</f>
        <v>1Y</v>
      </c>
      <c r="D19" s="257" t="str">
        <f t="shared" si="3"/>
        <v>2Y</v>
      </c>
      <c r="E19" s="257" t="str">
        <f t="shared" si="3"/>
        <v>3Y</v>
      </c>
      <c r="F19" s="257" t="str">
        <f t="shared" si="3"/>
        <v>4Y</v>
      </c>
      <c r="G19" s="257" t="str">
        <f t="shared" si="3"/>
        <v>15Y</v>
      </c>
      <c r="H19" s="257" t="str">
        <f t="shared" si="3"/>
        <v>16Y</v>
      </c>
      <c r="I19" s="257" t="str">
        <f t="shared" si="3"/>
        <v>17Y</v>
      </c>
    </row>
    <row r="20" spans="1:9" s="128" customFormat="1" x14ac:dyDescent="0.25">
      <c r="B20" s="226" t="s">
        <v>214</v>
      </c>
      <c r="C20" s="242" t="s">
        <v>26</v>
      </c>
      <c r="D20" s="242" t="s">
        <v>26</v>
      </c>
      <c r="E20" s="242" t="s">
        <v>26</v>
      </c>
      <c r="F20" s="242" t="s">
        <v>26</v>
      </c>
      <c r="G20" s="242" t="s">
        <v>26</v>
      </c>
      <c r="H20" s="242" t="s">
        <v>26</v>
      </c>
      <c r="I20" s="242" t="s">
        <v>26</v>
      </c>
    </row>
    <row r="21" spans="1:9" x14ac:dyDescent="0.25">
      <c r="B21" s="226" t="s">
        <v>215</v>
      </c>
      <c r="C21" s="243" t="s">
        <v>20</v>
      </c>
      <c r="D21" s="243" t="s">
        <v>20</v>
      </c>
      <c r="E21" s="243" t="s">
        <v>20</v>
      </c>
      <c r="F21" s="243" t="s">
        <v>20</v>
      </c>
      <c r="G21" s="243" t="s">
        <v>20</v>
      </c>
      <c r="H21" s="243" t="s">
        <v>20</v>
      </c>
      <c r="I21" s="243" t="s">
        <v>20</v>
      </c>
    </row>
    <row r="22" spans="1:9" x14ac:dyDescent="0.25">
      <c r="B22" s="226" t="s">
        <v>340</v>
      </c>
      <c r="C22" s="244" t="s">
        <v>22</v>
      </c>
      <c r="D22" s="244" t="s">
        <v>22</v>
      </c>
      <c r="E22" s="244" t="s">
        <v>22</v>
      </c>
      <c r="F22" s="244" t="s">
        <v>22</v>
      </c>
      <c r="G22" s="244" t="s">
        <v>22</v>
      </c>
      <c r="H22" s="244" t="s">
        <v>22</v>
      </c>
      <c r="I22" s="244" t="s">
        <v>22</v>
      </c>
    </row>
    <row r="23" spans="1:9" x14ac:dyDescent="0.25">
      <c r="B23" s="226" t="s">
        <v>342</v>
      </c>
      <c r="C23" s="244" t="s">
        <v>2</v>
      </c>
      <c r="D23" s="244" t="s">
        <v>2</v>
      </c>
      <c r="E23" s="244" t="s">
        <v>2</v>
      </c>
      <c r="F23" s="244" t="s">
        <v>2</v>
      </c>
      <c r="G23" s="244" t="s">
        <v>2</v>
      </c>
      <c r="H23" s="244" t="s">
        <v>2</v>
      </c>
      <c r="I23" s="244" t="s">
        <v>2</v>
      </c>
    </row>
    <row r="24" spans="1:9" x14ac:dyDescent="0.25">
      <c r="B24" s="226" t="s">
        <v>341</v>
      </c>
      <c r="C24" s="244" t="s">
        <v>22</v>
      </c>
      <c r="D24" s="244" t="s">
        <v>22</v>
      </c>
      <c r="E24" s="244" t="s">
        <v>22</v>
      </c>
      <c r="F24" s="244" t="s">
        <v>22</v>
      </c>
      <c r="G24" s="244" t="s">
        <v>22</v>
      </c>
      <c r="H24" s="244" t="s">
        <v>22</v>
      </c>
      <c r="I24" s="244" t="s">
        <v>22</v>
      </c>
    </row>
    <row r="25" spans="1:9" x14ac:dyDescent="0.25">
      <c r="B25" s="226" t="s">
        <v>343</v>
      </c>
      <c r="C25" s="244" t="s">
        <v>2</v>
      </c>
      <c r="D25" s="244" t="s">
        <v>2</v>
      </c>
      <c r="E25" s="244" t="s">
        <v>2</v>
      </c>
      <c r="F25" s="244" t="s">
        <v>2</v>
      </c>
      <c r="G25" s="244" t="s">
        <v>2</v>
      </c>
      <c r="H25" s="244" t="s">
        <v>2</v>
      </c>
      <c r="I25" s="244" t="s">
        <v>2</v>
      </c>
    </row>
    <row r="26" spans="1:9" x14ac:dyDescent="0.25">
      <c r="B26" s="226" t="s">
        <v>235</v>
      </c>
      <c r="C26" s="245"/>
      <c r="D26" s="245"/>
      <c r="E26" s="245"/>
      <c r="F26" s="245"/>
      <c r="G26" s="245"/>
      <c r="H26" s="245"/>
      <c r="I26" s="245"/>
    </row>
    <row r="27" spans="1:9" x14ac:dyDescent="0.25">
      <c r="B27" s="226" t="s">
        <v>236</v>
      </c>
      <c r="C27" s="245"/>
      <c r="D27" s="245"/>
      <c r="E27" s="245"/>
      <c r="F27" s="245"/>
      <c r="G27" s="245"/>
      <c r="H27" s="245"/>
      <c r="I27" s="245"/>
    </row>
    <row r="28" spans="1:9" x14ac:dyDescent="0.25">
      <c r="B28" s="226" t="s">
        <v>216</v>
      </c>
      <c r="C28" s="244" t="s">
        <v>372</v>
      </c>
      <c r="D28" s="244" t="s">
        <v>372</v>
      </c>
      <c r="E28" s="244" t="s">
        <v>372</v>
      </c>
      <c r="F28" s="244" t="s">
        <v>372</v>
      </c>
      <c r="G28" s="244" t="s">
        <v>372</v>
      </c>
      <c r="H28" s="244" t="s">
        <v>372</v>
      </c>
      <c r="I28" s="244" t="s">
        <v>372</v>
      </c>
    </row>
    <row r="29" spans="1:9" x14ac:dyDescent="0.25">
      <c r="B29" s="226" t="s">
        <v>217</v>
      </c>
      <c r="C29" s="243" t="s">
        <v>170</v>
      </c>
      <c r="D29" s="243" t="s">
        <v>170</v>
      </c>
      <c r="E29" s="243" t="s">
        <v>170</v>
      </c>
      <c r="F29" s="243" t="s">
        <v>170</v>
      </c>
      <c r="G29" s="243" t="s">
        <v>170</v>
      </c>
      <c r="H29" s="243" t="s">
        <v>170</v>
      </c>
      <c r="I29" s="243" t="s">
        <v>170</v>
      </c>
    </row>
    <row r="30" spans="1:9" x14ac:dyDescent="0.25">
      <c r="B30" s="226" t="s">
        <v>218</v>
      </c>
      <c r="C30" s="243" t="s">
        <v>171</v>
      </c>
      <c r="D30" s="243" t="s">
        <v>171</v>
      </c>
      <c r="E30" s="243" t="s">
        <v>171</v>
      </c>
      <c r="F30" s="243" t="s">
        <v>171</v>
      </c>
      <c r="G30" s="243" t="s">
        <v>171</v>
      </c>
      <c r="H30" s="243" t="s">
        <v>171</v>
      </c>
      <c r="I30" s="243" t="s">
        <v>171</v>
      </c>
    </row>
    <row r="31" spans="1:9" x14ac:dyDescent="0.25">
      <c r="B31" s="226" t="s">
        <v>213</v>
      </c>
      <c r="C31" s="253">
        <f t="shared" ref="C31:I31" si="4">C7</f>
        <v>0.01</v>
      </c>
      <c r="D31" s="253">
        <f t="shared" si="4"/>
        <v>0.01</v>
      </c>
      <c r="E31" s="253">
        <f t="shared" si="4"/>
        <v>0.01</v>
      </c>
      <c r="F31" s="253">
        <f t="shared" si="4"/>
        <v>0.01</v>
      </c>
      <c r="G31" s="253">
        <f t="shared" si="4"/>
        <v>0.01</v>
      </c>
      <c r="H31" s="253">
        <f t="shared" si="4"/>
        <v>0.01</v>
      </c>
      <c r="I31" s="253">
        <f t="shared" si="4"/>
        <v>0.01</v>
      </c>
    </row>
    <row r="32" spans="1:9" x14ac:dyDescent="0.25">
      <c r="B32" s="226" t="s">
        <v>228</v>
      </c>
      <c r="C32" s="254" t="str">
        <f>C9</f>
        <v>EUR3ML</v>
      </c>
      <c r="D32" s="254" t="str">
        <f t="shared" ref="D32:I32" si="5">D9</f>
        <v>EUR3ML</v>
      </c>
      <c r="E32" s="254" t="str">
        <f t="shared" si="5"/>
        <v>EUR3ML</v>
      </c>
      <c r="F32" s="254" t="str">
        <f t="shared" si="5"/>
        <v>EUR3ML</v>
      </c>
      <c r="G32" s="254" t="str">
        <f t="shared" si="5"/>
        <v>EUR3ML</v>
      </c>
      <c r="H32" s="254" t="str">
        <f t="shared" si="5"/>
        <v>EUR3ML</v>
      </c>
      <c r="I32" s="254" t="str">
        <f t="shared" si="5"/>
        <v>EUR3ML</v>
      </c>
    </row>
    <row r="33" spans="2:9" x14ac:dyDescent="0.25">
      <c r="B33" s="226" t="s">
        <v>226</v>
      </c>
      <c r="C33" s="255">
        <f t="shared" ref="C33:I33" si="6">C10</f>
        <v>0</v>
      </c>
      <c r="D33" s="255">
        <f t="shared" si="6"/>
        <v>0</v>
      </c>
      <c r="E33" s="255">
        <f t="shared" si="6"/>
        <v>0</v>
      </c>
      <c r="F33" s="255">
        <f t="shared" si="6"/>
        <v>0</v>
      </c>
      <c r="G33" s="255">
        <f t="shared" si="6"/>
        <v>0</v>
      </c>
      <c r="H33" s="255">
        <f t="shared" si="6"/>
        <v>0</v>
      </c>
      <c r="I33" s="255">
        <f t="shared" si="6"/>
        <v>0</v>
      </c>
    </row>
    <row r="34" spans="2:9" x14ac:dyDescent="0.25">
      <c r="B34" s="226" t="s">
        <v>219</v>
      </c>
      <c r="C34" s="246" t="str">
        <f t="shared" ref="C34:I34" si="7">VLOOKUP(C9,Settings.LookupTable.ForecastCurve,2,0)</f>
        <v>Quarterly</v>
      </c>
      <c r="D34" s="246" t="str">
        <f t="shared" si="7"/>
        <v>Quarterly</v>
      </c>
      <c r="E34" s="246" t="str">
        <f t="shared" si="7"/>
        <v>Quarterly</v>
      </c>
      <c r="F34" s="246" t="str">
        <f t="shared" si="7"/>
        <v>Quarterly</v>
      </c>
      <c r="G34" s="246" t="str">
        <f t="shared" si="7"/>
        <v>Quarterly</v>
      </c>
      <c r="H34" s="246" t="str">
        <f t="shared" si="7"/>
        <v>Quarterly</v>
      </c>
      <c r="I34" s="246" t="str">
        <f t="shared" si="7"/>
        <v>Quarterly</v>
      </c>
    </row>
    <row r="35" spans="2:9" x14ac:dyDescent="0.25">
      <c r="B35" s="226" t="s">
        <v>220</v>
      </c>
      <c r="C35" s="243" t="s">
        <v>6</v>
      </c>
      <c r="D35" s="243" t="s">
        <v>6</v>
      </c>
      <c r="E35" s="243" t="s">
        <v>6</v>
      </c>
      <c r="F35" s="243" t="s">
        <v>6</v>
      </c>
      <c r="G35" s="243" t="s">
        <v>6</v>
      </c>
      <c r="H35" s="243" t="s">
        <v>6</v>
      </c>
      <c r="I35" s="243" t="s">
        <v>6</v>
      </c>
    </row>
    <row r="36" spans="2:9" x14ac:dyDescent="0.25">
      <c r="B36" s="226" t="s">
        <v>348</v>
      </c>
      <c r="C36" s="244" t="s">
        <v>22</v>
      </c>
      <c r="D36" s="244" t="s">
        <v>22</v>
      </c>
      <c r="E36" s="244" t="s">
        <v>22</v>
      </c>
      <c r="F36" s="244" t="s">
        <v>22</v>
      </c>
      <c r="G36" s="244" t="s">
        <v>22</v>
      </c>
      <c r="H36" s="244" t="s">
        <v>22</v>
      </c>
      <c r="I36" s="244" t="s">
        <v>22</v>
      </c>
    </row>
    <row r="37" spans="2:9" x14ac:dyDescent="0.25">
      <c r="B37" s="226" t="s">
        <v>349</v>
      </c>
      <c r="C37" s="244" t="s">
        <v>2</v>
      </c>
      <c r="D37" s="244" t="s">
        <v>2</v>
      </c>
      <c r="E37" s="244" t="s">
        <v>2</v>
      </c>
      <c r="F37" s="244" t="s">
        <v>2</v>
      </c>
      <c r="G37" s="244" t="s">
        <v>2</v>
      </c>
      <c r="H37" s="244" t="s">
        <v>2</v>
      </c>
      <c r="I37" s="244" t="s">
        <v>2</v>
      </c>
    </row>
    <row r="38" spans="2:9" x14ac:dyDescent="0.25">
      <c r="B38" s="226" t="s">
        <v>344</v>
      </c>
      <c r="C38" s="244" t="s">
        <v>22</v>
      </c>
      <c r="D38" s="244" t="s">
        <v>22</v>
      </c>
      <c r="E38" s="244" t="s">
        <v>22</v>
      </c>
      <c r="F38" s="244" t="s">
        <v>22</v>
      </c>
      <c r="G38" s="244" t="s">
        <v>22</v>
      </c>
      <c r="H38" s="244" t="s">
        <v>22</v>
      </c>
      <c r="I38" s="244" t="s">
        <v>22</v>
      </c>
    </row>
    <row r="39" spans="2:9" x14ac:dyDescent="0.25">
      <c r="B39" s="226" t="s">
        <v>345</v>
      </c>
      <c r="C39" s="244" t="s">
        <v>2</v>
      </c>
      <c r="D39" s="244" t="s">
        <v>2</v>
      </c>
      <c r="E39" s="244" t="s">
        <v>2</v>
      </c>
      <c r="F39" s="244" t="s">
        <v>2</v>
      </c>
      <c r="G39" s="244" t="s">
        <v>2</v>
      </c>
      <c r="H39" s="244" t="s">
        <v>2</v>
      </c>
      <c r="I39" s="244" t="s">
        <v>2</v>
      </c>
    </row>
    <row r="40" spans="2:9" x14ac:dyDescent="0.25">
      <c r="B40" s="226" t="s">
        <v>346</v>
      </c>
      <c r="C40" s="244" t="s">
        <v>22</v>
      </c>
      <c r="D40" s="244" t="s">
        <v>22</v>
      </c>
      <c r="E40" s="244" t="s">
        <v>22</v>
      </c>
      <c r="F40" s="244" t="s">
        <v>22</v>
      </c>
      <c r="G40" s="244" t="s">
        <v>22</v>
      </c>
      <c r="H40" s="244" t="s">
        <v>22</v>
      </c>
      <c r="I40" s="244" t="s">
        <v>22</v>
      </c>
    </row>
    <row r="41" spans="2:9" x14ac:dyDescent="0.25">
      <c r="B41" s="226" t="s">
        <v>347</v>
      </c>
      <c r="C41" s="244" t="s">
        <v>2</v>
      </c>
      <c r="D41" s="244" t="s">
        <v>2</v>
      </c>
      <c r="E41" s="244" t="s">
        <v>2</v>
      </c>
      <c r="F41" s="244" t="s">
        <v>2</v>
      </c>
      <c r="G41" s="244" t="s">
        <v>2</v>
      </c>
      <c r="H41" s="244" t="s">
        <v>2</v>
      </c>
      <c r="I41" s="244" t="s">
        <v>2</v>
      </c>
    </row>
    <row r="42" spans="2:9" x14ac:dyDescent="0.25">
      <c r="B42" s="226" t="s">
        <v>237</v>
      </c>
      <c r="C42" s="245"/>
      <c r="D42" s="245"/>
      <c r="E42" s="245"/>
      <c r="F42" s="245"/>
      <c r="G42" s="245"/>
      <c r="H42" s="245"/>
      <c r="I42" s="245"/>
    </row>
    <row r="43" spans="2:9" x14ac:dyDescent="0.25">
      <c r="B43" s="226" t="s">
        <v>238</v>
      </c>
      <c r="C43" s="245"/>
      <c r="D43" s="245"/>
      <c r="E43" s="245"/>
      <c r="F43" s="245"/>
      <c r="G43" s="245"/>
      <c r="H43" s="245"/>
      <c r="I43" s="245"/>
    </row>
    <row r="44" spans="2:9" x14ac:dyDescent="0.25">
      <c r="B44" s="226" t="s">
        <v>221</v>
      </c>
      <c r="C44" s="244" t="s">
        <v>372</v>
      </c>
      <c r="D44" s="244" t="s">
        <v>372</v>
      </c>
      <c r="E44" s="244" t="s">
        <v>372</v>
      </c>
      <c r="F44" s="244" t="s">
        <v>372</v>
      </c>
      <c r="G44" s="244" t="s">
        <v>372</v>
      </c>
      <c r="H44" s="244" t="s">
        <v>372</v>
      </c>
      <c r="I44" s="244" t="s">
        <v>372</v>
      </c>
    </row>
    <row r="45" spans="2:9" x14ac:dyDescent="0.25">
      <c r="B45" s="226" t="s">
        <v>222</v>
      </c>
      <c r="C45" s="243" t="s">
        <v>170</v>
      </c>
      <c r="D45" s="243" t="s">
        <v>170</v>
      </c>
      <c r="E45" s="243" t="s">
        <v>170</v>
      </c>
      <c r="F45" s="243" t="s">
        <v>170</v>
      </c>
      <c r="G45" s="243" t="s">
        <v>170</v>
      </c>
      <c r="H45" s="243" t="s">
        <v>170</v>
      </c>
      <c r="I45" s="243" t="s">
        <v>170</v>
      </c>
    </row>
    <row r="46" spans="2:9" x14ac:dyDescent="0.25">
      <c r="B46" s="226" t="s">
        <v>223</v>
      </c>
      <c r="C46" s="247"/>
      <c r="D46" s="247"/>
      <c r="E46" s="247"/>
      <c r="F46" s="247"/>
      <c r="G46" s="247"/>
      <c r="H46" s="247"/>
      <c r="I46" s="247"/>
    </row>
    <row r="47" spans="2:9" x14ac:dyDescent="0.25">
      <c r="B47" s="226" t="s">
        <v>224</v>
      </c>
      <c r="C47" s="247"/>
      <c r="D47" s="247"/>
      <c r="E47" s="247"/>
      <c r="F47" s="247"/>
      <c r="G47" s="247"/>
      <c r="H47" s="247"/>
      <c r="I47" s="247"/>
    </row>
    <row r="48" spans="2:9" x14ac:dyDescent="0.25">
      <c r="B48" s="226" t="s">
        <v>225</v>
      </c>
      <c r="C48" s="243" t="s">
        <v>170</v>
      </c>
      <c r="D48" s="243" t="s">
        <v>170</v>
      </c>
      <c r="E48" s="243" t="s">
        <v>170</v>
      </c>
      <c r="F48" s="243" t="s">
        <v>170</v>
      </c>
      <c r="G48" s="243" t="s">
        <v>170</v>
      </c>
      <c r="H48" s="243" t="s">
        <v>170</v>
      </c>
      <c r="I48" s="243" t="s">
        <v>170</v>
      </c>
    </row>
    <row r="49" spans="2:10" x14ac:dyDescent="0.25">
      <c r="B49" s="226" t="s">
        <v>227</v>
      </c>
      <c r="C49" s="243" t="s">
        <v>171</v>
      </c>
      <c r="D49" s="243" t="s">
        <v>171</v>
      </c>
      <c r="E49" s="243" t="s">
        <v>171</v>
      </c>
      <c r="F49" s="243" t="s">
        <v>171</v>
      </c>
      <c r="G49" s="243" t="s">
        <v>171</v>
      </c>
      <c r="H49" s="243" t="s">
        <v>171</v>
      </c>
      <c r="I49" s="243" t="s">
        <v>171</v>
      </c>
    </row>
    <row r="50" spans="2:10" x14ac:dyDescent="0.25">
      <c r="B50" s="226" t="s">
        <v>80</v>
      </c>
      <c r="C50" s="228" t="s">
        <v>78</v>
      </c>
      <c r="D50" s="228" t="s">
        <v>78</v>
      </c>
      <c r="E50" s="228" t="s">
        <v>78</v>
      </c>
      <c r="F50" s="228" t="s">
        <v>78</v>
      </c>
      <c r="G50" s="228" t="s">
        <v>78</v>
      </c>
      <c r="H50" s="228" t="s">
        <v>78</v>
      </c>
      <c r="I50" s="228" t="s">
        <v>78</v>
      </c>
    </row>
    <row r="51" spans="2:10" x14ac:dyDescent="0.25">
      <c r="B51" s="227" t="s">
        <v>229</v>
      </c>
      <c r="C51" s="302" t="str">
        <f>C11</f>
        <v>EUROIS</v>
      </c>
      <c r="D51" s="272" t="str">
        <f t="shared" ref="D51:I51" si="8">D11</f>
        <v>EUROIS</v>
      </c>
      <c r="E51" s="272" t="str">
        <f t="shared" si="8"/>
        <v>EUROIS</v>
      </c>
      <c r="F51" s="272" t="str">
        <f t="shared" si="8"/>
        <v>EUROIS</v>
      </c>
      <c r="G51" s="272" t="str">
        <f t="shared" si="8"/>
        <v>EUROIS</v>
      </c>
      <c r="H51" s="272" t="str">
        <f t="shared" si="8"/>
        <v>EUROIS</v>
      </c>
      <c r="I51" s="272" t="str">
        <f t="shared" si="8"/>
        <v>EUROIS</v>
      </c>
    </row>
    <row r="53" spans="2:10" x14ac:dyDescent="0.25">
      <c r="B53" s="252" t="s">
        <v>338</v>
      </c>
      <c r="C53" s="248"/>
    </row>
    <row r="54" spans="2:10" x14ac:dyDescent="0.25">
      <c r="B54" s="229" t="s">
        <v>326</v>
      </c>
      <c r="C54" s="230">
        <f ca="1">IF(AND(NOW(),isEUR12MLLoaded),_xll.meProductSwapParRate($B$14:$C$51,FALSE),"Load Curve")</f>
        <v>-2.8448910501778545E-3</v>
      </c>
      <c r="D54" s="230">
        <f ca="1">IF(AND(NOW(),isEUR12MLLoaded),_xll.meProductSwapParRate(_xll.meUtilityLVBFromKeysValues($B$15:$B$51,D15:D51),FALSE),"Load Curve")</f>
        <v>-2.9633592719110415E-3</v>
      </c>
      <c r="E54" s="230">
        <f ca="1">IF(AND(NOW(),isEUR12MLLoaded),_xll.meProductSwapParRate(_xll.meUtilityLVBFromKeysValues($B$15:$B$51,E15:E51),FALSE),"Load Curve")</f>
        <v>-2.649999988302541E-3</v>
      </c>
      <c r="F54" s="230">
        <f ca="1">IF(AND(NOW(),isEUR12MLLoaded),_xll.meProductSwapParRate(_xll.meUtilityLVBFromKeysValues($B$15:$B$51,F15:F51),FALSE),"Load Curve")</f>
        <v>-2.0499999875799755E-3</v>
      </c>
      <c r="G54" s="230">
        <f ca="1">IF(AND(NOW(),isEUR12MLLoaded),_xll.meProductSwapParRate(_xll.meUtilityLVBFromKeysValues($B$15:$B$51,G15:G51),FALSE),"Load Curve")</f>
        <v>8.432500225281336E-3</v>
      </c>
      <c r="H54" s="230">
        <f ca="1">IF(AND(NOW(),isEUR12MLLoaded),_xll.meProductSwapParRate(_xll.meUtilityLVBFromKeysValues($B$15:$B$51,H15:H51),FALSE),"Load Curve")</f>
        <v>8.9148457386586163E-3</v>
      </c>
      <c r="I54" s="230">
        <f ca="1">IF(AND(NOW(),isEUR12MLLoaded),_xll.meProductSwapParRate(_xll.meUtilityLVBFromKeysValues($B$15:$B$51,I15:I51),FALSE),"Load Curve")</f>
        <v>9.3214639134489852E-3</v>
      </c>
      <c r="J54" s="107" t="s">
        <v>4</v>
      </c>
    </row>
    <row r="55" spans="2:10" x14ac:dyDescent="0.25">
      <c r="B55" s="231" t="s">
        <v>327</v>
      </c>
      <c r="C55" s="233">
        <f ca="1">IF(AND(NOW(),isEUR12MLLoaded),_xll.meProductSwapPV(B14:C51,FALSE),"Load Curve")</f>
        <v>12895.080610516809</v>
      </c>
      <c r="D55" s="233">
        <f ca="1">IF(AND(NOW(),isEUR12MLLoaded),_xll.meProductSwapPV(_xll.meUtilityLVBFromKeysValues($B$15:$B$51,D15:D51),FALSE),"Load Curve")</f>
        <v>26156.57031610905</v>
      </c>
      <c r="E55" s="233">
        <f ca="1">IF(AND(NOW(),isEUR12MLLoaded),_xll.meProductSwapPV(_xll.meUtilityLVBFromKeysValues($B$15:$B$51,E15:E51),FALSE),"Load Curve")</f>
        <v>38288.480444219371</v>
      </c>
      <c r="F55" s="233">
        <f ca="1">IF(AND(NOW(),isEUR12MLLoaded),_xll.meProductSwapPV(_xll.meUtilityLVBFromKeysValues($B$15:$B$51,F15:F51),FALSE),"Load Curve")</f>
        <v>48657.872893749685</v>
      </c>
      <c r="G55" s="233">
        <f ca="1">IF(AND(NOW(),isEUR12MLLoaded),_xll.meProductSwapPV(_xll.meUtilityLVBFromKeysValues($B$15:$B$51,G15:G51),FALSE),"Load Curve")</f>
        <v>22973.611976748132</v>
      </c>
      <c r="H55" s="233">
        <f ca="1">IF(AND(NOW(),isEUR12MLLoaded),_xll.meProductSwapPV(_xll.meUtilityLVBFromKeysValues($B$15:$B$51,H15:H51),FALSE),"Load Curve")</f>
        <v>16862.269296072762</v>
      </c>
      <c r="I55" s="233">
        <f ca="1">IF(AND(NOW(),isEUR12MLLoaded),_xll.meProductSwapPV(_xll.meUtilityLVBFromKeysValues($B$15:$B$51,I15:I51),FALSE),"Load Curve")</f>
        <v>11133.817769329118</v>
      </c>
      <c r="J55" s="107" t="s">
        <v>4</v>
      </c>
    </row>
    <row r="56" spans="2:10" x14ac:dyDescent="0.25">
      <c r="B56" s="231" t="s">
        <v>328</v>
      </c>
      <c r="C56" s="233">
        <f ca="1">IF(AND(NOW(),isEUR12MLLoaded),_xll.meProductSwapPV01(B15:C51,FALSE),"Load Curve")</f>
        <v>100.39073558617891</v>
      </c>
      <c r="D56" s="233">
        <f ca="1">IF(AND(NOW(),isEUR12MLLoaded),_xll.meProductSwapPV01(_xll.meUtilityLVBFromKeysValues($B$15:$B$51,D15:D51),FALSE),"Load Curve")</f>
        <v>201.77309234313017</v>
      </c>
      <c r="E56" s="233">
        <f ca="1">IF(AND(NOW(),isEUR12MLLoaded),_xll.meProductSwapPV01(_xll.meUtilityLVBFromKeysValues($B$15:$B$51,E15:E51),FALSE),"Load Curve")</f>
        <v>302.6757774728265</v>
      </c>
      <c r="F56" s="233">
        <f ca="1">IF(AND(NOW(),isEUR12MLLoaded),_xll.meProductSwapPV01(_xll.meUtilityLVBFromKeysValues($B$15:$B$51,F15:F51),FALSE),"Load Curve")</f>
        <v>403.79981666881946</v>
      </c>
      <c r="G56" s="233">
        <f ca="1">IF(AND(NOW(),isEUR12MLLoaded),_xll.meProductSwapPV01(_xll.meUtilityLVBFromKeysValues($B$15:$B$51,G15:G51),FALSE),"Load Curve")</f>
        <v>1465.592999629446</v>
      </c>
      <c r="H56" s="233">
        <f ca="1">IF(AND(NOW(),isEUR12MLLoaded),_xll.meProductSwapPV01(_xll.meUtilityLVBFromKeysValues($B$15:$B$51,H15:H51),FALSE),"Load Curve")</f>
        <v>1553.9052738206012</v>
      </c>
      <c r="I56" s="233">
        <f ca="1">IF(AND(NOW(),isEUR12MLLoaded),_xll.meProductSwapPV01(_xll.meUtilityLVBFromKeysValues($B$15:$B$51,I15:I51),FALSE),"Load Curve")</f>
        <v>1640.8586057555312</v>
      </c>
      <c r="J56" s="107" t="s">
        <v>4</v>
      </c>
    </row>
    <row r="57" spans="2:10" x14ac:dyDescent="0.25">
      <c r="B57" s="232" t="s">
        <v>329</v>
      </c>
      <c r="C57" s="234">
        <f ca="1">IF(AND(NOW(),isEUR12MLLoaded),_xll.meProductSwapDV01(B15:C51,FALSE),"Load Curve")</f>
        <v>101.87493504359524</v>
      </c>
      <c r="D57" s="234">
        <f ca="1">IF(AND(NOW(),isEUR12MLLoaded),_xll.meProductSwapDV01(_xll.meUtilityLVBFromKeysValues($B$15:$B$51,D15:D51),FALSE),"Load Curve")</f>
        <v>206.12120037746089</v>
      </c>
      <c r="E57" s="234">
        <f ca="1">IF(AND(NOW(),isEUR12MLLoaded),_xll.meProductSwapDV01(_xll.meUtilityLVBFromKeysValues($B$15:$B$51,E15:E51),FALSE),"Load Curve")</f>
        <v>311.06676366812229</v>
      </c>
      <c r="F57" s="234">
        <f ca="1">IF(AND(NOW(),isEUR12MLLoaded),_xll.meProductSwapDV01(_xll.meUtilityLVBFromKeysValues($B$15:$B$51,F15:F51),FALSE),"Load Curve")</f>
        <v>417.21952537301803</v>
      </c>
      <c r="G57" s="234">
        <f ca="1">IF(AND(NOW(),isEUR12MLLoaded),_xll.meProductSwapDV01(_xll.meUtilityLVBFromKeysValues($B$15:$B$51,G15:G51),FALSE),"Load Curve")</f>
        <v>1487.1761357958692</v>
      </c>
      <c r="H57" s="234">
        <f ca="1">IF(AND(NOW(),isEUR12MLLoaded),_xll.meProductSwapDV01(_xll.meUtilityLVBFromKeysValues($B$15:$B$51,H15:H51),FALSE),"Load Curve")</f>
        <v>1570.5905125811355</v>
      </c>
      <c r="I57" s="234">
        <f ca="1">IF(AND(NOW(),isEUR12MLLoaded),_xll.meProductSwapDV01(_xll.meUtilityLVBFromKeysValues($B$15:$B$51,I15:I51),FALSE),"Load Curve")</f>
        <v>1652.4171846993252</v>
      </c>
      <c r="J57" s="300"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BD115"/>
  <sheetViews>
    <sheetView showGridLines="0" tabSelected="1" workbookViewId="0"/>
  </sheetViews>
  <sheetFormatPr defaultRowHeight="15" outlineLevelRow="1" x14ac:dyDescent="0.25"/>
  <cols>
    <col min="1" max="1" width="9.140625" style="277"/>
    <col min="2" max="2" width="35.5703125" style="280" customWidth="1"/>
    <col min="3" max="6" width="15.7109375" style="279" hidden="1" customWidth="1"/>
    <col min="7" max="9" width="10.7109375" style="279" customWidth="1"/>
    <col min="10" max="10" width="15.7109375" style="281" hidden="1" customWidth="1"/>
    <col min="11" max="11" width="9.140625" style="277"/>
    <col min="12" max="12" width="34.28515625" style="277" customWidth="1"/>
    <col min="13" max="15" width="10.7109375" style="277" customWidth="1"/>
    <col min="16" max="16" width="9.140625" style="277"/>
    <col min="17" max="17" width="35" style="277" customWidth="1"/>
    <col min="18" max="20" width="10.7109375" style="277" customWidth="1"/>
    <col min="21" max="21" width="9.140625" style="277"/>
    <col min="22" max="22" width="34.7109375" style="277" customWidth="1"/>
    <col min="23" max="25" width="10.7109375" style="277" customWidth="1"/>
    <col min="26" max="26" width="9.140625" style="277"/>
    <col min="27" max="27" width="34.7109375" style="277" customWidth="1"/>
    <col min="28" max="30" width="10.7109375" style="277" customWidth="1"/>
    <col min="31" max="31" width="9.140625" style="277"/>
    <col min="32" max="32" width="34.7109375" style="277" customWidth="1"/>
    <col min="33" max="35" width="10.7109375" style="277" customWidth="1"/>
    <col min="36" max="36" width="9.140625" style="277"/>
    <col min="37" max="37" width="34.7109375" style="277" customWidth="1"/>
    <col min="38" max="40" width="10.7109375" style="277" customWidth="1"/>
    <col min="41" max="41" width="9.140625" style="277"/>
    <col min="42" max="42" width="34.7109375" style="277" customWidth="1"/>
    <col min="43" max="45" width="10.7109375" style="277" customWidth="1"/>
    <col min="46" max="46" width="9.140625" style="277"/>
    <col min="47" max="47" width="34.7109375" style="277" customWidth="1"/>
    <col min="48" max="50" width="10.7109375" style="277" customWidth="1"/>
    <col min="51" max="51" width="9.140625" style="277"/>
    <col min="52" max="52" width="34.7109375" style="277" customWidth="1"/>
    <col min="53" max="55" width="10.7109375" style="277" customWidth="1"/>
    <col min="56" max="16384" width="9.140625" style="277"/>
  </cols>
  <sheetData>
    <row r="2" spans="2:56" ht="23.25" x14ac:dyDescent="0.25">
      <c r="B2" s="282" t="s">
        <v>367</v>
      </c>
    </row>
    <row r="4" spans="2:56" ht="23.25" x14ac:dyDescent="0.25">
      <c r="B4" s="283" t="s">
        <v>366</v>
      </c>
    </row>
    <row r="5" spans="2:56" x14ac:dyDescent="0.25">
      <c r="B5" s="284"/>
    </row>
    <row r="6" spans="2:56" x14ac:dyDescent="0.25">
      <c r="B6" s="284"/>
      <c r="C6" s="278"/>
      <c r="D6" s="278"/>
      <c r="E6" s="278"/>
      <c r="F6" s="278"/>
      <c r="G6" s="278"/>
      <c r="H6" s="278"/>
      <c r="I6" s="278"/>
      <c r="U6" s="331" t="s">
        <v>463</v>
      </c>
      <c r="AE6" s="331" t="s">
        <v>463</v>
      </c>
      <c r="AT6" s="331" t="s">
        <v>463</v>
      </c>
      <c r="BD6" s="331" t="s">
        <v>463</v>
      </c>
    </row>
    <row r="7" spans="2:56" x14ac:dyDescent="0.25">
      <c r="B7" s="292" t="s">
        <v>369</v>
      </c>
      <c r="C7" s="295">
        <f t="shared" ref="C7:I7" ca="1" si="0">SUBTOTAL(9,C11:C79)</f>
        <v>-102.82756135629825</v>
      </c>
      <c r="D7" s="295">
        <f t="shared" ca="1" si="0"/>
        <v>-206.33147299722623</v>
      </c>
      <c r="E7" s="295">
        <f t="shared" ca="1" si="0"/>
        <v>-609.2595164100203</v>
      </c>
      <c r="F7" s="295">
        <f t="shared" ca="1" si="0"/>
        <v>-811.2780650422792</v>
      </c>
      <c r="G7" s="295">
        <f t="shared" ca="1" si="0"/>
        <v>-2931.1164103735791</v>
      </c>
      <c r="H7" s="295">
        <f t="shared" ca="1" si="0"/>
        <v>-3108.2548109974596</v>
      </c>
      <c r="I7" s="308">
        <f t="shared" ca="1" si="0"/>
        <v>-3282.3400279547059</v>
      </c>
      <c r="J7" s="296" t="s">
        <v>368</v>
      </c>
      <c r="L7" s="292" t="s">
        <v>369</v>
      </c>
      <c r="M7" s="295">
        <f ca="1">SUBTOTAL(9,M11:M79)</f>
        <v>-2931.3770521835522</v>
      </c>
      <c r="N7" s="295">
        <f ca="1">SUBTOTAL(9,N11:N79)</f>
        <v>-3108.2832145630682</v>
      </c>
      <c r="O7" s="308">
        <f ca="1">SUBTOTAL(9,O11:O79)</f>
        <v>-3281.7878818570935</v>
      </c>
      <c r="Q7" s="292" t="s">
        <v>369</v>
      </c>
      <c r="R7" s="295">
        <f ca="1">SUBTOTAL(9,R11:R79)</f>
        <v>-2930.9947529793371</v>
      </c>
      <c r="S7" s="295">
        <f ca="1">SUBTOTAL(9,S11:S79)</f>
        <v>-3144.4363951325149</v>
      </c>
      <c r="T7" s="308">
        <f ca="1">SUBTOTAL(9,T11:T79)</f>
        <v>-3434.9171386815215</v>
      </c>
      <c r="U7" s="332">
        <f ca="1">O7-T7</f>
        <v>153.12925682442801</v>
      </c>
      <c r="V7" s="292" t="s">
        <v>369</v>
      </c>
      <c r="W7" s="295">
        <f ca="1">SUBTOTAL(9,W11:W79)</f>
        <v>-2930.4190898359157</v>
      </c>
      <c r="X7" s="295">
        <f ca="1">SUBTOTAL(9,X11:X79)</f>
        <v>-2944.9809823941814</v>
      </c>
      <c r="Y7" s="308">
        <f ca="1">SUBTOTAL(9,Y11:Y79)</f>
        <v>-3016.7925293460466</v>
      </c>
      <c r="AA7" s="292" t="s">
        <v>369</v>
      </c>
      <c r="AB7" s="295">
        <f ca="1">SUBTOTAL(9,AB11:AB79)</f>
        <v>-2931.5704161227586</v>
      </c>
      <c r="AC7" s="295">
        <f ca="1">SUBTOTAL(9,AC11:AC79)</f>
        <v>-3343.8918078708484</v>
      </c>
      <c r="AD7" s="308">
        <f ca="1">SUBTOTAL(9,AD11:AD79)</f>
        <v>-3853.0417480169963</v>
      </c>
      <c r="AE7" s="332">
        <f ca="1">Y7-AD7</f>
        <v>836.24921867094963</v>
      </c>
      <c r="AF7" s="292" t="s">
        <v>369</v>
      </c>
      <c r="AG7" s="295">
        <f ca="1">SUBTOTAL(9,AG11:AG79)</f>
        <v>-2931.1164103735791</v>
      </c>
      <c r="AH7" s="295">
        <f ca="1">SUBTOTAL(9,AH11:AH79)</f>
        <v>-3108.2548109974596</v>
      </c>
      <c r="AI7" s="308">
        <f ca="1">SUBTOTAL(9,AI11:AI79)</f>
        <v>-3282.3400279547059</v>
      </c>
      <c r="AK7" s="292" t="s">
        <v>369</v>
      </c>
      <c r="AL7" s="295">
        <f ca="1">SUBTOTAL(9,AL11:AL79)</f>
        <v>-2920.9176514606952</v>
      </c>
      <c r="AM7" s="295">
        <f ca="1">SUBTOTAL(9,AM11:AM79)</f>
        <v>-3099.5677711136523</v>
      </c>
      <c r="AN7" s="308">
        <f ca="1">SUBTOTAL(9,AN11:AN79)</f>
        <v>-3278.1310314412622</v>
      </c>
      <c r="AP7" s="292" t="s">
        <v>369</v>
      </c>
      <c r="AQ7" s="295">
        <f ca="1">SUBTOTAL(9,AQ11:AQ79)</f>
        <v>-2941.3151692864631</v>
      </c>
      <c r="AR7" s="295">
        <f ca="1">SUBTOTAL(9,AR11:AR79)</f>
        <v>-3116.9418508812669</v>
      </c>
      <c r="AS7" s="308">
        <f ca="1">SUBTOTAL(9,AS11:AS79)</f>
        <v>-3286.5490244681496</v>
      </c>
      <c r="AT7" s="332">
        <f ca="1">AN7-AS7</f>
        <v>8.4179930268874159</v>
      </c>
      <c r="AU7" s="292" t="s">
        <v>369</v>
      </c>
      <c r="AV7" s="295">
        <f ca="1">SUBTOTAL(9,AV11:AV79)</f>
        <v>-2929.0361238448895</v>
      </c>
      <c r="AW7" s="295">
        <f ca="1">SUBTOTAL(9,AW11:AW79)</f>
        <v>-3106.4459516221177</v>
      </c>
      <c r="AX7" s="308">
        <f ca="1">SUBTOTAL(9,AX11:AX79)</f>
        <v>-3280.097525166002</v>
      </c>
      <c r="AZ7" s="292" t="s">
        <v>369</v>
      </c>
      <c r="BA7" s="295">
        <f ca="1">SUBTOTAL(9,BA11:BA79)</f>
        <v>-2931.1164103735791</v>
      </c>
      <c r="BB7" s="295">
        <f ca="1">SUBTOTAL(9,BB11:BB79)</f>
        <v>-3108.2548109974596</v>
      </c>
      <c r="BC7" s="308">
        <f ca="1">SUBTOTAL(9,BC11:BC79)</f>
        <v>-3282.3400279547059</v>
      </c>
      <c r="BD7" s="332">
        <f ca="1">AX7-BC7</f>
        <v>2.2425027887038596</v>
      </c>
    </row>
    <row r="8" spans="2:56" x14ac:dyDescent="0.25">
      <c r="B8" s="277"/>
      <c r="C8" s="277"/>
      <c r="D8" s="277"/>
      <c r="E8" s="277"/>
      <c r="F8" s="277"/>
      <c r="G8" s="277"/>
      <c r="H8" s="277"/>
      <c r="I8" s="277"/>
      <c r="J8" s="277"/>
    </row>
    <row r="9" spans="2:56" x14ac:dyDescent="0.25">
      <c r="B9" s="320" t="str">
        <f ca="1">Interpolation&amp;" "&amp;Settings!$G$13&amp;" Bump Mode: "&amp;Settings.Risk.BumpMode</f>
        <v>MonotoneConvex 0.01 Basis Point(s) Bump Mode: Central</v>
      </c>
      <c r="C9" s="321"/>
      <c r="D9" s="321"/>
      <c r="E9" s="321"/>
      <c r="F9" s="321"/>
      <c r="G9" s="321"/>
      <c r="H9" s="321"/>
      <c r="I9" s="321"/>
      <c r="L9" s="305" t="s">
        <v>456</v>
      </c>
      <c r="M9" s="305"/>
      <c r="Q9" s="305" t="s">
        <v>457</v>
      </c>
      <c r="R9" s="305"/>
      <c r="V9" s="305" t="s">
        <v>461</v>
      </c>
      <c r="AA9" s="305" t="s">
        <v>462</v>
      </c>
      <c r="AF9" s="305" t="s">
        <v>458</v>
      </c>
      <c r="AK9" s="305" t="s">
        <v>459</v>
      </c>
      <c r="AP9" s="305" t="s">
        <v>460</v>
      </c>
      <c r="AU9" s="305" t="s">
        <v>464</v>
      </c>
      <c r="AZ9" s="305" t="s">
        <v>458</v>
      </c>
    </row>
    <row r="10" spans="2:56" x14ac:dyDescent="0.25">
      <c r="B10" s="322" t="str">
        <f t="array" aca="1" ref="B10:J79" ca="1">_xll.meProductSwapDeltaLadder(EURSwaps.Portfolio,Curve.CollectionName,Settings.ForecastCurveSet,Settings.Risk.BumpSize,Settings.Risk.BumpMode)</f>
        <v>Pillars</v>
      </c>
      <c r="C10" s="323" t="str">
        <f ca="1"/>
        <v>IRS_1Y</v>
      </c>
      <c r="D10" s="323" t="str">
        <f ca="1"/>
        <v>IRS_2Y</v>
      </c>
      <c r="E10" s="323" t="str">
        <f ca="1"/>
        <v>IRS_3Y</v>
      </c>
      <c r="F10" s="323" t="str">
        <f ca="1"/>
        <v>IRS_4Y</v>
      </c>
      <c r="G10" s="323" t="str">
        <f ca="1"/>
        <v>IRS_15Y</v>
      </c>
      <c r="H10" s="323" t="str">
        <f ca="1"/>
        <v>IRS_16Y</v>
      </c>
      <c r="I10" s="324" t="str">
        <f ca="1"/>
        <v>IRS_17Y</v>
      </c>
      <c r="J10" s="294" t="str">
        <f ca="1"/>
        <v>Total</v>
      </c>
      <c r="K10" s="277" t="s">
        <v>4</v>
      </c>
      <c r="L10" s="292" t="s">
        <v>384</v>
      </c>
      <c r="M10" s="293" t="s">
        <v>381</v>
      </c>
      <c r="N10" s="293" t="s">
        <v>382</v>
      </c>
      <c r="O10" s="294" t="s">
        <v>383</v>
      </c>
      <c r="Q10" s="292" t="s">
        <v>384</v>
      </c>
      <c r="R10" s="293" t="s">
        <v>381</v>
      </c>
      <c r="S10" s="293" t="s">
        <v>382</v>
      </c>
      <c r="T10" s="294" t="s">
        <v>383</v>
      </c>
      <c r="U10" s="331" t="s">
        <v>463</v>
      </c>
      <c r="V10" s="292" t="s">
        <v>384</v>
      </c>
      <c r="W10" s="293" t="s">
        <v>381</v>
      </c>
      <c r="X10" s="293" t="s">
        <v>382</v>
      </c>
      <c r="Y10" s="294" t="s">
        <v>383</v>
      </c>
      <c r="AA10" s="292" t="s">
        <v>384</v>
      </c>
      <c r="AB10" s="293" t="s">
        <v>381</v>
      </c>
      <c r="AC10" s="293" t="s">
        <v>382</v>
      </c>
      <c r="AD10" s="294" t="s">
        <v>383</v>
      </c>
      <c r="AE10" s="331" t="s">
        <v>463</v>
      </c>
      <c r="AF10" s="292" t="s">
        <v>384</v>
      </c>
      <c r="AG10" s="293" t="s">
        <v>381</v>
      </c>
      <c r="AH10" s="293" t="s">
        <v>382</v>
      </c>
      <c r="AI10" s="294" t="s">
        <v>383</v>
      </c>
      <c r="AK10" s="292" t="s">
        <v>384</v>
      </c>
      <c r="AL10" s="293" t="s">
        <v>381</v>
      </c>
      <c r="AM10" s="293" t="s">
        <v>382</v>
      </c>
      <c r="AN10" s="294" t="s">
        <v>383</v>
      </c>
      <c r="AP10" s="292" t="s">
        <v>384</v>
      </c>
      <c r="AQ10" s="293" t="s">
        <v>381</v>
      </c>
      <c r="AR10" s="293" t="s">
        <v>382</v>
      </c>
      <c r="AS10" s="294" t="s">
        <v>383</v>
      </c>
      <c r="AT10" s="331" t="s">
        <v>463</v>
      </c>
      <c r="AU10" s="292" t="s">
        <v>384</v>
      </c>
      <c r="AV10" s="293" t="s">
        <v>381</v>
      </c>
      <c r="AW10" s="293" t="s">
        <v>382</v>
      </c>
      <c r="AX10" s="294" t="s">
        <v>383</v>
      </c>
      <c r="AY10" s="331"/>
      <c r="AZ10" s="292" t="s">
        <v>384</v>
      </c>
      <c r="BA10" s="293" t="s">
        <v>381</v>
      </c>
      <c r="BB10" s="293" t="s">
        <v>382</v>
      </c>
      <c r="BC10" s="294" t="s">
        <v>383</v>
      </c>
      <c r="BD10" s="331" t="s">
        <v>463</v>
      </c>
    </row>
    <row r="11" spans="2:56" x14ac:dyDescent="0.25">
      <c r="B11" s="325" t="str">
        <f ca="1"/>
        <v>EURYC_STD_O_N</v>
      </c>
      <c r="C11" s="326">
        <f ca="1"/>
        <v>-1.8189894035458565E-9</v>
      </c>
      <c r="D11" s="326">
        <f ca="1"/>
        <v>-4.0017766878008842E-9</v>
      </c>
      <c r="E11" s="326">
        <f ca="1"/>
        <v>2.9103830456733704E-9</v>
      </c>
      <c r="F11" s="326">
        <f ca="1"/>
        <v>1.4551915228366852E-9</v>
      </c>
      <c r="G11" s="326">
        <f ca="1"/>
        <v>4.1836756281554699E-9</v>
      </c>
      <c r="H11" s="326">
        <f ca="1"/>
        <v>2.7284841053187847E-9</v>
      </c>
      <c r="I11" s="327">
        <f ca="1"/>
        <v>1.3642420526593924E-9</v>
      </c>
      <c r="J11" s="288">
        <f ca="1"/>
        <v>6.8212102632969618E-9</v>
      </c>
      <c r="K11" s="277" t="s">
        <v>4</v>
      </c>
      <c r="L11" s="286" t="s">
        <v>385</v>
      </c>
      <c r="M11" s="287">
        <v>-1.4551915228366852E-11</v>
      </c>
      <c r="N11" s="287">
        <v>1.2732925824820995E-11</v>
      </c>
      <c r="O11" s="306">
        <v>-2.7284841053187847E-11</v>
      </c>
      <c r="P11" s="319"/>
      <c r="Q11" s="286" t="s">
        <v>385</v>
      </c>
      <c r="R11" s="287">
        <v>0</v>
      </c>
      <c r="S11" s="287">
        <v>-4.0017766878008842E-11</v>
      </c>
      <c r="T11" s="306">
        <v>-5.5479176808148623E-11</v>
      </c>
      <c r="U11" s="332">
        <f ca="1">O11-T11</f>
        <v>2.8194335754960775E-11</v>
      </c>
      <c r="V11" s="286" t="s">
        <v>385</v>
      </c>
      <c r="W11" s="287">
        <v>4.0017766878008842E-11</v>
      </c>
      <c r="X11" s="287">
        <v>-2.5465851649641991E-11</v>
      </c>
      <c r="Y11" s="306">
        <v>-1.1095835361629725E-10</v>
      </c>
      <c r="AA11" s="286" t="s">
        <v>385</v>
      </c>
      <c r="AB11" s="287">
        <v>-4.0017766878008842E-11</v>
      </c>
      <c r="AC11" s="287">
        <v>-5.4569682106375694E-11</v>
      </c>
      <c r="AD11" s="306">
        <v>0</v>
      </c>
      <c r="AE11" s="332">
        <f ca="1">Y11-AD11</f>
        <v>-1.1095835361629725E-10</v>
      </c>
      <c r="AF11" s="286" t="s">
        <v>385</v>
      </c>
      <c r="AG11" s="287">
        <v>4.1836756281554699E-9</v>
      </c>
      <c r="AH11" s="287">
        <v>2.7284841053187847E-9</v>
      </c>
      <c r="AI11" s="306">
        <v>1.3642420526593924E-9</v>
      </c>
      <c r="AK11" s="286" t="s">
        <v>385</v>
      </c>
      <c r="AL11" s="287">
        <v>1.4551915228366852E-9</v>
      </c>
      <c r="AM11" s="287">
        <v>2.9103830456733704E-9</v>
      </c>
      <c r="AN11" s="306">
        <v>-2.9103830456733704E-9</v>
      </c>
      <c r="AP11" s="286" t="s">
        <v>385</v>
      </c>
      <c r="AQ11" s="287">
        <v>6.9121597334742546E-9</v>
      </c>
      <c r="AR11" s="287">
        <v>2.5465851649641991E-9</v>
      </c>
      <c r="AS11" s="306">
        <v>5.6388671509921551E-9</v>
      </c>
      <c r="AT11" s="332">
        <f ca="1">AN11-AS11</f>
        <v>-8.5492501966655254E-9</v>
      </c>
      <c r="AU11" s="286" t="s">
        <v>385</v>
      </c>
      <c r="AV11" s="287">
        <v>7.2759576141834259E-10</v>
      </c>
      <c r="AW11" s="287">
        <v>2.7284841053187847E-9</v>
      </c>
      <c r="AX11" s="306">
        <v>4.1836756281554699E-9</v>
      </c>
      <c r="AY11" s="332"/>
      <c r="AZ11" s="286" t="s">
        <v>385</v>
      </c>
      <c r="BA11" s="287">
        <v>4.1836756281554699E-9</v>
      </c>
      <c r="BB11" s="287">
        <v>2.7284841053187847E-9</v>
      </c>
      <c r="BC11" s="306">
        <v>1.3642420526593924E-9</v>
      </c>
      <c r="BD11" s="332">
        <f ca="1">AX11-BC11</f>
        <v>2.8194335754960775E-9</v>
      </c>
    </row>
    <row r="12" spans="2:56" x14ac:dyDescent="0.25">
      <c r="B12" s="325" t="str">
        <f ca="1"/>
        <v>EURYC_STD_T_N</v>
      </c>
      <c r="C12" s="326">
        <f ca="1"/>
        <v>-1.8189894035458565E-9</v>
      </c>
      <c r="D12" s="326">
        <f ca="1"/>
        <v>-4.0017766878008842E-9</v>
      </c>
      <c r="E12" s="326">
        <f ca="1"/>
        <v>2.9103830456733704E-9</v>
      </c>
      <c r="F12" s="326">
        <f ca="1"/>
        <v>1.4551915228366852E-9</v>
      </c>
      <c r="G12" s="326">
        <f ca="1"/>
        <v>4.1836756281554699E-9</v>
      </c>
      <c r="H12" s="326">
        <f ca="1"/>
        <v>2.7284841053187847E-9</v>
      </c>
      <c r="I12" s="327">
        <f ca="1"/>
        <v>1.3642420526593924E-9</v>
      </c>
      <c r="J12" s="288">
        <f ca="1"/>
        <v>6.8212102632969618E-9</v>
      </c>
      <c r="K12" s="277" t="s">
        <v>4</v>
      </c>
      <c r="L12" s="286" t="s">
        <v>386</v>
      </c>
      <c r="M12" s="287">
        <v>-1.4551915228366852E-11</v>
      </c>
      <c r="N12" s="287">
        <v>1.2732925824820995E-11</v>
      </c>
      <c r="O12" s="306">
        <v>-2.7284841053187847E-11</v>
      </c>
      <c r="Q12" s="286" t="s">
        <v>386</v>
      </c>
      <c r="R12" s="287">
        <v>0</v>
      </c>
      <c r="S12" s="287">
        <v>-4.0017766878008842E-11</v>
      </c>
      <c r="T12" s="306">
        <v>-5.5479176808148623E-11</v>
      </c>
      <c r="U12" s="332">
        <f t="shared" ref="U12:U75" ca="1" si="1">O12-T12</f>
        <v>2.8194335754960775E-11</v>
      </c>
      <c r="V12" s="286" t="s">
        <v>386</v>
      </c>
      <c r="W12" s="287">
        <v>4.0017766878008842E-11</v>
      </c>
      <c r="X12" s="287">
        <v>-2.5465851649641991E-11</v>
      </c>
      <c r="Y12" s="306">
        <v>-1.1095835361629725E-10</v>
      </c>
      <c r="AA12" s="286" t="s">
        <v>386</v>
      </c>
      <c r="AB12" s="287">
        <v>-4.0017766878008842E-11</v>
      </c>
      <c r="AC12" s="287">
        <v>-5.4569682106375694E-11</v>
      </c>
      <c r="AD12" s="306">
        <v>0</v>
      </c>
      <c r="AE12" s="332">
        <f t="shared" ref="AE12:AE75" ca="1" si="2">Y12-AD12</f>
        <v>-1.1095835361629725E-10</v>
      </c>
      <c r="AF12" s="286" t="s">
        <v>386</v>
      </c>
      <c r="AG12" s="287">
        <v>4.1836756281554699E-9</v>
      </c>
      <c r="AH12" s="287">
        <v>2.7284841053187847E-9</v>
      </c>
      <c r="AI12" s="306">
        <v>1.3642420526593924E-9</v>
      </c>
      <c r="AK12" s="286" t="s">
        <v>386</v>
      </c>
      <c r="AL12" s="287">
        <v>1.4551915228366852E-9</v>
      </c>
      <c r="AM12" s="287">
        <v>2.9103830456733704E-9</v>
      </c>
      <c r="AN12" s="306">
        <v>-2.9103830456733704E-9</v>
      </c>
      <c r="AP12" s="286" t="s">
        <v>386</v>
      </c>
      <c r="AQ12" s="287">
        <v>6.9121597334742546E-9</v>
      </c>
      <c r="AR12" s="287">
        <v>2.5465851649641991E-9</v>
      </c>
      <c r="AS12" s="306">
        <v>5.6388671509921551E-9</v>
      </c>
      <c r="AT12" s="332">
        <f t="shared" ref="AT12:AT75" ca="1" si="3">AN12-AS12</f>
        <v>-8.5492501966655254E-9</v>
      </c>
      <c r="AU12" s="286" t="s">
        <v>386</v>
      </c>
      <c r="AV12" s="287">
        <v>7.2759576141834259E-10</v>
      </c>
      <c r="AW12" s="287">
        <v>2.7284841053187847E-9</v>
      </c>
      <c r="AX12" s="306">
        <v>4.1836756281554699E-9</v>
      </c>
      <c r="AY12" s="332"/>
      <c r="AZ12" s="286" t="s">
        <v>386</v>
      </c>
      <c r="BA12" s="287">
        <v>4.1836756281554699E-9</v>
      </c>
      <c r="BB12" s="287">
        <v>2.7284841053187847E-9</v>
      </c>
      <c r="BC12" s="306">
        <v>1.3642420526593924E-9</v>
      </c>
      <c r="BD12" s="332">
        <f t="shared" ref="BD12:BD75" ca="1" si="4">AX12-BC12</f>
        <v>2.8194335754960775E-9</v>
      </c>
    </row>
    <row r="13" spans="2:56" x14ac:dyDescent="0.25">
      <c r="B13" s="325" t="str">
        <f ca="1"/>
        <v>EURYC_STD_LIBOR_1M</v>
      </c>
      <c r="C13" s="326">
        <f ca="1"/>
        <v>0</v>
      </c>
      <c r="D13" s="326">
        <f ca="1"/>
        <v>0</v>
      </c>
      <c r="E13" s="326">
        <f ca="1"/>
        <v>0</v>
      </c>
      <c r="F13" s="326">
        <f ca="1"/>
        <v>0</v>
      </c>
      <c r="G13" s="326">
        <f ca="1"/>
        <v>0</v>
      </c>
      <c r="H13" s="326">
        <f ca="1"/>
        <v>0</v>
      </c>
      <c r="I13" s="327">
        <f ca="1"/>
        <v>0</v>
      </c>
      <c r="J13" s="288">
        <f ca="1"/>
        <v>0</v>
      </c>
      <c r="K13" s="277" t="s">
        <v>4</v>
      </c>
      <c r="L13" s="286" t="s">
        <v>387</v>
      </c>
      <c r="M13" s="287">
        <v>0</v>
      </c>
      <c r="N13" s="287">
        <v>0</v>
      </c>
      <c r="O13" s="306">
        <v>0</v>
      </c>
      <c r="Q13" s="286" t="s">
        <v>387</v>
      </c>
      <c r="R13" s="287">
        <v>0</v>
      </c>
      <c r="S13" s="287">
        <v>0</v>
      </c>
      <c r="T13" s="306">
        <v>0</v>
      </c>
      <c r="U13" s="332">
        <f t="shared" ca="1" si="1"/>
        <v>0</v>
      </c>
      <c r="V13" s="286" t="s">
        <v>387</v>
      </c>
      <c r="W13" s="287">
        <v>0</v>
      </c>
      <c r="X13" s="287">
        <v>0</v>
      </c>
      <c r="Y13" s="306">
        <v>0</v>
      </c>
      <c r="AA13" s="286" t="s">
        <v>387</v>
      </c>
      <c r="AB13" s="287">
        <v>0</v>
      </c>
      <c r="AC13" s="287">
        <v>0</v>
      </c>
      <c r="AD13" s="306">
        <v>0</v>
      </c>
      <c r="AE13" s="332">
        <f t="shared" ca="1" si="2"/>
        <v>0</v>
      </c>
      <c r="AF13" s="286" t="s">
        <v>387</v>
      </c>
      <c r="AG13" s="287">
        <v>0</v>
      </c>
      <c r="AH13" s="287">
        <v>0</v>
      </c>
      <c r="AI13" s="306">
        <v>0</v>
      </c>
      <c r="AK13" s="286" t="s">
        <v>387</v>
      </c>
      <c r="AL13" s="287">
        <v>0</v>
      </c>
      <c r="AM13" s="287">
        <v>0</v>
      </c>
      <c r="AN13" s="306">
        <v>0</v>
      </c>
      <c r="AP13" s="286" t="s">
        <v>387</v>
      </c>
      <c r="AQ13" s="287">
        <v>0</v>
      </c>
      <c r="AR13" s="287">
        <v>0</v>
      </c>
      <c r="AS13" s="306">
        <v>0</v>
      </c>
      <c r="AT13" s="332">
        <f t="shared" ca="1" si="3"/>
        <v>0</v>
      </c>
      <c r="AU13" s="286" t="s">
        <v>387</v>
      </c>
      <c r="AV13" s="287">
        <v>0</v>
      </c>
      <c r="AW13" s="287">
        <v>0</v>
      </c>
      <c r="AX13" s="306">
        <v>0</v>
      </c>
      <c r="AY13" s="332"/>
      <c r="AZ13" s="286" t="s">
        <v>387</v>
      </c>
      <c r="BA13" s="287">
        <v>0</v>
      </c>
      <c r="BB13" s="287">
        <v>0</v>
      </c>
      <c r="BC13" s="306">
        <v>0</v>
      </c>
      <c r="BD13" s="332">
        <f t="shared" ca="1" si="4"/>
        <v>0</v>
      </c>
    </row>
    <row r="14" spans="2:56" x14ac:dyDescent="0.25">
      <c r="B14" s="325" t="str">
        <f ca="1"/>
        <v>EURYC_STD_LIBOR_3M</v>
      </c>
      <c r="C14" s="326">
        <f ca="1"/>
        <v>-38.120952795270568</v>
      </c>
      <c r="D14" s="326">
        <f ca="1"/>
        <v>-31.028854410760687</v>
      </c>
      <c r="E14" s="326">
        <f ca="1"/>
        <v>6.1872124206274748E-4</v>
      </c>
      <c r="F14" s="326">
        <f ca="1"/>
        <v>4.1874736780300736E-4</v>
      </c>
      <c r="G14" s="326">
        <f ca="1"/>
        <v>-0.19422240202402463</v>
      </c>
      <c r="H14" s="326">
        <f ca="1"/>
        <v>-0.24984916490211617</v>
      </c>
      <c r="I14" s="327">
        <f ca="1"/>
        <v>-0.30863747806506581</v>
      </c>
      <c r="J14" s="288">
        <f ca="1"/>
        <v>-69.901478782412596</v>
      </c>
      <c r="K14" s="277" t="s">
        <v>4</v>
      </c>
      <c r="L14" s="286" t="s">
        <v>388</v>
      </c>
      <c r="M14" s="287">
        <v>-1.1606877238591551E-2</v>
      </c>
      <c r="N14" s="287">
        <v>-1.2322929316724185E-2</v>
      </c>
      <c r="O14" s="306">
        <v>-1.2444120261534408E-2</v>
      </c>
      <c r="Q14" s="286" t="s">
        <v>388</v>
      </c>
      <c r="R14" s="287">
        <v>-1.0059751512017101E-3</v>
      </c>
      <c r="S14" s="287">
        <v>-1.1702516585501144E-3</v>
      </c>
      <c r="T14" s="306">
        <v>-1.0400991732240072E-3</v>
      </c>
      <c r="U14" s="332">
        <f t="shared" ca="1" si="1"/>
        <v>-1.1404021088310401E-2</v>
      </c>
      <c r="V14" s="286" t="s">
        <v>388</v>
      </c>
      <c r="W14" s="287">
        <v>8.5048529217601754E-4</v>
      </c>
      <c r="X14" s="287">
        <v>1.0536886657064315E-3</v>
      </c>
      <c r="Y14" s="306">
        <v>1.1474450002424419E-3</v>
      </c>
      <c r="AA14" s="286" t="s">
        <v>388</v>
      </c>
      <c r="AB14" s="287">
        <v>-2.8624355945794377E-3</v>
      </c>
      <c r="AC14" s="287">
        <v>-3.3941919828066602E-3</v>
      </c>
      <c r="AD14" s="306">
        <v>-3.2276433466904564E-3</v>
      </c>
      <c r="AE14" s="332">
        <f t="shared" ca="1" si="2"/>
        <v>4.3750883469328983E-3</v>
      </c>
      <c r="AF14" s="286" t="s">
        <v>388</v>
      </c>
      <c r="AG14" s="287">
        <v>-0.19422240202402463</v>
      </c>
      <c r="AH14" s="287">
        <v>-0.24984916490211617</v>
      </c>
      <c r="AI14" s="306">
        <v>-0.30863747806506581</v>
      </c>
      <c r="AK14" s="286" t="s">
        <v>388</v>
      </c>
      <c r="AL14" s="287">
        <v>-0.18624309195729438</v>
      </c>
      <c r="AM14" s="287">
        <v>-0.27118487996631302</v>
      </c>
      <c r="AN14" s="306">
        <v>-0.34837138173315907</v>
      </c>
      <c r="AP14" s="286" t="s">
        <v>388</v>
      </c>
      <c r="AQ14" s="287">
        <v>-0.20220171209075488</v>
      </c>
      <c r="AR14" s="287">
        <v>-0.22851344983791932</v>
      </c>
      <c r="AS14" s="306">
        <v>-0.26890357439697254</v>
      </c>
      <c r="AT14" s="332">
        <f t="shared" ca="1" si="3"/>
        <v>-7.9467807336186524E-2</v>
      </c>
      <c r="AU14" s="286" t="s">
        <v>388</v>
      </c>
      <c r="AV14" s="287">
        <v>-1.2864337346400134</v>
      </c>
      <c r="AW14" s="287">
        <v>-1.2846293973780121</v>
      </c>
      <c r="AX14" s="306">
        <v>-1.2720431764137174</v>
      </c>
      <c r="AY14" s="332"/>
      <c r="AZ14" s="286" t="s">
        <v>388</v>
      </c>
      <c r="BA14" s="287">
        <v>-0.19422240202402463</v>
      </c>
      <c r="BB14" s="287">
        <v>-0.24984916490211617</v>
      </c>
      <c r="BC14" s="306">
        <v>-0.30863747806506581</v>
      </c>
      <c r="BD14" s="332">
        <f t="shared" ca="1" si="4"/>
        <v>-0.96340569834865164</v>
      </c>
    </row>
    <row r="15" spans="2:56" x14ac:dyDescent="0.25">
      <c r="B15" s="325" t="str">
        <f ca="1"/>
        <v>EURYC_STD_LIBOR_6M</v>
      </c>
      <c r="C15" s="326">
        <f ca="1"/>
        <v>0</v>
      </c>
      <c r="D15" s="326">
        <f ca="1"/>
        <v>0</v>
      </c>
      <c r="E15" s="326">
        <f ca="1"/>
        <v>0</v>
      </c>
      <c r="F15" s="326">
        <f ca="1"/>
        <v>0</v>
      </c>
      <c r="G15" s="326">
        <f ca="1"/>
        <v>0</v>
      </c>
      <c r="H15" s="326">
        <f ca="1"/>
        <v>0</v>
      </c>
      <c r="I15" s="327">
        <f ca="1"/>
        <v>0</v>
      </c>
      <c r="J15" s="288">
        <f ca="1"/>
        <v>0</v>
      </c>
      <c r="K15" s="277" t="s">
        <v>4</v>
      </c>
      <c r="L15" s="286" t="s">
        <v>389</v>
      </c>
      <c r="M15" s="287">
        <v>0</v>
      </c>
      <c r="N15" s="287">
        <v>0</v>
      </c>
      <c r="O15" s="306">
        <v>0</v>
      </c>
      <c r="Q15" s="286" t="s">
        <v>389</v>
      </c>
      <c r="R15" s="287">
        <v>0</v>
      </c>
      <c r="S15" s="287">
        <v>0</v>
      </c>
      <c r="T15" s="306">
        <v>0</v>
      </c>
      <c r="U15" s="332">
        <f t="shared" ca="1" si="1"/>
        <v>0</v>
      </c>
      <c r="V15" s="286" t="s">
        <v>389</v>
      </c>
      <c r="W15" s="287">
        <v>0</v>
      </c>
      <c r="X15" s="287">
        <v>0</v>
      </c>
      <c r="Y15" s="306">
        <v>0</v>
      </c>
      <c r="AA15" s="286" t="s">
        <v>389</v>
      </c>
      <c r="AB15" s="287">
        <v>0</v>
      </c>
      <c r="AC15" s="287">
        <v>0</v>
      </c>
      <c r="AD15" s="306">
        <v>0</v>
      </c>
      <c r="AE15" s="332">
        <f t="shared" ca="1" si="2"/>
        <v>0</v>
      </c>
      <c r="AF15" s="286" t="s">
        <v>389</v>
      </c>
      <c r="AG15" s="287">
        <v>0</v>
      </c>
      <c r="AH15" s="287">
        <v>0</v>
      </c>
      <c r="AI15" s="306">
        <v>0</v>
      </c>
      <c r="AK15" s="286" t="s">
        <v>389</v>
      </c>
      <c r="AL15" s="287">
        <v>0</v>
      </c>
      <c r="AM15" s="287">
        <v>0</v>
      </c>
      <c r="AN15" s="306">
        <v>0</v>
      </c>
      <c r="AP15" s="286" t="s">
        <v>389</v>
      </c>
      <c r="AQ15" s="287">
        <v>0</v>
      </c>
      <c r="AR15" s="287">
        <v>0</v>
      </c>
      <c r="AS15" s="306">
        <v>0</v>
      </c>
      <c r="AT15" s="332">
        <f t="shared" ca="1" si="3"/>
        <v>0</v>
      </c>
      <c r="AU15" s="286" t="s">
        <v>389</v>
      </c>
      <c r="AV15" s="287">
        <v>0</v>
      </c>
      <c r="AW15" s="287">
        <v>0</v>
      </c>
      <c r="AX15" s="306">
        <v>0</v>
      </c>
      <c r="AY15" s="332"/>
      <c r="AZ15" s="286" t="s">
        <v>389</v>
      </c>
      <c r="BA15" s="287">
        <v>0</v>
      </c>
      <c r="BB15" s="287">
        <v>0</v>
      </c>
      <c r="BC15" s="306">
        <v>0</v>
      </c>
      <c r="BD15" s="332">
        <f t="shared" ca="1" si="4"/>
        <v>0</v>
      </c>
    </row>
    <row r="16" spans="2:56" x14ac:dyDescent="0.25">
      <c r="B16" s="325" t="str">
        <f ca="1"/>
        <v>EURYC_STD_LIBOR_12M</v>
      </c>
      <c r="C16" s="326">
        <f ca="1"/>
        <v>0</v>
      </c>
      <c r="D16" s="326">
        <f ca="1"/>
        <v>0</v>
      </c>
      <c r="E16" s="326">
        <f ca="1"/>
        <v>0</v>
      </c>
      <c r="F16" s="326">
        <f ca="1"/>
        <v>0</v>
      </c>
      <c r="G16" s="326">
        <f ca="1"/>
        <v>0</v>
      </c>
      <c r="H16" s="326">
        <f ca="1"/>
        <v>0</v>
      </c>
      <c r="I16" s="327">
        <f ca="1"/>
        <v>0</v>
      </c>
      <c r="J16" s="288">
        <f ca="1"/>
        <v>0</v>
      </c>
      <c r="K16" s="277" t="s">
        <v>4</v>
      </c>
      <c r="L16" s="286" t="s">
        <v>390</v>
      </c>
      <c r="M16" s="287">
        <v>0</v>
      </c>
      <c r="N16" s="287">
        <v>0</v>
      </c>
      <c r="O16" s="306">
        <v>0</v>
      </c>
      <c r="Q16" s="286" t="s">
        <v>390</v>
      </c>
      <c r="R16" s="287">
        <v>0</v>
      </c>
      <c r="S16" s="287">
        <v>0</v>
      </c>
      <c r="T16" s="306">
        <v>0</v>
      </c>
      <c r="U16" s="332">
        <f t="shared" ca="1" si="1"/>
        <v>0</v>
      </c>
      <c r="V16" s="286" t="s">
        <v>390</v>
      </c>
      <c r="W16" s="287">
        <v>0</v>
      </c>
      <c r="X16" s="287">
        <v>0</v>
      </c>
      <c r="Y16" s="306">
        <v>0</v>
      </c>
      <c r="AA16" s="286" t="s">
        <v>390</v>
      </c>
      <c r="AB16" s="287">
        <v>0</v>
      </c>
      <c r="AC16" s="287">
        <v>0</v>
      </c>
      <c r="AD16" s="306">
        <v>0</v>
      </c>
      <c r="AE16" s="332">
        <f t="shared" ca="1" si="2"/>
        <v>0</v>
      </c>
      <c r="AF16" s="286" t="s">
        <v>390</v>
      </c>
      <c r="AG16" s="287">
        <v>0</v>
      </c>
      <c r="AH16" s="287">
        <v>0</v>
      </c>
      <c r="AI16" s="306">
        <v>0</v>
      </c>
      <c r="AK16" s="286" t="s">
        <v>390</v>
      </c>
      <c r="AL16" s="287">
        <v>0</v>
      </c>
      <c r="AM16" s="287">
        <v>0</v>
      </c>
      <c r="AN16" s="306">
        <v>0</v>
      </c>
      <c r="AP16" s="286" t="s">
        <v>390</v>
      </c>
      <c r="AQ16" s="287">
        <v>0</v>
      </c>
      <c r="AR16" s="287">
        <v>0</v>
      </c>
      <c r="AS16" s="306">
        <v>0</v>
      </c>
      <c r="AT16" s="332">
        <f t="shared" ca="1" si="3"/>
        <v>0</v>
      </c>
      <c r="AU16" s="286" t="s">
        <v>390</v>
      </c>
      <c r="AV16" s="287">
        <v>0</v>
      </c>
      <c r="AW16" s="287">
        <v>0</v>
      </c>
      <c r="AX16" s="306">
        <v>0</v>
      </c>
      <c r="AY16" s="332"/>
      <c r="AZ16" s="286" t="s">
        <v>390</v>
      </c>
      <c r="BA16" s="287">
        <v>0</v>
      </c>
      <c r="BB16" s="287">
        <v>0</v>
      </c>
      <c r="BC16" s="306">
        <v>0</v>
      </c>
      <c r="BD16" s="332">
        <f t="shared" ca="1" si="4"/>
        <v>0</v>
      </c>
    </row>
    <row r="17" spans="2:56" x14ac:dyDescent="0.25">
      <c r="B17" s="325" t="str">
        <f ca="1"/>
        <v>EURYC_STD_FUTURE_ERU6 COMDTY_20160921_20161221</v>
      </c>
      <c r="C17" s="326">
        <f ca="1"/>
        <v>-16.403214724505233</v>
      </c>
      <c r="D17" s="326">
        <f ca="1"/>
        <v>-25.5021972614486</v>
      </c>
      <c r="E17" s="326">
        <f ca="1"/>
        <v>-2.6331981644034386E-4</v>
      </c>
      <c r="F17" s="326">
        <f ca="1"/>
        <v>1.1546981113497168E-4</v>
      </c>
      <c r="G17" s="326">
        <f ca="1"/>
        <v>5.863774276804179E-4</v>
      </c>
      <c r="H17" s="326">
        <f ca="1"/>
        <v>6.9061950853210874E-3</v>
      </c>
      <c r="I17" s="327">
        <f ca="1"/>
        <v>-2.2225178599910578E-2</v>
      </c>
      <c r="J17" s="288">
        <f ca="1"/>
        <v>-41.920292442046048</v>
      </c>
      <c r="K17" s="277" t="s">
        <v>4</v>
      </c>
      <c r="L17" s="286" t="s">
        <v>391</v>
      </c>
      <c r="M17" s="287">
        <v>1.4146388366498286E-3</v>
      </c>
      <c r="N17" s="287">
        <v>3.1684565528848907E-3</v>
      </c>
      <c r="O17" s="306">
        <v>4.4693777290376602E-3</v>
      </c>
      <c r="Q17" s="286" t="s">
        <v>391</v>
      </c>
      <c r="R17" s="287">
        <v>2.1194310047576437E-3</v>
      </c>
      <c r="S17" s="287">
        <v>1.7969619530049386E-3</v>
      </c>
      <c r="T17" s="306">
        <v>1.2909155557281338E-3</v>
      </c>
      <c r="U17" s="332">
        <f t="shared" ca="1" si="1"/>
        <v>3.1784621733095264E-3</v>
      </c>
      <c r="V17" s="286" t="s">
        <v>391</v>
      </c>
      <c r="W17" s="287">
        <v>4.0936058830993716E-3</v>
      </c>
      <c r="X17" s="287">
        <v>4.3648187274811789E-3</v>
      </c>
      <c r="Y17" s="306">
        <v>4.4777123675885377E-3</v>
      </c>
      <c r="AA17" s="286" t="s">
        <v>391</v>
      </c>
      <c r="AB17" s="287">
        <v>1.4525612641591579E-4</v>
      </c>
      <c r="AC17" s="287">
        <v>-7.7089482147130184E-4</v>
      </c>
      <c r="AD17" s="306">
        <v>-1.8958812561322702E-3</v>
      </c>
      <c r="AE17" s="332">
        <f t="shared" ca="1" si="2"/>
        <v>6.373593623720808E-3</v>
      </c>
      <c r="AF17" s="286" t="s">
        <v>391</v>
      </c>
      <c r="AG17" s="287">
        <v>5.863774276804179E-4</v>
      </c>
      <c r="AH17" s="287">
        <v>6.9061950853210874E-3</v>
      </c>
      <c r="AI17" s="306">
        <v>-2.2225178599910578E-2</v>
      </c>
      <c r="AK17" s="286" t="s">
        <v>391</v>
      </c>
      <c r="AL17" s="287">
        <v>3.8563388443435542E-2</v>
      </c>
      <c r="AM17" s="287">
        <v>2.5570245998096652E-2</v>
      </c>
      <c r="AN17" s="306">
        <v>-6.3268740268540569E-2</v>
      </c>
      <c r="AP17" s="286" t="s">
        <v>391</v>
      </c>
      <c r="AQ17" s="287">
        <v>-3.7390633588074706E-2</v>
      </c>
      <c r="AR17" s="287">
        <v>-1.1757855827454478E-2</v>
      </c>
      <c r="AS17" s="306">
        <v>1.8818383068719413E-2</v>
      </c>
      <c r="AT17" s="332">
        <f t="shared" ca="1" si="3"/>
        <v>-8.2087123337259982E-2</v>
      </c>
      <c r="AU17" s="286" t="s">
        <v>391</v>
      </c>
      <c r="AV17" s="287">
        <v>-0.47767516753083328</v>
      </c>
      <c r="AW17" s="287">
        <v>-0.58870331668003928</v>
      </c>
      <c r="AX17" s="306">
        <v>-0.67983472044943483</v>
      </c>
      <c r="AY17" s="332"/>
      <c r="AZ17" s="286" t="s">
        <v>391</v>
      </c>
      <c r="BA17" s="287">
        <v>5.863774276804179E-4</v>
      </c>
      <c r="BB17" s="287">
        <v>6.9061950853210874E-3</v>
      </c>
      <c r="BC17" s="306">
        <v>-2.2225178599910578E-2</v>
      </c>
      <c r="BD17" s="332">
        <f t="shared" ca="1" si="4"/>
        <v>-0.65760954184952425</v>
      </c>
    </row>
    <row r="18" spans="2:56" x14ac:dyDescent="0.25">
      <c r="B18" s="325" t="str">
        <f ca="1"/>
        <v>EURYC_STD_FUTURE_ERV6 COMDTY_20161019_20170118</v>
      </c>
      <c r="C18" s="326">
        <f ca="1"/>
        <v>1.6838204898704134</v>
      </c>
      <c r="D18" s="326">
        <f ca="1"/>
        <v>-3.2132940759765916E-3</v>
      </c>
      <c r="E18" s="326">
        <f ca="1"/>
        <v>-4.9104091885965317E-4</v>
      </c>
      <c r="F18" s="326">
        <f ca="1"/>
        <v>-1.3995093468111008E-3</v>
      </c>
      <c r="G18" s="326">
        <f ca="1"/>
        <v>-3.5015823596040718E-2</v>
      </c>
      <c r="H18" s="326">
        <f ca="1"/>
        <v>-2.1907312111579813E-2</v>
      </c>
      <c r="I18" s="327">
        <f ca="1"/>
        <v>2.3362993488262873E-2</v>
      </c>
      <c r="J18" s="288">
        <f ca="1"/>
        <v>1.6451565033094084</v>
      </c>
      <c r="K18" s="277" t="s">
        <v>4</v>
      </c>
      <c r="L18" s="286" t="s">
        <v>392</v>
      </c>
      <c r="M18" s="287">
        <v>-1.6105293343571248E-3</v>
      </c>
      <c r="N18" s="287">
        <v>-3.2539771709707566E-3</v>
      </c>
      <c r="O18" s="306">
        <v>-5.7617784705144004E-3</v>
      </c>
      <c r="Q18" s="286" t="s">
        <v>392</v>
      </c>
      <c r="R18" s="287">
        <v>1.4630844725616043E-3</v>
      </c>
      <c r="S18" s="287">
        <v>1.7332790339423809E-3</v>
      </c>
      <c r="T18" s="306">
        <v>1.8164740549764247E-3</v>
      </c>
      <c r="U18" s="332">
        <f t="shared" ca="1" si="1"/>
        <v>-7.5782525254908251E-3</v>
      </c>
      <c r="V18" s="286" t="s">
        <v>392</v>
      </c>
      <c r="W18" s="287">
        <v>3.8340920436894521E-3</v>
      </c>
      <c r="X18" s="287">
        <v>4.4328140320430975E-3</v>
      </c>
      <c r="Y18" s="306">
        <v>4.377111228677677E-3</v>
      </c>
      <c r="AA18" s="286" t="s">
        <v>392</v>
      </c>
      <c r="AB18" s="287">
        <v>-9.0792309856624343E-4</v>
      </c>
      <c r="AC18" s="287">
        <v>-9.662559641583357E-4</v>
      </c>
      <c r="AD18" s="306">
        <v>-7.4416311872482765E-4</v>
      </c>
      <c r="AE18" s="332">
        <f t="shared" ca="1" si="2"/>
        <v>5.1212743474025046E-3</v>
      </c>
      <c r="AF18" s="286" t="s">
        <v>392</v>
      </c>
      <c r="AG18" s="287">
        <v>-3.5015823596040718E-2</v>
      </c>
      <c r="AH18" s="287">
        <v>-2.1907312111579813E-2</v>
      </c>
      <c r="AI18" s="306">
        <v>2.3362993488262873E-2</v>
      </c>
      <c r="AK18" s="286" t="s">
        <v>392</v>
      </c>
      <c r="AL18" s="287">
        <v>0.42155146584264003</v>
      </c>
      <c r="AM18" s="287">
        <v>0.4142328369198367</v>
      </c>
      <c r="AN18" s="306">
        <v>0.35893585318262922</v>
      </c>
      <c r="AP18" s="286" t="s">
        <v>392</v>
      </c>
      <c r="AQ18" s="287">
        <v>-0.49158311303472146</v>
      </c>
      <c r="AR18" s="287">
        <v>-0.45804746114299633</v>
      </c>
      <c r="AS18" s="306">
        <v>-0.31220986620610347</v>
      </c>
      <c r="AT18" s="332">
        <f t="shared" ca="1" si="3"/>
        <v>0.67114571938873269</v>
      </c>
      <c r="AU18" s="286" t="s">
        <v>392</v>
      </c>
      <c r="AV18" s="287">
        <v>0.29726794491580222</v>
      </c>
      <c r="AW18" s="287">
        <v>0.23806792796676746</v>
      </c>
      <c r="AX18" s="306">
        <v>0.16098267024062807</v>
      </c>
      <c r="AY18" s="332"/>
      <c r="AZ18" s="286" t="s">
        <v>392</v>
      </c>
      <c r="BA18" s="287">
        <v>-3.5015823596040718E-2</v>
      </c>
      <c r="BB18" s="287">
        <v>-2.1907312111579813E-2</v>
      </c>
      <c r="BC18" s="306">
        <v>2.3362993488262873E-2</v>
      </c>
      <c r="BD18" s="332">
        <f t="shared" ca="1" si="4"/>
        <v>0.13761967675236519</v>
      </c>
    </row>
    <row r="19" spans="2:56" x14ac:dyDescent="0.25">
      <c r="B19" s="325" t="str">
        <f ca="1"/>
        <v>EURYC_STD_FUTURE_ERX6 COMDTY_20161116_20170215</v>
      </c>
      <c r="C19" s="326">
        <f ca="1"/>
        <v>-8.6852485217605135</v>
      </c>
      <c r="D19" s="326">
        <f ca="1"/>
        <v>4.9682457029120997E-2</v>
      </c>
      <c r="E19" s="326">
        <f ca="1"/>
        <v>-5.0652124627958983E-4</v>
      </c>
      <c r="F19" s="326">
        <f ca="1"/>
        <v>-1.4091292541706935E-3</v>
      </c>
      <c r="G19" s="326">
        <f ca="1"/>
        <v>-8.8993805366044398E-2</v>
      </c>
      <c r="H19" s="326">
        <f ca="1"/>
        <v>-1.558014137117425E-2</v>
      </c>
      <c r="I19" s="327">
        <f ca="1"/>
        <v>0.1170199437183328</v>
      </c>
      <c r="J19" s="288">
        <f ca="1"/>
        <v>-8.6250357182507287</v>
      </c>
      <c r="K19" s="277" t="s">
        <v>4</v>
      </c>
      <c r="L19" s="286" t="s">
        <v>393</v>
      </c>
      <c r="M19" s="287">
        <v>5.5957425720407628E-3</v>
      </c>
      <c r="N19" s="287">
        <v>6.0549907175300177E-3</v>
      </c>
      <c r="O19" s="306">
        <v>7.0981022727210075E-3</v>
      </c>
      <c r="Q19" s="286" t="s">
        <v>393</v>
      </c>
      <c r="R19" s="287">
        <v>-2.6185221140622161E-3</v>
      </c>
      <c r="S19" s="287">
        <v>-2.7560431717574829E-3</v>
      </c>
      <c r="T19" s="306">
        <v>-2.8620943949135835E-3</v>
      </c>
      <c r="U19" s="332">
        <f t="shared" ca="1" si="1"/>
        <v>9.960196667634591E-3</v>
      </c>
      <c r="V19" s="286" t="s">
        <v>393</v>
      </c>
      <c r="W19" s="287">
        <v>3.1252232874976471E-3</v>
      </c>
      <c r="X19" s="287">
        <v>3.5221747202740517E-3</v>
      </c>
      <c r="Y19" s="306">
        <v>3.4463069059711415E-3</v>
      </c>
      <c r="AA19" s="286" t="s">
        <v>393</v>
      </c>
      <c r="AB19" s="287">
        <v>-8.3622675156220794E-3</v>
      </c>
      <c r="AC19" s="287">
        <v>-9.0342610637890175E-3</v>
      </c>
      <c r="AD19" s="306">
        <v>-9.1704956957983086E-3</v>
      </c>
      <c r="AE19" s="332">
        <f t="shared" ca="1" si="2"/>
        <v>1.261680260176945E-2</v>
      </c>
      <c r="AF19" s="286" t="s">
        <v>393</v>
      </c>
      <c r="AG19" s="287">
        <v>-8.8993805366044398E-2</v>
      </c>
      <c r="AH19" s="287">
        <v>-1.558014137117425E-2</v>
      </c>
      <c r="AI19" s="306">
        <v>0.1170199437183328</v>
      </c>
      <c r="AK19" s="286" t="s">
        <v>393</v>
      </c>
      <c r="AL19" s="287">
        <v>0.49598962577874772</v>
      </c>
      <c r="AM19" s="287">
        <v>0.65809742372948676</v>
      </c>
      <c r="AN19" s="306">
        <v>0.83075872007611906</v>
      </c>
      <c r="AP19" s="286" t="s">
        <v>393</v>
      </c>
      <c r="AQ19" s="287">
        <v>-0.67397723651083652</v>
      </c>
      <c r="AR19" s="287">
        <v>-0.68925770647183526</v>
      </c>
      <c r="AS19" s="306">
        <v>-0.59671883263945347</v>
      </c>
      <c r="AT19" s="332">
        <f t="shared" ca="1" si="3"/>
        <v>1.4274775527155725</v>
      </c>
      <c r="AU19" s="286" t="s">
        <v>393</v>
      </c>
      <c r="AV19" s="287">
        <v>0.33526481456647161</v>
      </c>
      <c r="AW19" s="287">
        <v>0.37799211277160794</v>
      </c>
      <c r="AX19" s="306">
        <v>0.48737466840975685</v>
      </c>
      <c r="AY19" s="332"/>
      <c r="AZ19" s="286" t="s">
        <v>393</v>
      </c>
      <c r="BA19" s="287">
        <v>-8.8993805366044398E-2</v>
      </c>
      <c r="BB19" s="287">
        <v>-1.558014137117425E-2</v>
      </c>
      <c r="BC19" s="306">
        <v>0.1170199437183328</v>
      </c>
      <c r="BD19" s="332">
        <f t="shared" ca="1" si="4"/>
        <v>0.37035472469142405</v>
      </c>
    </row>
    <row r="20" spans="2:56" x14ac:dyDescent="0.25">
      <c r="B20" s="325" t="str">
        <f ca="1"/>
        <v>EURYC_STD_FUTURE_ERZ6 COMDTY_20161221_20170315</v>
      </c>
      <c r="C20" s="326">
        <f ca="1"/>
        <v>-18.059181604803598</v>
      </c>
      <c r="D20" s="326">
        <f ca="1"/>
        <v>-23.567692414326302</v>
      </c>
      <c r="E20" s="326">
        <f ca="1"/>
        <v>9.2309128376655281E-4</v>
      </c>
      <c r="F20" s="326">
        <f ca="1"/>
        <v>7.5230127549730241E-4</v>
      </c>
      <c r="G20" s="326">
        <f ca="1"/>
        <v>-0.21650821563525824</v>
      </c>
      <c r="H20" s="326">
        <f ca="1"/>
        <v>-0.27597743683145382</v>
      </c>
      <c r="I20" s="327">
        <f ca="1"/>
        <v>-0.33450176106271101</v>
      </c>
      <c r="J20" s="288">
        <f ca="1"/>
        <v>-42.452186040100059</v>
      </c>
      <c r="K20" s="277" t="s">
        <v>4</v>
      </c>
      <c r="L20" s="286" t="s">
        <v>394</v>
      </c>
      <c r="M20" s="287">
        <v>7.4683069396996871E-4</v>
      </c>
      <c r="N20" s="287">
        <v>1.4776295192859834E-3</v>
      </c>
      <c r="O20" s="306">
        <v>2.3501111472796765E-3</v>
      </c>
      <c r="Q20" s="286" t="s">
        <v>394</v>
      </c>
      <c r="R20" s="287">
        <v>1.5360836005129386E-3</v>
      </c>
      <c r="S20" s="287">
        <v>1.5851433927309699E-3</v>
      </c>
      <c r="T20" s="306">
        <v>1.4568652668458526E-3</v>
      </c>
      <c r="U20" s="332">
        <f t="shared" ca="1" si="1"/>
        <v>8.9324588043382391E-4</v>
      </c>
      <c r="V20" s="286" t="s">
        <v>394</v>
      </c>
      <c r="W20" s="287">
        <v>7.5539173121796921E-3</v>
      </c>
      <c r="X20" s="287">
        <v>8.086519650532864E-3</v>
      </c>
      <c r="Y20" s="306">
        <v>7.6949733793298947E-3</v>
      </c>
      <c r="AA20" s="286" t="s">
        <v>394</v>
      </c>
      <c r="AB20" s="287">
        <v>-4.4817501111538149E-3</v>
      </c>
      <c r="AC20" s="287">
        <v>-4.9162328650709242E-3</v>
      </c>
      <c r="AD20" s="306">
        <v>-4.7812428456381895E-3</v>
      </c>
      <c r="AE20" s="332">
        <f t="shared" ca="1" si="2"/>
        <v>1.2476216224968084E-2</v>
      </c>
      <c r="AF20" s="286" t="s">
        <v>394</v>
      </c>
      <c r="AG20" s="287">
        <v>-0.21650821563525824</v>
      </c>
      <c r="AH20" s="287">
        <v>-0.27597743683145382</v>
      </c>
      <c r="AI20" s="306">
        <v>-0.33450176106271101</v>
      </c>
      <c r="AK20" s="286" t="s">
        <v>394</v>
      </c>
      <c r="AL20" s="287">
        <v>-5.9658324244082905E-2</v>
      </c>
      <c r="AM20" s="287">
        <v>-0.12373812533041928</v>
      </c>
      <c r="AN20" s="306">
        <v>-0.21949349848000566</v>
      </c>
      <c r="AP20" s="286" t="s">
        <v>394</v>
      </c>
      <c r="AQ20" s="287">
        <v>-0.37335810702643357</v>
      </c>
      <c r="AR20" s="287">
        <v>-0.42821674833248835</v>
      </c>
      <c r="AS20" s="306">
        <v>-0.44951002364541637</v>
      </c>
      <c r="AT20" s="332">
        <f t="shared" ca="1" si="3"/>
        <v>0.23001652516541071</v>
      </c>
      <c r="AU20" s="286" t="s">
        <v>394</v>
      </c>
      <c r="AV20" s="287">
        <v>1.2940496466399054</v>
      </c>
      <c r="AW20" s="287">
        <v>1.5704269773777924</v>
      </c>
      <c r="AX20" s="306">
        <v>1.6458478663480491</v>
      </c>
      <c r="AY20" s="332"/>
      <c r="AZ20" s="286" t="s">
        <v>394</v>
      </c>
      <c r="BA20" s="287">
        <v>-0.21650821563525824</v>
      </c>
      <c r="BB20" s="287">
        <v>-0.27597743683145382</v>
      </c>
      <c r="BC20" s="306">
        <v>-0.33450176106271101</v>
      </c>
      <c r="BD20" s="332">
        <f t="shared" ca="1" si="4"/>
        <v>1.9803496274107601</v>
      </c>
    </row>
    <row r="21" spans="2:56" x14ac:dyDescent="0.25">
      <c r="B21" s="325" t="str">
        <f ca="1"/>
        <v>EURYC_STD_FUTURE_ERH7 COMDTY_20170315_20170621</v>
      </c>
      <c r="C21" s="326">
        <f ca="1"/>
        <v>-22.028669494829956</v>
      </c>
      <c r="D21" s="326">
        <f ca="1"/>
        <v>-27.493469291039219</v>
      </c>
      <c r="E21" s="326">
        <f ca="1"/>
        <v>-9.3895068857818842E-4</v>
      </c>
      <c r="F21" s="326">
        <f ca="1"/>
        <v>-2.5473997084191069E-3</v>
      </c>
      <c r="G21" s="326">
        <f ca="1"/>
        <v>-6.4644387748558074E-3</v>
      </c>
      <c r="H21" s="326">
        <f ca="1"/>
        <v>8.7899529353308026E-2</v>
      </c>
      <c r="I21" s="327">
        <f ca="1"/>
        <v>0.22246195994739537</v>
      </c>
      <c r="J21" s="288">
        <f ca="1"/>
        <v>-49.221728085740324</v>
      </c>
      <c r="K21" s="277" t="s">
        <v>4</v>
      </c>
      <c r="L21" s="286" t="s">
        <v>395</v>
      </c>
      <c r="M21" s="287">
        <v>3.1546540249109967E-3</v>
      </c>
      <c r="N21" s="287">
        <v>3.3463778272562195E-3</v>
      </c>
      <c r="O21" s="306">
        <v>2.7925004951612209E-3</v>
      </c>
      <c r="Q21" s="286" t="s">
        <v>395</v>
      </c>
      <c r="R21" s="287">
        <v>-1.3804422615066869E-3</v>
      </c>
      <c r="S21" s="287">
        <v>-1.9109591539745452E-3</v>
      </c>
      <c r="T21" s="306">
        <v>-2.5687295210445882E-3</v>
      </c>
      <c r="U21" s="332">
        <f t="shared" ca="1" si="1"/>
        <v>5.3612300162058091E-3</v>
      </c>
      <c r="V21" s="286" t="s">
        <v>395</v>
      </c>
      <c r="W21" s="287">
        <v>2.2357105590344872E-3</v>
      </c>
      <c r="X21" s="287">
        <v>1.5076176714501344E-3</v>
      </c>
      <c r="Y21" s="306">
        <v>-1.6140100524353329E-4</v>
      </c>
      <c r="AA21" s="286" t="s">
        <v>395</v>
      </c>
      <c r="AB21" s="287">
        <v>-4.9965950820478611E-3</v>
      </c>
      <c r="AC21" s="287">
        <v>-5.3295359793992247E-3</v>
      </c>
      <c r="AD21" s="306">
        <v>-4.9760580368456431E-3</v>
      </c>
      <c r="AE21" s="332">
        <f t="shared" ca="1" si="2"/>
        <v>4.8146570316021098E-3</v>
      </c>
      <c r="AF21" s="286" t="s">
        <v>395</v>
      </c>
      <c r="AG21" s="287">
        <v>-6.4644387748558074E-3</v>
      </c>
      <c r="AH21" s="287">
        <v>8.7899529353308026E-2</v>
      </c>
      <c r="AI21" s="306">
        <v>0.22246195994739537</v>
      </c>
      <c r="AK21" s="286" t="s">
        <v>395</v>
      </c>
      <c r="AL21" s="287">
        <v>0.25952970318030566</v>
      </c>
      <c r="AM21" s="287">
        <v>0.25731659879966173</v>
      </c>
      <c r="AN21" s="306">
        <v>0.16451384963147575</v>
      </c>
      <c r="AP21" s="286" t="s">
        <v>395</v>
      </c>
      <c r="AQ21" s="287">
        <v>-0.27245858073001727</v>
      </c>
      <c r="AR21" s="287">
        <v>-8.1517540093045682E-2</v>
      </c>
      <c r="AS21" s="306">
        <v>0.28041007026331499</v>
      </c>
      <c r="AT21" s="332">
        <f t="shared" ca="1" si="3"/>
        <v>-0.11589622063183924</v>
      </c>
      <c r="AU21" s="286" t="s">
        <v>395</v>
      </c>
      <c r="AV21" s="287">
        <v>0.14539647327183047</v>
      </c>
      <c r="AW21" s="287">
        <v>0.23156815204856684</v>
      </c>
      <c r="AX21" s="306">
        <v>0.15116308204596862</v>
      </c>
      <c r="AY21" s="332"/>
      <c r="AZ21" s="286" t="s">
        <v>395</v>
      </c>
      <c r="BA21" s="287">
        <v>-6.4644387748558074E-3</v>
      </c>
      <c r="BB21" s="287">
        <v>8.7899529353308026E-2</v>
      </c>
      <c r="BC21" s="306">
        <v>0.22246195994739537</v>
      </c>
      <c r="BD21" s="332">
        <f t="shared" ca="1" si="4"/>
        <v>-7.1298877901426749E-2</v>
      </c>
    </row>
    <row r="22" spans="2:56" x14ac:dyDescent="0.25">
      <c r="B22" s="325" t="str">
        <f ca="1"/>
        <v>EURYC_STD_FUTURE_ERM7 COMDTY_20170621_20170920</v>
      </c>
      <c r="C22" s="326">
        <f ca="1"/>
        <v>0</v>
      </c>
      <c r="D22" s="326">
        <f ca="1"/>
        <v>-25.554827329688123</v>
      </c>
      <c r="E22" s="326">
        <f ca="1"/>
        <v>2.4619548639748245E-4</v>
      </c>
      <c r="F22" s="326">
        <f ca="1"/>
        <v>2.6098277885466814E-4</v>
      </c>
      <c r="G22" s="326">
        <f ca="1"/>
        <v>-0.16211585061682854</v>
      </c>
      <c r="H22" s="326">
        <f ca="1"/>
        <v>-0.14295697128545726</v>
      </c>
      <c r="I22" s="327">
        <f ca="1"/>
        <v>-8.5623355607822305E-2</v>
      </c>
      <c r="J22" s="288">
        <f ca="1"/>
        <v>-25.945016328932979</v>
      </c>
      <c r="K22" s="277" t="s">
        <v>4</v>
      </c>
      <c r="L22" s="286" t="s">
        <v>396</v>
      </c>
      <c r="M22" s="287">
        <v>-2.7279628702672198E-3</v>
      </c>
      <c r="N22" s="287">
        <v>-1.6710148956917692E-3</v>
      </c>
      <c r="O22" s="306">
        <v>1.7614902571949642E-4</v>
      </c>
      <c r="Q22" s="286" t="s">
        <v>396</v>
      </c>
      <c r="R22" s="287">
        <v>2.3132965125114424E-3</v>
      </c>
      <c r="S22" s="287">
        <v>3.3471917176939314E-3</v>
      </c>
      <c r="T22" s="306">
        <v>4.4414545936888317E-3</v>
      </c>
      <c r="U22" s="332">
        <f t="shared" ca="1" si="1"/>
        <v>-4.2653055679693352E-3</v>
      </c>
      <c r="V22" s="286" t="s">
        <v>396</v>
      </c>
      <c r="W22" s="287">
        <v>1.3848862326995004E-3</v>
      </c>
      <c r="X22" s="287">
        <v>1.5759503985464107E-3</v>
      </c>
      <c r="Y22" s="306">
        <v>1.4543877769028768E-3</v>
      </c>
      <c r="AA22" s="286" t="s">
        <v>396</v>
      </c>
      <c r="AB22" s="287">
        <v>3.2417067923233844E-3</v>
      </c>
      <c r="AC22" s="287">
        <v>5.1184330368414521E-3</v>
      </c>
      <c r="AD22" s="306">
        <v>7.4285214104747865E-3</v>
      </c>
      <c r="AE22" s="332">
        <f t="shared" ca="1" si="2"/>
        <v>-5.9741336335719097E-3</v>
      </c>
      <c r="AF22" s="286" t="s">
        <v>396</v>
      </c>
      <c r="AG22" s="287">
        <v>-0.16211585061682854</v>
      </c>
      <c r="AH22" s="287">
        <v>-0.14295697128545726</v>
      </c>
      <c r="AI22" s="306">
        <v>-8.5623355607822305E-2</v>
      </c>
      <c r="AK22" s="286" t="s">
        <v>396</v>
      </c>
      <c r="AL22" s="287">
        <v>0.19288276926090475</v>
      </c>
      <c r="AM22" s="287">
        <v>0.20191041076031979</v>
      </c>
      <c r="AN22" s="306">
        <v>0.16799369950604159</v>
      </c>
      <c r="AP22" s="286" t="s">
        <v>396</v>
      </c>
      <c r="AQ22" s="287">
        <v>-0.51711447049456183</v>
      </c>
      <c r="AR22" s="287">
        <v>-0.48782435333123431</v>
      </c>
      <c r="AS22" s="306">
        <v>-0.3392404107216862</v>
      </c>
      <c r="AT22" s="332">
        <f t="shared" ca="1" si="3"/>
        <v>0.5072341102277278</v>
      </c>
      <c r="AU22" s="286" t="s">
        <v>396</v>
      </c>
      <c r="AV22" s="287">
        <v>0.69772324241057504</v>
      </c>
      <c r="AW22" s="287">
        <v>0.81868910947378026</v>
      </c>
      <c r="AX22" s="306">
        <v>0.89400420265519642</v>
      </c>
      <c r="AY22" s="332"/>
      <c r="AZ22" s="286" t="s">
        <v>396</v>
      </c>
      <c r="BA22" s="287">
        <v>-0.16211585061682854</v>
      </c>
      <c r="BB22" s="287">
        <v>-0.14295697128545726</v>
      </c>
      <c r="BC22" s="306">
        <v>-8.5623355607822305E-2</v>
      </c>
      <c r="BD22" s="332">
        <f t="shared" ca="1" si="4"/>
        <v>0.97962755826301873</v>
      </c>
    </row>
    <row r="23" spans="2:56" x14ac:dyDescent="0.25">
      <c r="B23" s="325" t="str">
        <f ca="1"/>
        <v>EURYC_STD_FUTURE_ERU7 COMDTY_20170920_20171220</v>
      </c>
      <c r="C23" s="326">
        <f ca="1"/>
        <v>0</v>
      </c>
      <c r="D23" s="326">
        <f ca="1"/>
        <v>-25.582824740558863</v>
      </c>
      <c r="E23" s="326">
        <f ca="1"/>
        <v>1.6293393855448812E-3</v>
      </c>
      <c r="F23" s="326">
        <f ca="1"/>
        <v>2.1135758288437501E-3</v>
      </c>
      <c r="G23" s="326">
        <f ca="1"/>
        <v>-0.12836087953473907</v>
      </c>
      <c r="H23" s="326">
        <f ca="1"/>
        <v>-0.14311893064586911</v>
      </c>
      <c r="I23" s="327">
        <f ca="1"/>
        <v>-0.16080230898296577</v>
      </c>
      <c r="J23" s="288">
        <f ca="1"/>
        <v>-26.011363944508048</v>
      </c>
      <c r="K23" s="277" t="s">
        <v>4</v>
      </c>
      <c r="L23" s="286" t="s">
        <v>397</v>
      </c>
      <c r="M23" s="287">
        <v>-1.7457970479881624E-3</v>
      </c>
      <c r="N23" s="287">
        <v>-5.3270031457941514E-4</v>
      </c>
      <c r="O23" s="306">
        <v>1.4033646875759587E-3</v>
      </c>
      <c r="Q23" s="286" t="s">
        <v>397</v>
      </c>
      <c r="R23" s="287">
        <v>-1.6480392696394119E-4</v>
      </c>
      <c r="S23" s="287">
        <v>-2.355654287384823E-4</v>
      </c>
      <c r="T23" s="306">
        <v>-2.3509863513027085E-4</v>
      </c>
      <c r="U23" s="332">
        <f t="shared" ca="1" si="1"/>
        <v>1.6384633227062295E-3</v>
      </c>
      <c r="V23" s="286" t="s">
        <v>397</v>
      </c>
      <c r="W23" s="287">
        <v>1.7183544296131004E-3</v>
      </c>
      <c r="X23" s="287">
        <v>1.3899197911086958E-3</v>
      </c>
      <c r="Y23" s="306">
        <v>7.3225023152190261E-4</v>
      </c>
      <c r="AA23" s="286" t="s">
        <v>397</v>
      </c>
      <c r="AB23" s="287">
        <v>-2.0479622835409828E-3</v>
      </c>
      <c r="AC23" s="287">
        <v>-1.8610506485856604E-3</v>
      </c>
      <c r="AD23" s="306">
        <v>-1.2024475017824443E-3</v>
      </c>
      <c r="AE23" s="332">
        <f t="shared" ca="1" si="2"/>
        <v>1.9346977333043469E-3</v>
      </c>
      <c r="AF23" s="286" t="s">
        <v>397</v>
      </c>
      <c r="AG23" s="287">
        <v>-0.12836087953473907</v>
      </c>
      <c r="AH23" s="287">
        <v>-0.14311893064586911</v>
      </c>
      <c r="AI23" s="306">
        <v>-0.16080230898296577</v>
      </c>
      <c r="AK23" s="286" t="s">
        <v>397</v>
      </c>
      <c r="AL23" s="287">
        <v>0.1268062558665406</v>
      </c>
      <c r="AM23" s="287">
        <v>0.10001445225498173</v>
      </c>
      <c r="AN23" s="306">
        <v>3.1431618299393449E-2</v>
      </c>
      <c r="AP23" s="286" t="s">
        <v>397</v>
      </c>
      <c r="AQ23" s="287">
        <v>-0.38352801493601874</v>
      </c>
      <c r="AR23" s="287">
        <v>-0.38625231354671996</v>
      </c>
      <c r="AS23" s="306">
        <v>-0.35303623626532499</v>
      </c>
      <c r="AT23" s="332">
        <f t="shared" ca="1" si="3"/>
        <v>0.38446785456471844</v>
      </c>
      <c r="AU23" s="286" t="s">
        <v>397</v>
      </c>
      <c r="AV23" s="287">
        <v>-0.17682824018265819</v>
      </c>
      <c r="AW23" s="287">
        <v>-0.13067481140751624</v>
      </c>
      <c r="AX23" s="306">
        <v>-7.8662623673153576E-2</v>
      </c>
      <c r="AY23" s="332"/>
      <c r="AZ23" s="286" t="s">
        <v>397</v>
      </c>
      <c r="BA23" s="287">
        <v>-0.12836087953473907</v>
      </c>
      <c r="BB23" s="287">
        <v>-0.14311893064586911</v>
      </c>
      <c r="BC23" s="306">
        <v>-0.16080230898296577</v>
      </c>
      <c r="BD23" s="332">
        <f t="shared" ca="1" si="4"/>
        <v>8.2139685309812194E-2</v>
      </c>
    </row>
    <row r="24" spans="2:56" x14ac:dyDescent="0.25">
      <c r="B24" s="325" t="str">
        <f ca="1"/>
        <v>EURYC_STD_FUTURE_ERZ7 COMDTY_20171220_20180321</v>
      </c>
      <c r="C24" s="326">
        <f ca="1"/>
        <v>0</v>
      </c>
      <c r="D24" s="326">
        <f ca="1"/>
        <v>-26.323988299009216</v>
      </c>
      <c r="E24" s="326">
        <f ca="1"/>
        <v>-5.6954926549224183E-3</v>
      </c>
      <c r="F24" s="326">
        <f ca="1"/>
        <v>-4.6436423872364685E-3</v>
      </c>
      <c r="G24" s="326">
        <f ca="1"/>
        <v>-0.18659250326891197</v>
      </c>
      <c r="H24" s="326">
        <f ca="1"/>
        <v>-0.14051406433281954</v>
      </c>
      <c r="I24" s="327">
        <f ca="1"/>
        <v>-4.9270869294559816E-2</v>
      </c>
      <c r="J24" s="288">
        <f ca="1"/>
        <v>-26.710704870947666</v>
      </c>
      <c r="K24" s="277" t="s">
        <v>4</v>
      </c>
      <c r="L24" s="286" t="s">
        <v>398</v>
      </c>
      <c r="M24" s="287">
        <v>2.0699774122476811E-3</v>
      </c>
      <c r="N24" s="287">
        <v>2.3669180081924424E-3</v>
      </c>
      <c r="O24" s="306">
        <v>2.1398833541752538E-3</v>
      </c>
      <c r="Q24" s="286" t="s">
        <v>398</v>
      </c>
      <c r="R24" s="287">
        <v>-7.6171586551936343E-3</v>
      </c>
      <c r="S24" s="287">
        <v>-8.1501487911737058E-3</v>
      </c>
      <c r="T24" s="306">
        <v>-9.0590088484532316E-3</v>
      </c>
      <c r="U24" s="332">
        <f t="shared" ca="1" si="1"/>
        <v>1.1198892202628485E-2</v>
      </c>
      <c r="V24" s="286" t="s">
        <v>398</v>
      </c>
      <c r="W24" s="287">
        <v>-9.8422965493227821E-3</v>
      </c>
      <c r="X24" s="287">
        <v>-1.1192424208275042E-2</v>
      </c>
      <c r="Y24" s="306">
        <v>-1.4021656725162757E-2</v>
      </c>
      <c r="AA24" s="286" t="s">
        <v>398</v>
      </c>
      <c r="AB24" s="287">
        <v>-5.3920207610644866E-3</v>
      </c>
      <c r="AC24" s="287">
        <v>-5.1078733740723692E-3</v>
      </c>
      <c r="AD24" s="306">
        <v>-4.0963609717437066E-3</v>
      </c>
      <c r="AE24" s="332">
        <f t="shared" ca="1" si="2"/>
        <v>-9.92529575341905E-3</v>
      </c>
      <c r="AF24" s="286" t="s">
        <v>398</v>
      </c>
      <c r="AG24" s="287">
        <v>-0.18659250326891197</v>
      </c>
      <c r="AH24" s="287">
        <v>-0.14051406433281954</v>
      </c>
      <c r="AI24" s="306">
        <v>-4.9270869294559816E-2</v>
      </c>
      <c r="AK24" s="286" t="s">
        <v>398</v>
      </c>
      <c r="AL24" s="287">
        <v>4.426504165166989E-2</v>
      </c>
      <c r="AM24" s="287">
        <v>-3.2935243507381529E-2</v>
      </c>
      <c r="AN24" s="306">
        <v>-0.1494450674726977</v>
      </c>
      <c r="AP24" s="286" t="s">
        <v>398</v>
      </c>
      <c r="AQ24" s="287">
        <v>-0.41745004818949383</v>
      </c>
      <c r="AR24" s="287">
        <v>-0.24809288515825756</v>
      </c>
      <c r="AS24" s="306">
        <v>5.090332888357807E-2</v>
      </c>
      <c r="AT24" s="332">
        <f t="shared" ca="1" si="3"/>
        <v>-0.20034839635627577</v>
      </c>
      <c r="AU24" s="286" t="s">
        <v>398</v>
      </c>
      <c r="AV24" s="287">
        <v>-0.44495052934507839</v>
      </c>
      <c r="AW24" s="287">
        <v>-0.43083931977889733</v>
      </c>
      <c r="AX24" s="306">
        <v>-0.4282770401914604</v>
      </c>
      <c r="AY24" s="332"/>
      <c r="AZ24" s="286" t="s">
        <v>398</v>
      </c>
      <c r="BA24" s="287">
        <v>-0.18659250326891197</v>
      </c>
      <c r="BB24" s="287">
        <v>-0.14051406433281954</v>
      </c>
      <c r="BC24" s="306">
        <v>-4.9270869294559816E-2</v>
      </c>
      <c r="BD24" s="332">
        <f t="shared" ca="1" si="4"/>
        <v>-0.37900617089690058</v>
      </c>
    </row>
    <row r="25" spans="2:56" x14ac:dyDescent="0.25">
      <c r="B25" s="325" t="str">
        <f ca="1"/>
        <v>EURYC_STD_FUTURE_ERH8 COMDTY_20180321_20180620</v>
      </c>
      <c r="C25" s="326">
        <f ca="1"/>
        <v>0</v>
      </c>
      <c r="D25" s="326">
        <f ca="1"/>
        <v>-21.000312120304443</v>
      </c>
      <c r="E25" s="326">
        <f ca="1"/>
        <v>6.2519517086911947E-3</v>
      </c>
      <c r="F25" s="326">
        <f ca="1"/>
        <v>5.7571811339585111E-3</v>
      </c>
      <c r="G25" s="326">
        <f ca="1"/>
        <v>8.6643898976035416E-2</v>
      </c>
      <c r="H25" s="326">
        <f ca="1"/>
        <v>0.1233359220350394</v>
      </c>
      <c r="I25" s="327">
        <f ca="1"/>
        <v>0.16748613470554119</v>
      </c>
      <c r="J25" s="288">
        <f ca="1"/>
        <v>-20.610837031745177</v>
      </c>
      <c r="K25" s="277" t="s">
        <v>4</v>
      </c>
      <c r="L25" s="286" t="s">
        <v>399</v>
      </c>
      <c r="M25" s="287">
        <v>-5.0551615531730931E-3</v>
      </c>
      <c r="N25" s="287">
        <v>-5.169395246412023E-3</v>
      </c>
      <c r="O25" s="306">
        <v>-5.2991720594945946E-3</v>
      </c>
      <c r="Q25" s="286" t="s">
        <v>399</v>
      </c>
      <c r="R25" s="287">
        <v>1.2092187169400859E-2</v>
      </c>
      <c r="S25" s="287">
        <v>1.1950053210966871E-2</v>
      </c>
      <c r="T25" s="306">
        <v>1.1652169465378392E-2</v>
      </c>
      <c r="U25" s="332">
        <f t="shared" ca="1" si="1"/>
        <v>-1.6951341524872987E-2</v>
      </c>
      <c r="V25" s="286" t="s">
        <v>399</v>
      </c>
      <c r="W25" s="287">
        <v>7.1123965062724892E-3</v>
      </c>
      <c r="X25" s="287">
        <v>6.6228650066477712E-3</v>
      </c>
      <c r="Y25" s="306">
        <v>5.2529404711094685E-3</v>
      </c>
      <c r="AA25" s="286" t="s">
        <v>399</v>
      </c>
      <c r="AB25" s="287">
        <v>1.7071977832529228E-2</v>
      </c>
      <c r="AC25" s="287">
        <v>1.7277241415285971E-2</v>
      </c>
      <c r="AD25" s="306">
        <v>1.8051398459647316E-2</v>
      </c>
      <c r="AE25" s="332">
        <f t="shared" ca="1" si="2"/>
        <v>-1.2798457988537848E-2</v>
      </c>
      <c r="AF25" s="286" t="s">
        <v>399</v>
      </c>
      <c r="AG25" s="287">
        <v>8.6643898976035416E-2</v>
      </c>
      <c r="AH25" s="287">
        <v>0.1233359220350394</v>
      </c>
      <c r="AI25" s="306">
        <v>0.16748613470554119</v>
      </c>
      <c r="AK25" s="286" t="s">
        <v>399</v>
      </c>
      <c r="AL25" s="287">
        <v>0.50943333153554704</v>
      </c>
      <c r="AM25" s="287">
        <v>0.54631310049444437</v>
      </c>
      <c r="AN25" s="306">
        <v>0.51952340763818938</v>
      </c>
      <c r="AP25" s="286" t="s">
        <v>399</v>
      </c>
      <c r="AQ25" s="287">
        <v>-0.33614553358347621</v>
      </c>
      <c r="AR25" s="287">
        <v>-0.29964125642436557</v>
      </c>
      <c r="AS25" s="306">
        <v>-0.184551138227107</v>
      </c>
      <c r="AT25" s="332">
        <f t="shared" ca="1" si="3"/>
        <v>0.70407454586529639</v>
      </c>
      <c r="AU25" s="286" t="s">
        <v>399</v>
      </c>
      <c r="AV25" s="287">
        <v>-1.0425211250549182</v>
      </c>
      <c r="AW25" s="287">
        <v>-1.2783461761500803</v>
      </c>
      <c r="AX25" s="306">
        <v>-1.4477984519544407</v>
      </c>
      <c r="AY25" s="332"/>
      <c r="AZ25" s="286" t="s">
        <v>399</v>
      </c>
      <c r="BA25" s="287">
        <v>8.6643898976035416E-2</v>
      </c>
      <c r="BB25" s="287">
        <v>0.1233359220350394</v>
      </c>
      <c r="BC25" s="306">
        <v>0.16748613470554119</v>
      </c>
      <c r="BD25" s="332">
        <f t="shared" ca="1" si="4"/>
        <v>-1.6152845866599819</v>
      </c>
    </row>
    <row r="26" spans="2:56" x14ac:dyDescent="0.25">
      <c r="B26" s="325" t="str">
        <f ca="1"/>
        <v>EURYC_STD_3MLIBORSWAP_3Y</v>
      </c>
      <c r="C26" s="326">
        <f ca="1"/>
        <v>0</v>
      </c>
      <c r="D26" s="326">
        <f ca="1"/>
        <v>1.7438282280636486</v>
      </c>
      <c r="E26" s="326">
        <f ca="1"/>
        <v>-302.67912982562848</v>
      </c>
      <c r="F26" s="326">
        <f ca="1"/>
        <v>-4.6804056182736531E-3</v>
      </c>
      <c r="G26" s="326">
        <f ca="1"/>
        <v>5.518419056897983E-2</v>
      </c>
      <c r="H26" s="326">
        <f ca="1"/>
        <v>8.6537294009758625E-2</v>
      </c>
      <c r="I26" s="327">
        <f ca="1"/>
        <v>0.11518470346345566</v>
      </c>
      <c r="J26" s="288">
        <f ca="1"/>
        <v>-300.68307581514091</v>
      </c>
      <c r="K26" s="277" t="s">
        <v>4</v>
      </c>
      <c r="L26" s="286" t="s">
        <v>400</v>
      </c>
      <c r="M26" s="287">
        <v>-2.7186924871784868E-3</v>
      </c>
      <c r="N26" s="287">
        <v>-3.4403699883114314E-3</v>
      </c>
      <c r="O26" s="306">
        <v>-1.7105365041061305E-3</v>
      </c>
      <c r="Q26" s="286" t="s">
        <v>400</v>
      </c>
      <c r="R26" s="287">
        <v>-1.9724659323401283E-3</v>
      </c>
      <c r="S26" s="287">
        <v>-2.4182426186598605E-3</v>
      </c>
      <c r="T26" s="306">
        <v>-3.4002375496129389E-3</v>
      </c>
      <c r="U26" s="332">
        <f t="shared" ca="1" si="1"/>
        <v>1.6897010455068084E-3</v>
      </c>
      <c r="V26" s="286" t="s">
        <v>400</v>
      </c>
      <c r="W26" s="287">
        <v>-8.2103643217124045E-4</v>
      </c>
      <c r="X26" s="287">
        <v>-1.2737045290123206E-3</v>
      </c>
      <c r="Y26" s="306">
        <v>-2.7153894970979309E-3</v>
      </c>
      <c r="AA26" s="286" t="s">
        <v>400</v>
      </c>
      <c r="AB26" s="287">
        <v>-3.1238954325090162E-3</v>
      </c>
      <c r="AC26" s="287">
        <v>-3.5627807083074003E-3</v>
      </c>
      <c r="AD26" s="306">
        <v>-4.0850856021279469E-3</v>
      </c>
      <c r="AE26" s="332">
        <f t="shared" ca="1" si="2"/>
        <v>1.369696105030016E-3</v>
      </c>
      <c r="AF26" s="286" t="s">
        <v>400</v>
      </c>
      <c r="AG26" s="287">
        <v>5.518419056897983E-2</v>
      </c>
      <c r="AH26" s="287">
        <v>8.6537294009758625E-2</v>
      </c>
      <c r="AI26" s="306">
        <v>0.11518470346345566</v>
      </c>
      <c r="AK26" s="286" t="s">
        <v>400</v>
      </c>
      <c r="AL26" s="287">
        <v>0.1272808662179159</v>
      </c>
      <c r="AM26" s="287">
        <v>0.12136406876379624</v>
      </c>
      <c r="AN26" s="306">
        <v>8.2462142563599627E-2</v>
      </c>
      <c r="AP26" s="286" t="s">
        <v>400</v>
      </c>
      <c r="AQ26" s="287">
        <v>-1.6912485079956241E-2</v>
      </c>
      <c r="AR26" s="287">
        <v>5.171051925572101E-2</v>
      </c>
      <c r="AS26" s="306">
        <v>0.1479072643633117</v>
      </c>
      <c r="AT26" s="332">
        <f t="shared" ca="1" si="3"/>
        <v>-6.5445121799712069E-2</v>
      </c>
      <c r="AU26" s="286" t="s">
        <v>400</v>
      </c>
      <c r="AV26" s="287">
        <v>0.33426944537495729</v>
      </c>
      <c r="AW26" s="287">
        <v>0.45225178600958316</v>
      </c>
      <c r="AX26" s="306">
        <v>0.50964449192179018</v>
      </c>
      <c r="AY26" s="332"/>
      <c r="AZ26" s="286" t="s">
        <v>400</v>
      </c>
      <c r="BA26" s="287">
        <v>5.518419056897983E-2</v>
      </c>
      <c r="BB26" s="287">
        <v>8.6537294009758625E-2</v>
      </c>
      <c r="BC26" s="306">
        <v>0.11518470346345566</v>
      </c>
      <c r="BD26" s="332">
        <f t="shared" ca="1" si="4"/>
        <v>0.39445978845833451</v>
      </c>
    </row>
    <row r="27" spans="2:56" x14ac:dyDescent="0.25">
      <c r="B27" s="325" t="str">
        <f ca="1"/>
        <v>EURYC_STD_3MLIBORSWAP_4Y</v>
      </c>
      <c r="C27" s="326">
        <f ca="1"/>
        <v>0</v>
      </c>
      <c r="D27" s="326">
        <f ca="1"/>
        <v>-3.1079234759090468E-4</v>
      </c>
      <c r="E27" s="326">
        <f ca="1"/>
        <v>9.0942266979254782E-4</v>
      </c>
      <c r="F27" s="326">
        <f ca="1"/>
        <v>-403.79867079100222</v>
      </c>
      <c r="G27" s="326">
        <f ca="1"/>
        <v>-0.35299654664413538</v>
      </c>
      <c r="H27" s="326">
        <f ca="1"/>
        <v>-0.33311241259070812</v>
      </c>
      <c r="I27" s="327">
        <f ca="1"/>
        <v>-0.2447916396704386</v>
      </c>
      <c r="J27" s="288">
        <f ca="1"/>
        <v>-404.7289727595853</v>
      </c>
      <c r="K27" s="277" t="s">
        <v>4</v>
      </c>
      <c r="L27" s="286" t="s">
        <v>401</v>
      </c>
      <c r="M27" s="287">
        <v>-5.6867341118049808E-3</v>
      </c>
      <c r="N27" s="287">
        <v>3.5076407602900872E-3</v>
      </c>
      <c r="O27" s="306">
        <v>4.7343976384581765E-3</v>
      </c>
      <c r="Q27" s="286" t="s">
        <v>401</v>
      </c>
      <c r="R27" s="287">
        <v>1.78686777871917E-3</v>
      </c>
      <c r="S27" s="287">
        <v>1.9880029140040278E-3</v>
      </c>
      <c r="T27" s="306">
        <v>1.818732747778995E-3</v>
      </c>
      <c r="U27" s="332">
        <f t="shared" ca="1" si="1"/>
        <v>2.9156648906791816E-3</v>
      </c>
      <c r="V27" s="286" t="s">
        <v>401</v>
      </c>
      <c r="W27" s="287">
        <v>2.5358579259773251E-3</v>
      </c>
      <c r="X27" s="287">
        <v>2.1114349983690772E-3</v>
      </c>
      <c r="Y27" s="306">
        <v>7.6847053605888505E-4</v>
      </c>
      <c r="AA27" s="286" t="s">
        <v>401</v>
      </c>
      <c r="AB27" s="287">
        <v>1.037877631461015E-3</v>
      </c>
      <c r="AC27" s="287">
        <v>1.8645708296389785E-3</v>
      </c>
      <c r="AD27" s="306">
        <v>2.8689949594991049E-3</v>
      </c>
      <c r="AE27" s="332">
        <f t="shared" ca="1" si="2"/>
        <v>-2.1005244234402198E-3</v>
      </c>
      <c r="AF27" s="286" t="s">
        <v>401</v>
      </c>
      <c r="AG27" s="287">
        <v>-0.35299654664413538</v>
      </c>
      <c r="AH27" s="287">
        <v>-0.33311241259070812</v>
      </c>
      <c r="AI27" s="306">
        <v>-0.2447916396704386</v>
      </c>
      <c r="AK27" s="286" t="s">
        <v>401</v>
      </c>
      <c r="AL27" s="287">
        <v>-0.11188261159986723</v>
      </c>
      <c r="AM27" s="287">
        <v>-0.10037547181127593</v>
      </c>
      <c r="AN27" s="306">
        <v>-6.6378869087202474E-2</v>
      </c>
      <c r="AP27" s="286" t="s">
        <v>401</v>
      </c>
      <c r="AQ27" s="287">
        <v>-0.59411048168840352</v>
      </c>
      <c r="AR27" s="287">
        <v>-0.56584935337014031</v>
      </c>
      <c r="AS27" s="306">
        <v>-0.42320441025367472</v>
      </c>
      <c r="AT27" s="332">
        <f t="shared" ca="1" si="3"/>
        <v>0.35682554116647225</v>
      </c>
      <c r="AU27" s="286" t="s">
        <v>401</v>
      </c>
      <c r="AV27" s="287">
        <v>-0.69355256600829307</v>
      </c>
      <c r="AW27" s="287">
        <v>-0.84728683796129189</v>
      </c>
      <c r="AX27" s="306">
        <v>-0.97939334555121604</v>
      </c>
      <c r="AY27" s="332"/>
      <c r="AZ27" s="286" t="s">
        <v>401</v>
      </c>
      <c r="BA27" s="287">
        <v>-0.35299654664413538</v>
      </c>
      <c r="BB27" s="287">
        <v>-0.33311241259070812</v>
      </c>
      <c r="BC27" s="306">
        <v>-0.2447916396704386</v>
      </c>
      <c r="BD27" s="332">
        <f t="shared" ca="1" si="4"/>
        <v>-0.73460170588077744</v>
      </c>
    </row>
    <row r="28" spans="2:56" x14ac:dyDescent="0.25">
      <c r="B28" s="325" t="str">
        <f ca="1"/>
        <v>EURYC_STD_3MLIBORSWAP_5Y</v>
      </c>
      <c r="C28" s="326">
        <f ca="1"/>
        <v>0</v>
      </c>
      <c r="D28" s="326">
        <f ca="1"/>
        <v>6.9832822191528976E-6</v>
      </c>
      <c r="E28" s="326">
        <f ca="1"/>
        <v>-1.2052227248204872E-3</v>
      </c>
      <c r="F28" s="326">
        <f ca="1"/>
        <v>9.8450254881754518E-4</v>
      </c>
      <c r="G28" s="326">
        <f ca="1"/>
        <v>-2.5138433011306915E-2</v>
      </c>
      <c r="H28" s="326">
        <f ca="1"/>
        <v>-3.6494916821538936E-2</v>
      </c>
      <c r="I28" s="327">
        <f ca="1"/>
        <v>-5.5074612919270294E-2</v>
      </c>
      <c r="J28" s="288">
        <f ca="1"/>
        <v>-0.11692169964589993</v>
      </c>
      <c r="K28" s="277" t="s">
        <v>4</v>
      </c>
      <c r="L28" s="286" t="s">
        <v>402</v>
      </c>
      <c r="M28" s="287">
        <v>-2.9859990045224549E-3</v>
      </c>
      <c r="N28" s="287">
        <v>-4.972631986856868E-2</v>
      </c>
      <c r="O28" s="306">
        <v>-6.0282288924099703E-2</v>
      </c>
      <c r="Q28" s="286" t="s">
        <v>402</v>
      </c>
      <c r="R28" s="287">
        <v>-1.866755417722743E-3</v>
      </c>
      <c r="S28" s="287">
        <v>-1.7169571601698408E-3</v>
      </c>
      <c r="T28" s="306">
        <v>-1.1330594243190717E-3</v>
      </c>
      <c r="U28" s="332">
        <f t="shared" ca="1" si="1"/>
        <v>-5.9149229499780631E-2</v>
      </c>
      <c r="V28" s="286" t="s">
        <v>402</v>
      </c>
      <c r="W28" s="287">
        <v>2.4138681874319445E-3</v>
      </c>
      <c r="X28" s="287">
        <v>2.2085070449975319E-3</v>
      </c>
      <c r="Y28" s="306">
        <v>1.6219851004279917E-3</v>
      </c>
      <c r="AA28" s="286" t="s">
        <v>402</v>
      </c>
      <c r="AB28" s="287">
        <v>-6.1473790228774305E-3</v>
      </c>
      <c r="AC28" s="287">
        <v>-5.6424213653372135E-3</v>
      </c>
      <c r="AD28" s="306">
        <v>-3.8881039490661351E-3</v>
      </c>
      <c r="AE28" s="332">
        <f t="shared" ca="1" si="2"/>
        <v>5.5100890494941268E-3</v>
      </c>
      <c r="AF28" s="286" t="s">
        <v>402</v>
      </c>
      <c r="AG28" s="287">
        <v>-2.5138433011306915E-2</v>
      </c>
      <c r="AH28" s="287">
        <v>-3.6494916821538936E-2</v>
      </c>
      <c r="AI28" s="306">
        <v>-5.5074612919270294E-2</v>
      </c>
      <c r="AK28" s="286" t="s">
        <v>402</v>
      </c>
      <c r="AL28" s="287">
        <v>9.4508178881369531E-2</v>
      </c>
      <c r="AM28" s="287">
        <v>8.4157808669260703E-2</v>
      </c>
      <c r="AN28" s="306">
        <v>4.1038897143153008E-2</v>
      </c>
      <c r="AP28" s="286" t="s">
        <v>402</v>
      </c>
      <c r="AQ28" s="287">
        <v>-0.14478504490398336</v>
      </c>
      <c r="AR28" s="287">
        <v>-0.15714764231233858</v>
      </c>
      <c r="AS28" s="306">
        <v>-0.1511881229816936</v>
      </c>
      <c r="AT28" s="332">
        <f t="shared" ca="1" si="3"/>
        <v>0.1922270201248466</v>
      </c>
      <c r="AU28" s="286" t="s">
        <v>402</v>
      </c>
      <c r="AV28" s="287">
        <v>0.62095131615933497</v>
      </c>
      <c r="AW28" s="287">
        <v>0.32048410030256491</v>
      </c>
      <c r="AX28" s="306">
        <v>6.5443063431303017E-2</v>
      </c>
      <c r="AY28" s="332"/>
      <c r="AZ28" s="286" t="s">
        <v>402</v>
      </c>
      <c r="BA28" s="287">
        <v>-2.5138433011306915E-2</v>
      </c>
      <c r="BB28" s="287">
        <v>-3.6494916821538936E-2</v>
      </c>
      <c r="BC28" s="306">
        <v>-5.5074612919270294E-2</v>
      </c>
      <c r="BD28" s="332">
        <f t="shared" ca="1" si="4"/>
        <v>0.12051767635057331</v>
      </c>
    </row>
    <row r="29" spans="2:56" x14ac:dyDescent="0.25">
      <c r="B29" s="325" t="str">
        <f ca="1"/>
        <v>EURYC_STD_3MLIBORSWAP_6Y</v>
      </c>
      <c r="C29" s="326">
        <f ca="1"/>
        <v>0</v>
      </c>
      <c r="D29" s="326">
        <f ca="1"/>
        <v>0</v>
      </c>
      <c r="E29" s="326">
        <f ca="1"/>
        <v>0</v>
      </c>
      <c r="F29" s="326">
        <f ca="1"/>
        <v>1.0186340659856796E-8</v>
      </c>
      <c r="G29" s="326">
        <f ca="1"/>
        <v>2.7624800350167789E-2</v>
      </c>
      <c r="H29" s="326">
        <f ca="1"/>
        <v>-3.6202135743224062E-2</v>
      </c>
      <c r="I29" s="327">
        <f ca="1"/>
        <v>-0.14585431745217647</v>
      </c>
      <c r="J29" s="288">
        <f ca="1"/>
        <v>-0.15443164265889209</v>
      </c>
      <c r="K29" s="277" t="s">
        <v>4</v>
      </c>
      <c r="L29" s="286" t="s">
        <v>403</v>
      </c>
      <c r="M29" s="287">
        <v>-2.44395220761362E-3</v>
      </c>
      <c r="N29" s="287">
        <v>0.20289156639410066</v>
      </c>
      <c r="O29" s="306">
        <v>0.24828903094567067</v>
      </c>
      <c r="Q29" s="286" t="s">
        <v>403</v>
      </c>
      <c r="R29" s="287">
        <v>-1.5089970784174511E-3</v>
      </c>
      <c r="S29" s="287">
        <v>-6.8387434657779522E-4</v>
      </c>
      <c r="T29" s="306">
        <v>7.3415622227912536E-4</v>
      </c>
      <c r="U29" s="332">
        <f t="shared" ca="1" si="1"/>
        <v>0.24755487472339155</v>
      </c>
      <c r="V29" s="286" t="s">
        <v>403</v>
      </c>
      <c r="W29" s="287">
        <v>-8.3588012785185128E-4</v>
      </c>
      <c r="X29" s="287">
        <v>-3.8011393917258829E-4</v>
      </c>
      <c r="Y29" s="306">
        <v>5.6508858688175678E-4</v>
      </c>
      <c r="AA29" s="286" t="s">
        <v>403</v>
      </c>
      <c r="AB29" s="287">
        <v>-2.182114028983051E-3</v>
      </c>
      <c r="AC29" s="287">
        <v>-9.8763475398300216E-4</v>
      </c>
      <c r="AD29" s="306">
        <v>9.0322385767649394E-4</v>
      </c>
      <c r="AE29" s="332">
        <f t="shared" ca="1" si="2"/>
        <v>-3.3813527079473715E-4</v>
      </c>
      <c r="AF29" s="286" t="s">
        <v>403</v>
      </c>
      <c r="AG29" s="287">
        <v>2.7624800350167789E-2</v>
      </c>
      <c r="AH29" s="287">
        <v>-3.6202135743224062E-2</v>
      </c>
      <c r="AI29" s="306">
        <v>-0.14585431745217647</v>
      </c>
      <c r="AK29" s="286" t="s">
        <v>403</v>
      </c>
      <c r="AL29" s="287">
        <v>0.27426469423517119</v>
      </c>
      <c r="AM29" s="287">
        <v>0.19358384342922363</v>
      </c>
      <c r="AN29" s="306">
        <v>4.0930714385467581E-2</v>
      </c>
      <c r="AP29" s="286" t="s">
        <v>403</v>
      </c>
      <c r="AQ29" s="287">
        <v>-0.21901509353483561</v>
      </c>
      <c r="AR29" s="287">
        <v>-0.26598811491567176</v>
      </c>
      <c r="AS29" s="306">
        <v>-0.33263934928982053</v>
      </c>
      <c r="AT29" s="332">
        <f t="shared" ca="1" si="3"/>
        <v>0.37357006367528811</v>
      </c>
      <c r="AU29" s="286" t="s">
        <v>403</v>
      </c>
      <c r="AV29" s="287">
        <v>-0.93429059143090853</v>
      </c>
      <c r="AW29" s="287">
        <v>-0.76642502899630927</v>
      </c>
      <c r="AX29" s="306">
        <v>-0.7510870856094698</v>
      </c>
      <c r="AY29" s="332"/>
      <c r="AZ29" s="286" t="s">
        <v>403</v>
      </c>
      <c r="BA29" s="287">
        <v>2.7624800350167789E-2</v>
      </c>
      <c r="BB29" s="287">
        <v>-3.6202135743224062E-2</v>
      </c>
      <c r="BC29" s="306">
        <v>-0.14585431745217647</v>
      </c>
      <c r="BD29" s="332">
        <f t="shared" ca="1" si="4"/>
        <v>-0.60523276815729332</v>
      </c>
    </row>
    <row r="30" spans="2:56" x14ac:dyDescent="0.25">
      <c r="B30" s="325" t="str">
        <f ca="1"/>
        <v>EURYC_STD_3MLIBORSWAP_7Y</v>
      </c>
      <c r="C30" s="326">
        <f ca="1"/>
        <v>0</v>
      </c>
      <c r="D30" s="326">
        <f ca="1"/>
        <v>0</v>
      </c>
      <c r="E30" s="326">
        <f ca="1"/>
        <v>0</v>
      </c>
      <c r="F30" s="326">
        <f ca="1"/>
        <v>0</v>
      </c>
      <c r="G30" s="326">
        <f ca="1"/>
        <v>2.2893350251251832E-2</v>
      </c>
      <c r="H30" s="326">
        <f ca="1"/>
        <v>4.9610629503149539E-2</v>
      </c>
      <c r="I30" s="327">
        <f ca="1"/>
        <v>9.8756212901207618E-2</v>
      </c>
      <c r="J30" s="288">
        <f ca="1"/>
        <v>0.17126019265560899</v>
      </c>
      <c r="K30" s="277" t="s">
        <v>4</v>
      </c>
      <c r="L30" s="286" t="s">
        <v>404</v>
      </c>
      <c r="M30" s="287">
        <v>-2.3948671023390489E-3</v>
      </c>
      <c r="N30" s="287">
        <v>-0.90468804765623645</v>
      </c>
      <c r="O30" s="306">
        <v>-1.1114335045504049</v>
      </c>
      <c r="Q30" s="286" t="s">
        <v>404</v>
      </c>
      <c r="R30" s="287">
        <v>1.3569706872658571E-2</v>
      </c>
      <c r="S30" s="287">
        <v>1.3774915500107454E-2</v>
      </c>
      <c r="T30" s="306">
        <v>1.4087098904383311E-2</v>
      </c>
      <c r="U30" s="332">
        <f t="shared" ca="1" si="1"/>
        <v>-1.1255206034547882</v>
      </c>
      <c r="V30" s="286" t="s">
        <v>404</v>
      </c>
      <c r="W30" s="287">
        <v>-1.2824566019844497E-2</v>
      </c>
      <c r="X30" s="287">
        <v>-1.2971590105735231E-2</v>
      </c>
      <c r="Y30" s="306">
        <v>-1.3481243899150286E-2</v>
      </c>
      <c r="AA30" s="286" t="s">
        <v>404</v>
      </c>
      <c r="AB30" s="287">
        <v>3.9963979765161639E-2</v>
      </c>
      <c r="AC30" s="287">
        <v>4.0521421105950139E-2</v>
      </c>
      <c r="AD30" s="306">
        <v>4.1655441707916907E-2</v>
      </c>
      <c r="AE30" s="332">
        <f t="shared" ca="1" si="2"/>
        <v>-5.5136685607067193E-2</v>
      </c>
      <c r="AF30" s="286" t="s">
        <v>404</v>
      </c>
      <c r="AG30" s="287">
        <v>2.2893350251251832E-2</v>
      </c>
      <c r="AH30" s="287">
        <v>4.9610629503149539E-2</v>
      </c>
      <c r="AI30" s="306">
        <v>9.8756212901207618E-2</v>
      </c>
      <c r="AK30" s="286" t="s">
        <v>404</v>
      </c>
      <c r="AL30" s="287">
        <v>-4.5949401464895345E-2</v>
      </c>
      <c r="AM30" s="287">
        <v>-7.7447267904062755E-2</v>
      </c>
      <c r="AN30" s="306">
        <v>-9.851711402006913E-2</v>
      </c>
      <c r="AP30" s="286" t="s">
        <v>404</v>
      </c>
      <c r="AQ30" s="287">
        <v>9.1736101967399009E-2</v>
      </c>
      <c r="AR30" s="287">
        <v>0.17666852691036183</v>
      </c>
      <c r="AS30" s="306">
        <v>0.29602953982248437</v>
      </c>
      <c r="AT30" s="332">
        <f t="shared" ca="1" si="3"/>
        <v>-0.3945466538425535</v>
      </c>
      <c r="AU30" s="286" t="s">
        <v>404</v>
      </c>
      <c r="AV30" s="287">
        <v>-0.22842860507807927</v>
      </c>
      <c r="AW30" s="287">
        <v>-1.2117258667785791</v>
      </c>
      <c r="AX30" s="306">
        <v>-1.4843006032606354</v>
      </c>
      <c r="AY30" s="332"/>
      <c r="AZ30" s="286" t="s">
        <v>404</v>
      </c>
      <c r="BA30" s="287">
        <v>2.2893350251251832E-2</v>
      </c>
      <c r="BB30" s="287">
        <v>4.9610629503149539E-2</v>
      </c>
      <c r="BC30" s="306">
        <v>9.8756212901207618E-2</v>
      </c>
      <c r="BD30" s="332">
        <f t="shared" ca="1" si="4"/>
        <v>-1.583056816161843</v>
      </c>
    </row>
    <row r="31" spans="2:56" x14ac:dyDescent="0.25">
      <c r="B31" s="325" t="str">
        <f ca="1"/>
        <v>EURYC_STD_3MLIBORSWAP_8Y</v>
      </c>
      <c r="C31" s="326">
        <f ca="1"/>
        <v>0</v>
      </c>
      <c r="D31" s="326">
        <f ca="1"/>
        <v>0</v>
      </c>
      <c r="E31" s="326">
        <f ca="1"/>
        <v>0</v>
      </c>
      <c r="F31" s="326">
        <f ca="1"/>
        <v>0</v>
      </c>
      <c r="G31" s="326">
        <f ca="1"/>
        <v>-0.14464296291407663</v>
      </c>
      <c r="H31" s="326">
        <f ca="1"/>
        <v>-0.13614872696052771</v>
      </c>
      <c r="I31" s="327">
        <f ca="1"/>
        <v>-0.12650832186409389</v>
      </c>
      <c r="J31" s="288">
        <f ca="1"/>
        <v>-0.40730001173869823</v>
      </c>
      <c r="K31" s="277" t="s">
        <v>4</v>
      </c>
      <c r="L31" s="286" t="s">
        <v>405</v>
      </c>
      <c r="M31" s="287">
        <v>3.7382351310952799E-3</v>
      </c>
      <c r="N31" s="287">
        <v>3.899200281875892</v>
      </c>
      <c r="O31" s="306">
        <v>4.7899708831155294</v>
      </c>
      <c r="Q31" s="286" t="s">
        <v>405</v>
      </c>
      <c r="R31" s="287">
        <v>-3.8922279580219765E-2</v>
      </c>
      <c r="S31" s="287">
        <v>-3.864921649437747E-2</v>
      </c>
      <c r="T31" s="306">
        <v>-3.8080666648056649E-2</v>
      </c>
      <c r="U31" s="332">
        <f t="shared" ca="1" si="1"/>
        <v>4.8280515497635861</v>
      </c>
      <c r="V31" s="286" t="s">
        <v>405</v>
      </c>
      <c r="W31" s="287">
        <v>-0.24552997052160208</v>
      </c>
      <c r="X31" s="287">
        <v>-0.2453448865453538</v>
      </c>
      <c r="Y31" s="306">
        <v>-0.24560602771089179</v>
      </c>
      <c r="AA31" s="286" t="s">
        <v>405</v>
      </c>
      <c r="AB31" s="287">
        <v>0.16768541136116255</v>
      </c>
      <c r="AC31" s="287">
        <v>0.16804645355659886</v>
      </c>
      <c r="AD31" s="306">
        <v>0.1694446944147785</v>
      </c>
      <c r="AE31" s="332">
        <f t="shared" ca="1" si="2"/>
        <v>-0.41505072212567029</v>
      </c>
      <c r="AF31" s="286" t="s">
        <v>405</v>
      </c>
      <c r="AG31" s="287">
        <v>-0.14464296291407663</v>
      </c>
      <c r="AH31" s="287">
        <v>-0.13614872696052771</v>
      </c>
      <c r="AI31" s="306">
        <v>-0.12650832186409389</v>
      </c>
      <c r="AK31" s="286" t="s">
        <v>405</v>
      </c>
      <c r="AL31" s="287">
        <v>-8.0954558507073671E-2</v>
      </c>
      <c r="AM31" s="287">
        <v>-0.11084171892434824</v>
      </c>
      <c r="AN31" s="306">
        <v>-0.18499251855246257</v>
      </c>
      <c r="AP31" s="286" t="s">
        <v>405</v>
      </c>
      <c r="AQ31" s="287">
        <v>-0.2083313673210796</v>
      </c>
      <c r="AR31" s="287">
        <v>-0.16145573499670718</v>
      </c>
      <c r="AS31" s="306">
        <v>-6.8024125175725203E-2</v>
      </c>
      <c r="AT31" s="332">
        <f t="shared" ca="1" si="3"/>
        <v>-0.11696839337673737</v>
      </c>
      <c r="AU31" s="286" t="s">
        <v>405</v>
      </c>
      <c r="AV31" s="287">
        <v>-0.14466300781350583</v>
      </c>
      <c r="AW31" s="287">
        <v>3.6803599945415044</v>
      </c>
      <c r="AX31" s="306">
        <v>4.5592191674586502</v>
      </c>
      <c r="AY31" s="332"/>
      <c r="AZ31" s="286" t="s">
        <v>405</v>
      </c>
      <c r="BA31" s="287">
        <v>-0.14464296291407663</v>
      </c>
      <c r="BB31" s="287">
        <v>-0.13614872696052771</v>
      </c>
      <c r="BC31" s="306">
        <v>-0.12650832186409389</v>
      </c>
      <c r="BD31" s="332">
        <f t="shared" ca="1" si="4"/>
        <v>4.6857274893227441</v>
      </c>
    </row>
    <row r="32" spans="2:56" x14ac:dyDescent="0.25">
      <c r="B32" s="325" t="str">
        <f ca="1"/>
        <v>EURYC_STD_3MLIBORSWAP_9Y</v>
      </c>
      <c r="C32" s="326">
        <f ca="1"/>
        <v>0</v>
      </c>
      <c r="D32" s="326">
        <f ca="1"/>
        <v>0</v>
      </c>
      <c r="E32" s="326">
        <f ca="1"/>
        <v>0</v>
      </c>
      <c r="F32" s="326">
        <f ca="1"/>
        <v>0</v>
      </c>
      <c r="G32" s="326">
        <f ca="1"/>
        <v>0.22095840085967211</v>
      </c>
      <c r="H32" s="326">
        <f ca="1"/>
        <v>0.11789208219852298</v>
      </c>
      <c r="I32" s="327">
        <f ca="1"/>
        <v>-3.2165618813451147E-2</v>
      </c>
      <c r="J32" s="288">
        <f ca="1"/>
        <v>0.30668486424474395</v>
      </c>
      <c r="K32" s="277" t="s">
        <v>4</v>
      </c>
      <c r="L32" s="286" t="s">
        <v>406</v>
      </c>
      <c r="M32" s="287">
        <v>1.1671774700516835E-4</v>
      </c>
      <c r="N32" s="287">
        <v>-16.427247406927563</v>
      </c>
      <c r="O32" s="306">
        <v>-20.175400764112965</v>
      </c>
      <c r="Q32" s="286" t="s">
        <v>406</v>
      </c>
      <c r="R32" s="287">
        <v>-5.3389587688798201E-2</v>
      </c>
      <c r="S32" s="287">
        <v>-5.3751068691781256E-2</v>
      </c>
      <c r="T32" s="306">
        <v>-5.4403454338171287E-2</v>
      </c>
      <c r="U32" s="332">
        <f t="shared" ca="1" si="1"/>
        <v>-20.120997309774793</v>
      </c>
      <c r="V32" s="286" t="s">
        <v>406</v>
      </c>
      <c r="W32" s="287">
        <v>0.33401611125373165</v>
      </c>
      <c r="X32" s="287">
        <v>0.33366319901688257</v>
      </c>
      <c r="Y32" s="306">
        <v>0.33301321708495379</v>
      </c>
      <c r="AA32" s="286" t="s">
        <v>406</v>
      </c>
      <c r="AB32" s="287">
        <v>-0.44079528663132805</v>
      </c>
      <c r="AC32" s="287">
        <v>-0.44116533640044509</v>
      </c>
      <c r="AD32" s="306">
        <v>-0.44182012576129637</v>
      </c>
      <c r="AE32" s="332">
        <f t="shared" ca="1" si="2"/>
        <v>0.77483334284625016</v>
      </c>
      <c r="AF32" s="286" t="s">
        <v>406</v>
      </c>
      <c r="AG32" s="287">
        <v>0.22095840085967211</v>
      </c>
      <c r="AH32" s="287">
        <v>0.11789208219852298</v>
      </c>
      <c r="AI32" s="306">
        <v>-3.2165618813451147E-2</v>
      </c>
      <c r="AK32" s="286" t="s">
        <v>406</v>
      </c>
      <c r="AL32" s="287">
        <v>5.2428321214392781E-2</v>
      </c>
      <c r="AM32" s="287">
        <v>-0.1560431337566115</v>
      </c>
      <c r="AN32" s="306">
        <v>-0.44761124536307761</v>
      </c>
      <c r="AP32" s="286" t="s">
        <v>406</v>
      </c>
      <c r="AQ32" s="287">
        <v>0.38948848050495144</v>
      </c>
      <c r="AR32" s="287">
        <v>0.39182729815365747</v>
      </c>
      <c r="AS32" s="306">
        <v>0.38328000773617532</v>
      </c>
      <c r="AT32" s="332">
        <f t="shared" ca="1" si="3"/>
        <v>-0.83089125309925294</v>
      </c>
      <c r="AU32" s="286" t="s">
        <v>406</v>
      </c>
      <c r="AV32" s="287">
        <v>-6.804686454415787E-2</v>
      </c>
      <c r="AW32" s="287">
        <v>-16.52052415010985</v>
      </c>
      <c r="AX32" s="306">
        <v>-20.233142773759027</v>
      </c>
      <c r="AY32" s="332"/>
      <c r="AZ32" s="286" t="s">
        <v>406</v>
      </c>
      <c r="BA32" s="287">
        <v>0.22095840085967211</v>
      </c>
      <c r="BB32" s="287">
        <v>0.11789208219852298</v>
      </c>
      <c r="BC32" s="306">
        <v>-3.2165618813451147E-2</v>
      </c>
      <c r="BD32" s="332">
        <f t="shared" ca="1" si="4"/>
        <v>-20.200977154945576</v>
      </c>
    </row>
    <row r="33" spans="2:56" x14ac:dyDescent="0.25">
      <c r="B33" s="325" t="str">
        <f ca="1"/>
        <v>EURYC_STD_3MLIBORSWAP_10Y</v>
      </c>
      <c r="C33" s="326">
        <f ca="1"/>
        <v>0</v>
      </c>
      <c r="D33" s="326">
        <f ca="1"/>
        <v>0</v>
      </c>
      <c r="E33" s="326">
        <f ca="1"/>
        <v>0</v>
      </c>
      <c r="F33" s="326">
        <f ca="1"/>
        <v>0</v>
      </c>
      <c r="G33" s="326">
        <f ca="1"/>
        <v>-0.3314711109851487</v>
      </c>
      <c r="H33" s="326">
        <f ca="1"/>
        <v>-0.34403655208734563</v>
      </c>
      <c r="I33" s="327">
        <f ca="1"/>
        <v>-0.38313938684950699</v>
      </c>
      <c r="J33" s="288">
        <f ca="1"/>
        <v>-1.0586470499220013</v>
      </c>
      <c r="K33" s="277" t="s">
        <v>4</v>
      </c>
      <c r="L33" s="286" t="s">
        <v>407</v>
      </c>
      <c r="M33" s="287">
        <v>1.1951977608987363E-2</v>
      </c>
      <c r="N33" s="287">
        <v>68.496625508229044</v>
      </c>
      <c r="O33" s="306">
        <v>84.124097153941875</v>
      </c>
      <c r="Q33" s="286" t="s">
        <v>407</v>
      </c>
      <c r="R33" s="287">
        <v>0.29917586893316184</v>
      </c>
      <c r="S33" s="287">
        <v>0.29951532899758604</v>
      </c>
      <c r="T33" s="306">
        <v>0.30016722767049941</v>
      </c>
      <c r="U33" s="332">
        <f t="shared" ca="1" si="1"/>
        <v>83.823929926271376</v>
      </c>
      <c r="V33" s="286" t="s">
        <v>407</v>
      </c>
      <c r="W33" s="287">
        <v>0.45719535855823779</v>
      </c>
      <c r="X33" s="287">
        <v>0.45727290132344933</v>
      </c>
      <c r="Y33" s="306">
        <v>0.45701400244615797</v>
      </c>
      <c r="AA33" s="286" t="s">
        <v>407</v>
      </c>
      <c r="AB33" s="287">
        <v>0.14115637930808589</v>
      </c>
      <c r="AC33" s="287">
        <v>0.14175775667172275</v>
      </c>
      <c r="AD33" s="306">
        <v>0.14332045289484086</v>
      </c>
      <c r="AE33" s="332">
        <f t="shared" ca="1" si="2"/>
        <v>0.31369354955131712</v>
      </c>
      <c r="AF33" s="286" t="s">
        <v>407</v>
      </c>
      <c r="AG33" s="287">
        <v>-0.3314711109851487</v>
      </c>
      <c r="AH33" s="287">
        <v>-0.34403655208734563</v>
      </c>
      <c r="AI33" s="306">
        <v>-0.38313938684950699</v>
      </c>
      <c r="AK33" s="286" t="s">
        <v>407</v>
      </c>
      <c r="AL33" s="287">
        <v>-0.4032527966046473</v>
      </c>
      <c r="AM33" s="287">
        <v>-0.40914327764767222</v>
      </c>
      <c r="AN33" s="306">
        <v>-0.46700565362698399</v>
      </c>
      <c r="AP33" s="286" t="s">
        <v>407</v>
      </c>
      <c r="AQ33" s="287">
        <v>-0.2596894253656501</v>
      </c>
      <c r="AR33" s="287">
        <v>-0.27892982652701903</v>
      </c>
      <c r="AS33" s="306">
        <v>-0.29927312007203</v>
      </c>
      <c r="AT33" s="332">
        <f t="shared" ca="1" si="3"/>
        <v>-0.16773253355495399</v>
      </c>
      <c r="AU33" s="286" t="s">
        <v>407</v>
      </c>
      <c r="AV33" s="287">
        <v>-0.32834987723617814</v>
      </c>
      <c r="AW33" s="287">
        <v>68.017834527199739</v>
      </c>
      <c r="AX33" s="306">
        <v>83.510399360966403</v>
      </c>
      <c r="AY33" s="332"/>
      <c r="AZ33" s="286" t="s">
        <v>407</v>
      </c>
      <c r="BA33" s="287">
        <v>-0.3314711109851487</v>
      </c>
      <c r="BB33" s="287">
        <v>-0.34403655208734563</v>
      </c>
      <c r="BC33" s="306">
        <v>-0.38313938684950699</v>
      </c>
      <c r="BD33" s="332">
        <f t="shared" ca="1" si="4"/>
        <v>83.89353874781591</v>
      </c>
    </row>
    <row r="34" spans="2:56" x14ac:dyDescent="0.25">
      <c r="B34" s="325" t="str">
        <f ca="1"/>
        <v>EURYC_STD_3MLIBORSWAP_11Y</v>
      </c>
      <c r="C34" s="326">
        <f ca="1"/>
        <v>0</v>
      </c>
      <c r="D34" s="326">
        <f ca="1"/>
        <v>0</v>
      </c>
      <c r="E34" s="326">
        <f ca="1"/>
        <v>0</v>
      </c>
      <c r="F34" s="326">
        <f ca="1"/>
        <v>0</v>
      </c>
      <c r="G34" s="326">
        <f ca="1"/>
        <v>1.7516088710181066</v>
      </c>
      <c r="H34" s="326">
        <f ca="1"/>
        <v>1.8928208737634122</v>
      </c>
      <c r="I34" s="327">
        <f ca="1"/>
        <v>1.8942446805340296</v>
      </c>
      <c r="J34" s="288">
        <f ca="1"/>
        <v>5.5386744253155484</v>
      </c>
      <c r="K34" s="277" t="s">
        <v>4</v>
      </c>
      <c r="L34" s="286" t="s">
        <v>408</v>
      </c>
      <c r="M34" s="287">
        <v>-6.5654581430862891E-3</v>
      </c>
      <c r="N34" s="287">
        <v>-282.6360299437456</v>
      </c>
      <c r="O34" s="306">
        <v>-347.13280711773314</v>
      </c>
      <c r="Q34" s="286" t="s">
        <v>408</v>
      </c>
      <c r="R34" s="287">
        <v>-0.31034517811167461</v>
      </c>
      <c r="S34" s="287">
        <v>-1.0414207451412949</v>
      </c>
      <c r="T34" s="306">
        <v>-1.1174491055398903</v>
      </c>
      <c r="U34" s="332">
        <f t="shared" ca="1" si="1"/>
        <v>-346.01535801219325</v>
      </c>
      <c r="V34" s="286" t="s">
        <v>408</v>
      </c>
      <c r="W34" s="287">
        <v>-0.2485333597396675</v>
      </c>
      <c r="X34" s="287">
        <v>-0.19101166859400109</v>
      </c>
      <c r="Y34" s="306">
        <v>-0.1883358740087715</v>
      </c>
      <c r="AA34" s="286" t="s">
        <v>408</v>
      </c>
      <c r="AB34" s="287">
        <v>-0.37215699648368172</v>
      </c>
      <c r="AC34" s="287">
        <v>-1.8918298216885887</v>
      </c>
      <c r="AD34" s="306">
        <v>-2.0465623370710091</v>
      </c>
      <c r="AE34" s="332">
        <f t="shared" ca="1" si="2"/>
        <v>1.8582264630622376</v>
      </c>
      <c r="AF34" s="286" t="s">
        <v>408</v>
      </c>
      <c r="AG34" s="287">
        <v>1.7516088710181066</v>
      </c>
      <c r="AH34" s="287">
        <v>1.8928208737634122</v>
      </c>
      <c r="AI34" s="306">
        <v>1.8942446805340296</v>
      </c>
      <c r="AK34" s="286" t="s">
        <v>408</v>
      </c>
      <c r="AL34" s="287">
        <v>1.5712318472651532</v>
      </c>
      <c r="AM34" s="287">
        <v>1.7004653964249883</v>
      </c>
      <c r="AN34" s="306">
        <v>1.6929292854911182</v>
      </c>
      <c r="AP34" s="286" t="s">
        <v>408</v>
      </c>
      <c r="AQ34" s="287">
        <v>1.93198589477106</v>
      </c>
      <c r="AR34" s="287">
        <v>2.0851763511018362</v>
      </c>
      <c r="AS34" s="306">
        <v>2.095560075576941</v>
      </c>
      <c r="AT34" s="332">
        <f t="shared" ca="1" si="3"/>
        <v>-0.40263079008582281</v>
      </c>
      <c r="AU34" s="286" t="s">
        <v>408</v>
      </c>
      <c r="AV34" s="287">
        <v>0.35960188452008879</v>
      </c>
      <c r="AW34" s="287">
        <v>-282.08840296138078</v>
      </c>
      <c r="AX34" s="306">
        <v>-346.47821715025202</v>
      </c>
      <c r="AY34" s="332"/>
      <c r="AZ34" s="286" t="s">
        <v>408</v>
      </c>
      <c r="BA34" s="287">
        <v>1.7516088710181066</v>
      </c>
      <c r="BB34" s="287">
        <v>1.8928208737634122</v>
      </c>
      <c r="BC34" s="306">
        <v>1.8942446805340296</v>
      </c>
      <c r="BD34" s="332">
        <f t="shared" ca="1" si="4"/>
        <v>-348.37246183078605</v>
      </c>
    </row>
    <row r="35" spans="2:56" x14ac:dyDescent="0.25">
      <c r="B35" s="325" t="str">
        <f ca="1"/>
        <v>EURYC_STD_3MLIBORSWAP_12Y</v>
      </c>
      <c r="C35" s="326">
        <f ca="1"/>
        <v>0</v>
      </c>
      <c r="D35" s="326">
        <f ca="1"/>
        <v>0</v>
      </c>
      <c r="E35" s="326">
        <f ca="1"/>
        <v>0</v>
      </c>
      <c r="F35" s="326">
        <f ca="1"/>
        <v>0</v>
      </c>
      <c r="G35" s="326">
        <f ca="1"/>
        <v>-1.9014742494618986</v>
      </c>
      <c r="H35" s="326">
        <f ca="1"/>
        <v>151.04263411667489</v>
      </c>
      <c r="I35" s="327">
        <f ca="1"/>
        <v>168.27131829040809</v>
      </c>
      <c r="J35" s="288">
        <f ca="1"/>
        <v>317.41247815762108</v>
      </c>
      <c r="K35" s="277" t="s">
        <v>4</v>
      </c>
      <c r="L35" s="286" t="s">
        <v>409</v>
      </c>
      <c r="M35" s="287">
        <v>3.2163604973902693E-3</v>
      </c>
      <c r="N35" s="287">
        <v>475.50975804348855</v>
      </c>
      <c r="O35" s="306">
        <v>584.02091056604331</v>
      </c>
      <c r="Q35" s="286" t="s">
        <v>409</v>
      </c>
      <c r="R35" s="287">
        <v>0.18199167158854834</v>
      </c>
      <c r="S35" s="287">
        <v>159.31909373911913</v>
      </c>
      <c r="T35" s="306">
        <v>177.87415551177855</v>
      </c>
      <c r="U35" s="332">
        <f t="shared" ca="1" si="1"/>
        <v>406.14675505426476</v>
      </c>
      <c r="V35" s="286" t="s">
        <v>409</v>
      </c>
      <c r="W35" s="287">
        <v>-7.3921311806770973E-2</v>
      </c>
      <c r="X35" s="287">
        <v>165.11454301088088</v>
      </c>
      <c r="Y35" s="306">
        <v>184.92307360678933</v>
      </c>
      <c r="AA35" s="286" t="s">
        <v>409</v>
      </c>
      <c r="AB35" s="287">
        <v>0.43790465498386766</v>
      </c>
      <c r="AC35" s="287">
        <v>153.52364446735737</v>
      </c>
      <c r="AD35" s="306">
        <v>170.82523741676778</v>
      </c>
      <c r="AE35" s="332">
        <f t="shared" ca="1" si="2"/>
        <v>14.097836190021553</v>
      </c>
      <c r="AF35" s="286" t="s">
        <v>409</v>
      </c>
      <c r="AG35" s="287">
        <v>-1.9014742494618986</v>
      </c>
      <c r="AH35" s="287">
        <v>151.04263411667489</v>
      </c>
      <c r="AI35" s="306">
        <v>168.27131829040809</v>
      </c>
      <c r="AK35" s="286" t="s">
        <v>409</v>
      </c>
      <c r="AL35" s="287">
        <v>-1.779638290827279</v>
      </c>
      <c r="AM35" s="287">
        <v>151.15576663665706</v>
      </c>
      <c r="AN35" s="306">
        <v>168.33033969196549</v>
      </c>
      <c r="AP35" s="286" t="s">
        <v>409</v>
      </c>
      <c r="AQ35" s="287">
        <v>-2.0233102080965182</v>
      </c>
      <c r="AR35" s="287">
        <v>150.92950159669272</v>
      </c>
      <c r="AS35" s="306">
        <v>168.21229688885069</v>
      </c>
      <c r="AT35" s="332">
        <f t="shared" ca="1" si="3"/>
        <v>0.11804280311480397</v>
      </c>
      <c r="AU35" s="286" t="s">
        <v>409</v>
      </c>
      <c r="AV35" s="287">
        <v>-0.57299644340673694</v>
      </c>
      <c r="AW35" s="287">
        <v>474.84292119825113</v>
      </c>
      <c r="AX35" s="306">
        <v>583.40871595255521</v>
      </c>
      <c r="AY35" s="332"/>
      <c r="AZ35" s="286" t="s">
        <v>409</v>
      </c>
      <c r="BA35" s="287">
        <v>-1.9014742494618986</v>
      </c>
      <c r="BB35" s="287">
        <v>151.04263411667489</v>
      </c>
      <c r="BC35" s="306">
        <v>168.27131829040809</v>
      </c>
      <c r="BD35" s="332">
        <f t="shared" ca="1" si="4"/>
        <v>415.13739766214712</v>
      </c>
    </row>
    <row r="36" spans="2:56" x14ac:dyDescent="0.25">
      <c r="B36" s="325" t="str">
        <f ca="1"/>
        <v>EURYC_STD_3MLIBORSWAP_15Y</v>
      </c>
      <c r="C36" s="326">
        <f ca="1"/>
        <v>0</v>
      </c>
      <c r="D36" s="326">
        <f ca="1"/>
        <v>0</v>
      </c>
      <c r="E36" s="326">
        <f ca="1"/>
        <v>0</v>
      </c>
      <c r="F36" s="326">
        <f ca="1"/>
        <v>0</v>
      </c>
      <c r="G36" s="326">
        <f ca="1"/>
        <v>-1465.0858680930469</v>
      </c>
      <c r="H36" s="326">
        <f ca="1"/>
        <v>-1447.5602231861558</v>
      </c>
      <c r="I36" s="327">
        <f ca="1"/>
        <v>-1138.9769226197132</v>
      </c>
      <c r="J36" s="288">
        <f ca="1"/>
        <v>-4051.6230138989158</v>
      </c>
      <c r="K36" s="277" t="s">
        <v>4</v>
      </c>
      <c r="L36" s="286" t="s">
        <v>410</v>
      </c>
      <c r="M36" s="287">
        <v>-1465.5967888107371</v>
      </c>
      <c r="N36" s="287">
        <v>-1539.3188407531597</v>
      </c>
      <c r="O36" s="306">
        <v>-1290.214271512963</v>
      </c>
      <c r="Q36" s="286" t="s">
        <v>410</v>
      </c>
      <c r="R36" s="287">
        <v>-1465.4060903696591</v>
      </c>
      <c r="S36" s="287">
        <v>-1506.2113437070839</v>
      </c>
      <c r="T36" s="306">
        <v>-1282.4263849910285</v>
      </c>
      <c r="U36" s="332">
        <f t="shared" ca="1" si="1"/>
        <v>-7.7878865219345244</v>
      </c>
      <c r="V36" s="286" t="s">
        <v>410</v>
      </c>
      <c r="W36" s="287">
        <v>-1465.4236814892211</v>
      </c>
      <c r="X36" s="287">
        <v>-1447.9130560036683</v>
      </c>
      <c r="Y36" s="306">
        <v>-1139.3919306157968</v>
      </c>
      <c r="AA36" s="286" t="s">
        <v>410</v>
      </c>
      <c r="AB36" s="287">
        <v>-1465.3884992500971</v>
      </c>
      <c r="AC36" s="287">
        <v>-1564.5096314104994</v>
      </c>
      <c r="AD36" s="306">
        <v>-1425.4608393662602</v>
      </c>
      <c r="AE36" s="332">
        <f t="shared" ca="1" si="2"/>
        <v>286.06890875046338</v>
      </c>
      <c r="AF36" s="286" t="s">
        <v>410</v>
      </c>
      <c r="AG36" s="287">
        <v>-1465.0858680930469</v>
      </c>
      <c r="AH36" s="287">
        <v>-1447.5602231861558</v>
      </c>
      <c r="AI36" s="306">
        <v>-1138.9769226197132</v>
      </c>
      <c r="AK36" s="286" t="s">
        <v>410</v>
      </c>
      <c r="AL36" s="287">
        <v>-1464.9513302156265</v>
      </c>
      <c r="AM36" s="287">
        <v>-1447.4970285198651</v>
      </c>
      <c r="AN36" s="306">
        <v>-1139.0789329352629</v>
      </c>
      <c r="AP36" s="286" t="s">
        <v>410</v>
      </c>
      <c r="AQ36" s="287">
        <v>-1465.2204059704673</v>
      </c>
      <c r="AR36" s="287">
        <v>-1447.6234178524464</v>
      </c>
      <c r="AS36" s="306">
        <v>-1138.8749123041634</v>
      </c>
      <c r="AT36" s="332">
        <f t="shared" ca="1" si="3"/>
        <v>-0.20402063109941082</v>
      </c>
      <c r="AU36" s="286" t="s">
        <v>410</v>
      </c>
      <c r="AV36" s="287">
        <v>-1465.3246524734641</v>
      </c>
      <c r="AW36" s="287">
        <v>-1539.0101581122508</v>
      </c>
      <c r="AX36" s="306">
        <v>-1289.9315471590853</v>
      </c>
      <c r="AY36" s="332"/>
      <c r="AZ36" s="286" t="s">
        <v>410</v>
      </c>
      <c r="BA36" s="287">
        <v>-1465.0858680930469</v>
      </c>
      <c r="BB36" s="287">
        <v>-1447.5602231861558</v>
      </c>
      <c r="BC36" s="306">
        <v>-1138.9769226197132</v>
      </c>
      <c r="BD36" s="332">
        <f t="shared" ca="1" si="4"/>
        <v>-150.95462453937216</v>
      </c>
    </row>
    <row r="37" spans="2:56" x14ac:dyDescent="0.25">
      <c r="B37" s="325" t="str">
        <f ca="1"/>
        <v>EURYC_STD_3MLIBORSWAP_20Y</v>
      </c>
      <c r="C37" s="326">
        <f ca="1"/>
        <v>0</v>
      </c>
      <c r="D37" s="326">
        <f ca="1"/>
        <v>0</v>
      </c>
      <c r="E37" s="326">
        <f ca="1"/>
        <v>0</v>
      </c>
      <c r="F37" s="326">
        <f ca="1"/>
        <v>0</v>
      </c>
      <c r="G37" s="326">
        <f ca="1"/>
        <v>2.5694096984807402E-2</v>
      </c>
      <c r="H37" s="326">
        <f ca="1"/>
        <v>-298.60797305245796</v>
      </c>
      <c r="I37" s="327">
        <f ca="1"/>
        <v>-789.2125871614553</v>
      </c>
      <c r="J37" s="288">
        <f ca="1"/>
        <v>-1087.7948661169285</v>
      </c>
      <c r="K37" s="277" t="s">
        <v>4</v>
      </c>
      <c r="L37" s="286" t="s">
        <v>411</v>
      </c>
      <c r="M37" s="287">
        <v>4.124233031689073E-3</v>
      </c>
      <c r="N37" s="287">
        <v>-346.81268158384592</v>
      </c>
      <c r="O37" s="306">
        <v>-835.58157756512264</v>
      </c>
      <c r="Q37" s="286" t="s">
        <v>411</v>
      </c>
      <c r="R37" s="287">
        <v>-8.3030918620352168E-2</v>
      </c>
      <c r="S37" s="287">
        <v>-263.67856406656028</v>
      </c>
      <c r="T37" s="306">
        <v>-730.15352565992998</v>
      </c>
      <c r="U37" s="332">
        <f t="shared" ca="1" si="1"/>
        <v>-105.42805190519266</v>
      </c>
      <c r="V37" s="286" t="s">
        <v>411</v>
      </c>
      <c r="W37" s="287">
        <v>-0.12461277014517691</v>
      </c>
      <c r="X37" s="287">
        <v>-228.6381211459011</v>
      </c>
      <c r="Y37" s="306">
        <v>-670.92098019375226</v>
      </c>
      <c r="AA37" s="286" t="s">
        <v>411</v>
      </c>
      <c r="AB37" s="287">
        <v>-4.1449067095527425E-2</v>
      </c>
      <c r="AC37" s="287">
        <v>-298.71900698721947</v>
      </c>
      <c r="AD37" s="306">
        <v>-789.38607112610771</v>
      </c>
      <c r="AE37" s="332">
        <f t="shared" ca="1" si="2"/>
        <v>118.46509093235545</v>
      </c>
      <c r="AF37" s="286" t="s">
        <v>411</v>
      </c>
      <c r="AG37" s="287">
        <v>2.5694096984807402E-2</v>
      </c>
      <c r="AH37" s="287">
        <v>-298.60797305245796</v>
      </c>
      <c r="AI37" s="306">
        <v>-789.2125871614553</v>
      </c>
      <c r="AK37" s="286" t="s">
        <v>411</v>
      </c>
      <c r="AL37" s="287">
        <v>0.27286259646643884</v>
      </c>
      <c r="AM37" s="287">
        <v>-298.41186042758636</v>
      </c>
      <c r="AN37" s="306">
        <v>-789.14941109578649</v>
      </c>
      <c r="AP37" s="286" t="s">
        <v>411</v>
      </c>
      <c r="AQ37" s="287">
        <v>-0.22147440249682404</v>
      </c>
      <c r="AR37" s="287">
        <v>-298.80408567732957</v>
      </c>
      <c r="AS37" s="306">
        <v>-789.27576322712412</v>
      </c>
      <c r="AT37" s="332">
        <f t="shared" ca="1" si="3"/>
        <v>0.12635213133762591</v>
      </c>
      <c r="AU37" s="286" t="s">
        <v>411</v>
      </c>
      <c r="AV37" s="287">
        <v>0.60638651666522492</v>
      </c>
      <c r="AW37" s="287">
        <v>-346.21350902962149</v>
      </c>
      <c r="AX37" s="306">
        <v>-835.03422028124987</v>
      </c>
      <c r="AY37" s="332"/>
      <c r="AZ37" s="286" t="s">
        <v>411</v>
      </c>
      <c r="BA37" s="287">
        <v>2.5694096984807402E-2</v>
      </c>
      <c r="BB37" s="287">
        <v>-298.60797305245796</v>
      </c>
      <c r="BC37" s="306">
        <v>-789.2125871614553</v>
      </c>
      <c r="BD37" s="332">
        <f t="shared" ca="1" si="4"/>
        <v>-45.821633119794569</v>
      </c>
    </row>
    <row r="38" spans="2:56" x14ac:dyDescent="0.25">
      <c r="B38" s="325" t="str">
        <f ca="1"/>
        <v>EURYC_STD_3MLIBORSWAP_25Y</v>
      </c>
      <c r="C38" s="326">
        <f ca="1"/>
        <v>0</v>
      </c>
      <c r="D38" s="326">
        <f ca="1"/>
        <v>0</v>
      </c>
      <c r="E38" s="326">
        <f ca="1"/>
        <v>0</v>
      </c>
      <c r="F38" s="326">
        <f ca="1"/>
        <v>0</v>
      </c>
      <c r="G38" s="326">
        <f ca="1"/>
        <v>-2.667933986231219E-2</v>
      </c>
      <c r="H38" s="326">
        <f ca="1"/>
        <v>39.388958700328658</v>
      </c>
      <c r="I38" s="327">
        <f ca="1"/>
        <v>117.11708221973822</v>
      </c>
      <c r="J38" s="288">
        <f ca="1"/>
        <v>156.47936158020457</v>
      </c>
      <c r="K38" s="277" t="s">
        <v>4</v>
      </c>
      <c r="L38" s="286" t="s">
        <v>412</v>
      </c>
      <c r="M38" s="287">
        <v>-3.7630983479175484E-3</v>
      </c>
      <c r="N38" s="287">
        <v>105.13056185719324</v>
      </c>
      <c r="O38" s="306">
        <v>225.69768392279002</v>
      </c>
      <c r="Q38" s="286" t="s">
        <v>412</v>
      </c>
      <c r="R38" s="287">
        <v>-2.6562572405964602E-2</v>
      </c>
      <c r="S38" s="287">
        <v>39.172946727450835</v>
      </c>
      <c r="T38" s="306">
        <v>116.48600016840555</v>
      </c>
      <c r="U38" s="332">
        <f t="shared" ca="1" si="1"/>
        <v>109.21168375438447</v>
      </c>
      <c r="V38" s="286" t="s">
        <v>412</v>
      </c>
      <c r="W38" s="287">
        <v>-2.6744447393866722E-2</v>
      </c>
      <c r="X38" s="287">
        <v>39.433011994438857</v>
      </c>
      <c r="Y38" s="306">
        <v>117.25847444696228</v>
      </c>
      <c r="AA38" s="286" t="s">
        <v>412</v>
      </c>
      <c r="AB38" s="287">
        <v>-2.6380697418062482E-2</v>
      </c>
      <c r="AC38" s="287">
        <v>38.912881460462813</v>
      </c>
      <c r="AD38" s="306">
        <v>115.71352588984882</v>
      </c>
      <c r="AE38" s="332">
        <f t="shared" ca="1" si="2"/>
        <v>1.5449485571134574</v>
      </c>
      <c r="AF38" s="286" t="s">
        <v>412</v>
      </c>
      <c r="AG38" s="287">
        <v>-2.667933986231219E-2</v>
      </c>
      <c r="AH38" s="287">
        <v>39.388958700328658</v>
      </c>
      <c r="AI38" s="306">
        <v>117.11708221973822</v>
      </c>
      <c r="AK38" s="286" t="s">
        <v>412</v>
      </c>
      <c r="AL38" s="287">
        <v>-2.6700251692091115E-2</v>
      </c>
      <c r="AM38" s="287">
        <v>39.314497982195462</v>
      </c>
      <c r="AN38" s="306">
        <v>116.92278703831107</v>
      </c>
      <c r="AP38" s="286" t="s">
        <v>412</v>
      </c>
      <c r="AQ38" s="287">
        <v>-2.6658428032533266E-2</v>
      </c>
      <c r="AR38" s="287">
        <v>39.463419418461854</v>
      </c>
      <c r="AS38" s="306">
        <v>117.31137740116537</v>
      </c>
      <c r="AT38" s="332">
        <f t="shared" ca="1" si="3"/>
        <v>-0.38859036285430193</v>
      </c>
      <c r="AU38" s="286" t="s">
        <v>412</v>
      </c>
      <c r="AV38" s="287">
        <v>0.50896777702291729</v>
      </c>
      <c r="AW38" s="287">
        <v>105.57988344553451</v>
      </c>
      <c r="AX38" s="306">
        <v>226.21738675907181</v>
      </c>
      <c r="AY38" s="332"/>
      <c r="AZ38" s="286" t="s">
        <v>412</v>
      </c>
      <c r="BA38" s="287">
        <v>-2.667933986231219E-2</v>
      </c>
      <c r="BB38" s="287">
        <v>39.388958700328658</v>
      </c>
      <c r="BC38" s="306">
        <v>117.11708221973822</v>
      </c>
      <c r="BD38" s="332">
        <f t="shared" ca="1" si="4"/>
        <v>109.10030453933359</v>
      </c>
    </row>
    <row r="39" spans="2:56" x14ac:dyDescent="0.25">
      <c r="B39" s="325" t="str">
        <f ca="1"/>
        <v>EURYC_STD_3MLIBORSWAP_30Y</v>
      </c>
      <c r="C39" s="326">
        <f ca="1"/>
        <v>0</v>
      </c>
      <c r="D39" s="326">
        <f ca="1"/>
        <v>0</v>
      </c>
      <c r="E39" s="326">
        <f ca="1"/>
        <v>0</v>
      </c>
      <c r="F39" s="326">
        <f ca="1"/>
        <v>0</v>
      </c>
      <c r="G39" s="326">
        <f ca="1"/>
        <v>-1.0354488040320575E-4</v>
      </c>
      <c r="H39" s="326">
        <f ca="1"/>
        <v>0.1527014957900974</v>
      </c>
      <c r="I39" s="327">
        <f ca="1"/>
        <v>0.45408018877424183</v>
      </c>
      <c r="J39" s="288">
        <f ca="1"/>
        <v>0.60667813968393602</v>
      </c>
      <c r="K39" s="277" t="s">
        <v>4</v>
      </c>
      <c r="L39" s="286" t="s">
        <v>413</v>
      </c>
      <c r="M39" s="287">
        <v>3.0036383595870575E-3</v>
      </c>
      <c r="N39" s="287">
        <v>-21.193794179058386</v>
      </c>
      <c r="O39" s="306">
        <v>-45.502000345545639</v>
      </c>
      <c r="Q39" s="286" t="s">
        <v>413</v>
      </c>
      <c r="R39" s="287">
        <v>-1.3477385255100671E-4</v>
      </c>
      <c r="S39" s="287">
        <v>0.19874773483934405</v>
      </c>
      <c r="T39" s="306">
        <v>0.59100542343367124</v>
      </c>
      <c r="U39" s="332">
        <f t="shared" ca="1" si="1"/>
        <v>-46.09300576897931</v>
      </c>
      <c r="V39" s="286" t="s">
        <v>413</v>
      </c>
      <c r="W39" s="287">
        <v>-1.8318023649044335E-4</v>
      </c>
      <c r="X39" s="287">
        <v>0.27013117470778525</v>
      </c>
      <c r="Y39" s="306">
        <v>0.80327450133154343</v>
      </c>
      <c r="AA39" s="286" t="s">
        <v>413</v>
      </c>
      <c r="AB39" s="287">
        <v>-8.6367468611570075E-5</v>
      </c>
      <c r="AC39" s="287">
        <v>0.12736429497090285</v>
      </c>
      <c r="AD39" s="306">
        <v>0.37873634553579905</v>
      </c>
      <c r="AE39" s="332">
        <f t="shared" ca="1" si="2"/>
        <v>0.42453815579574439</v>
      </c>
      <c r="AF39" s="286" t="s">
        <v>413</v>
      </c>
      <c r="AG39" s="287">
        <v>-1.0354488040320575E-4</v>
      </c>
      <c r="AH39" s="287">
        <v>0.1527014957900974</v>
      </c>
      <c r="AI39" s="306">
        <v>0.45408018877424183</v>
      </c>
      <c r="AK39" s="286" t="s">
        <v>413</v>
      </c>
      <c r="AL39" s="287">
        <v>-9.7485826699994504E-5</v>
      </c>
      <c r="AM39" s="287">
        <v>0.14375820246641524</v>
      </c>
      <c r="AN39" s="306">
        <v>0.42748599935293896</v>
      </c>
      <c r="AP39" s="286" t="s">
        <v>413</v>
      </c>
      <c r="AQ39" s="287">
        <v>-1.09603934106417E-4</v>
      </c>
      <c r="AR39" s="287">
        <v>0.16164478911377955</v>
      </c>
      <c r="AS39" s="306">
        <v>0.4806743781955447</v>
      </c>
      <c r="AT39" s="332">
        <f t="shared" ca="1" si="3"/>
        <v>-5.3188378842605744E-2</v>
      </c>
      <c r="AU39" s="286" t="s">
        <v>413</v>
      </c>
      <c r="AV39" s="287">
        <v>-0.76131968162371777</v>
      </c>
      <c r="AW39" s="287">
        <v>-22.157251720818749</v>
      </c>
      <c r="AX39" s="306">
        <v>-46.689909254109807</v>
      </c>
      <c r="AY39" s="332"/>
      <c r="AZ39" s="286" t="s">
        <v>413</v>
      </c>
      <c r="BA39" s="287">
        <v>-1.0354488040320575E-4</v>
      </c>
      <c r="BB39" s="287">
        <v>0.1527014957900974</v>
      </c>
      <c r="BC39" s="306">
        <v>0.45408018877424183</v>
      </c>
      <c r="BD39" s="332">
        <f t="shared" ca="1" si="4"/>
        <v>-47.143989442884049</v>
      </c>
    </row>
    <row r="40" spans="2:56" x14ac:dyDescent="0.25">
      <c r="B40" s="325" t="str">
        <f ca="1"/>
        <v>EURYC_OIS_OUTRIGHTOISSWAP_ON</v>
      </c>
      <c r="C40" s="326">
        <f ca="1"/>
        <v>-7.1640025453234557E-3</v>
      </c>
      <c r="D40" s="326">
        <f ca="1"/>
        <v>-1.4531568376696669E-2</v>
      </c>
      <c r="E40" s="326">
        <f ca="1"/>
        <v>-2.127158259099815E-2</v>
      </c>
      <c r="F40" s="326">
        <f ca="1"/>
        <v>-2.7032411526306532E-2</v>
      </c>
      <c r="G40" s="326">
        <f ca="1"/>
        <v>-1.2763239101332147E-2</v>
      </c>
      <c r="H40" s="326">
        <f ca="1"/>
        <v>-9.3681339421891607E-3</v>
      </c>
      <c r="I40" s="327">
        <f ca="1"/>
        <v>-6.1856326283304952E-3</v>
      </c>
      <c r="J40" s="288">
        <f ca="1"/>
        <v>-9.831657071117661E-2</v>
      </c>
      <c r="K40" s="277" t="s">
        <v>4</v>
      </c>
      <c r="L40" s="286" t="s">
        <v>414</v>
      </c>
      <c r="M40" s="287">
        <v>-1.276301759389753E-2</v>
      </c>
      <c r="N40" s="287">
        <v>-9.2543714763451135E-3</v>
      </c>
      <c r="O40" s="306">
        <v>-6.048149037269468E-3</v>
      </c>
      <c r="Q40" s="286" t="s">
        <v>414</v>
      </c>
      <c r="R40" s="287">
        <v>-1.276324009631935E-2</v>
      </c>
      <c r="S40" s="287">
        <v>-9.3681385569652775E-3</v>
      </c>
      <c r="T40" s="306">
        <v>-6.1856359752709977E-3</v>
      </c>
      <c r="U40" s="332">
        <f t="shared" ca="1" si="1"/>
        <v>1.3748693800152978E-4</v>
      </c>
      <c r="V40" s="286" t="s">
        <v>414</v>
      </c>
      <c r="W40" s="287">
        <v>-1.2763234801241197E-2</v>
      </c>
      <c r="X40" s="287">
        <v>-9.3681346843368374E-3</v>
      </c>
      <c r="Y40" s="306">
        <v>-6.1856334505137056E-3</v>
      </c>
      <c r="AA40" s="286" t="s">
        <v>414</v>
      </c>
      <c r="AB40" s="287">
        <v>-1.2763245391397504E-2</v>
      </c>
      <c r="AC40" s="287">
        <v>-9.3681424295937177E-3</v>
      </c>
      <c r="AD40" s="306">
        <v>-6.1856385000282899E-3</v>
      </c>
      <c r="AE40" s="332">
        <f t="shared" ca="1" si="2"/>
        <v>5.0495145842432976E-9</v>
      </c>
      <c r="AF40" s="286" t="s">
        <v>414</v>
      </c>
      <c r="AG40" s="287">
        <v>-1.2763239101332147E-2</v>
      </c>
      <c r="AH40" s="287">
        <v>-9.3681339421891607E-3</v>
      </c>
      <c r="AI40" s="306">
        <v>-6.1856326283304952E-3</v>
      </c>
      <c r="AK40" s="286" t="s">
        <v>414</v>
      </c>
      <c r="AL40" s="287">
        <v>-1.2763243285007775E-2</v>
      </c>
      <c r="AM40" s="287">
        <v>-9.3681366706732661E-3</v>
      </c>
      <c r="AN40" s="306">
        <v>-6.1856382671976462E-3</v>
      </c>
      <c r="AP40" s="286" t="s">
        <v>414</v>
      </c>
      <c r="AQ40" s="287">
        <v>-1.2763234917656519E-2</v>
      </c>
      <c r="AR40" s="287">
        <v>-9.3681312137050554E-3</v>
      </c>
      <c r="AS40" s="306">
        <v>-6.1856269894633442E-3</v>
      </c>
      <c r="AT40" s="332">
        <f t="shared" ca="1" si="3"/>
        <v>-1.127773430198431E-8</v>
      </c>
      <c r="AU40" s="286" t="s">
        <v>414</v>
      </c>
      <c r="AV40" s="287">
        <v>-1.2763017730321735E-2</v>
      </c>
      <c r="AW40" s="287">
        <v>-9.2543708888115361E-3</v>
      </c>
      <c r="AX40" s="306">
        <v>-6.0481466789497063E-3</v>
      </c>
      <c r="AY40" s="332"/>
      <c r="AZ40" s="286" t="s">
        <v>414</v>
      </c>
      <c r="BA40" s="287">
        <v>-1.2763239101332147E-2</v>
      </c>
      <c r="BB40" s="287">
        <v>-9.3681339421891607E-3</v>
      </c>
      <c r="BC40" s="306">
        <v>-6.1856326283304952E-3</v>
      </c>
      <c r="BD40" s="332">
        <f t="shared" ca="1" si="4"/>
        <v>1.3748594938078895E-4</v>
      </c>
    </row>
    <row r="41" spans="2:56" x14ac:dyDescent="0.25">
      <c r="B41" s="325" t="str">
        <f ca="1"/>
        <v>EURYC_OIS_CBRate_EUSF1A</v>
      </c>
      <c r="C41" s="326">
        <f ca="1"/>
        <v>-2.6281348800694104E-2</v>
      </c>
      <c r="D41" s="326">
        <f ca="1"/>
        <v>-2.4686202959856018E-2</v>
      </c>
      <c r="E41" s="326">
        <f ca="1"/>
        <v>-1.2306809367146343E-4</v>
      </c>
      <c r="F41" s="326">
        <f ca="1"/>
        <v>-2.6221205189358443E-4</v>
      </c>
      <c r="G41" s="326">
        <f ca="1"/>
        <v>-8.9826974362949841E-2</v>
      </c>
      <c r="H41" s="326">
        <f ca="1"/>
        <v>-0.1216167860548012</v>
      </c>
      <c r="I41" s="327">
        <f ca="1"/>
        <v>-0.14914799257894629</v>
      </c>
      <c r="J41" s="288">
        <f ca="1"/>
        <v>-0.41194458490281249</v>
      </c>
      <c r="K41" s="277" t="s">
        <v>4</v>
      </c>
      <c r="L41" s="286" t="s">
        <v>415</v>
      </c>
      <c r="M41" s="287">
        <v>7.6759896364819724E-3</v>
      </c>
      <c r="N41" s="287">
        <v>8.2559895436133957E-3</v>
      </c>
      <c r="O41" s="306">
        <v>9.0590506897569867E-3</v>
      </c>
      <c r="Q41" s="286" t="s">
        <v>415</v>
      </c>
      <c r="R41" s="287">
        <v>-5.2276548376539722E-4</v>
      </c>
      <c r="S41" s="287">
        <v>-3.9496407589467708E-4</v>
      </c>
      <c r="T41" s="306">
        <v>-3.4367052285233513E-4</v>
      </c>
      <c r="U41" s="332">
        <f t="shared" ca="1" si="1"/>
        <v>9.4027212126093218E-3</v>
      </c>
      <c r="V41" s="286" t="s">
        <v>415</v>
      </c>
      <c r="W41" s="287">
        <v>4.2539156347629614E-3</v>
      </c>
      <c r="X41" s="287">
        <v>4.028629347885726E-3</v>
      </c>
      <c r="Y41" s="306">
        <v>2.8656226277234964E-3</v>
      </c>
      <c r="AA41" s="286" t="s">
        <v>415</v>
      </c>
      <c r="AB41" s="287">
        <v>-5.2994466022937559E-3</v>
      </c>
      <c r="AC41" s="287">
        <v>-4.8185574996750802E-3</v>
      </c>
      <c r="AD41" s="306">
        <v>-3.5529636734281667E-3</v>
      </c>
      <c r="AE41" s="332">
        <f t="shared" ca="1" si="2"/>
        <v>6.4185863011516631E-3</v>
      </c>
      <c r="AF41" s="286" t="s">
        <v>415</v>
      </c>
      <c r="AG41" s="287">
        <v>-8.9826974362949841E-2</v>
      </c>
      <c r="AH41" s="287">
        <v>-0.1216167860548012</v>
      </c>
      <c r="AI41" s="306">
        <v>-0.14914799257894629</v>
      </c>
      <c r="AK41" s="286" t="s">
        <v>415</v>
      </c>
      <c r="AL41" s="287">
        <v>0.33821897486632224</v>
      </c>
      <c r="AM41" s="287">
        <v>0.27441345882834867</v>
      </c>
      <c r="AN41" s="306">
        <v>0.11551578845683252</v>
      </c>
      <c r="AP41" s="286" t="s">
        <v>415</v>
      </c>
      <c r="AQ41" s="287">
        <v>-0.51787292359222192</v>
      </c>
      <c r="AR41" s="287">
        <v>-0.51764703093795106</v>
      </c>
      <c r="AS41" s="306">
        <v>-0.4138117736147251</v>
      </c>
      <c r="AT41" s="332">
        <f t="shared" ca="1" si="3"/>
        <v>0.52932756207155762</v>
      </c>
      <c r="AU41" s="286" t="s">
        <v>415</v>
      </c>
      <c r="AV41" s="287">
        <v>0.42289675711799646</v>
      </c>
      <c r="AW41" s="287">
        <v>0.33209556368092308</v>
      </c>
      <c r="AX41" s="306">
        <v>0.23229445869219489</v>
      </c>
      <c r="AY41" s="332"/>
      <c r="AZ41" s="286" t="s">
        <v>415</v>
      </c>
      <c r="BA41" s="287">
        <v>-8.9826974362949841E-2</v>
      </c>
      <c r="BB41" s="287">
        <v>-0.1216167860548012</v>
      </c>
      <c r="BC41" s="306">
        <v>-0.14914799257894629</v>
      </c>
      <c r="BD41" s="332">
        <f t="shared" ca="1" si="4"/>
        <v>0.38144245127114118</v>
      </c>
    </row>
    <row r="42" spans="2:56" x14ac:dyDescent="0.25">
      <c r="B42" s="325" t="str">
        <f ca="1"/>
        <v>EURYC_OIS_CBRate_EUSF2A</v>
      </c>
      <c r="C42" s="326">
        <f ca="1"/>
        <v>-2.5168672982545104E-2</v>
      </c>
      <c r="D42" s="326">
        <f ca="1"/>
        <v>-2.356606946705142E-2</v>
      </c>
      <c r="E42" s="326">
        <f ca="1"/>
        <v>-3.0051523935981095E-4</v>
      </c>
      <c r="F42" s="326">
        <f ca="1"/>
        <v>-4.6003151510376483E-4</v>
      </c>
      <c r="G42" s="326">
        <f ca="1"/>
        <v>0.12929701879329514</v>
      </c>
      <c r="H42" s="326">
        <f ca="1"/>
        <v>0.10762367237475701</v>
      </c>
      <c r="I42" s="327">
        <f ca="1"/>
        <v>6.5265999546681996E-2</v>
      </c>
      <c r="J42" s="288">
        <f ca="1"/>
        <v>0.25269140151067404</v>
      </c>
      <c r="K42" s="277" t="s">
        <v>4</v>
      </c>
      <c r="L42" s="286" t="s">
        <v>416</v>
      </c>
      <c r="M42" s="287">
        <v>3.6264043155824766E-3</v>
      </c>
      <c r="N42" s="287">
        <v>4.1070271072385367E-3</v>
      </c>
      <c r="O42" s="306">
        <v>5.2112827670498518E-3</v>
      </c>
      <c r="Q42" s="286" t="s">
        <v>416</v>
      </c>
      <c r="R42" s="287">
        <v>4.070518789376365E-4</v>
      </c>
      <c r="S42" s="287">
        <v>-1.6501712525496259E-4</v>
      </c>
      <c r="T42" s="306">
        <v>-9.9604230399563676E-4</v>
      </c>
      <c r="U42" s="332">
        <f t="shared" ca="1" si="1"/>
        <v>6.2073250710454886E-3</v>
      </c>
      <c r="V42" s="286" t="s">
        <v>416</v>
      </c>
      <c r="W42" s="287">
        <v>3.1789951499376912E-3</v>
      </c>
      <c r="X42" s="287">
        <v>2.3435279545083176E-3</v>
      </c>
      <c r="Y42" s="306">
        <v>8.3330506276979577E-4</v>
      </c>
      <c r="AA42" s="286" t="s">
        <v>416</v>
      </c>
      <c r="AB42" s="287">
        <v>-2.3648913920624182E-3</v>
      </c>
      <c r="AC42" s="287">
        <v>-2.6735622050182428E-3</v>
      </c>
      <c r="AD42" s="306">
        <v>-2.8253896707610693E-3</v>
      </c>
      <c r="AE42" s="332">
        <f t="shared" ca="1" si="2"/>
        <v>3.6586947335308651E-3</v>
      </c>
      <c r="AF42" s="286" t="s">
        <v>416</v>
      </c>
      <c r="AG42" s="287">
        <v>0.12929701879329514</v>
      </c>
      <c r="AH42" s="287">
        <v>0.10762367237475701</v>
      </c>
      <c r="AI42" s="306">
        <v>6.5265999546681996E-2</v>
      </c>
      <c r="AK42" s="286" t="s">
        <v>416</v>
      </c>
      <c r="AL42" s="287">
        <v>0.20376625507196877</v>
      </c>
      <c r="AM42" s="287">
        <v>0.1381939811835764</v>
      </c>
      <c r="AN42" s="306">
        <v>4.494867807807168E-2</v>
      </c>
      <c r="AP42" s="286" t="s">
        <v>416</v>
      </c>
      <c r="AQ42" s="287">
        <v>5.4827782514621504E-2</v>
      </c>
      <c r="AR42" s="287">
        <v>7.7053363565937616E-2</v>
      </c>
      <c r="AS42" s="306">
        <v>8.5583321015292313E-2</v>
      </c>
      <c r="AT42" s="332">
        <f t="shared" ca="1" si="3"/>
        <v>-4.0634642937220633E-2</v>
      </c>
      <c r="AU42" s="286" t="s">
        <v>416</v>
      </c>
      <c r="AV42" s="287">
        <v>0.9321995654318016</v>
      </c>
      <c r="AW42" s="287">
        <v>1.1804867777755135</v>
      </c>
      <c r="AX42" s="306">
        <v>1.3837388443789678</v>
      </c>
      <c r="AY42" s="332"/>
      <c r="AZ42" s="286" t="s">
        <v>416</v>
      </c>
      <c r="BA42" s="287">
        <v>0.12929701879329514</v>
      </c>
      <c r="BB42" s="287">
        <v>0.10762367237475701</v>
      </c>
      <c r="BC42" s="306">
        <v>6.5265999546681996E-2</v>
      </c>
      <c r="BD42" s="332">
        <f t="shared" ca="1" si="4"/>
        <v>1.3184728448322858</v>
      </c>
    </row>
    <row r="43" spans="2:56" x14ac:dyDescent="0.25">
      <c r="B43" s="325" t="str">
        <f ca="1"/>
        <v>EURYC_OIS_CBRate_EUSF3A</v>
      </c>
      <c r="C43" s="326">
        <f ca="1"/>
        <v>-1.47380835187505E-2</v>
      </c>
      <c r="D43" s="326">
        <f ca="1"/>
        <v>-1.3321978440217208E-2</v>
      </c>
      <c r="E43" s="326">
        <f ca="1"/>
        <v>-7.6323522080201656E-4</v>
      </c>
      <c r="F43" s="326">
        <f ca="1"/>
        <v>-2.9419410566333681E-3</v>
      </c>
      <c r="G43" s="326">
        <f ca="1"/>
        <v>-8.4326280011737254E-2</v>
      </c>
      <c r="H43" s="326">
        <f ca="1"/>
        <v>-0.20871826491202228</v>
      </c>
      <c r="I43" s="327">
        <f ca="1"/>
        <v>-0.39367238632621593</v>
      </c>
      <c r="J43" s="288">
        <f ca="1"/>
        <v>-0.71848216948637855</v>
      </c>
      <c r="K43" s="277" t="s">
        <v>4</v>
      </c>
      <c r="L43" s="286" t="s">
        <v>417</v>
      </c>
      <c r="M43" s="287">
        <v>1.225160732610675E-2</v>
      </c>
      <c r="N43" s="287">
        <v>1.338969066273421E-2</v>
      </c>
      <c r="O43" s="306">
        <v>1.522826183190773E-2</v>
      </c>
      <c r="Q43" s="286" t="s">
        <v>417</v>
      </c>
      <c r="R43" s="287">
        <v>1.2997412995900959E-3</v>
      </c>
      <c r="S43" s="287">
        <v>1.2167455515736947E-3</v>
      </c>
      <c r="T43" s="306">
        <v>7.3682326910784468E-4</v>
      </c>
      <c r="U43" s="332">
        <f t="shared" ca="1" si="1"/>
        <v>1.4491438562799885E-2</v>
      </c>
      <c r="V43" s="286" t="s">
        <v>417</v>
      </c>
      <c r="W43" s="287">
        <v>4.5542519874288701E-3</v>
      </c>
      <c r="X43" s="287">
        <v>4.1334083653055131E-3</v>
      </c>
      <c r="Y43" s="306">
        <v>2.7249801296420628E-3</v>
      </c>
      <c r="AA43" s="286" t="s">
        <v>417</v>
      </c>
      <c r="AB43" s="287">
        <v>-1.9547693882486783E-3</v>
      </c>
      <c r="AC43" s="287">
        <v>-1.6999172621581238E-3</v>
      </c>
      <c r="AD43" s="306">
        <v>-1.2513335914263735E-3</v>
      </c>
      <c r="AE43" s="332">
        <f t="shared" ca="1" si="2"/>
        <v>3.9763137210684363E-3</v>
      </c>
      <c r="AF43" s="286" t="s">
        <v>417</v>
      </c>
      <c r="AG43" s="287">
        <v>-8.4326280011737254E-2</v>
      </c>
      <c r="AH43" s="287">
        <v>-0.20871826491202228</v>
      </c>
      <c r="AI43" s="306">
        <v>-0.39367238632621593</v>
      </c>
      <c r="AK43" s="286" t="s">
        <v>417</v>
      </c>
      <c r="AL43" s="287">
        <v>0.4816141416085884</v>
      </c>
      <c r="AM43" s="287">
        <v>0.28731103338941466</v>
      </c>
      <c r="AN43" s="306">
        <v>-8.123804691422265E-2</v>
      </c>
      <c r="AP43" s="286" t="s">
        <v>417</v>
      </c>
      <c r="AQ43" s="287">
        <v>-0.6502667016320629</v>
      </c>
      <c r="AR43" s="287">
        <v>-0.70474756321345922</v>
      </c>
      <c r="AS43" s="306">
        <v>-0.70610672573820921</v>
      </c>
      <c r="AT43" s="332">
        <f t="shared" ca="1" si="3"/>
        <v>0.62486867882398656</v>
      </c>
      <c r="AU43" s="286" t="s">
        <v>417</v>
      </c>
      <c r="AV43" s="287">
        <v>-0.24576151809014846</v>
      </c>
      <c r="AW43" s="287">
        <v>-0.46314783812704263</v>
      </c>
      <c r="AX43" s="306">
        <v>-0.65037287085942808</v>
      </c>
      <c r="AY43" s="332"/>
      <c r="AZ43" s="286" t="s">
        <v>417</v>
      </c>
      <c r="BA43" s="287">
        <v>-8.4326280011737254E-2</v>
      </c>
      <c r="BB43" s="287">
        <v>-0.20871826491202228</v>
      </c>
      <c r="BC43" s="306">
        <v>-0.39367238632621593</v>
      </c>
      <c r="BD43" s="332">
        <f t="shared" ca="1" si="4"/>
        <v>-0.25670048453321215</v>
      </c>
    </row>
    <row r="44" spans="2:56" x14ac:dyDescent="0.25">
      <c r="B44" s="325" t="str">
        <f ca="1"/>
        <v>EURYC_OIS_CBRate_EUSF4A</v>
      </c>
      <c r="C44" s="326">
        <f ca="1"/>
        <v>-1.739724493745598E-2</v>
      </c>
      <c r="D44" s="326">
        <f ca="1"/>
        <v>-1.5756043831061106E-2</v>
      </c>
      <c r="E44" s="326">
        <f ca="1"/>
        <v>1.7944646970136091E-3</v>
      </c>
      <c r="F44" s="326">
        <f ca="1"/>
        <v>2.483767457306385E-3</v>
      </c>
      <c r="G44" s="326">
        <f ca="1"/>
        <v>0.17970505923585733</v>
      </c>
      <c r="H44" s="326">
        <f ca="1"/>
        <v>0.13930576005805051</v>
      </c>
      <c r="I44" s="327">
        <f ca="1"/>
        <v>5.5552529283886543E-2</v>
      </c>
      <c r="J44" s="288">
        <f ca="1"/>
        <v>0.34568829196359729</v>
      </c>
      <c r="K44" s="277" t="s">
        <v>4</v>
      </c>
      <c r="L44" s="286" t="s">
        <v>418</v>
      </c>
      <c r="M44" s="287">
        <v>9.0329736467538169E-3</v>
      </c>
      <c r="N44" s="287">
        <v>8.1499795651325257E-3</v>
      </c>
      <c r="O44" s="306">
        <v>7.5803474746862776E-3</v>
      </c>
      <c r="Q44" s="286" t="s">
        <v>418</v>
      </c>
      <c r="R44" s="287">
        <v>-2.0944193329341942E-3</v>
      </c>
      <c r="S44" s="287">
        <v>-2.04328473591886E-3</v>
      </c>
      <c r="T44" s="306">
        <v>-1.8268803696628311E-3</v>
      </c>
      <c r="U44" s="332">
        <f t="shared" ca="1" si="1"/>
        <v>9.4072278443491086E-3</v>
      </c>
      <c r="V44" s="286" t="s">
        <v>418</v>
      </c>
      <c r="W44" s="287">
        <v>4.1807109009823762E-3</v>
      </c>
      <c r="X44" s="287">
        <v>4.0366685570916161E-3</v>
      </c>
      <c r="Y44" s="306">
        <v>2.7576631800911855E-3</v>
      </c>
      <c r="AA44" s="286" t="s">
        <v>418</v>
      </c>
      <c r="AB44" s="287">
        <v>-8.3695495668507647E-3</v>
      </c>
      <c r="AC44" s="287">
        <v>-8.123238028929336E-3</v>
      </c>
      <c r="AD44" s="306">
        <v>-6.4114239194168476E-3</v>
      </c>
      <c r="AE44" s="332">
        <f t="shared" ca="1" si="2"/>
        <v>9.1690870995080331E-3</v>
      </c>
      <c r="AF44" s="286" t="s">
        <v>418</v>
      </c>
      <c r="AG44" s="287">
        <v>0.17970505923585733</v>
      </c>
      <c r="AH44" s="287">
        <v>0.13930576005805051</v>
      </c>
      <c r="AI44" s="306">
        <v>5.5552529283886543E-2</v>
      </c>
      <c r="AK44" s="286" t="s">
        <v>418</v>
      </c>
      <c r="AL44" s="287">
        <v>0.32270947449433152</v>
      </c>
      <c r="AM44" s="287">
        <v>0.26613704030751251</v>
      </c>
      <c r="AN44" s="306">
        <v>0.12085671351087512</v>
      </c>
      <c r="AP44" s="286" t="s">
        <v>418</v>
      </c>
      <c r="AQ44" s="287">
        <v>3.6700643977383152E-2</v>
      </c>
      <c r="AR44" s="287">
        <v>1.2474479808588512E-2</v>
      </c>
      <c r="AS44" s="306">
        <v>-9.7516549431020394E-3</v>
      </c>
      <c r="AT44" s="332">
        <f t="shared" ca="1" si="3"/>
        <v>0.13060836845397716</v>
      </c>
      <c r="AU44" s="286" t="s">
        <v>418</v>
      </c>
      <c r="AV44" s="287">
        <v>-0.26484421323402785</v>
      </c>
      <c r="AW44" s="287">
        <v>-0.1969013439520495</v>
      </c>
      <c r="AX44" s="306">
        <v>4.8817532842804212E-3</v>
      </c>
      <c r="AY44" s="332"/>
      <c r="AZ44" s="286" t="s">
        <v>418</v>
      </c>
      <c r="BA44" s="287">
        <v>0.17970505923585733</v>
      </c>
      <c r="BB44" s="287">
        <v>0.13930576005805051</v>
      </c>
      <c r="BC44" s="306">
        <v>5.5552529283886543E-2</v>
      </c>
      <c r="BD44" s="332">
        <f t="shared" ca="1" si="4"/>
        <v>-5.0670775999606121E-2</v>
      </c>
    </row>
    <row r="45" spans="2:56" x14ac:dyDescent="0.25">
      <c r="B45" s="325" t="str">
        <f ca="1"/>
        <v>EURYC_OIS_OUTRIGHTOISSWAP_12M</v>
      </c>
      <c r="C45" s="326">
        <f ca="1"/>
        <v>-1.1230869595237891</v>
      </c>
      <c r="D45" s="326">
        <f ca="1"/>
        <v>-1.1765300925617339</v>
      </c>
      <c r="E45" s="326">
        <f ca="1"/>
        <v>-1.3023633280681679</v>
      </c>
      <c r="F45" s="326">
        <f ca="1"/>
        <v>-1.243908742981148</v>
      </c>
      <c r="G45" s="326">
        <f ca="1"/>
        <v>-0.34876560457632877</v>
      </c>
      <c r="H45" s="326">
        <f ca="1"/>
        <v>-0.37304602592485026</v>
      </c>
      <c r="I45" s="327">
        <f ca="1"/>
        <v>-0.41169846699631307</v>
      </c>
      <c r="J45" s="288">
        <f ca="1"/>
        <v>-5.979399220632331</v>
      </c>
      <c r="K45" s="277" t="s">
        <v>4</v>
      </c>
      <c r="L45" s="286" t="s">
        <v>419</v>
      </c>
      <c r="M45" s="287">
        <v>-0.15861397809021582</v>
      </c>
      <c r="N45" s="287">
        <v>-0.10843800263319281</v>
      </c>
      <c r="O45" s="306">
        <v>-6.7645835683833866E-2</v>
      </c>
      <c r="Q45" s="286" t="s">
        <v>419</v>
      </c>
      <c r="R45" s="287">
        <v>-0.1557057134614297</v>
      </c>
      <c r="S45" s="287">
        <v>-0.10386578372344957</v>
      </c>
      <c r="T45" s="306">
        <v>-6.2076232362414885E-2</v>
      </c>
      <c r="U45" s="332">
        <f t="shared" ca="1" si="1"/>
        <v>-5.5696033214189811E-3</v>
      </c>
      <c r="V45" s="286" t="s">
        <v>419</v>
      </c>
      <c r="W45" s="287">
        <v>-0.15431131622608518</v>
      </c>
      <c r="X45" s="287">
        <v>-0.10275907791219652</v>
      </c>
      <c r="Y45" s="306">
        <v>-6.1824737524148077E-2</v>
      </c>
      <c r="AA45" s="286" t="s">
        <v>419</v>
      </c>
      <c r="AB45" s="287">
        <v>-0.15710011069677421</v>
      </c>
      <c r="AC45" s="287">
        <v>-0.10497248953470262</v>
      </c>
      <c r="AD45" s="306">
        <v>-6.2327727200681693E-2</v>
      </c>
      <c r="AE45" s="332">
        <f t="shared" ca="1" si="2"/>
        <v>5.0298967653361615E-4</v>
      </c>
      <c r="AF45" s="286" t="s">
        <v>419</v>
      </c>
      <c r="AG45" s="287">
        <v>-0.34876560457632877</v>
      </c>
      <c r="AH45" s="287">
        <v>-0.37304602592485026</v>
      </c>
      <c r="AI45" s="306">
        <v>-0.41169846699631307</v>
      </c>
      <c r="AK45" s="286" t="s">
        <v>419</v>
      </c>
      <c r="AL45" s="287">
        <v>-0.1703392386843916</v>
      </c>
      <c r="AM45" s="287">
        <v>-0.25454685564909596</v>
      </c>
      <c r="AN45" s="306">
        <v>-0.40847764903446659</v>
      </c>
      <c r="AP45" s="286" t="s">
        <v>419</v>
      </c>
      <c r="AQ45" s="287">
        <v>-0.52719197046826594</v>
      </c>
      <c r="AR45" s="287">
        <v>-0.49154519620060455</v>
      </c>
      <c r="AS45" s="306">
        <v>-0.41491928495815955</v>
      </c>
      <c r="AT45" s="332">
        <f t="shared" ca="1" si="3"/>
        <v>6.4416359236929566E-3</v>
      </c>
      <c r="AU45" s="286" t="s">
        <v>419</v>
      </c>
      <c r="AV45" s="287">
        <v>-0.51567476948548574</v>
      </c>
      <c r="AW45" s="287">
        <v>-0.51807683157676365</v>
      </c>
      <c r="AX45" s="306">
        <v>-0.58055006356880767</v>
      </c>
      <c r="AY45" s="332"/>
      <c r="AZ45" s="286" t="s">
        <v>419</v>
      </c>
      <c r="BA45" s="287">
        <v>-0.34876560457632877</v>
      </c>
      <c r="BB45" s="287">
        <v>-0.37304602592485026</v>
      </c>
      <c r="BC45" s="306">
        <v>-0.41169846699631307</v>
      </c>
      <c r="BD45" s="332">
        <f t="shared" ca="1" si="4"/>
        <v>-0.1688515965724946</v>
      </c>
    </row>
    <row r="46" spans="2:56" x14ac:dyDescent="0.25">
      <c r="B46" s="325" t="str">
        <f ca="1"/>
        <v>EURYC_OIS_OUTRIGHTOISSWAP_18M</v>
      </c>
      <c r="C46" s="326">
        <f ca="1"/>
        <v>-2.7838905225507915E-4</v>
      </c>
      <c r="D46" s="326">
        <f ca="1"/>
        <v>-0.26167628857365344</v>
      </c>
      <c r="E46" s="326">
        <f ca="1"/>
        <v>-6.8049412220716476E-4</v>
      </c>
      <c r="F46" s="326">
        <f ca="1"/>
        <v>-1.4739096513949335E-3</v>
      </c>
      <c r="G46" s="326">
        <f ca="1"/>
        <v>-0.23368234287772793</v>
      </c>
      <c r="H46" s="326">
        <f ca="1"/>
        <v>-0.25737341147760162</v>
      </c>
      <c r="I46" s="327">
        <f ca="1"/>
        <v>-0.24080059201878612</v>
      </c>
      <c r="J46" s="288">
        <f ca="1"/>
        <v>-0.99596542777362629</v>
      </c>
      <c r="K46" s="277" t="s">
        <v>4</v>
      </c>
      <c r="L46" s="286" t="s">
        <v>420</v>
      </c>
      <c r="M46" s="287">
        <v>1.6027290257625282E-5</v>
      </c>
      <c r="N46" s="287">
        <v>2.0013213033962529E-3</v>
      </c>
      <c r="O46" s="306">
        <v>3.4332289787926129E-3</v>
      </c>
      <c r="Q46" s="286" t="s">
        <v>420</v>
      </c>
      <c r="R46" s="287">
        <v>1.6531656874576584E-3</v>
      </c>
      <c r="S46" s="287">
        <v>1.6588531234447146E-3</v>
      </c>
      <c r="T46" s="306">
        <v>1.1093575922132004E-3</v>
      </c>
      <c r="U46" s="332">
        <f t="shared" ca="1" si="1"/>
        <v>2.3238713865794125E-3</v>
      </c>
      <c r="V46" s="286" t="s">
        <v>420</v>
      </c>
      <c r="W46" s="287">
        <v>4.560380257316865E-4</v>
      </c>
      <c r="X46" s="287">
        <v>2.023004817601759E-4</v>
      </c>
      <c r="Y46" s="306">
        <v>-5.9278404478391167E-4</v>
      </c>
      <c r="AA46" s="286" t="s">
        <v>420</v>
      </c>
      <c r="AB46" s="287">
        <v>2.8502933491836302E-3</v>
      </c>
      <c r="AC46" s="287">
        <v>3.1154057651292533E-3</v>
      </c>
      <c r="AD46" s="306">
        <v>2.8114992292103125E-3</v>
      </c>
      <c r="AE46" s="332">
        <f t="shared" ca="1" si="2"/>
        <v>-3.4042832739942241E-3</v>
      </c>
      <c r="AF46" s="286" t="s">
        <v>420</v>
      </c>
      <c r="AG46" s="287">
        <v>-0.23368234287772793</v>
      </c>
      <c r="AH46" s="287">
        <v>-0.25737341147760162</v>
      </c>
      <c r="AI46" s="306">
        <v>-0.24080059201878612</v>
      </c>
      <c r="AK46" s="286" t="s">
        <v>420</v>
      </c>
      <c r="AL46" s="287">
        <v>0.26230202456645202</v>
      </c>
      <c r="AM46" s="287">
        <v>0.26930180574709084</v>
      </c>
      <c r="AN46" s="306">
        <v>0.25712841288623167</v>
      </c>
      <c r="AP46" s="286" t="s">
        <v>420</v>
      </c>
      <c r="AQ46" s="287">
        <v>-0.72966671032190789</v>
      </c>
      <c r="AR46" s="287">
        <v>-0.78404862870229408</v>
      </c>
      <c r="AS46" s="306">
        <v>-0.73872959692380391</v>
      </c>
      <c r="AT46" s="332">
        <f t="shared" ca="1" si="3"/>
        <v>0.99585800981003558</v>
      </c>
      <c r="AU46" s="286" t="s">
        <v>420</v>
      </c>
      <c r="AV46" s="287">
        <v>0.56964474952110322</v>
      </c>
      <c r="AW46" s="287">
        <v>0.52696610255225096</v>
      </c>
      <c r="AX46" s="306">
        <v>0.54566099697694881</v>
      </c>
      <c r="AY46" s="332"/>
      <c r="AZ46" s="286" t="s">
        <v>420</v>
      </c>
      <c r="BA46" s="287">
        <v>-0.23368234287772793</v>
      </c>
      <c r="BB46" s="287">
        <v>-0.25737341147760162</v>
      </c>
      <c r="BC46" s="306">
        <v>-0.24080059201878612</v>
      </c>
      <c r="BD46" s="332">
        <f t="shared" ca="1" si="4"/>
        <v>0.78646158899573493</v>
      </c>
    </row>
    <row r="47" spans="2:56" x14ac:dyDescent="0.25">
      <c r="B47" s="325" t="str">
        <f ca="1"/>
        <v>EURYC_OIS_OUTRIGHTOISSWAP_2Y</v>
      </c>
      <c r="C47" s="326">
        <f ca="1"/>
        <v>0</v>
      </c>
      <c r="D47" s="326">
        <f ca="1"/>
        <v>-2.2806883020166424</v>
      </c>
      <c r="E47" s="326">
        <f ca="1"/>
        <v>-2.6256843699229648</v>
      </c>
      <c r="F47" s="326">
        <f ca="1"/>
        <v>-2.50885694003955</v>
      </c>
      <c r="G47" s="326">
        <f ca="1"/>
        <v>-0.41637656522652833</v>
      </c>
      <c r="H47" s="326">
        <f ca="1"/>
        <v>-0.28550981569424039</v>
      </c>
      <c r="I47" s="327">
        <f ca="1"/>
        <v>-0.14201672338458593</v>
      </c>
      <c r="J47" s="288">
        <f ca="1"/>
        <v>-8.2591327162845118</v>
      </c>
      <c r="K47" s="277" t="s">
        <v>4</v>
      </c>
      <c r="L47" s="286" t="s">
        <v>421</v>
      </c>
      <c r="M47" s="287">
        <v>-0.3194780751819053</v>
      </c>
      <c r="N47" s="287">
        <v>-0.2198739325049246</v>
      </c>
      <c r="O47" s="306">
        <v>-0.13691335248859104</v>
      </c>
      <c r="Q47" s="286" t="s">
        <v>421</v>
      </c>
      <c r="R47" s="287">
        <v>-0.31750677753007039</v>
      </c>
      <c r="S47" s="287">
        <v>-0.21528207126721099</v>
      </c>
      <c r="T47" s="306">
        <v>-0.13526228152841213</v>
      </c>
      <c r="U47" s="332">
        <f t="shared" ca="1" si="1"/>
        <v>-1.6510709601789131E-3</v>
      </c>
      <c r="V47" s="286" t="s">
        <v>421</v>
      </c>
      <c r="W47" s="287">
        <v>-0.31254552035534289</v>
      </c>
      <c r="X47" s="287">
        <v>-0.2094970630860189</v>
      </c>
      <c r="Y47" s="306">
        <v>-0.12920449982266291</v>
      </c>
      <c r="AA47" s="286" t="s">
        <v>421</v>
      </c>
      <c r="AB47" s="287">
        <v>-0.3224680347047979</v>
      </c>
      <c r="AC47" s="287">
        <v>-0.22106707944840309</v>
      </c>
      <c r="AD47" s="306">
        <v>-0.14132006323416135</v>
      </c>
      <c r="AE47" s="332">
        <f t="shared" ca="1" si="2"/>
        <v>1.2115563411498442E-2</v>
      </c>
      <c r="AF47" s="286" t="s">
        <v>421</v>
      </c>
      <c r="AG47" s="287">
        <v>-0.41637656522652833</v>
      </c>
      <c r="AH47" s="287">
        <v>-0.28550981569424039</v>
      </c>
      <c r="AI47" s="306">
        <v>-0.14201672338458593</v>
      </c>
      <c r="AK47" s="286" t="s">
        <v>421</v>
      </c>
      <c r="AL47" s="287">
        <v>-0.66545205336296931</v>
      </c>
      <c r="AM47" s="287">
        <v>-0.55746378056937829</v>
      </c>
      <c r="AN47" s="306">
        <v>-0.41005322764249286</v>
      </c>
      <c r="AP47" s="286" t="s">
        <v>421</v>
      </c>
      <c r="AQ47" s="287">
        <v>-0.16730107709008735</v>
      </c>
      <c r="AR47" s="287">
        <v>-1.3555850819102488E-2</v>
      </c>
      <c r="AS47" s="306">
        <v>0.126019780873321</v>
      </c>
      <c r="AT47" s="332">
        <f t="shared" ca="1" si="3"/>
        <v>-0.53607300851581385</v>
      </c>
      <c r="AU47" s="286" t="s">
        <v>421</v>
      </c>
      <c r="AV47" s="287">
        <v>1.0734015759226168</v>
      </c>
      <c r="AW47" s="287">
        <v>1.0712138897361001</v>
      </c>
      <c r="AX47" s="306">
        <v>1.0735991498222575</v>
      </c>
      <c r="AY47" s="332"/>
      <c r="AZ47" s="286" t="s">
        <v>421</v>
      </c>
      <c r="BA47" s="287">
        <v>-0.41637656522652833</v>
      </c>
      <c r="BB47" s="287">
        <v>-0.28550981569424039</v>
      </c>
      <c r="BC47" s="306">
        <v>-0.14201672338458593</v>
      </c>
      <c r="BD47" s="332">
        <f t="shared" ca="1" si="4"/>
        <v>1.2156158732068434</v>
      </c>
    </row>
    <row r="48" spans="2:56" x14ac:dyDescent="0.25">
      <c r="B48" s="325" t="str">
        <f ca="1"/>
        <v>EURYC_OIS_BASISRATE_3Y</v>
      </c>
      <c r="C48" s="326">
        <f ca="1"/>
        <v>0</v>
      </c>
      <c r="D48" s="326">
        <f ca="1"/>
        <v>-5.8377856475999579E-3</v>
      </c>
      <c r="E48" s="326">
        <f ca="1"/>
        <v>3.8771435512899188</v>
      </c>
      <c r="F48" s="326">
        <f ca="1"/>
        <v>3.7056002922327025</v>
      </c>
      <c r="G48" s="326">
        <f ca="1"/>
        <v>0.31750283433211735</v>
      </c>
      <c r="H48" s="326">
        <f ca="1"/>
        <v>8.493916811858071E-2</v>
      </c>
      <c r="I48" s="327">
        <f ca="1"/>
        <v>-0.11192514557478717</v>
      </c>
      <c r="J48" s="288">
        <f ca="1"/>
        <v>7.8674229147509323</v>
      </c>
      <c r="K48" s="277" t="s">
        <v>4</v>
      </c>
      <c r="L48" s="286" t="s">
        <v>422</v>
      </c>
      <c r="M48" s="287">
        <v>0.45466214330190269</v>
      </c>
      <c r="N48" s="287">
        <v>0.29975923275378591</v>
      </c>
      <c r="O48" s="306">
        <v>0.17482232651855156</v>
      </c>
      <c r="Q48" s="286" t="s">
        <v>422</v>
      </c>
      <c r="R48" s="287">
        <v>0.46860328518232564</v>
      </c>
      <c r="S48" s="287">
        <v>0.31506733153037203</v>
      </c>
      <c r="T48" s="306">
        <v>0.19280721555423952</v>
      </c>
      <c r="U48" s="332">
        <f t="shared" ca="1" si="1"/>
        <v>-1.7984889035687956E-2</v>
      </c>
      <c r="V48" s="286" t="s">
        <v>422</v>
      </c>
      <c r="W48" s="287">
        <v>0.47063548742880812</v>
      </c>
      <c r="X48" s="287">
        <v>0.31756092105933931</v>
      </c>
      <c r="Y48" s="306">
        <v>0.19584703317377716</v>
      </c>
      <c r="AA48" s="286" t="s">
        <v>422</v>
      </c>
      <c r="AB48" s="287">
        <v>0.46657108293584315</v>
      </c>
      <c r="AC48" s="287">
        <v>0.31257374200140475</v>
      </c>
      <c r="AD48" s="306">
        <v>0.18976739793470188</v>
      </c>
      <c r="AE48" s="332">
        <f t="shared" ca="1" si="2"/>
        <v>6.0796352390752872E-3</v>
      </c>
      <c r="AF48" s="286" t="s">
        <v>422</v>
      </c>
      <c r="AG48" s="287">
        <v>0.31750283433211735</v>
      </c>
      <c r="AH48" s="287">
        <v>8.493916811858071E-2</v>
      </c>
      <c r="AI48" s="306">
        <v>-0.11192514557478717</v>
      </c>
      <c r="AK48" s="286" t="s">
        <v>422</v>
      </c>
      <c r="AL48" s="287">
        <v>1.0497242587007349</v>
      </c>
      <c r="AM48" s="287">
        <v>0.92236170094111003</v>
      </c>
      <c r="AN48" s="306">
        <v>0.7541130386016448</v>
      </c>
      <c r="AP48" s="286" t="s">
        <v>422</v>
      </c>
      <c r="AQ48" s="287">
        <v>-0.41471859003650025</v>
      </c>
      <c r="AR48" s="287">
        <v>-0.75248336470394861</v>
      </c>
      <c r="AS48" s="306">
        <v>-0.97796332975121913</v>
      </c>
      <c r="AT48" s="332">
        <f t="shared" ca="1" si="3"/>
        <v>1.7320763683528639</v>
      </c>
      <c r="AU48" s="286" t="s">
        <v>422</v>
      </c>
      <c r="AV48" s="287">
        <v>0.10612365094857523</v>
      </c>
      <c r="AW48" s="287">
        <v>5.3461499192053452E-3</v>
      </c>
      <c r="AX48" s="306">
        <v>2.3066709582053591E-2</v>
      </c>
      <c r="AY48" s="332"/>
      <c r="AZ48" s="286" t="s">
        <v>422</v>
      </c>
      <c r="BA48" s="287">
        <v>0.31750283433211735</v>
      </c>
      <c r="BB48" s="287">
        <v>8.493916811858071E-2</v>
      </c>
      <c r="BC48" s="306">
        <v>-0.11192514557478717</v>
      </c>
      <c r="BD48" s="332">
        <f t="shared" ca="1" si="4"/>
        <v>0.13499185515684076</v>
      </c>
    </row>
    <row r="49" spans="2:56" x14ac:dyDescent="0.25">
      <c r="B49" s="325" t="str">
        <f ca="1"/>
        <v>EURYC_OIS_3MLIBORSWAP_3Y</v>
      </c>
      <c r="C49" s="326">
        <f ca="1"/>
        <v>0</v>
      </c>
      <c r="D49" s="326">
        <f ca="1"/>
        <v>1.7495994494311162</v>
      </c>
      <c r="E49" s="326">
        <f ca="1"/>
        <v>-306.50966817302105</v>
      </c>
      <c r="F49" s="326">
        <f ca="1"/>
        <v>-3.6634506610425888</v>
      </c>
      <c r="G49" s="326">
        <f ca="1"/>
        <v>-0.16803814451122889</v>
      </c>
      <c r="H49" s="326">
        <f ca="1"/>
        <v>1.0405505599919707E-2</v>
      </c>
      <c r="I49" s="327">
        <f ca="1"/>
        <v>0.11427086501498707</v>
      </c>
      <c r="J49" s="288">
        <f ca="1"/>
        <v>-308.46688115852885</v>
      </c>
      <c r="K49" s="277" t="s">
        <v>4</v>
      </c>
      <c r="L49" s="286" t="s">
        <v>423</v>
      </c>
      <c r="M49" s="287">
        <v>-0.45769353851392225</v>
      </c>
      <c r="N49" s="287">
        <v>-0.30621350949331827</v>
      </c>
      <c r="O49" s="306">
        <v>-0.18286821132369369</v>
      </c>
      <c r="Q49" s="286" t="s">
        <v>423</v>
      </c>
      <c r="R49" s="287">
        <v>-0.46609759379862226</v>
      </c>
      <c r="S49" s="287">
        <v>-0.31538378612822271</v>
      </c>
      <c r="T49" s="306">
        <v>-0.19597517145211896</v>
      </c>
      <c r="U49" s="332">
        <f t="shared" ca="1" si="1"/>
        <v>1.3106960128425271E-2</v>
      </c>
      <c r="V49" s="286" t="s">
        <v>423</v>
      </c>
      <c r="W49" s="287">
        <v>-0.46386581463593757</v>
      </c>
      <c r="X49" s="287">
        <v>-0.31334022476585233</v>
      </c>
      <c r="Y49" s="306">
        <v>-0.19465788209163293</v>
      </c>
      <c r="AA49" s="286" t="s">
        <v>423</v>
      </c>
      <c r="AB49" s="287">
        <v>-0.46832937296130694</v>
      </c>
      <c r="AC49" s="287">
        <v>-0.31742734749059309</v>
      </c>
      <c r="AD49" s="306">
        <v>-0.19729246081260499</v>
      </c>
      <c r="AE49" s="332">
        <f t="shared" ca="1" si="2"/>
        <v>2.6345787209720584E-3</v>
      </c>
      <c r="AF49" s="286" t="s">
        <v>423</v>
      </c>
      <c r="AG49" s="287">
        <v>-0.16803814451122889</v>
      </c>
      <c r="AH49" s="287">
        <v>1.0405505599919707E-2</v>
      </c>
      <c r="AI49" s="306">
        <v>0.11427086501498707</v>
      </c>
      <c r="AK49" s="286" t="s">
        <v>423</v>
      </c>
      <c r="AL49" s="287">
        <v>-5.6398581727989949E-2</v>
      </c>
      <c r="AM49" s="287">
        <v>0.18694507889449596</v>
      </c>
      <c r="AN49" s="306">
        <v>0.36949986115359934</v>
      </c>
      <c r="AP49" s="286" t="s">
        <v>423</v>
      </c>
      <c r="AQ49" s="287">
        <v>-0.27967770729446784</v>
      </c>
      <c r="AR49" s="287">
        <v>-0.16613406769465655</v>
      </c>
      <c r="AS49" s="306">
        <v>-0.14095813112362521</v>
      </c>
      <c r="AT49" s="332">
        <f t="shared" ca="1" si="3"/>
        <v>0.51045799227722455</v>
      </c>
      <c r="AU49" s="286" t="s">
        <v>423</v>
      </c>
      <c r="AV49" s="287">
        <v>-0.27532321146281902</v>
      </c>
      <c r="AW49" s="287">
        <v>-6.6421573865227401E-2</v>
      </c>
      <c r="AX49" s="306">
        <v>0.13201933434174862</v>
      </c>
      <c r="AY49" s="332"/>
      <c r="AZ49" s="286" t="s">
        <v>423</v>
      </c>
      <c r="BA49" s="287">
        <v>-0.16803814451122889</v>
      </c>
      <c r="BB49" s="287">
        <v>1.0405505599919707E-2</v>
      </c>
      <c r="BC49" s="306">
        <v>0.11427086501498707</v>
      </c>
      <c r="BD49" s="332">
        <f t="shared" ca="1" si="4"/>
        <v>1.7748469326761551E-2</v>
      </c>
    </row>
    <row r="50" spans="2:56" x14ac:dyDescent="0.25">
      <c r="B50" s="325" t="str">
        <f ca="1"/>
        <v>EURYC_OIS_BASISRATE_4Y</v>
      </c>
      <c r="C50" s="326">
        <f ca="1"/>
        <v>0</v>
      </c>
      <c r="D50" s="326">
        <f ca="1"/>
        <v>6.4501364249736071E-7</v>
      </c>
      <c r="E50" s="326">
        <f ca="1"/>
        <v>1.0713847586885095E-6</v>
      </c>
      <c r="F50" s="326">
        <f ca="1"/>
        <v>4.9328364293614868</v>
      </c>
      <c r="G50" s="326">
        <f ca="1"/>
        <v>0.72833352533052675</v>
      </c>
      <c r="H50" s="326">
        <f ca="1"/>
        <v>0.49296223769488279</v>
      </c>
      <c r="I50" s="327">
        <f ca="1"/>
        <v>0.27726822090698988</v>
      </c>
      <c r="J50" s="288">
        <f ca="1"/>
        <v>6.4314021296922874</v>
      </c>
      <c r="K50" s="277" t="s">
        <v>4</v>
      </c>
      <c r="L50" s="286" t="s">
        <v>424</v>
      </c>
      <c r="M50" s="287">
        <v>0.64569612035666069</v>
      </c>
      <c r="N50" s="287">
        <v>0.45685255402167968</v>
      </c>
      <c r="O50" s="306">
        <v>0.2958465783876818</v>
      </c>
      <c r="Q50" s="286" t="s">
        <v>424</v>
      </c>
      <c r="R50" s="287">
        <v>0.62472296032865415</v>
      </c>
      <c r="S50" s="287">
        <v>0.42213573084336531</v>
      </c>
      <c r="T50" s="306">
        <v>0.26219189484800154</v>
      </c>
      <c r="U50" s="332">
        <f t="shared" ca="1" si="1"/>
        <v>3.3654683539680263E-2</v>
      </c>
      <c r="V50" s="286" t="s">
        <v>424</v>
      </c>
      <c r="W50" s="287">
        <v>0.62830364060209831</v>
      </c>
      <c r="X50" s="287">
        <v>0.42633492447566823</v>
      </c>
      <c r="Y50" s="306">
        <v>0.26670802768967405</v>
      </c>
      <c r="AA50" s="286" t="s">
        <v>424</v>
      </c>
      <c r="AB50" s="287">
        <v>0.62114228005520999</v>
      </c>
      <c r="AC50" s="287">
        <v>0.41793653721106239</v>
      </c>
      <c r="AD50" s="306">
        <v>0.25767576200632902</v>
      </c>
      <c r="AE50" s="332">
        <f t="shared" ca="1" si="2"/>
        <v>9.032265683345031E-3</v>
      </c>
      <c r="AF50" s="286" t="s">
        <v>424</v>
      </c>
      <c r="AG50" s="287">
        <v>0.72833352533052675</v>
      </c>
      <c r="AH50" s="287">
        <v>0.49296223769488279</v>
      </c>
      <c r="AI50" s="306">
        <v>0.27726822090698988</v>
      </c>
      <c r="AK50" s="286" t="s">
        <v>424</v>
      </c>
      <c r="AL50" s="287">
        <v>0.99139912090322468</v>
      </c>
      <c r="AM50" s="287">
        <v>0.72007348135230131</v>
      </c>
      <c r="AN50" s="306">
        <v>0.42457695963094011</v>
      </c>
      <c r="AP50" s="286" t="s">
        <v>424</v>
      </c>
      <c r="AQ50" s="287">
        <v>0.46526792975782882</v>
      </c>
      <c r="AR50" s="287">
        <v>0.26585099403746426</v>
      </c>
      <c r="AS50" s="306">
        <v>0.12995948218303965</v>
      </c>
      <c r="AT50" s="332">
        <f t="shared" ca="1" si="3"/>
        <v>0.29461747744790046</v>
      </c>
      <c r="AU50" s="286" t="s">
        <v>424</v>
      </c>
      <c r="AV50" s="287">
        <v>1.8465026494595804</v>
      </c>
      <c r="AW50" s="287">
        <v>1.6127770244565909</v>
      </c>
      <c r="AX50" s="306">
        <v>1.3980706079564698</v>
      </c>
      <c r="AY50" s="332"/>
      <c r="AZ50" s="286" t="s">
        <v>424</v>
      </c>
      <c r="BA50" s="287">
        <v>0.72833352533052675</v>
      </c>
      <c r="BB50" s="287">
        <v>0.49296223769488279</v>
      </c>
      <c r="BC50" s="306">
        <v>0.27726822090698988</v>
      </c>
      <c r="BD50" s="332">
        <f t="shared" ca="1" si="4"/>
        <v>1.1208023870494799</v>
      </c>
    </row>
    <row r="51" spans="2:56" x14ac:dyDescent="0.25">
      <c r="B51" s="325" t="str">
        <f ca="1"/>
        <v>EURYC_OIS_3MLIBORSWAP_4Y</v>
      </c>
      <c r="C51" s="326">
        <f ca="1"/>
        <v>0</v>
      </c>
      <c r="D51" s="326">
        <f ca="1"/>
        <v>-3.054992703255266E-4</v>
      </c>
      <c r="E51" s="326">
        <f ca="1"/>
        <v>-1.2225063983350992E-4</v>
      </c>
      <c r="F51" s="326">
        <f ca="1"/>
        <v>-408.66693405369006</v>
      </c>
      <c r="G51" s="326">
        <f ca="1"/>
        <v>-0.74525791587802814</v>
      </c>
      <c r="H51" s="326">
        <f ca="1"/>
        <v>-0.58513975454843603</v>
      </c>
      <c r="I51" s="327">
        <f ca="1"/>
        <v>-0.46481645895255497</v>
      </c>
      <c r="J51" s="288">
        <f ca="1"/>
        <v>-410.46257593297923</v>
      </c>
      <c r="K51" s="277" t="s">
        <v>4</v>
      </c>
      <c r="L51" s="286" t="s">
        <v>425</v>
      </c>
      <c r="M51" s="287">
        <v>-0.61666487345064525</v>
      </c>
      <c r="N51" s="287">
        <v>-0.41981567421134969</v>
      </c>
      <c r="O51" s="306">
        <v>-0.25961512156754907</v>
      </c>
      <c r="Q51" s="286" t="s">
        <v>425</v>
      </c>
      <c r="R51" s="287">
        <v>-0.61912948633835185</v>
      </c>
      <c r="S51" s="287">
        <v>-0.4186823630152503</v>
      </c>
      <c r="T51" s="306">
        <v>-0.25990701571481623</v>
      </c>
      <c r="U51" s="332">
        <f t="shared" ca="1" si="1"/>
        <v>2.9189414726715768E-4</v>
      </c>
      <c r="V51" s="286" t="s">
        <v>425</v>
      </c>
      <c r="W51" s="287">
        <v>-0.61771096894517541</v>
      </c>
      <c r="X51" s="287">
        <v>-0.41800898886504001</v>
      </c>
      <c r="Y51" s="306">
        <v>-0.26046045051407418</v>
      </c>
      <c r="AA51" s="286" t="s">
        <v>425</v>
      </c>
      <c r="AB51" s="287">
        <v>-0.6205480037315283</v>
      </c>
      <c r="AC51" s="287">
        <v>-0.4193557371654606</v>
      </c>
      <c r="AD51" s="306">
        <v>-0.25935358091555827</v>
      </c>
      <c r="AE51" s="332">
        <f t="shared" ca="1" si="2"/>
        <v>-1.1068695985159138E-3</v>
      </c>
      <c r="AF51" s="286" t="s">
        <v>425</v>
      </c>
      <c r="AG51" s="287">
        <v>-0.74525791587802814</v>
      </c>
      <c r="AH51" s="287">
        <v>-0.58513975454843603</v>
      </c>
      <c r="AI51" s="306">
        <v>-0.46481645895255497</v>
      </c>
      <c r="AK51" s="286" t="s">
        <v>425</v>
      </c>
      <c r="AL51" s="287">
        <v>-0.46207125087676104</v>
      </c>
      <c r="AM51" s="287">
        <v>-0.42466306003916543</v>
      </c>
      <c r="AN51" s="306">
        <v>-0.54440514322777744</v>
      </c>
      <c r="AP51" s="286" t="s">
        <v>425</v>
      </c>
      <c r="AQ51" s="287">
        <v>-1.0284445808792952</v>
      </c>
      <c r="AR51" s="287">
        <v>-0.74561644905770663</v>
      </c>
      <c r="AS51" s="306">
        <v>-0.38522777467733249</v>
      </c>
      <c r="AT51" s="332">
        <f t="shared" ca="1" si="3"/>
        <v>-0.15917736855044495</v>
      </c>
      <c r="AU51" s="286" t="s">
        <v>425</v>
      </c>
      <c r="AV51" s="287">
        <v>-0.91997561303287512</v>
      </c>
      <c r="AW51" s="287">
        <v>-0.74065859007532708</v>
      </c>
      <c r="AX51" s="306">
        <v>-0.65024565592466388</v>
      </c>
      <c r="AY51" s="332"/>
      <c r="AZ51" s="286" t="s">
        <v>425</v>
      </c>
      <c r="BA51" s="287">
        <v>-0.74525791587802814</v>
      </c>
      <c r="BB51" s="287">
        <v>-0.58513975454843603</v>
      </c>
      <c r="BC51" s="306">
        <v>-0.46481645895255497</v>
      </c>
      <c r="BD51" s="332">
        <f t="shared" ca="1" si="4"/>
        <v>-0.18542919697210891</v>
      </c>
    </row>
    <row r="52" spans="2:56" x14ac:dyDescent="0.25">
      <c r="B52" s="325" t="str">
        <f ca="1"/>
        <v>EURYC_OIS_BASISRATE_5Y</v>
      </c>
      <c r="C52" s="326">
        <f ca="1"/>
        <v>0</v>
      </c>
      <c r="D52" s="326">
        <f ca="1"/>
        <v>0</v>
      </c>
      <c r="E52" s="326">
        <f ca="1"/>
        <v>1.0913936421275139E-9</v>
      </c>
      <c r="F52" s="326">
        <f ca="1"/>
        <v>-2.1157356968615204E-4</v>
      </c>
      <c r="G52" s="326">
        <f ca="1"/>
        <v>0.49782831247284776</v>
      </c>
      <c r="H52" s="326">
        <f ca="1"/>
        <v>0.24200874777307035</v>
      </c>
      <c r="I52" s="327">
        <f ca="1"/>
        <v>7.3652998980833218E-2</v>
      </c>
      <c r="J52" s="288">
        <f ca="1"/>
        <v>0.81327848674845882</v>
      </c>
      <c r="K52" s="277" t="s">
        <v>4</v>
      </c>
      <c r="L52" s="286" t="s">
        <v>426</v>
      </c>
      <c r="M52" s="287">
        <v>0.77658260468160734</v>
      </c>
      <c r="N52" s="287">
        <v>0.49974749397006235</v>
      </c>
      <c r="O52" s="306">
        <v>0.28509524158107524</v>
      </c>
      <c r="Q52" s="286" t="s">
        <v>426</v>
      </c>
      <c r="R52" s="287">
        <v>0.77028234261160833</v>
      </c>
      <c r="S52" s="287">
        <v>0.51582591259466426</v>
      </c>
      <c r="T52" s="306">
        <v>0.31471511457948509</v>
      </c>
      <c r="U52" s="332">
        <f t="shared" ca="1" si="1"/>
        <v>-2.9619872998409846E-2</v>
      </c>
      <c r="V52" s="286" t="s">
        <v>426</v>
      </c>
      <c r="W52" s="287">
        <v>0.77497517070150934</v>
      </c>
      <c r="X52" s="287">
        <v>0.5200125293158635</v>
      </c>
      <c r="Y52" s="306">
        <v>0.31730125554713595</v>
      </c>
      <c r="AA52" s="286" t="s">
        <v>426</v>
      </c>
      <c r="AB52" s="287">
        <v>0.76558951452170731</v>
      </c>
      <c r="AC52" s="287">
        <v>0.51163929587346502</v>
      </c>
      <c r="AD52" s="306">
        <v>0.31212897361183423</v>
      </c>
      <c r="AE52" s="332">
        <f t="shared" ca="1" si="2"/>
        <v>5.1722819353017258E-3</v>
      </c>
      <c r="AF52" s="286" t="s">
        <v>426</v>
      </c>
      <c r="AG52" s="287">
        <v>0.49782831247284776</v>
      </c>
      <c r="AH52" s="287">
        <v>0.24200874777307035</v>
      </c>
      <c r="AI52" s="306">
        <v>7.3652998980833218E-2</v>
      </c>
      <c r="AK52" s="286" t="s">
        <v>426</v>
      </c>
      <c r="AL52" s="287">
        <v>0.71994082900346257</v>
      </c>
      <c r="AM52" s="287">
        <v>0.42409612760820892</v>
      </c>
      <c r="AN52" s="306">
        <v>0.15458475318155251</v>
      </c>
      <c r="AP52" s="286" t="s">
        <v>426</v>
      </c>
      <c r="AQ52" s="287">
        <v>0.27571579594223294</v>
      </c>
      <c r="AR52" s="287">
        <v>5.9921367937931791E-2</v>
      </c>
      <c r="AS52" s="306">
        <v>-7.2787552198860794E-3</v>
      </c>
      <c r="AT52" s="332">
        <f t="shared" ca="1" si="3"/>
        <v>0.16186350840143859</v>
      </c>
      <c r="AU52" s="286" t="s">
        <v>426</v>
      </c>
      <c r="AV52" s="287">
        <v>0.38210391667234944</v>
      </c>
      <c r="AW52" s="287">
        <v>8.010801684577018E-3</v>
      </c>
      <c r="AX52" s="306">
        <v>-0.20522523545878357</v>
      </c>
      <c r="AY52" s="332"/>
      <c r="AZ52" s="286" t="s">
        <v>426</v>
      </c>
      <c r="BA52" s="287">
        <v>0.49782831247284776</v>
      </c>
      <c r="BB52" s="287">
        <v>0.24200874777307035</v>
      </c>
      <c r="BC52" s="306">
        <v>7.3652998980833218E-2</v>
      </c>
      <c r="BD52" s="332">
        <f t="shared" ca="1" si="4"/>
        <v>-0.27887823443961679</v>
      </c>
    </row>
    <row r="53" spans="2:56" x14ac:dyDescent="0.25">
      <c r="B53" s="325" t="str">
        <f ca="1"/>
        <v>EURYC_OIS_3MLIBORSWAP_5Y</v>
      </c>
      <c r="C53" s="326">
        <f ca="1"/>
        <v>0</v>
      </c>
      <c r="D53" s="326">
        <f ca="1"/>
        <v>-9.6733856480568647E-7</v>
      </c>
      <c r="E53" s="326">
        <f ca="1"/>
        <v>1.7316451703663915E-4</v>
      </c>
      <c r="F53" s="326">
        <f ca="1"/>
        <v>-5.0495909817982465E-4</v>
      </c>
      <c r="G53" s="326">
        <f ca="1"/>
        <v>-0.68679770065500634</v>
      </c>
      <c r="H53" s="326">
        <f ca="1"/>
        <v>-0.52429806892178021</v>
      </c>
      <c r="I53" s="327">
        <f ca="1"/>
        <v>-0.48182508962781867</v>
      </c>
      <c r="J53" s="288">
        <f ca="1"/>
        <v>-1.6932536211243132</v>
      </c>
      <c r="K53" s="277" t="s">
        <v>4</v>
      </c>
      <c r="L53" s="286" t="s">
        <v>427</v>
      </c>
      <c r="M53" s="287">
        <v>-0.76243976345540432</v>
      </c>
      <c r="N53" s="287">
        <v>-0.53540444328064041</v>
      </c>
      <c r="O53" s="306">
        <v>-0.33466747797956486</v>
      </c>
      <c r="Q53" s="286" t="s">
        <v>427</v>
      </c>
      <c r="R53" s="287">
        <v>-0.75857641087350203</v>
      </c>
      <c r="S53" s="287">
        <v>-0.50790034770943748</v>
      </c>
      <c r="T53" s="306">
        <v>-0.31015325709086028</v>
      </c>
      <c r="U53" s="332">
        <f t="shared" ca="1" si="1"/>
        <v>-2.4514220888704585E-2</v>
      </c>
      <c r="V53" s="286" t="s">
        <v>427</v>
      </c>
      <c r="W53" s="287">
        <v>-0.75326587177551119</v>
      </c>
      <c r="X53" s="287">
        <v>-0.50298498596748686</v>
      </c>
      <c r="Y53" s="306">
        <v>-0.30662112687787157</v>
      </c>
      <c r="AA53" s="286" t="s">
        <v>427</v>
      </c>
      <c r="AB53" s="287">
        <v>-0.76388694997149287</v>
      </c>
      <c r="AC53" s="287">
        <v>-0.5128157094513881</v>
      </c>
      <c r="AD53" s="306">
        <v>-0.31368538730384898</v>
      </c>
      <c r="AE53" s="332">
        <f t="shared" ca="1" si="2"/>
        <v>7.0642604259774089E-3</v>
      </c>
      <c r="AF53" s="286" t="s">
        <v>427</v>
      </c>
      <c r="AG53" s="287">
        <v>-0.68679770065500634</v>
      </c>
      <c r="AH53" s="287">
        <v>-0.52429806892178021</v>
      </c>
      <c r="AI53" s="306">
        <v>-0.48182508962781867</v>
      </c>
      <c r="AK53" s="286" t="s">
        <v>427</v>
      </c>
      <c r="AL53" s="287">
        <v>-0.19571100019675214</v>
      </c>
      <c r="AM53" s="287">
        <v>-1.1846521010738797E-2</v>
      </c>
      <c r="AN53" s="306">
        <v>-4.4474121750681661E-2</v>
      </c>
      <c r="AP53" s="286" t="s">
        <v>427</v>
      </c>
      <c r="AQ53" s="287">
        <v>-1.1778844011132605</v>
      </c>
      <c r="AR53" s="287">
        <v>-1.0367496168328216</v>
      </c>
      <c r="AS53" s="306">
        <v>-0.91917605750495568</v>
      </c>
      <c r="AT53" s="332">
        <f t="shared" ca="1" si="3"/>
        <v>0.87470193575427402</v>
      </c>
      <c r="AU53" s="286" t="s">
        <v>427</v>
      </c>
      <c r="AV53" s="287">
        <v>-1.4895944332238287</v>
      </c>
      <c r="AW53" s="287">
        <v>-1.2119753962906543</v>
      </c>
      <c r="AX53" s="306">
        <v>-1.0384421003436728</v>
      </c>
      <c r="AY53" s="332"/>
      <c r="AZ53" s="286" t="s">
        <v>427</v>
      </c>
      <c r="BA53" s="287">
        <v>-0.68679770065500634</v>
      </c>
      <c r="BB53" s="287">
        <v>-0.52429806892178021</v>
      </c>
      <c r="BC53" s="306">
        <v>-0.48182508962781867</v>
      </c>
      <c r="BD53" s="332">
        <f t="shared" ca="1" si="4"/>
        <v>-0.55661701071585412</v>
      </c>
    </row>
    <row r="54" spans="2:56" x14ac:dyDescent="0.25">
      <c r="B54" s="325" t="str">
        <f ca="1"/>
        <v>EURYC_OIS_BASISRATE_6Y</v>
      </c>
      <c r="C54" s="326">
        <f ca="1"/>
        <v>0</v>
      </c>
      <c r="D54" s="326">
        <f ca="1"/>
        <v>0</v>
      </c>
      <c r="E54" s="326">
        <f ca="1"/>
        <v>0</v>
      </c>
      <c r="F54" s="326">
        <f ca="1"/>
        <v>9.0949470177292824E-9</v>
      </c>
      <c r="G54" s="326">
        <f ca="1"/>
        <v>1.0530633386224508</v>
      </c>
      <c r="H54" s="326">
        <f ca="1"/>
        <v>0.81173595062864479</v>
      </c>
      <c r="I54" s="327">
        <f ca="1"/>
        <v>0.66450609037929098</v>
      </c>
      <c r="J54" s="288">
        <f ca="1"/>
        <v>2.5293053887253336</v>
      </c>
      <c r="K54" s="277" t="s">
        <v>4</v>
      </c>
      <c r="L54" s="286" t="s">
        <v>428</v>
      </c>
      <c r="M54" s="287">
        <v>0.96465052516032301</v>
      </c>
      <c r="N54" s="287">
        <v>0.72631590127093659</v>
      </c>
      <c r="O54" s="306">
        <v>0.50131075078661524</v>
      </c>
      <c r="Q54" s="286" t="s">
        <v>428</v>
      </c>
      <c r="R54" s="287">
        <v>0.95806802340121067</v>
      </c>
      <c r="S54" s="287">
        <v>0.65545854856281949</v>
      </c>
      <c r="T54" s="306">
        <v>0.41511850139249873</v>
      </c>
      <c r="U54" s="332">
        <f t="shared" ca="1" si="1"/>
        <v>8.6192249394116516E-2</v>
      </c>
      <c r="V54" s="286" t="s">
        <v>428</v>
      </c>
      <c r="W54" s="287">
        <v>0.95921159275167156</v>
      </c>
      <c r="X54" s="287">
        <v>0.65526175563354627</v>
      </c>
      <c r="Y54" s="306">
        <v>0.41266219374847424</v>
      </c>
      <c r="AA54" s="286" t="s">
        <v>428</v>
      </c>
      <c r="AB54" s="287">
        <v>0.95692445405074977</v>
      </c>
      <c r="AC54" s="287">
        <v>0.6556553414920927</v>
      </c>
      <c r="AD54" s="306">
        <v>0.41757480903652322</v>
      </c>
      <c r="AE54" s="332">
        <f t="shared" ca="1" si="2"/>
        <v>-4.9126152880489826E-3</v>
      </c>
      <c r="AF54" s="286" t="s">
        <v>428</v>
      </c>
      <c r="AG54" s="287">
        <v>1.0530633386224508</v>
      </c>
      <c r="AH54" s="287">
        <v>0.81173595062864479</v>
      </c>
      <c r="AI54" s="306">
        <v>0.66450609037929098</v>
      </c>
      <c r="AK54" s="286" t="s">
        <v>428</v>
      </c>
      <c r="AL54" s="287">
        <v>1.372442923093331</v>
      </c>
      <c r="AM54" s="287">
        <v>1.1248949660512153</v>
      </c>
      <c r="AN54" s="306">
        <v>0.89731468633544864</v>
      </c>
      <c r="AP54" s="286" t="s">
        <v>428</v>
      </c>
      <c r="AQ54" s="287">
        <v>0.73368375415157061</v>
      </c>
      <c r="AR54" s="287">
        <v>0.49857693520607427</v>
      </c>
      <c r="AS54" s="306">
        <v>0.43169749442313332</v>
      </c>
      <c r="AT54" s="332">
        <f t="shared" ca="1" si="3"/>
        <v>0.46561719191231532</v>
      </c>
      <c r="AU54" s="286" t="s">
        <v>428</v>
      </c>
      <c r="AV54" s="287">
        <v>0.99484480579121737</v>
      </c>
      <c r="AW54" s="287">
        <v>1.0265577304380713</v>
      </c>
      <c r="AX54" s="306">
        <v>1.0197524644354417</v>
      </c>
      <c r="AY54" s="332"/>
      <c r="AZ54" s="286" t="s">
        <v>428</v>
      </c>
      <c r="BA54" s="287">
        <v>1.0530633386224508</v>
      </c>
      <c r="BB54" s="287">
        <v>0.81173595062864479</v>
      </c>
      <c r="BC54" s="306">
        <v>0.66450609037929098</v>
      </c>
      <c r="BD54" s="332">
        <f t="shared" ca="1" si="4"/>
        <v>0.35524637405615067</v>
      </c>
    </row>
    <row r="55" spans="2:56" x14ac:dyDescent="0.25">
      <c r="B55" s="325" t="str">
        <f ca="1"/>
        <v>EURYC_OIS_3MLIBORSWAP_6Y</v>
      </c>
      <c r="C55" s="326">
        <f ca="1"/>
        <v>0</v>
      </c>
      <c r="D55" s="326">
        <f ca="1"/>
        <v>0</v>
      </c>
      <c r="E55" s="326">
        <f ca="1"/>
        <v>0</v>
      </c>
      <c r="F55" s="326">
        <f ca="1"/>
        <v>-7.2759576141834259E-10</v>
      </c>
      <c r="G55" s="326">
        <f ca="1"/>
        <v>-0.65990291423076997</v>
      </c>
      <c r="H55" s="326">
        <f ca="1"/>
        <v>-0.30923762024031021</v>
      </c>
      <c r="I55" s="327">
        <f ca="1"/>
        <v>-5.6057659912767122E-2</v>
      </c>
      <c r="J55" s="288">
        <f ca="1"/>
        <v>-1.0251981951114431</v>
      </c>
      <c r="K55" s="277" t="s">
        <v>4</v>
      </c>
      <c r="L55" s="286" t="s">
        <v>429</v>
      </c>
      <c r="M55" s="287">
        <v>-0.959109034463836</v>
      </c>
      <c r="N55" s="287">
        <v>-0.51794438077376981</v>
      </c>
      <c r="O55" s="306">
        <v>-0.25056828852029867</v>
      </c>
      <c r="Q55" s="286" t="s">
        <v>429</v>
      </c>
      <c r="R55" s="287">
        <v>-0.94578127911336196</v>
      </c>
      <c r="S55" s="287">
        <v>-0.6464894893579185</v>
      </c>
      <c r="T55" s="306">
        <v>-0.40822907565416244</v>
      </c>
      <c r="U55" s="332">
        <f t="shared" ca="1" si="1"/>
        <v>0.15766078713386378</v>
      </c>
      <c r="V55" s="286" t="s">
        <v>429</v>
      </c>
      <c r="W55" s="287">
        <v>-0.94557879061540007</v>
      </c>
      <c r="X55" s="287">
        <v>-0.6469448190764524</v>
      </c>
      <c r="Y55" s="306">
        <v>-0.40940936057995714</v>
      </c>
      <c r="AA55" s="286" t="s">
        <v>429</v>
      </c>
      <c r="AB55" s="287">
        <v>-0.94598376761132386</v>
      </c>
      <c r="AC55" s="287">
        <v>-0.6460341596393846</v>
      </c>
      <c r="AD55" s="306">
        <v>-0.40704879072836775</v>
      </c>
      <c r="AE55" s="332">
        <f t="shared" ca="1" si="2"/>
        <v>-2.3605698515893891E-3</v>
      </c>
      <c r="AF55" s="286" t="s">
        <v>429</v>
      </c>
      <c r="AG55" s="287">
        <v>-0.65990291423076997</v>
      </c>
      <c r="AH55" s="287">
        <v>-0.30923762024031021</v>
      </c>
      <c r="AI55" s="306">
        <v>-5.6057659912767122E-2</v>
      </c>
      <c r="AK55" s="286" t="s">
        <v>429</v>
      </c>
      <c r="AL55" s="287">
        <v>-0.61183756406535394</v>
      </c>
      <c r="AM55" s="287">
        <v>-0.38429433807323221</v>
      </c>
      <c r="AN55" s="306">
        <v>-0.35568417115428019</v>
      </c>
      <c r="AP55" s="286" t="s">
        <v>429</v>
      </c>
      <c r="AQ55" s="287">
        <v>-0.70796826439618599</v>
      </c>
      <c r="AR55" s="287">
        <v>-0.2341809024073882</v>
      </c>
      <c r="AS55" s="306">
        <v>0.24356885132874595</v>
      </c>
      <c r="AT55" s="332">
        <f t="shared" ca="1" si="3"/>
        <v>-0.59925302248302614</v>
      </c>
      <c r="AU55" s="286" t="s">
        <v>429</v>
      </c>
      <c r="AV55" s="287">
        <v>-0.69186362125037704</v>
      </c>
      <c r="AW55" s="287">
        <v>-0.27511686112120515</v>
      </c>
      <c r="AX55" s="306">
        <v>-7.6428194370237179E-2</v>
      </c>
      <c r="AY55" s="332"/>
      <c r="AZ55" s="286" t="s">
        <v>429</v>
      </c>
      <c r="BA55" s="287">
        <v>-0.65990291423076997</v>
      </c>
      <c r="BB55" s="287">
        <v>-0.30923762024031021</v>
      </c>
      <c r="BC55" s="306">
        <v>-5.6057659912767122E-2</v>
      </c>
      <c r="BD55" s="332">
        <f t="shared" ca="1" si="4"/>
        <v>-2.0370534457470058E-2</v>
      </c>
    </row>
    <row r="56" spans="2:56" x14ac:dyDescent="0.25">
      <c r="B56" s="325" t="str">
        <f ca="1"/>
        <v>EURYC_OIS_BASISRATE_7Y</v>
      </c>
      <c r="C56" s="326">
        <f ca="1"/>
        <v>0</v>
      </c>
      <c r="D56" s="326">
        <f ca="1"/>
        <v>0</v>
      </c>
      <c r="E56" s="326">
        <f ca="1"/>
        <v>0</v>
      </c>
      <c r="F56" s="326">
        <f ca="1"/>
        <v>0</v>
      </c>
      <c r="G56" s="326">
        <f ca="1"/>
        <v>1.2294150967136375</v>
      </c>
      <c r="H56" s="326">
        <f ca="1"/>
        <v>0.86462700473930454</v>
      </c>
      <c r="I56" s="327">
        <f ca="1"/>
        <v>0.54142548369782162</v>
      </c>
      <c r="J56" s="288">
        <f ca="1"/>
        <v>2.6354675851507636</v>
      </c>
      <c r="K56" s="277" t="s">
        <v>4</v>
      </c>
      <c r="L56" s="286" t="s">
        <v>430</v>
      </c>
      <c r="M56" s="287">
        <v>0.9871866161320213</v>
      </c>
      <c r="N56" s="287">
        <v>0.48712777619948611</v>
      </c>
      <c r="O56" s="306">
        <v>0.14858074870517157</v>
      </c>
      <c r="Q56" s="286" t="s">
        <v>430</v>
      </c>
      <c r="R56" s="287">
        <v>1.0205930704723869</v>
      </c>
      <c r="S56" s="287">
        <v>0.66400948263435566</v>
      </c>
      <c r="T56" s="306">
        <v>0.38446325438508211</v>
      </c>
      <c r="U56" s="332">
        <f t="shared" ca="1" si="1"/>
        <v>-0.23588250567991054</v>
      </c>
      <c r="V56" s="286" t="s">
        <v>430</v>
      </c>
      <c r="W56" s="287">
        <v>1.0216113013048016</v>
      </c>
      <c r="X56" s="287">
        <v>0.66523904915447929</v>
      </c>
      <c r="Y56" s="306">
        <v>0.38583068301340973</v>
      </c>
      <c r="AA56" s="286" t="s">
        <v>430</v>
      </c>
      <c r="AB56" s="287">
        <v>1.0195748396399722</v>
      </c>
      <c r="AC56" s="287">
        <v>0.66277991611423204</v>
      </c>
      <c r="AD56" s="306">
        <v>0.38309582575675449</v>
      </c>
      <c r="AE56" s="332">
        <f t="shared" ca="1" si="2"/>
        <v>2.734857256655232E-3</v>
      </c>
      <c r="AF56" s="286" t="s">
        <v>430</v>
      </c>
      <c r="AG56" s="287">
        <v>1.2294150967136375</v>
      </c>
      <c r="AH56" s="287">
        <v>0.86462700473930454</v>
      </c>
      <c r="AI56" s="306">
        <v>0.54142548369782162</v>
      </c>
      <c r="AK56" s="286" t="s">
        <v>430</v>
      </c>
      <c r="AL56" s="287">
        <v>1.2281879775400739</v>
      </c>
      <c r="AM56" s="287">
        <v>0.83590436515805777</v>
      </c>
      <c r="AN56" s="306">
        <v>0.46349908079719171</v>
      </c>
      <c r="AP56" s="286" t="s">
        <v>430</v>
      </c>
      <c r="AQ56" s="287">
        <v>1.230642215887201</v>
      </c>
      <c r="AR56" s="287">
        <v>0.89334964432055131</v>
      </c>
      <c r="AS56" s="306">
        <v>0.61935188659845153</v>
      </c>
      <c r="AT56" s="332">
        <f t="shared" ca="1" si="3"/>
        <v>-0.15585280580125982</v>
      </c>
      <c r="AU56" s="286" t="s">
        <v>430</v>
      </c>
      <c r="AV56" s="287">
        <v>1.3056375057203695</v>
      </c>
      <c r="AW56" s="287">
        <v>0.75800771628564689</v>
      </c>
      <c r="AX56" s="306">
        <v>0.33892065257532522</v>
      </c>
      <c r="AY56" s="332"/>
      <c r="AZ56" s="286" t="s">
        <v>430</v>
      </c>
      <c r="BA56" s="287">
        <v>1.2294150967136375</v>
      </c>
      <c r="BB56" s="287">
        <v>0.86462700473930454</v>
      </c>
      <c r="BC56" s="306">
        <v>0.54142548369782162</v>
      </c>
      <c r="BD56" s="332">
        <f t="shared" ca="1" si="4"/>
        <v>-0.2025048311224964</v>
      </c>
    </row>
    <row r="57" spans="2:56" x14ac:dyDescent="0.25">
      <c r="B57" s="325" t="str">
        <f ca="1"/>
        <v>EURYC_OIS_3MLIBORSWAP_7Y</v>
      </c>
      <c r="C57" s="326">
        <f ca="1"/>
        <v>0</v>
      </c>
      <c r="D57" s="326">
        <f ca="1"/>
        <v>0</v>
      </c>
      <c r="E57" s="326">
        <f ca="1"/>
        <v>0</v>
      </c>
      <c r="F57" s="326">
        <f ca="1"/>
        <v>0</v>
      </c>
      <c r="G57" s="326">
        <f ca="1"/>
        <v>-1.039370247599436</v>
      </c>
      <c r="H57" s="326">
        <f ca="1"/>
        <v>-0.6695894657241297</v>
      </c>
      <c r="I57" s="327">
        <f ca="1"/>
        <v>-0.36229643028491409</v>
      </c>
      <c r="J57" s="288">
        <f ca="1"/>
        <v>-2.0712561436084798</v>
      </c>
      <c r="K57" s="277" t="s">
        <v>4</v>
      </c>
      <c r="L57" s="286" t="s">
        <v>431</v>
      </c>
      <c r="M57" s="287">
        <v>-0.96911977721356379</v>
      </c>
      <c r="N57" s="287">
        <v>-1.3762682434389717</v>
      </c>
      <c r="O57" s="306">
        <v>-1.2483678059470549</v>
      </c>
      <c r="Q57" s="286" t="s">
        <v>431</v>
      </c>
      <c r="R57" s="287">
        <v>-0.98919015504361596</v>
      </c>
      <c r="S57" s="287">
        <v>-0.63773880852568254</v>
      </c>
      <c r="T57" s="306">
        <v>-0.36307425359245826</v>
      </c>
      <c r="U57" s="332">
        <f t="shared" ca="1" si="1"/>
        <v>-0.88529355235459661</v>
      </c>
      <c r="V57" s="286" t="s">
        <v>431</v>
      </c>
      <c r="W57" s="287">
        <v>-1.0161423777972232</v>
      </c>
      <c r="X57" s="287">
        <v>-0.66501287360006245</v>
      </c>
      <c r="Y57" s="306">
        <v>-0.39113516178804275</v>
      </c>
      <c r="AA57" s="286" t="s">
        <v>431</v>
      </c>
      <c r="AB57" s="287">
        <v>-0.96223793229000876</v>
      </c>
      <c r="AC57" s="287">
        <v>-0.61046474345130264</v>
      </c>
      <c r="AD57" s="306">
        <v>-0.33501334539687377</v>
      </c>
      <c r="AE57" s="332">
        <f t="shared" ca="1" si="2"/>
        <v>-5.6121816391168977E-2</v>
      </c>
      <c r="AF57" s="286" t="s">
        <v>431</v>
      </c>
      <c r="AG57" s="287">
        <v>-1.039370247599436</v>
      </c>
      <c r="AH57" s="287">
        <v>-0.6695894657241297</v>
      </c>
      <c r="AI57" s="306">
        <v>-0.36229643028491409</v>
      </c>
      <c r="AK57" s="286" t="s">
        <v>431</v>
      </c>
      <c r="AL57" s="287">
        <v>-0.65876048793143127</v>
      </c>
      <c r="AM57" s="287">
        <v>-0.31297775749408174</v>
      </c>
      <c r="AN57" s="306">
        <v>-0.12518640014604898</v>
      </c>
      <c r="AP57" s="286" t="s">
        <v>431</v>
      </c>
      <c r="AQ57" s="287">
        <v>-1.4199800072674407</v>
      </c>
      <c r="AR57" s="287">
        <v>-1.0262011739541776</v>
      </c>
      <c r="AS57" s="306">
        <v>-0.59940646042377921</v>
      </c>
      <c r="AT57" s="332">
        <f t="shared" ca="1" si="3"/>
        <v>0.47422006027773023</v>
      </c>
      <c r="AU57" s="286" t="s">
        <v>431</v>
      </c>
      <c r="AV57" s="287">
        <v>-0.70900858790992061</v>
      </c>
      <c r="AW57" s="287">
        <v>-1.0131860433830298</v>
      </c>
      <c r="AX57" s="306">
        <v>-0.82320766869088402</v>
      </c>
      <c r="AY57" s="332"/>
      <c r="AZ57" s="286" t="s">
        <v>431</v>
      </c>
      <c r="BA57" s="287">
        <v>-1.039370247599436</v>
      </c>
      <c r="BB57" s="287">
        <v>-0.6695894657241297</v>
      </c>
      <c r="BC57" s="306">
        <v>-0.36229643028491409</v>
      </c>
      <c r="BD57" s="332">
        <f t="shared" ca="1" si="4"/>
        <v>-0.46091123840596993</v>
      </c>
    </row>
    <row r="58" spans="2:56" x14ac:dyDescent="0.25">
      <c r="B58" s="325" t="str">
        <f ca="1"/>
        <v>EURYC_OIS_BASISRATE_8Y</v>
      </c>
      <c r="C58" s="326">
        <f ca="1"/>
        <v>0</v>
      </c>
      <c r="D58" s="326">
        <f ca="1"/>
        <v>0</v>
      </c>
      <c r="E58" s="326">
        <f ca="1"/>
        <v>0</v>
      </c>
      <c r="F58" s="326">
        <f ca="1"/>
        <v>0</v>
      </c>
      <c r="G58" s="326">
        <f ca="1"/>
        <v>1.7845004384071217</v>
      </c>
      <c r="H58" s="326">
        <f ca="1"/>
        <v>1.4786275356527767</v>
      </c>
      <c r="I58" s="327">
        <f ca="1"/>
        <v>1.2398020290675049</v>
      </c>
      <c r="J58" s="288">
        <f ca="1"/>
        <v>4.5029300031274033</v>
      </c>
      <c r="K58" s="277" t="s">
        <v>4</v>
      </c>
      <c r="L58" s="286" t="s">
        <v>432</v>
      </c>
      <c r="M58" s="287">
        <v>1.4975972496977192</v>
      </c>
      <c r="N58" s="287">
        <v>1.4622299097245559</v>
      </c>
      <c r="O58" s="306">
        <v>1.2621959805528604</v>
      </c>
      <c r="Q58" s="286" t="s">
        <v>432</v>
      </c>
      <c r="R58" s="287">
        <v>1.4235899077284557</v>
      </c>
      <c r="S58" s="287">
        <v>1.0247566218367865</v>
      </c>
      <c r="T58" s="306">
        <v>0.70018255565719301</v>
      </c>
      <c r="U58" s="332">
        <f t="shared" ca="1" si="1"/>
        <v>0.56201342489566741</v>
      </c>
      <c r="V58" s="286" t="s">
        <v>432</v>
      </c>
      <c r="W58" s="287">
        <v>1.4241433552306262</v>
      </c>
      <c r="X58" s="287">
        <v>1.0240375401263009</v>
      </c>
      <c r="Y58" s="306">
        <v>0.69753438896987063</v>
      </c>
      <c r="AA58" s="286" t="s">
        <v>432</v>
      </c>
      <c r="AB58" s="287">
        <v>1.4230364602262853</v>
      </c>
      <c r="AC58" s="287">
        <v>1.0254757035472721</v>
      </c>
      <c r="AD58" s="306">
        <v>0.70283072234451538</v>
      </c>
      <c r="AE58" s="332">
        <f t="shared" ca="1" si="2"/>
        <v>-5.2963333746447461E-3</v>
      </c>
      <c r="AF58" s="286" t="s">
        <v>432</v>
      </c>
      <c r="AG58" s="287">
        <v>1.7845004384071217</v>
      </c>
      <c r="AH58" s="287">
        <v>1.4786275356527767</v>
      </c>
      <c r="AI58" s="306">
        <v>1.2398020290675049</v>
      </c>
      <c r="AK58" s="286" t="s">
        <v>432</v>
      </c>
      <c r="AL58" s="287">
        <v>1.9243431917857379</v>
      </c>
      <c r="AM58" s="287">
        <v>1.6281241216347553</v>
      </c>
      <c r="AN58" s="306">
        <v>1.3808330422762083</v>
      </c>
      <c r="AP58" s="286" t="s">
        <v>432</v>
      </c>
      <c r="AQ58" s="287">
        <v>1.6446576850285055</v>
      </c>
      <c r="AR58" s="287">
        <v>1.3291309496707981</v>
      </c>
      <c r="AS58" s="306">
        <v>1.0987710158588015</v>
      </c>
      <c r="AT58" s="332">
        <f t="shared" ca="1" si="3"/>
        <v>0.28206202641740674</v>
      </c>
      <c r="AU58" s="286" t="s">
        <v>432</v>
      </c>
      <c r="AV58" s="287">
        <v>0.89297397880727658</v>
      </c>
      <c r="AW58" s="287">
        <v>0.6985931306189741</v>
      </c>
      <c r="AX58" s="306">
        <v>0.39008835328786517</v>
      </c>
      <c r="AY58" s="332"/>
      <c r="AZ58" s="286" t="s">
        <v>432</v>
      </c>
      <c r="BA58" s="287">
        <v>1.7845004384071217</v>
      </c>
      <c r="BB58" s="287">
        <v>1.4786275356527767</v>
      </c>
      <c r="BC58" s="306">
        <v>1.2398020290675049</v>
      </c>
      <c r="BD58" s="332">
        <f t="shared" ca="1" si="4"/>
        <v>-0.84971367577963974</v>
      </c>
    </row>
    <row r="59" spans="2:56" x14ac:dyDescent="0.25">
      <c r="B59" s="325" t="str">
        <f ca="1"/>
        <v>EURYC_OIS_3MLIBORSWAP_8Y</v>
      </c>
      <c r="C59" s="326">
        <f ca="1"/>
        <v>0</v>
      </c>
      <c r="D59" s="326">
        <f ca="1"/>
        <v>0</v>
      </c>
      <c r="E59" s="326">
        <f ca="1"/>
        <v>0</v>
      </c>
      <c r="F59" s="326">
        <f ca="1"/>
        <v>0</v>
      </c>
      <c r="G59" s="326">
        <f ca="1"/>
        <v>-1.2900541434646584</v>
      </c>
      <c r="H59" s="326">
        <f ca="1"/>
        <v>-0.92576952065428486</v>
      </c>
      <c r="I59" s="327">
        <f ca="1"/>
        <v>-0.66636397095862776</v>
      </c>
      <c r="J59" s="288">
        <f ca="1"/>
        <v>-2.882187635077571</v>
      </c>
      <c r="K59" s="277" t="s">
        <v>4</v>
      </c>
      <c r="L59" s="286" t="s">
        <v>433</v>
      </c>
      <c r="M59" s="287">
        <v>-1.4785990532163851</v>
      </c>
      <c r="N59" s="287">
        <v>2.4530321084257594</v>
      </c>
      <c r="O59" s="306">
        <v>3.5415495530660337</v>
      </c>
      <c r="Q59" s="286" t="s">
        <v>433</v>
      </c>
      <c r="R59" s="287">
        <v>-1.4394341784154676</v>
      </c>
      <c r="S59" s="287">
        <v>-1.0466751098738314</v>
      </c>
      <c r="T59" s="306">
        <v>-0.72721513766373391</v>
      </c>
      <c r="U59" s="332">
        <f t="shared" ca="1" si="1"/>
        <v>4.2687646907297676</v>
      </c>
      <c r="V59" s="286" t="s">
        <v>433</v>
      </c>
      <c r="W59" s="287">
        <v>-1.6549574895652768</v>
      </c>
      <c r="X59" s="287">
        <v>-1.2623315090422693</v>
      </c>
      <c r="Y59" s="306">
        <v>-0.94344337442453252</v>
      </c>
      <c r="AA59" s="286" t="s">
        <v>433</v>
      </c>
      <c r="AB59" s="287">
        <v>-1.2239108672656585</v>
      </c>
      <c r="AC59" s="287">
        <v>-0.83101871070539346</v>
      </c>
      <c r="AD59" s="306">
        <v>-0.5109869009029353</v>
      </c>
      <c r="AE59" s="332">
        <f t="shared" ca="1" si="2"/>
        <v>-0.43245647352159722</v>
      </c>
      <c r="AF59" s="286" t="s">
        <v>433</v>
      </c>
      <c r="AG59" s="287">
        <v>-1.2900541434646584</v>
      </c>
      <c r="AH59" s="287">
        <v>-0.92576952065428486</v>
      </c>
      <c r="AI59" s="306">
        <v>-0.66636397095862776</v>
      </c>
      <c r="AK59" s="286" t="s">
        <v>433</v>
      </c>
      <c r="AL59" s="287">
        <v>-1.0622239686199464</v>
      </c>
      <c r="AM59" s="287">
        <v>-0.65801005184766836</v>
      </c>
      <c r="AN59" s="306">
        <v>-0.37395431754703168</v>
      </c>
      <c r="AP59" s="286" t="s">
        <v>433</v>
      </c>
      <c r="AQ59" s="287">
        <v>-1.5178843183093704</v>
      </c>
      <c r="AR59" s="287">
        <v>-1.1935289894609014</v>
      </c>
      <c r="AS59" s="306">
        <v>-0.95877362437022384</v>
      </c>
      <c r="AT59" s="332">
        <f t="shared" ca="1" si="3"/>
        <v>0.58481930682319216</v>
      </c>
      <c r="AU59" s="286" t="s">
        <v>433</v>
      </c>
      <c r="AV59" s="287">
        <v>-1.7589999366464326</v>
      </c>
      <c r="AW59" s="287">
        <v>2.1238645023913705</v>
      </c>
      <c r="AX59" s="306">
        <v>3.1920261531922733</v>
      </c>
      <c r="AY59" s="332"/>
      <c r="AZ59" s="286" t="s">
        <v>433</v>
      </c>
      <c r="BA59" s="287">
        <v>-1.2900541434646584</v>
      </c>
      <c r="BB59" s="287">
        <v>-0.92576952065428486</v>
      </c>
      <c r="BC59" s="306">
        <v>-0.66636397095862776</v>
      </c>
      <c r="BD59" s="332">
        <f t="shared" ca="1" si="4"/>
        <v>3.8583901241509011</v>
      </c>
    </row>
    <row r="60" spans="2:56" x14ac:dyDescent="0.25">
      <c r="B60" s="325" t="str">
        <f ca="1"/>
        <v>EURYC_OIS_BASISRATE_9Y</v>
      </c>
      <c r="C60" s="326">
        <f ca="1"/>
        <v>0</v>
      </c>
      <c r="D60" s="326">
        <f ca="1"/>
        <v>0</v>
      </c>
      <c r="E60" s="326">
        <f ca="1"/>
        <v>0</v>
      </c>
      <c r="F60" s="326">
        <f ca="1"/>
        <v>0</v>
      </c>
      <c r="G60" s="326">
        <f ca="1"/>
        <v>0.92254921128187561</v>
      </c>
      <c r="H60" s="326">
        <f ca="1"/>
        <v>0.48431061240989948</v>
      </c>
      <c r="I60" s="327">
        <f ca="1"/>
        <v>0.1811343173358182</v>
      </c>
      <c r="J60" s="288">
        <f ca="1"/>
        <v>1.5879941410275933</v>
      </c>
      <c r="K60" s="277" t="s">
        <v>4</v>
      </c>
      <c r="L60" s="286" t="s">
        <v>434</v>
      </c>
      <c r="M60" s="287">
        <v>0.76415904011446401</v>
      </c>
      <c r="N60" s="287">
        <v>-0.53676102458666719</v>
      </c>
      <c r="O60" s="306">
        <v>-1.2037372243985374</v>
      </c>
      <c r="Q60" s="286" t="s">
        <v>434</v>
      </c>
      <c r="R60" s="287">
        <v>0.90264610567282944</v>
      </c>
      <c r="S60" s="287">
        <v>0.43214694195376069</v>
      </c>
      <c r="T60" s="306">
        <v>8.1733934232033789E-2</v>
      </c>
      <c r="U60" s="332">
        <f t="shared" ca="1" si="1"/>
        <v>-1.2854711586305712</v>
      </c>
      <c r="V60" s="286" t="s">
        <v>434</v>
      </c>
      <c r="W60" s="287">
        <v>0.90391774372255895</v>
      </c>
      <c r="X60" s="287">
        <v>0.43235096822172636</v>
      </c>
      <c r="Y60" s="306">
        <v>8.0196865814286866E-2</v>
      </c>
      <c r="AA60" s="286" t="s">
        <v>434</v>
      </c>
      <c r="AB60" s="287">
        <v>0.90137446762309992</v>
      </c>
      <c r="AC60" s="287">
        <v>0.43194291568579501</v>
      </c>
      <c r="AD60" s="306">
        <v>8.3271002649780712E-2</v>
      </c>
      <c r="AE60" s="332">
        <f t="shared" ca="1" si="2"/>
        <v>-3.0741368354938459E-3</v>
      </c>
      <c r="AF60" s="286" t="s">
        <v>434</v>
      </c>
      <c r="AG60" s="287">
        <v>0.92254921128187561</v>
      </c>
      <c r="AH60" s="287">
        <v>0.48431061240989948</v>
      </c>
      <c r="AI60" s="306">
        <v>0.1811343173358182</v>
      </c>
      <c r="AK60" s="286" t="s">
        <v>434</v>
      </c>
      <c r="AL60" s="287">
        <v>0.9089065708394628</v>
      </c>
      <c r="AM60" s="287">
        <v>0.46939661879150663</v>
      </c>
      <c r="AN60" s="306">
        <v>0.15013360552984523</v>
      </c>
      <c r="AP60" s="286" t="s">
        <v>434</v>
      </c>
      <c r="AQ60" s="287">
        <v>0.93619185172428843</v>
      </c>
      <c r="AR60" s="287">
        <v>0.49922460602829233</v>
      </c>
      <c r="AS60" s="306">
        <v>0.21213502914179116</v>
      </c>
      <c r="AT60" s="332">
        <f t="shared" ca="1" si="3"/>
        <v>-6.2001423611945938E-2</v>
      </c>
      <c r="AU60" s="286" t="s">
        <v>434</v>
      </c>
      <c r="AV60" s="287">
        <v>1.5241148163113394</v>
      </c>
      <c r="AW60" s="287">
        <v>0.20384490217111306</v>
      </c>
      <c r="AX60" s="306">
        <v>-0.49849737670228933</v>
      </c>
      <c r="AY60" s="332"/>
      <c r="AZ60" s="286" t="s">
        <v>434</v>
      </c>
      <c r="BA60" s="287">
        <v>0.92254921128187561</v>
      </c>
      <c r="BB60" s="287">
        <v>0.48431061240989948</v>
      </c>
      <c r="BC60" s="306">
        <v>0.1811343173358182</v>
      </c>
      <c r="BD60" s="332">
        <f t="shared" ca="1" si="4"/>
        <v>-0.67963169403810753</v>
      </c>
    </row>
    <row r="61" spans="2:56" x14ac:dyDescent="0.25">
      <c r="B61" s="325" t="str">
        <f ca="1"/>
        <v>EURYC_OIS_3MLIBORSWAP_9Y</v>
      </c>
      <c r="C61" s="326">
        <f ca="1"/>
        <v>0</v>
      </c>
      <c r="D61" s="326">
        <f ca="1"/>
        <v>0</v>
      </c>
      <c r="E61" s="326">
        <f ca="1"/>
        <v>0</v>
      </c>
      <c r="F61" s="326">
        <f ca="1"/>
        <v>0</v>
      </c>
      <c r="G61" s="326">
        <f ca="1"/>
        <v>-0.55331664043478668</v>
      </c>
      <c r="H61" s="326">
        <f ca="1"/>
        <v>1.9078641344094649E-2</v>
      </c>
      <c r="I61" s="327">
        <f ca="1"/>
        <v>0.52730295401488547</v>
      </c>
      <c r="J61" s="288">
        <f ca="1"/>
        <v>-6.9350450758065563E-3</v>
      </c>
      <c r="K61" s="277" t="s">
        <v>4</v>
      </c>
      <c r="L61" s="286" t="s">
        <v>435</v>
      </c>
      <c r="M61" s="287">
        <v>-0.7565231718999712</v>
      </c>
      <c r="N61" s="287">
        <v>-15.904417074594676</v>
      </c>
      <c r="O61" s="306">
        <v>-18.996703956816418</v>
      </c>
      <c r="Q61" s="286" t="s">
        <v>435</v>
      </c>
      <c r="R61" s="287">
        <v>-0.94443322570805321</v>
      </c>
      <c r="S61" s="287">
        <v>-0.48179947596872807</v>
      </c>
      <c r="T61" s="306">
        <v>-0.13798422265972476</v>
      </c>
      <c r="U61" s="332">
        <f t="shared" ca="1" si="1"/>
        <v>-18.858719734156693</v>
      </c>
      <c r="V61" s="286" t="s">
        <v>435</v>
      </c>
      <c r="W61" s="287">
        <v>-0.55433179606188787</v>
      </c>
      <c r="X61" s="287">
        <v>-9.2122189460496884E-2</v>
      </c>
      <c r="Y61" s="306">
        <v>0.25030375008645933</v>
      </c>
      <c r="AA61" s="286" t="s">
        <v>435</v>
      </c>
      <c r="AB61" s="287">
        <v>-1.3345346553542186</v>
      </c>
      <c r="AC61" s="287">
        <v>-0.87147676247695927</v>
      </c>
      <c r="AD61" s="306">
        <v>-0.52627219540590886</v>
      </c>
      <c r="AE61" s="332">
        <f t="shared" ca="1" si="2"/>
        <v>0.77657594549236819</v>
      </c>
      <c r="AF61" s="286" t="s">
        <v>435</v>
      </c>
      <c r="AG61" s="287">
        <v>-0.55331664043478668</v>
      </c>
      <c r="AH61" s="287">
        <v>1.9078641344094649E-2</v>
      </c>
      <c r="AI61" s="306">
        <v>0.52730295401488547</v>
      </c>
      <c r="AK61" s="286" t="s">
        <v>435</v>
      </c>
      <c r="AL61" s="287">
        <v>-0.2114055667334469</v>
      </c>
      <c r="AM61" s="287">
        <v>0.34021229439531453</v>
      </c>
      <c r="AN61" s="306">
        <v>0.75612592008837964</v>
      </c>
      <c r="AP61" s="286" t="s">
        <v>435</v>
      </c>
      <c r="AQ61" s="287">
        <v>-0.89522771413612645</v>
      </c>
      <c r="AR61" s="287">
        <v>-0.30205501170712523</v>
      </c>
      <c r="AS61" s="306">
        <v>0.2984799879413913</v>
      </c>
      <c r="AT61" s="332">
        <f t="shared" ca="1" si="3"/>
        <v>0.45764593214698834</v>
      </c>
      <c r="AU61" s="286" t="s">
        <v>435</v>
      </c>
      <c r="AV61" s="287">
        <v>-0.62632844183099223</v>
      </c>
      <c r="AW61" s="287">
        <v>-15.840707479219418</v>
      </c>
      <c r="AX61" s="306">
        <v>-18.992527749105648</v>
      </c>
      <c r="AY61" s="332"/>
      <c r="AZ61" s="286" t="s">
        <v>435</v>
      </c>
      <c r="BA61" s="287">
        <v>-0.55331664043478668</v>
      </c>
      <c r="BB61" s="287">
        <v>1.9078641344094649E-2</v>
      </c>
      <c r="BC61" s="306">
        <v>0.52730295401488547</v>
      </c>
      <c r="BD61" s="332">
        <f t="shared" ca="1" si="4"/>
        <v>-19.519830703120533</v>
      </c>
    </row>
    <row r="62" spans="2:56" x14ac:dyDescent="0.25">
      <c r="B62" s="325" t="str">
        <f ca="1"/>
        <v>EURYC_OIS_BASISRATE_10Y</v>
      </c>
      <c r="C62" s="326">
        <f ca="1"/>
        <v>0</v>
      </c>
      <c r="D62" s="326">
        <f ca="1"/>
        <v>0</v>
      </c>
      <c r="E62" s="326">
        <f ca="1"/>
        <v>0</v>
      </c>
      <c r="F62" s="326">
        <f ca="1"/>
        <v>0</v>
      </c>
      <c r="G62" s="326">
        <f ca="1"/>
        <v>2.9267754947795765</v>
      </c>
      <c r="H62" s="326">
        <f ca="1"/>
        <v>2.4034041327468003</v>
      </c>
      <c r="I62" s="327">
        <f ca="1"/>
        <v>1.8707022889429936</v>
      </c>
      <c r="J62" s="288">
        <f ca="1"/>
        <v>7.2008819164693705</v>
      </c>
      <c r="K62" s="277" t="s">
        <v>4</v>
      </c>
      <c r="L62" s="286" t="s">
        <v>436</v>
      </c>
      <c r="M62" s="287">
        <v>3.0707127217374364</v>
      </c>
      <c r="N62" s="287">
        <v>4.4709346226627531</v>
      </c>
      <c r="O62" s="306">
        <v>4.7604545065496495</v>
      </c>
      <c r="Q62" s="286" t="s">
        <v>436</v>
      </c>
      <c r="R62" s="287">
        <v>2.8621756523516524</v>
      </c>
      <c r="S62" s="287">
        <v>2.4064567735331366</v>
      </c>
      <c r="T62" s="306">
        <v>1.9840733380260644</v>
      </c>
      <c r="U62" s="332">
        <f t="shared" ca="1" si="1"/>
        <v>2.7763811685235851</v>
      </c>
      <c r="V62" s="286" t="s">
        <v>436</v>
      </c>
      <c r="W62" s="287">
        <v>2.8646317250641005</v>
      </c>
      <c r="X62" s="287">
        <v>2.4091881079002633</v>
      </c>
      <c r="Y62" s="306">
        <v>1.9873604497606721</v>
      </c>
      <c r="AA62" s="286" t="s">
        <v>436</v>
      </c>
      <c r="AB62" s="287">
        <v>2.8597195796392043</v>
      </c>
      <c r="AC62" s="287">
        <v>2.4037254391660099</v>
      </c>
      <c r="AD62" s="306">
        <v>1.9807862262914568</v>
      </c>
      <c r="AE62" s="332">
        <f t="shared" ca="1" si="2"/>
        <v>6.5742234692152124E-3</v>
      </c>
      <c r="AF62" s="286" t="s">
        <v>436</v>
      </c>
      <c r="AG62" s="287">
        <v>2.9267754947795765</v>
      </c>
      <c r="AH62" s="287">
        <v>2.4034041327468003</v>
      </c>
      <c r="AI62" s="306">
        <v>1.8707022889429936</v>
      </c>
      <c r="AK62" s="286" t="s">
        <v>436</v>
      </c>
      <c r="AL62" s="287">
        <v>3.0247901904658647</v>
      </c>
      <c r="AM62" s="287">
        <v>2.397031825967133</v>
      </c>
      <c r="AN62" s="306">
        <v>1.6670034547132673</v>
      </c>
      <c r="AP62" s="286" t="s">
        <v>436</v>
      </c>
      <c r="AQ62" s="287">
        <v>2.8287607990932884</v>
      </c>
      <c r="AR62" s="287">
        <v>2.4097764395264676</v>
      </c>
      <c r="AS62" s="306">
        <v>2.07440112317272</v>
      </c>
      <c r="AT62" s="332">
        <f t="shared" ca="1" si="3"/>
        <v>-0.40739766845945269</v>
      </c>
      <c r="AU62" s="286" t="s">
        <v>436</v>
      </c>
      <c r="AV62" s="287">
        <v>3.1929356373439077</v>
      </c>
      <c r="AW62" s="287">
        <v>4.4853151095594512</v>
      </c>
      <c r="AX62" s="306">
        <v>4.7330944636087224</v>
      </c>
      <c r="AY62" s="332"/>
      <c r="AZ62" s="286" t="s">
        <v>436</v>
      </c>
      <c r="BA62" s="287">
        <v>2.9267754947795765</v>
      </c>
      <c r="BB62" s="287">
        <v>2.4034041327468003</v>
      </c>
      <c r="BC62" s="306">
        <v>1.8707022889429936</v>
      </c>
      <c r="BD62" s="332">
        <f t="shared" ca="1" si="4"/>
        <v>2.8623921746657288</v>
      </c>
    </row>
    <row r="63" spans="2:56" x14ac:dyDescent="0.25">
      <c r="B63" s="325" t="str">
        <f ca="1"/>
        <v>EURYC_OIS_3MLIBORSWAP_10Y</v>
      </c>
      <c r="C63" s="326">
        <f ca="1"/>
        <v>0</v>
      </c>
      <c r="D63" s="326">
        <f ca="1"/>
        <v>0</v>
      </c>
      <c r="E63" s="326">
        <f ca="1"/>
        <v>0</v>
      </c>
      <c r="F63" s="326">
        <f ca="1"/>
        <v>0</v>
      </c>
      <c r="G63" s="326">
        <f ca="1"/>
        <v>-3.3265884456341155</v>
      </c>
      <c r="H63" s="326">
        <f ca="1"/>
        <v>-2.8704207816190319</v>
      </c>
      <c r="I63" s="327">
        <f ca="1"/>
        <v>-2.45134160059024</v>
      </c>
      <c r="J63" s="288">
        <f ca="1"/>
        <v>-8.6483508278433874</v>
      </c>
      <c r="K63" s="277" t="s">
        <v>4</v>
      </c>
      <c r="L63" s="286" t="s">
        <v>437</v>
      </c>
      <c r="M63" s="287">
        <v>-3.0398291494329897</v>
      </c>
      <c r="N63" s="287">
        <v>64.067788544758514</v>
      </c>
      <c r="O63" s="306">
        <v>79.412714656778917</v>
      </c>
      <c r="Q63" s="286" t="s">
        <v>437</v>
      </c>
      <c r="R63" s="287">
        <v>-2.5040710314169701</v>
      </c>
      <c r="S63" s="287">
        <v>-2.0543509869348782</v>
      </c>
      <c r="T63" s="306">
        <v>-1.6371846639776777</v>
      </c>
      <c r="U63" s="332">
        <f t="shared" ca="1" si="1"/>
        <v>81.049899320756595</v>
      </c>
      <c r="V63" s="286" t="s">
        <v>437</v>
      </c>
      <c r="W63" s="287">
        <v>-2.3617472357509541</v>
      </c>
      <c r="X63" s="287">
        <v>-1.9127442157077894</v>
      </c>
      <c r="Y63" s="306">
        <v>-1.4969665662902116</v>
      </c>
      <c r="AA63" s="286" t="s">
        <v>437</v>
      </c>
      <c r="AB63" s="287">
        <v>-2.646394827082986</v>
      </c>
      <c r="AC63" s="287">
        <v>-2.1959577581619669</v>
      </c>
      <c r="AD63" s="306">
        <v>-1.7774027616651438</v>
      </c>
      <c r="AE63" s="332">
        <f t="shared" ca="1" si="2"/>
        <v>0.28043619537493214</v>
      </c>
      <c r="AF63" s="286" t="s">
        <v>437</v>
      </c>
      <c r="AG63" s="287">
        <v>-3.3265884456341155</v>
      </c>
      <c r="AH63" s="287">
        <v>-2.8704207816190319</v>
      </c>
      <c r="AI63" s="306">
        <v>-2.45134160059024</v>
      </c>
      <c r="AK63" s="286" t="s">
        <v>437</v>
      </c>
      <c r="AL63" s="287">
        <v>-2.9212993038527202</v>
      </c>
      <c r="AM63" s="287">
        <v>-2.4721511726966128</v>
      </c>
      <c r="AN63" s="306">
        <v>-2.1414551743873744</v>
      </c>
      <c r="AP63" s="286" t="s">
        <v>437</v>
      </c>
      <c r="AQ63" s="287">
        <v>-3.7318775874155108</v>
      </c>
      <c r="AR63" s="287">
        <v>-3.2686903905414511</v>
      </c>
      <c r="AS63" s="306">
        <v>-2.7612280267931055</v>
      </c>
      <c r="AT63" s="332">
        <f t="shared" ca="1" si="3"/>
        <v>0.6197728524057311</v>
      </c>
      <c r="AU63" s="286" t="s">
        <v>437</v>
      </c>
      <c r="AV63" s="287">
        <v>-3.978283001742966</v>
      </c>
      <c r="AW63" s="287">
        <v>63.134923893085215</v>
      </c>
      <c r="AX63" s="306">
        <v>78.461558369872364</v>
      </c>
      <c r="AY63" s="332"/>
      <c r="AZ63" s="286" t="s">
        <v>437</v>
      </c>
      <c r="BA63" s="287">
        <v>-3.3265884456341155</v>
      </c>
      <c r="BB63" s="287">
        <v>-2.8704207816190319</v>
      </c>
      <c r="BC63" s="306">
        <v>-2.45134160059024</v>
      </c>
      <c r="BD63" s="332">
        <f t="shared" ca="1" si="4"/>
        <v>80.912899970462604</v>
      </c>
    </row>
    <row r="64" spans="2:56" x14ac:dyDescent="0.25">
      <c r="B64" s="325" t="str">
        <f ca="1"/>
        <v>EURYC_OIS_BASISRATE_11Y</v>
      </c>
      <c r="C64" s="326">
        <f ca="1"/>
        <v>0</v>
      </c>
      <c r="D64" s="326">
        <f ca="1"/>
        <v>0</v>
      </c>
      <c r="E64" s="326">
        <f ca="1"/>
        <v>0</v>
      </c>
      <c r="F64" s="326">
        <f ca="1"/>
        <v>0</v>
      </c>
      <c r="G64" s="326">
        <f ca="1"/>
        <v>-1.6333177338310634</v>
      </c>
      <c r="H64" s="326">
        <f ca="1"/>
        <v>-2.2857486292195972</v>
      </c>
      <c r="I64" s="327">
        <f ca="1"/>
        <v>-2.6589459523165715</v>
      </c>
      <c r="J64" s="288">
        <f ca="1"/>
        <v>-6.5780123153672321</v>
      </c>
      <c r="K64" s="277" t="s">
        <v>4</v>
      </c>
      <c r="L64" s="286" t="s">
        <v>438</v>
      </c>
      <c r="M64" s="287">
        <v>-2.057860652646923</v>
      </c>
      <c r="N64" s="287">
        <v>-6.4257427548891428</v>
      </c>
      <c r="O64" s="306">
        <v>-8.3943310622416902</v>
      </c>
      <c r="Q64" s="286" t="s">
        <v>438</v>
      </c>
      <c r="R64" s="287">
        <v>-1.8552826946888672</v>
      </c>
      <c r="S64" s="287">
        <v>-2.5371176527187345</v>
      </c>
      <c r="T64" s="306">
        <v>-2.9119630343275276</v>
      </c>
      <c r="U64" s="332">
        <f t="shared" ca="1" si="1"/>
        <v>-5.4823680279141627</v>
      </c>
      <c r="V64" s="286" t="s">
        <v>438</v>
      </c>
      <c r="W64" s="287">
        <v>-1.8458630264831299</v>
      </c>
      <c r="X64" s="287">
        <v>-2.5313678214952233</v>
      </c>
      <c r="Y64" s="306">
        <v>-2.9072318764319789</v>
      </c>
      <c r="AA64" s="286" t="s">
        <v>438</v>
      </c>
      <c r="AB64" s="287">
        <v>-1.8647023628946044</v>
      </c>
      <c r="AC64" s="287">
        <v>-2.5428674839422456</v>
      </c>
      <c r="AD64" s="306">
        <v>-2.9166941922230762</v>
      </c>
      <c r="AE64" s="332">
        <f t="shared" ca="1" si="2"/>
        <v>9.4623157910973532E-3</v>
      </c>
      <c r="AF64" s="286" t="s">
        <v>438</v>
      </c>
      <c r="AG64" s="287">
        <v>-1.6333177338310634</v>
      </c>
      <c r="AH64" s="287">
        <v>-2.2857486292195972</v>
      </c>
      <c r="AI64" s="306">
        <v>-2.6589459523165715</v>
      </c>
      <c r="AK64" s="286" t="s">
        <v>438</v>
      </c>
      <c r="AL64" s="287">
        <v>-1.3754011917626485</v>
      </c>
      <c r="AM64" s="287">
        <v>-1.9835484476061538</v>
      </c>
      <c r="AN64" s="306">
        <v>-2.3445375030860305</v>
      </c>
      <c r="AP64" s="286" t="s">
        <v>438</v>
      </c>
      <c r="AQ64" s="287">
        <v>-1.8912342758994782</v>
      </c>
      <c r="AR64" s="287">
        <v>-2.5879488108330406</v>
      </c>
      <c r="AS64" s="306">
        <v>-2.9733544015471125</v>
      </c>
      <c r="AT64" s="332">
        <f t="shared" ca="1" si="3"/>
        <v>0.62881689846108202</v>
      </c>
      <c r="AU64" s="286" t="s">
        <v>438</v>
      </c>
      <c r="AV64" s="287">
        <v>-2.6405518847241183</v>
      </c>
      <c r="AW64" s="287">
        <v>-7.1045741984562483</v>
      </c>
      <c r="AX64" s="306">
        <v>-9.0658242898825847</v>
      </c>
      <c r="AY64" s="332"/>
      <c r="AZ64" s="286" t="s">
        <v>438</v>
      </c>
      <c r="BA64" s="287">
        <v>-1.6333177338310634</v>
      </c>
      <c r="BB64" s="287">
        <v>-2.2857486292195972</v>
      </c>
      <c r="BC64" s="306">
        <v>-2.6589459523165715</v>
      </c>
      <c r="BD64" s="332">
        <f t="shared" ca="1" si="4"/>
        <v>-6.4068783375660132</v>
      </c>
    </row>
    <row r="65" spans="2:56" x14ac:dyDescent="0.25">
      <c r="B65" s="325" t="str">
        <f ca="1"/>
        <v>EURYC_OIS_3MLIBORSWAP_11Y</v>
      </c>
      <c r="C65" s="326">
        <f ca="1"/>
        <v>0</v>
      </c>
      <c r="D65" s="326">
        <f ca="1"/>
        <v>0</v>
      </c>
      <c r="E65" s="326">
        <f ca="1"/>
        <v>0</v>
      </c>
      <c r="F65" s="326">
        <f ca="1"/>
        <v>0</v>
      </c>
      <c r="G65" s="326">
        <f ca="1"/>
        <v>3.6749305500052287</v>
      </c>
      <c r="H65" s="326">
        <f ca="1"/>
        <v>4.5391966476017842</v>
      </c>
      <c r="I65" s="327">
        <f ca="1"/>
        <v>4.9319495543386438</v>
      </c>
      <c r="J65" s="288">
        <f ca="1"/>
        <v>13.146076751945657</v>
      </c>
      <c r="K65" s="277" t="s">
        <v>4</v>
      </c>
      <c r="L65" s="286" t="s">
        <v>439</v>
      </c>
      <c r="M65" s="287">
        <v>2.0451179848223546</v>
      </c>
      <c r="N65" s="287">
        <v>-276.28860415514282</v>
      </c>
      <c r="O65" s="306">
        <v>-338.84945276670078</v>
      </c>
      <c r="Q65" s="286" t="s">
        <v>439</v>
      </c>
      <c r="R65" s="287">
        <v>1.5556839089367713</v>
      </c>
      <c r="S65" s="287">
        <v>1.5150207493679773</v>
      </c>
      <c r="T65" s="306">
        <v>1.8077347905682473</v>
      </c>
      <c r="U65" s="332">
        <f t="shared" ca="1" si="1"/>
        <v>-340.65718755726903</v>
      </c>
      <c r="V65" s="286" t="s">
        <v>439</v>
      </c>
      <c r="W65" s="287">
        <v>1.681436794478941</v>
      </c>
      <c r="X65" s="287">
        <v>2.42759310209658</v>
      </c>
      <c r="Y65" s="306">
        <v>2.7996030667327432</v>
      </c>
      <c r="AA65" s="286" t="s">
        <v>439</v>
      </c>
      <c r="AB65" s="287">
        <v>1.4299310233946017</v>
      </c>
      <c r="AC65" s="287">
        <v>0.60244839663937455</v>
      </c>
      <c r="AD65" s="306">
        <v>0.81586651440375135</v>
      </c>
      <c r="AE65" s="332">
        <f t="shared" ca="1" si="2"/>
        <v>1.9837365523289918</v>
      </c>
      <c r="AF65" s="286" t="s">
        <v>439</v>
      </c>
      <c r="AG65" s="287">
        <v>3.6749305500052287</v>
      </c>
      <c r="AH65" s="287">
        <v>4.5391966476017842</v>
      </c>
      <c r="AI65" s="306">
        <v>4.9319495543386438</v>
      </c>
      <c r="AK65" s="286" t="s">
        <v>439</v>
      </c>
      <c r="AL65" s="287">
        <v>3.9538983335660305</v>
      </c>
      <c r="AM65" s="287">
        <v>4.7458658169489354</v>
      </c>
      <c r="AN65" s="306">
        <v>4.9545804902663804</v>
      </c>
      <c r="AP65" s="286" t="s">
        <v>439</v>
      </c>
      <c r="AQ65" s="287">
        <v>3.395962766444427</v>
      </c>
      <c r="AR65" s="287">
        <v>4.332527478254633</v>
      </c>
      <c r="AS65" s="306">
        <v>4.9093186184109072</v>
      </c>
      <c r="AT65" s="332">
        <f t="shared" ca="1" si="3"/>
        <v>4.5261871855473146E-2</v>
      </c>
      <c r="AU65" s="286" t="s">
        <v>439</v>
      </c>
      <c r="AV65" s="287">
        <v>3.192142911029805</v>
      </c>
      <c r="AW65" s="287">
        <v>-274.9361729280281</v>
      </c>
      <c r="AX65" s="306">
        <v>-337.38697285962189</v>
      </c>
      <c r="AY65" s="332"/>
      <c r="AZ65" s="286" t="s">
        <v>439</v>
      </c>
      <c r="BA65" s="287">
        <v>3.6749305500052287</v>
      </c>
      <c r="BB65" s="287">
        <v>4.5391966476017842</v>
      </c>
      <c r="BC65" s="306">
        <v>4.9319495543386438</v>
      </c>
      <c r="BD65" s="332">
        <f t="shared" ca="1" si="4"/>
        <v>-342.31892241396054</v>
      </c>
    </row>
    <row r="66" spans="2:56" x14ac:dyDescent="0.25">
      <c r="B66" s="325" t="str">
        <f ca="1"/>
        <v>EURYC_OIS_BASISRATE_12Y</v>
      </c>
      <c r="C66" s="326">
        <f ca="1"/>
        <v>0</v>
      </c>
      <c r="D66" s="326">
        <f ca="1"/>
        <v>0</v>
      </c>
      <c r="E66" s="326">
        <f ca="1"/>
        <v>0</v>
      </c>
      <c r="F66" s="326">
        <f ca="1"/>
        <v>0</v>
      </c>
      <c r="G66" s="326">
        <f ca="1"/>
        <v>7.0469833079187083</v>
      </c>
      <c r="H66" s="326">
        <f ca="1"/>
        <v>7.7487524731623125</v>
      </c>
      <c r="I66" s="327">
        <f ca="1"/>
        <v>7.061791675096174</v>
      </c>
      <c r="J66" s="288">
        <f ca="1"/>
        <v>21.857527456177195</v>
      </c>
      <c r="K66" s="277" t="s">
        <v>4</v>
      </c>
      <c r="L66" s="286" t="s">
        <v>440</v>
      </c>
      <c r="M66" s="287">
        <v>7.2139583867374313</v>
      </c>
      <c r="N66" s="287">
        <v>9.7862009506006871</v>
      </c>
      <c r="O66" s="306">
        <v>10.706147659786438</v>
      </c>
      <c r="Q66" s="286" t="s">
        <v>440</v>
      </c>
      <c r="R66" s="287">
        <v>7.1601358186744619</v>
      </c>
      <c r="S66" s="287">
        <v>7.9272393977298634</v>
      </c>
      <c r="T66" s="306">
        <v>7.3546043768828895</v>
      </c>
      <c r="U66" s="332">
        <f t="shared" ca="1" si="1"/>
        <v>3.351543282903549</v>
      </c>
      <c r="V66" s="286" t="s">
        <v>440</v>
      </c>
      <c r="W66" s="287">
        <v>7.1611438897089101</v>
      </c>
      <c r="X66" s="287">
        <v>7.9208240221523738</v>
      </c>
      <c r="Y66" s="306">
        <v>7.3479587913425348</v>
      </c>
      <c r="AA66" s="286" t="s">
        <v>440</v>
      </c>
      <c r="AB66" s="287">
        <v>7.1591277476400137</v>
      </c>
      <c r="AC66" s="287">
        <v>7.933654773307353</v>
      </c>
      <c r="AD66" s="306">
        <v>7.3612499624232441</v>
      </c>
      <c r="AE66" s="332">
        <f t="shared" ca="1" si="2"/>
        <v>-1.3291171080709319E-2</v>
      </c>
      <c r="AF66" s="286" t="s">
        <v>440</v>
      </c>
      <c r="AG66" s="287">
        <v>7.0469833079187083</v>
      </c>
      <c r="AH66" s="287">
        <v>7.7487524731623125</v>
      </c>
      <c r="AI66" s="306">
        <v>7.061791675096174</v>
      </c>
      <c r="AK66" s="286" t="s">
        <v>440</v>
      </c>
      <c r="AL66" s="287">
        <v>6.7834754729119595</v>
      </c>
      <c r="AM66" s="287">
        <v>7.4289940701419255</v>
      </c>
      <c r="AN66" s="306">
        <v>6.6623630362300901</v>
      </c>
      <c r="AP66" s="286" t="s">
        <v>440</v>
      </c>
      <c r="AQ66" s="287">
        <v>7.3104911429254571</v>
      </c>
      <c r="AR66" s="287">
        <v>8.0685108761826996</v>
      </c>
      <c r="AS66" s="306">
        <v>7.4612203139622579</v>
      </c>
      <c r="AT66" s="332">
        <f t="shared" ca="1" si="3"/>
        <v>-0.79885727773216786</v>
      </c>
      <c r="AU66" s="286" t="s">
        <v>440</v>
      </c>
      <c r="AV66" s="287">
        <v>7.1420805103116436</v>
      </c>
      <c r="AW66" s="287">
        <v>9.7587083857433754</v>
      </c>
      <c r="AX66" s="306">
        <v>10.837179932605068</v>
      </c>
      <c r="AY66" s="332"/>
      <c r="AZ66" s="286" t="s">
        <v>440</v>
      </c>
      <c r="BA66" s="287">
        <v>7.0469833079187083</v>
      </c>
      <c r="BB66" s="287">
        <v>7.7487524731623125</v>
      </c>
      <c r="BC66" s="306">
        <v>7.061791675096174</v>
      </c>
      <c r="BD66" s="332">
        <f t="shared" ca="1" si="4"/>
        <v>3.7753882575088937</v>
      </c>
    </row>
    <row r="67" spans="2:56" x14ac:dyDescent="0.25">
      <c r="B67" s="325" t="str">
        <f ca="1"/>
        <v>EURYC_OIS_3MLIBORSWAP_12Y</v>
      </c>
      <c r="C67" s="326">
        <f ca="1"/>
        <v>0</v>
      </c>
      <c r="D67" s="326">
        <f ca="1"/>
        <v>0</v>
      </c>
      <c r="E67" s="326">
        <f ca="1"/>
        <v>0</v>
      </c>
      <c r="F67" s="326">
        <f ca="1"/>
        <v>0</v>
      </c>
      <c r="G67" s="326">
        <f ca="1"/>
        <v>-8.8998771187107195</v>
      </c>
      <c r="H67" s="326">
        <f ca="1"/>
        <v>143.33522292672569</v>
      </c>
      <c r="I67" s="327">
        <f ca="1"/>
        <v>161.18744180785143</v>
      </c>
      <c r="J67" s="288">
        <f ca="1"/>
        <v>295.6227876158664</v>
      </c>
      <c r="K67" s="277" t="s">
        <v>4</v>
      </c>
      <c r="L67" s="286" t="s">
        <v>441</v>
      </c>
      <c r="M67" s="287">
        <v>-7.1103786595394922</v>
      </c>
      <c r="N67" s="287">
        <v>465.86948057636346</v>
      </c>
      <c r="O67" s="306">
        <v>573.48059395612108</v>
      </c>
      <c r="Q67" s="286" t="s">
        <v>441</v>
      </c>
      <c r="R67" s="287">
        <v>-6.8515261547527189</v>
      </c>
      <c r="S67" s="287">
        <v>149.86247016300695</v>
      </c>
      <c r="T67" s="306">
        <v>168.51712181867333</v>
      </c>
      <c r="U67" s="332">
        <f t="shared" ca="1" si="1"/>
        <v>404.96347213744775</v>
      </c>
      <c r="V67" s="286" t="s">
        <v>441</v>
      </c>
      <c r="W67" s="287">
        <v>-7.0303113596091862</v>
      </c>
      <c r="X67" s="287">
        <v>154.43428638922705</v>
      </c>
      <c r="Y67" s="306">
        <v>173.94872355949701</v>
      </c>
      <c r="AA67" s="286" t="s">
        <v>441</v>
      </c>
      <c r="AB67" s="287">
        <v>-6.6727409498962515</v>
      </c>
      <c r="AC67" s="287">
        <v>145.29065393678684</v>
      </c>
      <c r="AD67" s="306">
        <v>163.08552007784965</v>
      </c>
      <c r="AE67" s="332">
        <f t="shared" ca="1" si="2"/>
        <v>10.863203481647361</v>
      </c>
      <c r="AF67" s="286" t="s">
        <v>441</v>
      </c>
      <c r="AG67" s="287">
        <v>-8.8998771187107195</v>
      </c>
      <c r="AH67" s="287">
        <v>143.33522292672569</v>
      </c>
      <c r="AI67" s="306">
        <v>161.18744180785143</v>
      </c>
      <c r="AK67" s="286" t="s">
        <v>441</v>
      </c>
      <c r="AL67" s="287">
        <v>-8.5928755404893309</v>
      </c>
      <c r="AM67" s="287">
        <v>143.5905759488378</v>
      </c>
      <c r="AN67" s="306">
        <v>161.28794653177465</v>
      </c>
      <c r="AP67" s="286" t="s">
        <v>441</v>
      </c>
      <c r="AQ67" s="287">
        <v>-9.2068786969321081</v>
      </c>
      <c r="AR67" s="287">
        <v>143.07986990461359</v>
      </c>
      <c r="AS67" s="306">
        <v>161.08693708392821</v>
      </c>
      <c r="AT67" s="332">
        <f t="shared" ca="1" si="3"/>
        <v>0.20100944784644525</v>
      </c>
      <c r="AU67" s="286" t="s">
        <v>441</v>
      </c>
      <c r="AV67" s="287">
        <v>-5.7424733344305423</v>
      </c>
      <c r="AW67" s="287">
        <v>467.18782004554669</v>
      </c>
      <c r="AX67" s="306">
        <v>574.74918047637402</v>
      </c>
      <c r="AY67" s="332"/>
      <c r="AZ67" s="286" t="s">
        <v>441</v>
      </c>
      <c r="BA67" s="287">
        <v>-8.8998771187107195</v>
      </c>
      <c r="BB67" s="287">
        <v>143.33522292672569</v>
      </c>
      <c r="BC67" s="306">
        <v>161.18744180785143</v>
      </c>
      <c r="BD67" s="332">
        <f t="shared" ca="1" si="4"/>
        <v>413.56173866852259</v>
      </c>
    </row>
    <row r="68" spans="2:56" x14ac:dyDescent="0.25">
      <c r="B68" s="325" t="str">
        <f ca="1"/>
        <v>EURYC_OIS_BASISRATE_15Y</v>
      </c>
      <c r="C68" s="326">
        <f ca="1"/>
        <v>0</v>
      </c>
      <c r="D68" s="326">
        <f ca="1"/>
        <v>0</v>
      </c>
      <c r="E68" s="326">
        <f ca="1"/>
        <v>0</v>
      </c>
      <c r="F68" s="326">
        <f ca="1"/>
        <v>0</v>
      </c>
      <c r="G68" s="326">
        <f ca="1"/>
        <v>3.9662007018705481</v>
      </c>
      <c r="H68" s="326">
        <f ca="1"/>
        <v>1.0468513431987958</v>
      </c>
      <c r="I68" s="327">
        <f ca="1"/>
        <v>-1.4686358019389445</v>
      </c>
      <c r="J68" s="288">
        <f ca="1"/>
        <v>3.5444162431303994</v>
      </c>
      <c r="K68" s="277" t="s">
        <v>4</v>
      </c>
      <c r="L68" s="286" t="s">
        <v>442</v>
      </c>
      <c r="M68" s="287">
        <v>3.8042559729601635</v>
      </c>
      <c r="N68" s="287">
        <v>1.9048715573499067</v>
      </c>
      <c r="O68" s="306">
        <v>-0.46548276134944899</v>
      </c>
      <c r="Q68" s="286" t="s">
        <v>442</v>
      </c>
      <c r="R68" s="287">
        <v>3.7789240986476216</v>
      </c>
      <c r="S68" s="287">
        <v>0.95993094377445232</v>
      </c>
      <c r="T68" s="306">
        <v>-1.3719621883710715</v>
      </c>
      <c r="U68" s="332">
        <f t="shared" ca="1" si="1"/>
        <v>0.90647942702162254</v>
      </c>
      <c r="V68" s="286" t="s">
        <v>442</v>
      </c>
      <c r="W68" s="287">
        <v>3.7790773911983706</v>
      </c>
      <c r="X68" s="287">
        <v>0.96291066722915275</v>
      </c>
      <c r="Y68" s="306">
        <v>-1.3671490752276441</v>
      </c>
      <c r="AA68" s="286" t="s">
        <v>442</v>
      </c>
      <c r="AB68" s="287">
        <v>3.7787708060968725</v>
      </c>
      <c r="AC68" s="287">
        <v>0.95695122031975188</v>
      </c>
      <c r="AD68" s="306">
        <v>-1.376775301514499</v>
      </c>
      <c r="AE68" s="332">
        <f t="shared" ca="1" si="2"/>
        <v>9.6262262868549442E-3</v>
      </c>
      <c r="AF68" s="286" t="s">
        <v>442</v>
      </c>
      <c r="AG68" s="287">
        <v>3.9662007018705481</v>
      </c>
      <c r="AH68" s="287">
        <v>1.0468513431987958</v>
      </c>
      <c r="AI68" s="306">
        <v>-1.4686358019389445</v>
      </c>
      <c r="AK68" s="286" t="s">
        <v>442</v>
      </c>
      <c r="AL68" s="287">
        <v>4.1460633965471061</v>
      </c>
      <c r="AM68" s="287">
        <v>1.2304177871556021</v>
      </c>
      <c r="AN68" s="306">
        <v>-1.3459098059684038</v>
      </c>
      <c r="AP68" s="286" t="s">
        <v>442</v>
      </c>
      <c r="AQ68" s="287">
        <v>3.7863380071939901</v>
      </c>
      <c r="AR68" s="287">
        <v>0.86328489924198948</v>
      </c>
      <c r="AS68" s="306">
        <v>-1.5913617979094852</v>
      </c>
      <c r="AT68" s="332">
        <f t="shared" ca="1" si="3"/>
        <v>0.24545199194108136</v>
      </c>
      <c r="AU68" s="286" t="s">
        <v>442</v>
      </c>
      <c r="AV68" s="287">
        <v>4.4967790441660327</v>
      </c>
      <c r="AW68" s="287">
        <v>2.8211675093189115</v>
      </c>
      <c r="AX68" s="306">
        <v>0.55495495835202746</v>
      </c>
      <c r="AY68" s="332"/>
      <c r="AZ68" s="286" t="s">
        <v>442</v>
      </c>
      <c r="BA68" s="287">
        <v>3.9662007018705481</v>
      </c>
      <c r="BB68" s="287">
        <v>1.0468513431987958</v>
      </c>
      <c r="BC68" s="306">
        <v>-1.4686358019389445</v>
      </c>
      <c r="BD68" s="332">
        <f t="shared" ca="1" si="4"/>
        <v>2.023590760290972</v>
      </c>
    </row>
    <row r="69" spans="2:56" x14ac:dyDescent="0.25">
      <c r="B69" s="325" t="str">
        <f ca="1"/>
        <v>EURYC_OIS_3MLIBORSWAP_15Y</v>
      </c>
      <c r="C69" s="326">
        <f ca="1"/>
        <v>0</v>
      </c>
      <c r="D69" s="326">
        <f ca="1"/>
        <v>0</v>
      </c>
      <c r="E69" s="326">
        <f ca="1"/>
        <v>0</v>
      </c>
      <c r="F69" s="326">
        <f ca="1"/>
        <v>0</v>
      </c>
      <c r="G69" s="326">
        <f ca="1"/>
        <v>-1468.8671341440568</v>
      </c>
      <c r="H69" s="326">
        <f ca="1"/>
        <v>-1448.7125868545263</v>
      </c>
      <c r="I69" s="327">
        <f ca="1"/>
        <v>-1138.0420392878477</v>
      </c>
      <c r="J69" s="288">
        <f ca="1"/>
        <v>-4055.6217602864308</v>
      </c>
      <c r="K69" s="277" t="s">
        <v>4</v>
      </c>
      <c r="L69" s="286" t="s">
        <v>443</v>
      </c>
      <c r="M69" s="287">
        <v>-1469.3341083945324</v>
      </c>
      <c r="N69" s="287">
        <v>-1541.1881644206833</v>
      </c>
      <c r="O69" s="306">
        <v>-1289.7544688066509</v>
      </c>
      <c r="Q69" s="286" t="s">
        <v>443</v>
      </c>
      <c r="R69" s="287">
        <v>-1469.1280177372282</v>
      </c>
      <c r="S69" s="287">
        <v>-1506.0468154238088</v>
      </c>
      <c r="T69" s="306">
        <v>-1277.3407821477094</v>
      </c>
      <c r="U69" s="332">
        <f t="shared" ca="1" si="1"/>
        <v>-12.413686658941515</v>
      </c>
      <c r="V69" s="286" t="s">
        <v>443</v>
      </c>
      <c r="W69" s="287">
        <v>-1468.8911537136519</v>
      </c>
      <c r="X69" s="287">
        <v>-1448.4518725604303</v>
      </c>
      <c r="Y69" s="306">
        <v>-1137.8754040205786</v>
      </c>
      <c r="AA69" s="286" t="s">
        <v>443</v>
      </c>
      <c r="AB69" s="287">
        <v>-1469.3648817608046</v>
      </c>
      <c r="AC69" s="287">
        <v>-1563.6417582871873</v>
      </c>
      <c r="AD69" s="306">
        <v>-1416.8061602748403</v>
      </c>
      <c r="AE69" s="332">
        <f t="shared" ca="1" si="2"/>
        <v>278.93075625426172</v>
      </c>
      <c r="AF69" s="286" t="s">
        <v>443</v>
      </c>
      <c r="AG69" s="287">
        <v>-1468.8671341440568</v>
      </c>
      <c r="AH69" s="287">
        <v>-1448.7125868545263</v>
      </c>
      <c r="AI69" s="306">
        <v>-1138.0420392878477</v>
      </c>
      <c r="AK69" s="286" t="s">
        <v>443</v>
      </c>
      <c r="AL69" s="287">
        <v>-1469.1087281069485</v>
      </c>
      <c r="AM69" s="287">
        <v>-1449.0071729265765</v>
      </c>
      <c r="AN69" s="306">
        <v>-1138.4019202392665</v>
      </c>
      <c r="AP69" s="286" t="s">
        <v>443</v>
      </c>
      <c r="AQ69" s="287">
        <v>-1468.625540181165</v>
      </c>
      <c r="AR69" s="287">
        <v>-1448.4180007824762</v>
      </c>
      <c r="AS69" s="306">
        <v>-1137.682158336429</v>
      </c>
      <c r="AT69" s="332">
        <f t="shared" ca="1" si="3"/>
        <v>-0.7197619028374902</v>
      </c>
      <c r="AU69" s="286" t="s">
        <v>443</v>
      </c>
      <c r="AV69" s="287">
        <v>-1469.6513537186547</v>
      </c>
      <c r="AW69" s="287">
        <v>-1541.4957560342373</v>
      </c>
      <c r="AX69" s="306">
        <v>-1289.985230529328</v>
      </c>
      <c r="AY69" s="332"/>
      <c r="AZ69" s="286" t="s">
        <v>443</v>
      </c>
      <c r="BA69" s="287">
        <v>-1468.8671341440568</v>
      </c>
      <c r="BB69" s="287">
        <v>-1448.7125868545263</v>
      </c>
      <c r="BC69" s="306">
        <v>-1138.0420392878477</v>
      </c>
      <c r="BD69" s="332">
        <f t="shared" ca="1" si="4"/>
        <v>-151.94319124148024</v>
      </c>
    </row>
    <row r="70" spans="2:56" x14ac:dyDescent="0.25">
      <c r="B70" s="325" t="str">
        <f ca="1"/>
        <v>EURYC_OIS_BASISRATE_20Y</v>
      </c>
      <c r="C70" s="326">
        <f ca="1"/>
        <v>0</v>
      </c>
      <c r="D70" s="326">
        <f ca="1"/>
        <v>0</v>
      </c>
      <c r="E70" s="326">
        <f ca="1"/>
        <v>0</v>
      </c>
      <c r="F70" s="326">
        <f ca="1"/>
        <v>0</v>
      </c>
      <c r="G70" s="326">
        <f ca="1"/>
        <v>0.15211159334285185</v>
      </c>
      <c r="H70" s="326">
        <f ca="1"/>
        <v>1.5259511112162727</v>
      </c>
      <c r="I70" s="327">
        <f ca="1"/>
        <v>2.7087290091003524</v>
      </c>
      <c r="J70" s="288">
        <f ca="1"/>
        <v>4.386791713659477</v>
      </c>
      <c r="K70" s="277" t="s">
        <v>4</v>
      </c>
      <c r="L70" s="286" t="s">
        <v>444</v>
      </c>
      <c r="M70" s="287">
        <v>-5.8454810368857579E-3</v>
      </c>
      <c r="N70" s="287">
        <v>0.69419794981877203</v>
      </c>
      <c r="O70" s="306">
        <v>1.3149663048297953</v>
      </c>
      <c r="Q70" s="286" t="s">
        <v>444</v>
      </c>
      <c r="R70" s="287">
        <v>6.4676898546167649E-4</v>
      </c>
      <c r="S70" s="287">
        <v>1.3407438439753605</v>
      </c>
      <c r="T70" s="306">
        <v>2.5007082178617566</v>
      </c>
      <c r="U70" s="332">
        <f t="shared" ca="1" si="1"/>
        <v>-1.1857419130319613</v>
      </c>
      <c r="V70" s="286" t="s">
        <v>444</v>
      </c>
      <c r="W70" s="287">
        <v>1.8837862517102621E-3</v>
      </c>
      <c r="X70" s="287">
        <v>1.3395117134678003</v>
      </c>
      <c r="Y70" s="306">
        <v>2.4968083063013182</v>
      </c>
      <c r="AA70" s="286" t="s">
        <v>444</v>
      </c>
      <c r="AB70" s="287">
        <v>-5.9024828078690916E-4</v>
      </c>
      <c r="AC70" s="287">
        <v>1.3419759744829207</v>
      </c>
      <c r="AD70" s="306">
        <v>2.5046081294221949</v>
      </c>
      <c r="AE70" s="332">
        <f t="shared" ca="1" si="2"/>
        <v>-7.7998231208766811E-3</v>
      </c>
      <c r="AF70" s="286" t="s">
        <v>444</v>
      </c>
      <c r="AG70" s="287">
        <v>0.15211159334285185</v>
      </c>
      <c r="AH70" s="287">
        <v>1.5259511112162727</v>
      </c>
      <c r="AI70" s="306">
        <v>2.7087290091003524</v>
      </c>
      <c r="AK70" s="286" t="s">
        <v>444</v>
      </c>
      <c r="AL70" s="287">
        <v>0.46196790681278799</v>
      </c>
      <c r="AM70" s="287">
        <v>1.8090347635734361</v>
      </c>
      <c r="AN70" s="306">
        <v>2.8871563583379611</v>
      </c>
      <c r="AP70" s="286" t="s">
        <v>444</v>
      </c>
      <c r="AQ70" s="287">
        <v>-0.15774472012708429</v>
      </c>
      <c r="AR70" s="287">
        <v>1.2428674588591093</v>
      </c>
      <c r="AS70" s="306">
        <v>2.5303016598627437</v>
      </c>
      <c r="AT70" s="332">
        <f t="shared" ca="1" si="3"/>
        <v>0.35685469847521745</v>
      </c>
      <c r="AU70" s="286" t="s">
        <v>444</v>
      </c>
      <c r="AV70" s="287">
        <v>0.12216224768053507</v>
      </c>
      <c r="AW70" s="287">
        <v>0.91080539368704194</v>
      </c>
      <c r="AX70" s="306">
        <v>1.6034187893637863</v>
      </c>
      <c r="AY70" s="332"/>
      <c r="AZ70" s="286" t="s">
        <v>444</v>
      </c>
      <c r="BA70" s="287">
        <v>0.15211159334285185</v>
      </c>
      <c r="BB70" s="287">
        <v>1.5259511112162727</v>
      </c>
      <c r="BC70" s="306">
        <v>2.7087290091003524</v>
      </c>
      <c r="BD70" s="332">
        <f t="shared" ca="1" si="4"/>
        <v>-1.1053102197365661</v>
      </c>
    </row>
    <row r="71" spans="2:56" x14ac:dyDescent="0.25">
      <c r="B71" s="325" t="str">
        <f ca="1"/>
        <v>EURYC_OIS_3MLIBORSWAP_20Y</v>
      </c>
      <c r="C71" s="326">
        <f ca="1"/>
        <v>0</v>
      </c>
      <c r="D71" s="326">
        <f ca="1"/>
        <v>0</v>
      </c>
      <c r="E71" s="326">
        <f ca="1"/>
        <v>0</v>
      </c>
      <c r="F71" s="326">
        <f ca="1"/>
        <v>0</v>
      </c>
      <c r="G71" s="326">
        <f ca="1"/>
        <v>5.20331333973445E-2</v>
      </c>
      <c r="H71" s="326">
        <f ca="1"/>
        <v>-299.92819600429357</v>
      </c>
      <c r="I71" s="327">
        <f ca="1"/>
        <v>-791.73099055697094</v>
      </c>
      <c r="J71" s="288">
        <f ca="1"/>
        <v>-1091.6071534278672</v>
      </c>
      <c r="K71" s="277" t="s">
        <v>4</v>
      </c>
      <c r="L71" s="286" t="s">
        <v>445</v>
      </c>
      <c r="M71" s="287">
        <v>7.255773543874966E-4</v>
      </c>
      <c r="N71" s="287">
        <v>-347.50474390508953</v>
      </c>
      <c r="O71" s="306">
        <v>-836.88415152903599</v>
      </c>
      <c r="Q71" s="286" t="s">
        <v>445</v>
      </c>
      <c r="R71" s="287">
        <v>-8.6782629214212648E-2</v>
      </c>
      <c r="S71" s="287">
        <v>-264.82523712920192</v>
      </c>
      <c r="T71" s="306">
        <v>-732.15871711314321</v>
      </c>
      <c r="U71" s="332">
        <f t="shared" ca="1" si="1"/>
        <v>-104.72543441589278</v>
      </c>
      <c r="V71" s="286" t="s">
        <v>445</v>
      </c>
      <c r="W71" s="287">
        <v>-0.12573048377453233</v>
      </c>
      <c r="X71" s="287">
        <v>-229.77070720206393</v>
      </c>
      <c r="Y71" s="306">
        <v>-672.79850341597921</v>
      </c>
      <c r="AA71" s="286" t="s">
        <v>445</v>
      </c>
      <c r="AB71" s="287">
        <v>-4.7834774653892964E-2</v>
      </c>
      <c r="AC71" s="287">
        <v>-299.87976705633992</v>
      </c>
      <c r="AD71" s="306">
        <v>-791.51893081030721</v>
      </c>
      <c r="AE71" s="332">
        <f t="shared" ca="1" si="2"/>
        <v>118.720427394328</v>
      </c>
      <c r="AF71" s="286" t="s">
        <v>445</v>
      </c>
      <c r="AG71" s="287">
        <v>5.20331333973445E-2</v>
      </c>
      <c r="AH71" s="287">
        <v>-299.92819600429357</v>
      </c>
      <c r="AI71" s="306">
        <v>-791.73099055697094</v>
      </c>
      <c r="AK71" s="286" t="s">
        <v>445</v>
      </c>
      <c r="AL71" s="287">
        <v>0.20475856435950845</v>
      </c>
      <c r="AM71" s="287">
        <v>-299.81854094985465</v>
      </c>
      <c r="AN71" s="306">
        <v>-791.72231168831786</v>
      </c>
      <c r="AP71" s="286" t="s">
        <v>445</v>
      </c>
      <c r="AQ71" s="287">
        <v>-0.10069229756481946</v>
      </c>
      <c r="AR71" s="287">
        <v>-300.03785105873249</v>
      </c>
      <c r="AS71" s="306">
        <v>-791.73966942562402</v>
      </c>
      <c r="AT71" s="332">
        <f t="shared" ca="1" si="3"/>
        <v>1.7357737306156196E-2</v>
      </c>
      <c r="AU71" s="286" t="s">
        <v>445</v>
      </c>
      <c r="AV71" s="287">
        <v>-1.0304836574505316</v>
      </c>
      <c r="AW71" s="287">
        <v>-348.54332770919427</v>
      </c>
      <c r="AX71" s="306">
        <v>-837.83781696520236</v>
      </c>
      <c r="AY71" s="332"/>
      <c r="AZ71" s="286" t="s">
        <v>445</v>
      </c>
      <c r="BA71" s="287">
        <v>5.20331333973445E-2</v>
      </c>
      <c r="BB71" s="287">
        <v>-299.92819600429357</v>
      </c>
      <c r="BC71" s="306">
        <v>-791.73099055697094</v>
      </c>
      <c r="BD71" s="332">
        <f t="shared" ca="1" si="4"/>
        <v>-46.106826408231427</v>
      </c>
    </row>
    <row r="72" spans="2:56" x14ac:dyDescent="0.25">
      <c r="B72" s="325" t="str">
        <f ca="1"/>
        <v>EURYC_OIS_BASISRATE_25Y</v>
      </c>
      <c r="C72" s="326">
        <f ca="1"/>
        <v>0</v>
      </c>
      <c r="D72" s="326">
        <f ca="1"/>
        <v>0</v>
      </c>
      <c r="E72" s="326">
        <f ca="1"/>
        <v>0</v>
      </c>
      <c r="F72" s="326">
        <f ca="1"/>
        <v>0</v>
      </c>
      <c r="G72" s="326">
        <f ca="1"/>
        <v>-3.9974111132323742E-6</v>
      </c>
      <c r="H72" s="326">
        <f ca="1"/>
        <v>3.721037082868861E-2</v>
      </c>
      <c r="I72" s="327">
        <f ca="1"/>
        <v>0.10257535241180449</v>
      </c>
      <c r="J72" s="288">
        <f ca="1"/>
        <v>0.13978172582937987</v>
      </c>
      <c r="K72" s="277" t="s">
        <v>4</v>
      </c>
      <c r="L72" s="286" t="s">
        <v>446</v>
      </c>
      <c r="M72" s="287">
        <v>2.4649498136568582E-3</v>
      </c>
      <c r="N72" s="287">
        <v>0.20645516958393273</v>
      </c>
      <c r="O72" s="306">
        <v>0.44037683438727981</v>
      </c>
      <c r="Q72" s="286" t="s">
        <v>446</v>
      </c>
      <c r="R72" s="287">
        <v>-9.5478335424559191E-6</v>
      </c>
      <c r="S72" s="287">
        <v>1.4044965122593567E-2</v>
      </c>
      <c r="T72" s="306">
        <v>4.1773776826630638E-2</v>
      </c>
      <c r="U72" s="332">
        <f t="shared" ca="1" si="1"/>
        <v>0.39860305756064918</v>
      </c>
      <c r="V72" s="286" t="s">
        <v>446</v>
      </c>
      <c r="W72" s="287">
        <v>-9.8216987680643797E-6</v>
      </c>
      <c r="X72" s="287">
        <v>1.3254634919576347E-2</v>
      </c>
      <c r="Y72" s="306">
        <v>3.973157186555909E-2</v>
      </c>
      <c r="AA72" s="286" t="s">
        <v>446</v>
      </c>
      <c r="AB72" s="287">
        <v>-9.2739683168474585E-6</v>
      </c>
      <c r="AC72" s="287">
        <v>1.4835295325610787E-2</v>
      </c>
      <c r="AD72" s="306">
        <v>4.3815981787702185E-2</v>
      </c>
      <c r="AE72" s="332">
        <f t="shared" ca="1" si="2"/>
        <v>-4.0844099221430952E-3</v>
      </c>
      <c r="AF72" s="286" t="s">
        <v>446</v>
      </c>
      <c r="AG72" s="287">
        <v>-3.9974111132323742E-6</v>
      </c>
      <c r="AH72" s="287">
        <v>3.721037082868861E-2</v>
      </c>
      <c r="AI72" s="306">
        <v>0.10257535241180449</v>
      </c>
      <c r="AK72" s="286" t="s">
        <v>446</v>
      </c>
      <c r="AL72" s="287">
        <v>-2.5843110051937401E-5</v>
      </c>
      <c r="AM72" s="287">
        <v>-3.5488800858729519E-2</v>
      </c>
      <c r="AN72" s="306">
        <v>-8.6552856555499602E-2</v>
      </c>
      <c r="AP72" s="286" t="s">
        <v>446</v>
      </c>
      <c r="AQ72" s="287">
        <v>1.7848287825472653E-5</v>
      </c>
      <c r="AR72" s="287">
        <v>0.10990954251610674</v>
      </c>
      <c r="AS72" s="306">
        <v>0.29170356137910858</v>
      </c>
      <c r="AT72" s="332">
        <f t="shared" ca="1" si="3"/>
        <v>-0.37825641793460818</v>
      </c>
      <c r="AU72" s="286" t="s">
        <v>446</v>
      </c>
      <c r="AV72" s="287">
        <v>0.2557172238084604</v>
      </c>
      <c r="AW72" s="287">
        <v>0.42861679758061655</v>
      </c>
      <c r="AX72" s="306">
        <v>0.64782688796185539</v>
      </c>
      <c r="AY72" s="332"/>
      <c r="AZ72" s="286" t="s">
        <v>446</v>
      </c>
      <c r="BA72" s="287">
        <v>-3.9974111132323742E-6</v>
      </c>
      <c r="BB72" s="287">
        <v>3.721037082868861E-2</v>
      </c>
      <c r="BC72" s="306">
        <v>0.10257535241180449</v>
      </c>
      <c r="BD72" s="332">
        <f t="shared" ca="1" si="4"/>
        <v>0.5452515355500509</v>
      </c>
    </row>
    <row r="73" spans="2:56" x14ac:dyDescent="0.25">
      <c r="B73" s="325" t="str">
        <f ca="1"/>
        <v>EURYC_OIS_3MLIBORSWAP_25Y</v>
      </c>
      <c r="C73" s="326">
        <f ca="1"/>
        <v>0</v>
      </c>
      <c r="D73" s="326">
        <f ca="1"/>
        <v>0</v>
      </c>
      <c r="E73" s="326">
        <f ca="1"/>
        <v>0</v>
      </c>
      <c r="F73" s="326">
        <f ca="1"/>
        <v>0</v>
      </c>
      <c r="G73" s="326">
        <f ca="1"/>
        <v>-2.6668898317439016E-2</v>
      </c>
      <c r="H73" s="326">
        <f ca="1"/>
        <v>39.362248391262256</v>
      </c>
      <c r="I73" s="327">
        <f ca="1"/>
        <v>117.04057237411689</v>
      </c>
      <c r="J73" s="288">
        <f ca="1"/>
        <v>156.37615186706171</v>
      </c>
      <c r="K73" s="277" t="s">
        <v>4</v>
      </c>
      <c r="L73" s="286" t="s">
        <v>447</v>
      </c>
      <c r="M73" s="287">
        <v>3.5900455113733187E-3</v>
      </c>
      <c r="N73" s="287">
        <v>104.93725698472554</v>
      </c>
      <c r="O73" s="306">
        <v>225.27492383160643</v>
      </c>
      <c r="Q73" s="286" t="s">
        <v>447</v>
      </c>
      <c r="R73" s="287">
        <v>-2.6562507297057891E-2</v>
      </c>
      <c r="S73" s="287">
        <v>39.172338748934635</v>
      </c>
      <c r="T73" s="306">
        <v>116.48432235680866</v>
      </c>
      <c r="U73" s="332">
        <f t="shared" ca="1" si="1"/>
        <v>108.79060147479777</v>
      </c>
      <c r="V73" s="286" t="s">
        <v>447</v>
      </c>
      <c r="W73" s="287">
        <v>-2.6753367728815647E-2</v>
      </c>
      <c r="X73" s="287">
        <v>39.44296184196719</v>
      </c>
      <c r="Y73" s="306">
        <v>117.28888637466116</v>
      </c>
      <c r="AA73" s="286" t="s">
        <v>447</v>
      </c>
      <c r="AB73" s="287">
        <v>-2.6371646865300136E-2</v>
      </c>
      <c r="AC73" s="287">
        <v>38.90171565590208</v>
      </c>
      <c r="AD73" s="306">
        <v>115.67975833895616</v>
      </c>
      <c r="AE73" s="332">
        <f t="shared" ca="1" si="2"/>
        <v>1.6091280357049982</v>
      </c>
      <c r="AF73" s="286" t="s">
        <v>447</v>
      </c>
      <c r="AG73" s="287">
        <v>-2.6668898317439016E-2</v>
      </c>
      <c r="AH73" s="287">
        <v>39.362248391262256</v>
      </c>
      <c r="AI73" s="306">
        <v>117.04057237411689</v>
      </c>
      <c r="AK73" s="286" t="s">
        <v>447</v>
      </c>
      <c r="AL73" s="287">
        <v>-2.6647937920643017E-2</v>
      </c>
      <c r="AM73" s="287">
        <v>39.382524041866418</v>
      </c>
      <c r="AN73" s="306">
        <v>117.08763319456921</v>
      </c>
      <c r="AP73" s="286" t="s">
        <v>447</v>
      </c>
      <c r="AQ73" s="287">
        <v>-2.6689858714235015E-2</v>
      </c>
      <c r="AR73" s="287">
        <v>39.341972740658093</v>
      </c>
      <c r="AS73" s="306">
        <v>116.99351155366458</v>
      </c>
      <c r="AT73" s="332">
        <f t="shared" ca="1" si="3"/>
        <v>9.4121640904631931E-2</v>
      </c>
      <c r="AU73" s="286" t="s">
        <v>447</v>
      </c>
      <c r="AV73" s="287">
        <v>-0.30840433264529565</v>
      </c>
      <c r="AW73" s="287">
        <v>104.69836483480321</v>
      </c>
      <c r="AX73" s="306">
        <v>225.29179686398493</v>
      </c>
      <c r="AY73" s="332"/>
      <c r="AZ73" s="286" t="s">
        <v>447</v>
      </c>
      <c r="BA73" s="287">
        <v>-2.6668898317439016E-2</v>
      </c>
      <c r="BB73" s="287">
        <v>39.362248391262256</v>
      </c>
      <c r="BC73" s="306">
        <v>117.04057237411689</v>
      </c>
      <c r="BD73" s="332">
        <f t="shared" ca="1" si="4"/>
        <v>108.25122448986804</v>
      </c>
    </row>
    <row r="74" spans="2:56" x14ac:dyDescent="0.25">
      <c r="B74" s="325" t="str">
        <f ca="1"/>
        <v>EURYC_OIS_BASISRATE_30Y</v>
      </c>
      <c r="C74" s="326">
        <f ca="1"/>
        <v>0</v>
      </c>
      <c r="D74" s="326">
        <f ca="1"/>
        <v>0</v>
      </c>
      <c r="E74" s="326">
        <f ca="1"/>
        <v>0</v>
      </c>
      <c r="F74" s="326">
        <f ca="1"/>
        <v>0</v>
      </c>
      <c r="G74" s="326">
        <f ca="1"/>
        <v>-1.8808350432664156E-7</v>
      </c>
      <c r="H74" s="326">
        <f ca="1"/>
        <v>2.7648165996652097E-4</v>
      </c>
      <c r="I74" s="327">
        <f ca="1"/>
        <v>8.2216183727723546E-4</v>
      </c>
      <c r="J74" s="288">
        <f ca="1"/>
        <v>1.0984554137394298E-3</v>
      </c>
      <c r="K74" s="277" t="s">
        <v>4</v>
      </c>
      <c r="L74" s="286" t="s">
        <v>448</v>
      </c>
      <c r="M74" s="287">
        <v>3.4166664499934996E-3</v>
      </c>
      <c r="N74" s="287">
        <v>-5.0228576201334363E-2</v>
      </c>
      <c r="O74" s="306">
        <v>-0.11320956332110654</v>
      </c>
      <c r="Q74" s="286" t="s">
        <v>448</v>
      </c>
      <c r="R74" s="287">
        <v>-3.4998447517864406E-7</v>
      </c>
      <c r="S74" s="287">
        <v>5.1612018796731718E-4</v>
      </c>
      <c r="T74" s="306">
        <v>1.5347586258940282E-3</v>
      </c>
      <c r="U74" s="332">
        <f t="shared" ca="1" si="1"/>
        <v>-0.11474432194700057</v>
      </c>
      <c r="V74" s="286" t="s">
        <v>448</v>
      </c>
      <c r="W74" s="287">
        <v>-2.917549863923341E-7</v>
      </c>
      <c r="X74" s="287">
        <v>4.302646302676294E-4</v>
      </c>
      <c r="Y74" s="306">
        <v>1.2794546528311912E-3</v>
      </c>
      <c r="AA74" s="286" t="s">
        <v>448</v>
      </c>
      <c r="AB74" s="287">
        <v>-4.0821396396495402E-7</v>
      </c>
      <c r="AC74" s="287">
        <v>6.0197574566700496E-4</v>
      </c>
      <c r="AD74" s="306">
        <v>1.7900625989568653E-3</v>
      </c>
      <c r="AE74" s="332">
        <f t="shared" ca="1" si="2"/>
        <v>-5.1060794612567406E-4</v>
      </c>
      <c r="AF74" s="286" t="s">
        <v>448</v>
      </c>
      <c r="AG74" s="287">
        <v>-1.8808350432664156E-7</v>
      </c>
      <c r="AH74" s="287">
        <v>2.7648165996652097E-4</v>
      </c>
      <c r="AI74" s="306">
        <v>8.2216183727723546E-4</v>
      </c>
      <c r="AK74" s="286" t="s">
        <v>448</v>
      </c>
      <c r="AL74" s="287">
        <v>-8.9239620137959719E-7</v>
      </c>
      <c r="AM74" s="287">
        <v>1.3131997548043728E-3</v>
      </c>
      <c r="AN74" s="306">
        <v>3.9050040868460201E-3</v>
      </c>
      <c r="AP74" s="286" t="s">
        <v>448</v>
      </c>
      <c r="AQ74" s="287">
        <v>5.1622919272631407E-7</v>
      </c>
      <c r="AR74" s="287">
        <v>-7.6023643487133086E-4</v>
      </c>
      <c r="AS74" s="306">
        <v>-2.2606804122915491E-3</v>
      </c>
      <c r="AT74" s="332">
        <f t="shared" ca="1" si="3"/>
        <v>6.1656844991375692E-3</v>
      </c>
      <c r="AU74" s="286" t="s">
        <v>448</v>
      </c>
      <c r="AV74" s="287">
        <v>-0.52124880185147049</v>
      </c>
      <c r="AW74" s="287">
        <v>-0.67770713758363854</v>
      </c>
      <c r="AX74" s="306">
        <v>-0.84485239358400577</v>
      </c>
      <c r="AY74" s="332"/>
      <c r="AZ74" s="286" t="s">
        <v>448</v>
      </c>
      <c r="BA74" s="287">
        <v>-1.8808350432664156E-7</v>
      </c>
      <c r="BB74" s="287">
        <v>2.7648165996652097E-4</v>
      </c>
      <c r="BC74" s="306">
        <v>8.2216183727723546E-4</v>
      </c>
      <c r="BD74" s="332">
        <f t="shared" ca="1" si="4"/>
        <v>-0.845674555421283</v>
      </c>
    </row>
    <row r="75" spans="2:56" x14ac:dyDescent="0.25">
      <c r="B75" s="325" t="str">
        <f ca="1"/>
        <v>EURYC_OIS_3MLIBORSWAP_30Y</v>
      </c>
      <c r="C75" s="326">
        <f ca="1"/>
        <v>0</v>
      </c>
      <c r="D75" s="326">
        <f ca="1"/>
        <v>0</v>
      </c>
      <c r="E75" s="326">
        <f ca="1"/>
        <v>0</v>
      </c>
      <c r="F75" s="326">
        <f ca="1"/>
        <v>0</v>
      </c>
      <c r="G75" s="326">
        <f ca="1"/>
        <v>-1.1654628906399012E-4</v>
      </c>
      <c r="H75" s="326">
        <f ca="1"/>
        <v>0.17186758559546433</v>
      </c>
      <c r="I75" s="327">
        <f ca="1"/>
        <v>0.51107338222209364</v>
      </c>
      <c r="J75" s="288">
        <f ca="1"/>
        <v>0.68282442152849399</v>
      </c>
      <c r="K75" s="277" t="s">
        <v>4</v>
      </c>
      <c r="L75" s="286" t="s">
        <v>449</v>
      </c>
      <c r="M75" s="287">
        <v>1.5557639690086944E-3</v>
      </c>
      <c r="N75" s="287">
        <v>-21.139056083877222</v>
      </c>
      <c r="O75" s="306">
        <v>-45.382867782314861</v>
      </c>
      <c r="Q75" s="286" t="s">
        <v>449</v>
      </c>
      <c r="R75" s="287">
        <v>-1.3438106179819442E-4</v>
      </c>
      <c r="S75" s="287">
        <v>0.19816859420097899</v>
      </c>
      <c r="T75" s="306">
        <v>0.58928326415752963</v>
      </c>
      <c r="U75" s="332">
        <f t="shared" ca="1" si="1"/>
        <v>-45.972151046472391</v>
      </c>
      <c r="V75" s="286" t="s">
        <v>449</v>
      </c>
      <c r="W75" s="287">
        <v>-1.8270418513566256E-4</v>
      </c>
      <c r="X75" s="287">
        <v>0.26942925215917057</v>
      </c>
      <c r="Y75" s="306">
        <v>0.80118723214036436</v>
      </c>
      <c r="AA75" s="286" t="s">
        <v>449</v>
      </c>
      <c r="AB75" s="287">
        <v>-8.6057938460726291E-5</v>
      </c>
      <c r="AC75" s="287">
        <v>0.1269079362427874</v>
      </c>
      <c r="AD75" s="306">
        <v>0.3773792961746949</v>
      </c>
      <c r="AE75" s="332">
        <f t="shared" ca="1" si="2"/>
        <v>0.42380793596566946</v>
      </c>
      <c r="AF75" s="286" t="s">
        <v>449</v>
      </c>
      <c r="AG75" s="287">
        <v>-1.1654628906399012E-4</v>
      </c>
      <c r="AH75" s="287">
        <v>0.17186758559546433</v>
      </c>
      <c r="AI75" s="306">
        <v>0.51107338222209364</v>
      </c>
      <c r="AK75" s="286" t="s">
        <v>449</v>
      </c>
      <c r="AL75" s="287">
        <v>-1.1035626812372357E-4</v>
      </c>
      <c r="AM75" s="287">
        <v>0.16272720968117937</v>
      </c>
      <c r="AN75" s="306">
        <v>0.48389313942607259</v>
      </c>
      <c r="AP75" s="286" t="s">
        <v>449</v>
      </c>
      <c r="AQ75" s="287">
        <v>-1.2273631000425667E-4</v>
      </c>
      <c r="AR75" s="287">
        <v>0.18100796150974929</v>
      </c>
      <c r="AS75" s="306">
        <v>0.53825362501811469</v>
      </c>
      <c r="AT75" s="332">
        <f t="shared" ca="1" si="3"/>
        <v>-5.4360485592042096E-2</v>
      </c>
      <c r="AU75" s="286" t="s">
        <v>449</v>
      </c>
      <c r="AV75" s="287">
        <v>1.1793805488196085</v>
      </c>
      <c r="AW75" s="287">
        <v>-19.928456154775631</v>
      </c>
      <c r="AX75" s="306">
        <v>-44.190160915240995</v>
      </c>
      <c r="AY75" s="332"/>
      <c r="AZ75" s="286" t="s">
        <v>449</v>
      </c>
      <c r="BA75" s="287">
        <v>-1.1654628906399012E-4</v>
      </c>
      <c r="BB75" s="287">
        <v>0.17186758559546433</v>
      </c>
      <c r="BC75" s="306">
        <v>0.51107338222209364</v>
      </c>
      <c r="BD75" s="332">
        <f t="shared" ca="1" si="4"/>
        <v>-44.701234297463088</v>
      </c>
    </row>
    <row r="76" spans="2:56" x14ac:dyDescent="0.25">
      <c r="B76" s="325" t="str">
        <f ca="1"/>
        <v>EURYC_OIS_BASISRATE_40Y</v>
      </c>
      <c r="C76" s="326">
        <f ca="1"/>
        <v>0</v>
      </c>
      <c r="D76" s="326">
        <f ca="1"/>
        <v>0</v>
      </c>
      <c r="E76" s="326">
        <f ca="1"/>
        <v>0</v>
      </c>
      <c r="F76" s="326">
        <f ca="1"/>
        <v>0</v>
      </c>
      <c r="G76" s="326">
        <f ca="1"/>
        <v>0</v>
      </c>
      <c r="H76" s="326">
        <f ca="1"/>
        <v>0</v>
      </c>
      <c r="I76" s="327">
        <f ca="1"/>
        <v>0</v>
      </c>
      <c r="J76" s="288">
        <f ca="1"/>
        <v>0</v>
      </c>
      <c r="K76" s="277" t="s">
        <v>4</v>
      </c>
      <c r="L76" s="286" t="s">
        <v>450</v>
      </c>
      <c r="M76" s="287">
        <v>0</v>
      </c>
      <c r="N76" s="287">
        <v>0</v>
      </c>
      <c r="O76" s="306">
        <v>0</v>
      </c>
      <c r="Q76" s="286" t="s">
        <v>450</v>
      </c>
      <c r="R76" s="287">
        <v>0</v>
      </c>
      <c r="S76" s="287">
        <v>0</v>
      </c>
      <c r="T76" s="306">
        <v>0</v>
      </c>
      <c r="U76" s="332">
        <f t="shared" ref="U76:U79" ca="1" si="5">O76-T76</f>
        <v>0</v>
      </c>
      <c r="V76" s="286" t="s">
        <v>450</v>
      </c>
      <c r="W76" s="287">
        <v>0</v>
      </c>
      <c r="X76" s="287">
        <v>0</v>
      </c>
      <c r="Y76" s="306">
        <v>0</v>
      </c>
      <c r="AA76" s="286" t="s">
        <v>450</v>
      </c>
      <c r="AB76" s="287">
        <v>0</v>
      </c>
      <c r="AC76" s="287">
        <v>0</v>
      </c>
      <c r="AD76" s="306">
        <v>0</v>
      </c>
      <c r="AE76" s="332">
        <f t="shared" ref="AE76:AE79" ca="1" si="6">Y76-AD76</f>
        <v>0</v>
      </c>
      <c r="AF76" s="286" t="s">
        <v>450</v>
      </c>
      <c r="AG76" s="287">
        <v>0</v>
      </c>
      <c r="AH76" s="287">
        <v>0</v>
      </c>
      <c r="AI76" s="306">
        <v>0</v>
      </c>
      <c r="AK76" s="286" t="s">
        <v>450</v>
      </c>
      <c r="AL76" s="287">
        <v>0</v>
      </c>
      <c r="AM76" s="287">
        <v>0</v>
      </c>
      <c r="AN76" s="306">
        <v>0</v>
      </c>
      <c r="AP76" s="286" t="s">
        <v>450</v>
      </c>
      <c r="AQ76" s="287">
        <v>0</v>
      </c>
      <c r="AR76" s="287">
        <v>0</v>
      </c>
      <c r="AS76" s="306">
        <v>0</v>
      </c>
      <c r="AT76" s="332">
        <f t="shared" ref="AT76:AT79" ca="1" si="7">AN76-AS76</f>
        <v>0</v>
      </c>
      <c r="AU76" s="286" t="s">
        <v>450</v>
      </c>
      <c r="AV76" s="287">
        <v>0</v>
      </c>
      <c r="AW76" s="287">
        <v>0</v>
      </c>
      <c r="AX76" s="306">
        <v>0</v>
      </c>
      <c r="AY76" s="332"/>
      <c r="AZ76" s="286" t="s">
        <v>450</v>
      </c>
      <c r="BA76" s="287">
        <v>0</v>
      </c>
      <c r="BB76" s="287">
        <v>0</v>
      </c>
      <c r="BC76" s="306">
        <v>0</v>
      </c>
      <c r="BD76" s="332">
        <f t="shared" ref="BD76:BD79" ca="1" si="8">AX76-BC76</f>
        <v>0</v>
      </c>
    </row>
    <row r="77" spans="2:56" x14ac:dyDescent="0.25">
      <c r="B77" s="325" t="str">
        <f ca="1"/>
        <v>EURYC_OIS_3MLIBORSWAP_40Y</v>
      </c>
      <c r="C77" s="326">
        <f ca="1"/>
        <v>0</v>
      </c>
      <c r="D77" s="326">
        <f ca="1"/>
        <v>0</v>
      </c>
      <c r="E77" s="326">
        <f ca="1"/>
        <v>0</v>
      </c>
      <c r="F77" s="326">
        <f ca="1"/>
        <v>0</v>
      </c>
      <c r="G77" s="326">
        <f ca="1"/>
        <v>0</v>
      </c>
      <c r="H77" s="326">
        <f ca="1"/>
        <v>0</v>
      </c>
      <c r="I77" s="327">
        <f ca="1"/>
        <v>0</v>
      </c>
      <c r="J77" s="288">
        <f ca="1"/>
        <v>0</v>
      </c>
      <c r="K77" s="277" t="s">
        <v>4</v>
      </c>
      <c r="L77" s="286" t="s">
        <v>451</v>
      </c>
      <c r="M77" s="287">
        <v>0</v>
      </c>
      <c r="N77" s="287">
        <v>0</v>
      </c>
      <c r="O77" s="306">
        <v>0</v>
      </c>
      <c r="Q77" s="286" t="s">
        <v>451</v>
      </c>
      <c r="R77" s="287">
        <v>0</v>
      </c>
      <c r="S77" s="287">
        <v>0</v>
      </c>
      <c r="T77" s="306">
        <v>0</v>
      </c>
      <c r="U77" s="332">
        <f t="shared" ca="1" si="5"/>
        <v>0</v>
      </c>
      <c r="V77" s="286" t="s">
        <v>451</v>
      </c>
      <c r="W77" s="287">
        <v>0</v>
      </c>
      <c r="X77" s="287">
        <v>0</v>
      </c>
      <c r="Y77" s="306">
        <v>0</v>
      </c>
      <c r="AA77" s="286" t="s">
        <v>451</v>
      </c>
      <c r="AB77" s="287">
        <v>0</v>
      </c>
      <c r="AC77" s="287">
        <v>0</v>
      </c>
      <c r="AD77" s="306">
        <v>0</v>
      </c>
      <c r="AE77" s="332">
        <f t="shared" ca="1" si="6"/>
        <v>0</v>
      </c>
      <c r="AF77" s="286" t="s">
        <v>451</v>
      </c>
      <c r="AG77" s="287">
        <v>0</v>
      </c>
      <c r="AH77" s="287">
        <v>0</v>
      </c>
      <c r="AI77" s="306">
        <v>0</v>
      </c>
      <c r="AK77" s="286" t="s">
        <v>451</v>
      </c>
      <c r="AL77" s="287">
        <v>0</v>
      </c>
      <c r="AM77" s="287">
        <v>0</v>
      </c>
      <c r="AN77" s="306">
        <v>0</v>
      </c>
      <c r="AP77" s="286" t="s">
        <v>451</v>
      </c>
      <c r="AQ77" s="287">
        <v>0</v>
      </c>
      <c r="AR77" s="287">
        <v>0</v>
      </c>
      <c r="AS77" s="306">
        <v>0</v>
      </c>
      <c r="AT77" s="332">
        <f t="shared" ca="1" si="7"/>
        <v>0</v>
      </c>
      <c r="AU77" s="286" t="s">
        <v>451</v>
      </c>
      <c r="AV77" s="287">
        <v>0</v>
      </c>
      <c r="AW77" s="287">
        <v>0</v>
      </c>
      <c r="AX77" s="306">
        <v>0</v>
      </c>
      <c r="AY77" s="332"/>
      <c r="AZ77" s="286" t="s">
        <v>451</v>
      </c>
      <c r="BA77" s="287">
        <v>0</v>
      </c>
      <c r="BB77" s="287">
        <v>0</v>
      </c>
      <c r="BC77" s="306">
        <v>0</v>
      </c>
      <c r="BD77" s="332">
        <f t="shared" ca="1" si="8"/>
        <v>0</v>
      </c>
    </row>
    <row r="78" spans="2:56" x14ac:dyDescent="0.25">
      <c r="B78" s="325" t="str">
        <f ca="1"/>
        <v>EURYC_OIS_BASISRATE_50Y</v>
      </c>
      <c r="C78" s="326">
        <f ca="1"/>
        <v>0</v>
      </c>
      <c r="D78" s="326">
        <f ca="1"/>
        <v>0</v>
      </c>
      <c r="E78" s="326">
        <f ca="1"/>
        <v>0</v>
      </c>
      <c r="F78" s="326">
        <f ca="1"/>
        <v>0</v>
      </c>
      <c r="G78" s="326">
        <f ca="1"/>
        <v>0</v>
      </c>
      <c r="H78" s="326">
        <f ca="1"/>
        <v>0</v>
      </c>
      <c r="I78" s="327">
        <f ca="1"/>
        <v>0</v>
      </c>
      <c r="J78" s="288">
        <f ca="1"/>
        <v>0</v>
      </c>
      <c r="K78" s="277" t="s">
        <v>4</v>
      </c>
      <c r="L78" s="286" t="s">
        <v>452</v>
      </c>
      <c r="M78" s="287">
        <v>0</v>
      </c>
      <c r="N78" s="287">
        <v>0</v>
      </c>
      <c r="O78" s="306">
        <v>0</v>
      </c>
      <c r="Q78" s="286" t="s">
        <v>452</v>
      </c>
      <c r="R78" s="287">
        <v>0</v>
      </c>
      <c r="S78" s="287">
        <v>0</v>
      </c>
      <c r="T78" s="306">
        <v>0</v>
      </c>
      <c r="U78" s="332">
        <f t="shared" ca="1" si="5"/>
        <v>0</v>
      </c>
      <c r="V78" s="286" t="s">
        <v>452</v>
      </c>
      <c r="W78" s="287">
        <v>0</v>
      </c>
      <c r="X78" s="287">
        <v>0</v>
      </c>
      <c r="Y78" s="306">
        <v>0</v>
      </c>
      <c r="AA78" s="286" t="s">
        <v>452</v>
      </c>
      <c r="AB78" s="287">
        <v>0</v>
      </c>
      <c r="AC78" s="287">
        <v>0</v>
      </c>
      <c r="AD78" s="306">
        <v>0</v>
      </c>
      <c r="AE78" s="332">
        <f t="shared" ca="1" si="6"/>
        <v>0</v>
      </c>
      <c r="AF78" s="286" t="s">
        <v>452</v>
      </c>
      <c r="AG78" s="287">
        <v>0</v>
      </c>
      <c r="AH78" s="287">
        <v>0</v>
      </c>
      <c r="AI78" s="306">
        <v>0</v>
      </c>
      <c r="AK78" s="286" t="s">
        <v>452</v>
      </c>
      <c r="AL78" s="287">
        <v>0</v>
      </c>
      <c r="AM78" s="287">
        <v>0</v>
      </c>
      <c r="AN78" s="306">
        <v>0</v>
      </c>
      <c r="AP78" s="286" t="s">
        <v>452</v>
      </c>
      <c r="AQ78" s="287">
        <v>0</v>
      </c>
      <c r="AR78" s="287">
        <v>0</v>
      </c>
      <c r="AS78" s="306">
        <v>0</v>
      </c>
      <c r="AT78" s="332">
        <f t="shared" ca="1" si="7"/>
        <v>0</v>
      </c>
      <c r="AU78" s="286" t="s">
        <v>452</v>
      </c>
      <c r="AV78" s="287">
        <v>0</v>
      </c>
      <c r="AW78" s="287">
        <v>0</v>
      </c>
      <c r="AX78" s="306">
        <v>0</v>
      </c>
      <c r="AY78" s="332"/>
      <c r="AZ78" s="286" t="s">
        <v>452</v>
      </c>
      <c r="BA78" s="287">
        <v>0</v>
      </c>
      <c r="BB78" s="287">
        <v>0</v>
      </c>
      <c r="BC78" s="306">
        <v>0</v>
      </c>
      <c r="BD78" s="332">
        <f t="shared" ca="1" si="8"/>
        <v>0</v>
      </c>
    </row>
    <row r="79" spans="2:56" x14ac:dyDescent="0.25">
      <c r="B79" s="328" t="str">
        <f ca="1"/>
        <v>EURYC_OIS_3MLIBORSWAP_50Y</v>
      </c>
      <c r="C79" s="329">
        <f ca="1"/>
        <v>0</v>
      </c>
      <c r="D79" s="329">
        <f ca="1"/>
        <v>0</v>
      </c>
      <c r="E79" s="329">
        <f ca="1"/>
        <v>0</v>
      </c>
      <c r="F79" s="329">
        <f ca="1"/>
        <v>0</v>
      </c>
      <c r="G79" s="329">
        <f ca="1"/>
        <v>0</v>
      </c>
      <c r="H79" s="329">
        <f ca="1"/>
        <v>0</v>
      </c>
      <c r="I79" s="330">
        <f ca="1"/>
        <v>0</v>
      </c>
      <c r="J79" s="291">
        <f ca="1"/>
        <v>0</v>
      </c>
      <c r="K79" s="277" t="s">
        <v>4</v>
      </c>
      <c r="L79" s="289" t="s">
        <v>453</v>
      </c>
      <c r="M79" s="290">
        <v>0</v>
      </c>
      <c r="N79" s="290">
        <v>0</v>
      </c>
      <c r="O79" s="307">
        <v>0</v>
      </c>
      <c r="Q79" s="289" t="s">
        <v>453</v>
      </c>
      <c r="R79" s="290">
        <v>0</v>
      </c>
      <c r="S79" s="290">
        <v>0</v>
      </c>
      <c r="T79" s="307">
        <v>0</v>
      </c>
      <c r="U79" s="332">
        <f t="shared" ca="1" si="5"/>
        <v>0</v>
      </c>
      <c r="V79" s="289" t="s">
        <v>453</v>
      </c>
      <c r="W79" s="290">
        <v>0</v>
      </c>
      <c r="X79" s="290">
        <v>0</v>
      </c>
      <c r="Y79" s="307">
        <v>0</v>
      </c>
      <c r="AA79" s="289" t="s">
        <v>453</v>
      </c>
      <c r="AB79" s="290">
        <v>0</v>
      </c>
      <c r="AC79" s="290">
        <v>0</v>
      </c>
      <c r="AD79" s="307">
        <v>0</v>
      </c>
      <c r="AE79" s="332">
        <f t="shared" ca="1" si="6"/>
        <v>0</v>
      </c>
      <c r="AF79" s="289" t="s">
        <v>453</v>
      </c>
      <c r="AG79" s="290">
        <v>0</v>
      </c>
      <c r="AH79" s="290">
        <v>0</v>
      </c>
      <c r="AI79" s="307">
        <v>0</v>
      </c>
      <c r="AK79" s="289" t="s">
        <v>453</v>
      </c>
      <c r="AL79" s="290">
        <v>0</v>
      </c>
      <c r="AM79" s="290">
        <v>0</v>
      </c>
      <c r="AN79" s="307">
        <v>0</v>
      </c>
      <c r="AP79" s="289" t="s">
        <v>453</v>
      </c>
      <c r="AQ79" s="290">
        <v>0</v>
      </c>
      <c r="AR79" s="290">
        <v>0</v>
      </c>
      <c r="AS79" s="307">
        <v>0</v>
      </c>
      <c r="AT79" s="332">
        <f t="shared" ca="1" si="7"/>
        <v>0</v>
      </c>
      <c r="AU79" s="289" t="s">
        <v>453</v>
      </c>
      <c r="AV79" s="290">
        <v>0</v>
      </c>
      <c r="AW79" s="290">
        <v>0</v>
      </c>
      <c r="AX79" s="307">
        <v>0</v>
      </c>
      <c r="AY79" s="332"/>
      <c r="AZ79" s="289" t="s">
        <v>453</v>
      </c>
      <c r="BA79" s="290">
        <v>0</v>
      </c>
      <c r="BB79" s="290">
        <v>0</v>
      </c>
      <c r="BC79" s="307">
        <v>0</v>
      </c>
      <c r="BD79" s="332">
        <f t="shared" ca="1" si="8"/>
        <v>0</v>
      </c>
    </row>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outlineLevel="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67</vt:i4>
      </vt:variant>
    </vt:vector>
  </HeadingPairs>
  <TitlesOfParts>
    <vt:vector size="75" baseType="lpstr">
      <vt:lpstr>Settings</vt:lpstr>
      <vt:lpstr>EUR OIS</vt:lpstr>
      <vt:lpstr>EUR SWAP 3ML</vt:lpstr>
      <vt:lpstr>EUR BASIS 6ML</vt:lpstr>
      <vt:lpstr>EUR BASIS 1ML</vt:lpstr>
      <vt:lpstr>EUR BASIS 12ML</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EURSwaps.Portfolio</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IRS Portfolio'!SwapDealInfo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2016-10-19T10:48:23Z</dcterms:modified>
</cp:coreProperties>
</file>