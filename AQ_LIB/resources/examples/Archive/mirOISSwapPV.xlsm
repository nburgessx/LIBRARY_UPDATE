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55" r:id="rId1"/>
    <sheet name="Build OIS Curve" sheetId="118" r:id="rId2"/>
    <sheet name="EUR OIS Swaps" sheetId="122" r:id="rId3"/>
  </sheets>
  <definedNames>
    <definedName name="AssetSwapFields.EUR">#REF!</definedName>
    <definedName name="AssetSwapFields.GBP">#REF!</definedName>
    <definedName name="AssetSwapFields.JPY">#REF!</definedName>
    <definedName name="AssetSwapFields.USD">#REF!</definedName>
    <definedName name="AssetSwapISIN.EUR">#REF!</definedName>
    <definedName name="AssetSwapISIN.GBP">#REF!</definedName>
    <definedName name="AssetSwapISIN.JPY">#REF!</definedName>
    <definedName name="AssetSwapISIN.USD">#REF!</definedName>
    <definedName name="AssetSwapOutput.EUR">#REF!</definedName>
    <definedName name="AssetSwapOutput.GBP">#REF!</definedName>
    <definedName name="AssetSwapOutput.JPY">#REF!</definedName>
    <definedName name="AssetSwapOutput.USD">#REF!</definedName>
    <definedName name="AssetSwapOutputTopLeft.EUR">#REF!</definedName>
    <definedName name="AssetSwapOutputTopLeft.GBP">#REF!</definedName>
    <definedName name="AssetSwapOutputTopLeft.JPY">#REF!</definedName>
    <definedName name="AssetSwapOutputTopLeft.USD">#REF!</definedName>
    <definedName name="AssetSwapRequestName.EUR">#REF!</definedName>
    <definedName name="AssetSwapRequestName.GBP">#REF!</definedName>
    <definedName name="AssetSwapRequestName.JPY">#REF!</definedName>
    <definedName name="AssetSwapRequestName.USD">#REF!</definedName>
    <definedName name="BasisConv1x3" localSheetId="0">'EUR Curve Config'!#REF!</definedName>
    <definedName name="BasisConv1x3">#REF!</definedName>
    <definedName name="BasisConv3x12">#REF!</definedName>
    <definedName name="BasisConv3x6" localSheetId="0">'EUR Curve Config'!#REF!</definedName>
    <definedName name="BasisConv3x6">#REF!</definedName>
    <definedName name="BasisConv6x12" localSheetId="0">'EUR Curve Config'!#REF!</definedName>
    <definedName name="BasisConv6x12">#REF!</definedName>
    <definedName name="BasisData1x3" localSheetId="0">'EUR Curve Config'!#REF!</definedName>
    <definedName name="BasisData1x3">#REF!</definedName>
    <definedName name="BasisData3x12">#REF!</definedName>
    <definedName name="BasisData3x6" localSheetId="0">'EUR Curve Config'!#REF!</definedName>
    <definedName name="BasisData3x6">#REF!</definedName>
    <definedName name="BasisData6x12" localSheetId="0">'EUR Curve Config'!#REF!</definedName>
    <definedName name="BasisData6x12">#REF!</definedName>
    <definedName name="BlockConstForwardFX" localSheetId="0">'EUR Curve Config'!#REF!</definedName>
    <definedName name="BlockCurveNames" localSheetId="0">'EUR Curve Config'!$B:$F</definedName>
    <definedName name="BlockOISCurve" localSheetId="0">'EUR Curve Config'!$G:$AF</definedName>
    <definedName name="BlockSwapCurve" localSheetId="0">'EUR Curve Config'!#REF!</definedName>
    <definedName name="BlockTenorBasis" localSheetId="0">'EUR Curve Config'!#REF!</definedName>
    <definedName name="BlockXccyBasis" localSheetId="0">'EUR Curve Config'!#REF!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Curve Config'!$C$3</definedName>
    <definedName name="ConstForwardFXEURCSA" localSheetId="0">'EUR Curve Config'!#REF!</definedName>
    <definedName name="ConstForwardFXEURCSA">#REF!</definedName>
    <definedName name="ConstForwardFXGBPCSA" localSheetId="0">'EUR Curve Config'!#REF!</definedName>
    <definedName name="ConstForwardFXGBPCSA">#REF!</definedName>
    <definedName name="ConstForwardFXJPYCSA" localSheetId="0">'EUR Curve Config'!#REF!</definedName>
    <definedName name="ConstForwardFXJPYCSA">#REF!</definedName>
    <definedName name="ConstForwardFXProperties" localSheetId="0">'EUR Curve Config'!#REF!</definedName>
    <definedName name="ConstForwardFXProperties">#REF!</definedName>
    <definedName name="CurveBuildErrorCount" localSheetId="1">'Build OIS Curve'!#REF!</definedName>
    <definedName name="CurveConfig.FixingRate" localSheetId="0">'EUR Curve Config'!#REF!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'Build OIS Curve'!#REF!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'Build OIS Curve'!#REF!</definedName>
    <definedName name="CurveErrorsGBP" localSheetId="1">'Build OIS Curve'!#REF!</definedName>
    <definedName name="CurveErrorsJPY" localSheetId="1">'Build OIS Curve'!#REF!</definedName>
    <definedName name="CurveErrorsNativeCSAEUR">'Build OIS Curve'!#REF!</definedName>
    <definedName name="CurveErrorsNativeCSAGBP">'Build OIS Curve'!#REF!</definedName>
    <definedName name="CurveErrorsNativeCSAJPY">'Build OIS Curve'!#REF!</definedName>
    <definedName name="CurveErrorsNativeCSAUSD">'Build OIS Curve'!#REF!</definedName>
    <definedName name="CurveErrorsUSD" localSheetId="1">'Build OIS Curve'!#REF!</definedName>
    <definedName name="CurveLabels" localSheetId="1">'Build OIS Curve'!#REF!,'Build OIS Curve'!#REF!,'Build OIS Curve'!#REF!,'Build OIS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'Build OIS Curve'!#REF!</definedName>
    <definedName name="ErrorCountGBPUSDCSA" localSheetId="1">'Build OIS Curve'!#REF!</definedName>
    <definedName name="ErrorCountJPYUSDCSA" localSheetId="1">'Build OIS Curve'!#REF!</definedName>
    <definedName name="ErrorCountUSDUSDCSA" localSheetId="1">'Build OIS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Config'!#REF!</definedName>
    <definedName name="FRAConv">#REF!</definedName>
    <definedName name="FRADatax3" localSheetId="0">'EUR Curve Config'!#REF!</definedName>
    <definedName name="FRADatax3">#REF!</definedName>
    <definedName name="FRADatax6" localSheetId="0">'EUR Curve Config'!#REF!</definedName>
    <definedName name="FRADatax6">#REF!</definedName>
    <definedName name="FutureCurve.ChartRows">#REF!</definedName>
    <definedName name="FuturesConv" localSheetId="0">'EUR Curve Config'!#REF!</definedName>
    <definedName name="FuturesConv">#REF!</definedName>
    <definedName name="FuturesCurve.Copy">#REF!</definedName>
    <definedName name="FuturesCurve.Paste">#REF!</definedName>
    <definedName name="FuturesData" localSheetId="0">'EUR Curve Config'!#REF!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Config'!#REF!</definedName>
    <definedName name="LiborConv">#REF!</definedName>
    <definedName name="LiborData" localSheetId="0">'EUR Curve Config'!#REF!</definedName>
    <definedName name="LiborData">#REF!</definedName>
    <definedName name="MoneyMarketData" localSheetId="0">'EUR Curve Config'!#REF!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>#REF!</definedName>
    <definedName name="RequestAssetSwapGBP">#REF!</definedName>
    <definedName name="RequestAssetSwapJPY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Config'!#REF!</definedName>
    <definedName name="SwapsConv">#REF!</definedName>
    <definedName name="SwapsData" localSheetId="0">'EUR Curve Config'!#REF!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Config'!#REF!</definedName>
    <definedName name="XccyBasisConvEURCSA">#REF!</definedName>
    <definedName name="XccyBasisConvGBPCSA" localSheetId="0">'EUR Curve Config'!#REF!</definedName>
    <definedName name="XccyBasisConvGBPCSA">#REF!</definedName>
    <definedName name="XccyBasisConvJPYCSA" localSheetId="0">'EUR Curve Config'!#REF!</definedName>
    <definedName name="XccyBasisConvJPYCSA">#REF!</definedName>
    <definedName name="XccyBasisConvUSDCSA" localSheetId="0">'EUR Curve Config'!#REF!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Config'!#REF!</definedName>
    <definedName name="XccyBasisData">#REF!</definedName>
    <definedName name="XccyBasisProperties" localSheetId="0">'EUR Curve Config'!#REF!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Config'!#REF!</definedName>
    <definedName name="YieldCurvePropertiesSTD">#REF!</definedName>
    <definedName name="YieldCurvePropertiesTenorBasis" localSheetId="0">'EUR Curve Config'!#REF!</definedName>
    <definedName name="YieldCurvePropertiesTenorBasis">#REF!</definedName>
    <definedName name="YieldCurvePropertiesXccyBasis" localSheetId="0">'EUR Curve Config'!#REF!</definedName>
    <definedName name="YieldCurvePropertiesXccyBasi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12" i="122" l="1" a="1"/>
  <c r="M12" i="122"/>
  <c r="D17" i="118" l="1"/>
  <c r="I13" i="122" l="1"/>
  <c r="I14" i="122"/>
  <c r="I15" i="122"/>
  <c r="I16" i="122"/>
  <c r="I17" i="122"/>
  <c r="I18" i="122"/>
  <c r="I19" i="122"/>
  <c r="I20" i="122"/>
  <c r="I21" i="122"/>
  <c r="I22" i="122"/>
  <c r="I23" i="122"/>
  <c r="I24" i="122"/>
  <c r="I25" i="122"/>
  <c r="I26" i="122"/>
  <c r="I27" i="122"/>
  <c r="I28" i="122"/>
  <c r="I29" i="122"/>
  <c r="I30" i="122"/>
  <c r="I31" i="122"/>
  <c r="I32" i="122"/>
  <c r="I33" i="122"/>
  <c r="I34" i="122"/>
  <c r="I35" i="122"/>
  <c r="I36" i="122"/>
  <c r="I12" i="122"/>
  <c r="C31" i="122" l="1"/>
  <c r="C13" i="122"/>
  <c r="C23" i="122" l="1"/>
  <c r="D23" i="122"/>
  <c r="D39" i="118"/>
  <c r="D28" i="118"/>
  <c r="D29" i="118"/>
  <c r="D40" i="118"/>
  <c r="D41" i="118"/>
  <c r="D30" i="118"/>
  <c r="D42" i="118"/>
  <c r="D6" i="118"/>
  <c r="D31" i="118"/>
  <c r="D32" i="118"/>
  <c r="L12" i="122"/>
  <c r="L13" i="122"/>
  <c r="L14" i="122"/>
  <c r="L15" i="122"/>
  <c r="L16" i="122"/>
  <c r="L17" i="122"/>
  <c r="L18" i="122"/>
  <c r="L19" i="122"/>
  <c r="L20" i="122"/>
  <c r="L21" i="122"/>
  <c r="L22" i="122"/>
  <c r="L23" i="122"/>
  <c r="L24" i="122"/>
  <c r="L25" i="122"/>
  <c r="L26" i="122"/>
  <c r="L27" i="122"/>
  <c r="L28" i="122"/>
  <c r="L29" i="122"/>
  <c r="L30" i="122"/>
  <c r="L31" i="122"/>
  <c r="L32" i="122"/>
  <c r="L33" i="122"/>
  <c r="L34" i="122"/>
  <c r="L35" i="122"/>
  <c r="L36" i="122"/>
  <c r="M17" i="122"/>
  <c r="M16" i="122"/>
  <c r="M15" i="122"/>
  <c r="M18" i="122"/>
  <c r="M19" i="122"/>
  <c r="M20" i="122"/>
  <c r="M21" i="122"/>
  <c r="M22" i="122"/>
  <c r="M23" i="122"/>
  <c r="M24" i="122"/>
  <c r="M25" i="122"/>
  <c r="M26" i="122"/>
  <c r="M27" i="122"/>
  <c r="M28" i="122"/>
  <c r="M29" i="122"/>
  <c r="M30" i="122"/>
  <c r="M31" i="122"/>
  <c r="M32" i="122"/>
  <c r="M33" i="122"/>
  <c r="M34" i="122"/>
  <c r="M35" i="122"/>
  <c r="M36" i="122"/>
  <c r="O36" i="122" l="1"/>
  <c r="O35" i="122"/>
  <c r="O34" i="122"/>
  <c r="O33" i="122"/>
  <c r="O32" i="122"/>
  <c r="O31" i="122"/>
  <c r="O30" i="122"/>
  <c r="O29" i="122"/>
  <c r="O28" i="122"/>
  <c r="O27" i="122"/>
  <c r="O26" i="122"/>
  <c r="O25" i="122"/>
  <c r="O24" i="122"/>
  <c r="O23" i="122"/>
  <c r="O22" i="122"/>
  <c r="O21" i="122"/>
  <c r="O20" i="122"/>
  <c r="O19" i="122"/>
  <c r="O18" i="122"/>
  <c r="D7" i="118"/>
  <c r="M13" i="122"/>
  <c r="M14" i="122"/>
  <c r="D8" i="118" l="1"/>
  <c r="D9" i="118" l="1"/>
  <c r="D10" i="118" l="1"/>
  <c r="D44" i="118" l="1"/>
  <c r="D33" i="118"/>
  <c r="D46" i="118" l="1"/>
  <c r="D36" i="118"/>
  <c r="D13" i="118"/>
  <c r="D14" i="118"/>
  <c r="D45" i="118" l="1"/>
  <c r="D12" i="118"/>
  <c r="D34" i="118"/>
</calcChain>
</file>

<file path=xl/comments1.xml><?xml version="1.0" encoding="utf-8"?>
<comments xmlns="http://schemas.openxmlformats.org/spreadsheetml/2006/main">
  <authors>
    <author>Ye Joseph</author>
  </authors>
  <commentList>
    <comment ref="D16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</commentList>
</comments>
</file>

<file path=xl/sharedStrings.xml><?xml version="1.0" encoding="utf-8"?>
<sst xmlns="http://schemas.openxmlformats.org/spreadsheetml/2006/main" count="950" uniqueCount="191">
  <si>
    <t>TGT</t>
  </si>
  <si>
    <t>Frequency</t>
  </si>
  <si>
    <t>EUR</t>
  </si>
  <si>
    <t>ACT/360</t>
  </si>
  <si>
    <t>Interpolation</t>
  </si>
  <si>
    <t>-</t>
  </si>
  <si>
    <t>Curve Names</t>
  </si>
  <si>
    <t>OIS Curve</t>
  </si>
  <si>
    <t xml:space="preserve"> </t>
  </si>
  <si>
    <t>50Y</t>
  </si>
  <si>
    <t>40Y</t>
  </si>
  <si>
    <t>30Y</t>
  </si>
  <si>
    <t>25Y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</si>
  <si>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</si>
  <si>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</si>
  <si>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</si>
  <si>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</si>
  <si>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</si>
  <si>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</si>
  <si>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</si>
  <si>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</si>
  <si>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</si>
  <si>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4Y</t>
  </si>
  <si>
    <t>3Y</t>
  </si>
  <si>
    <t>MOD_FOLLOWING</t>
  </si>
  <si>
    <t>2Y</t>
  </si>
  <si>
    <t>18M</t>
  </si>
  <si>
    <t>3M</t>
  </si>
  <si>
    <t>Act/360</t>
  </si>
  <si>
    <t>9M</t>
  </si>
  <si>
    <t>2M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</si>
  <si>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</si>
  <si>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</si>
  <si>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</si>
  <si>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</si>
  <si>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</si>
  <si>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</si>
  <si>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</si>
  <si>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</si>
  <si>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no_change</t>
  </si>
  <si>
    <t>false</t>
  </si>
  <si>
    <t>isswaptenoradjust</t>
  </si>
  <si>
    <t>isspotuse</t>
  </si>
  <si>
    <t>9Y</t>
  </si>
  <si>
    <t>slidingrule</t>
  </si>
  <si>
    <t>Calendar</t>
  </si>
  <si>
    <t>8Y</t>
  </si>
  <si>
    <t>continuous</t>
  </si>
  <si>
    <t>frequency</t>
  </si>
  <si>
    <t>Daycount</t>
  </si>
  <si>
    <t>arithmeticaverage</t>
  </si>
  <si>
    <t>shorttermconvention</t>
  </si>
  <si>
    <t>act/365_isda</t>
  </si>
  <si>
    <t>daycount</t>
  </si>
  <si>
    <t>6Y</t>
  </si>
  <si>
    <t>2d</t>
  </si>
  <si>
    <t>resetlag</t>
  </si>
  <si>
    <t>fn_basisfunc2</t>
  </si>
  <si>
    <t>basisfunction</t>
  </si>
  <si>
    <t>EndDate</t>
  </si>
  <si>
    <t>StartDate</t>
  </si>
  <si>
    <t>future.interpolation</t>
  </si>
  <si>
    <t>fn_linearinterpolation</t>
  </si>
  <si>
    <t>basis.interpolation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</si>
  <si>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</si>
  <si>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</si>
  <si>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</si>
  <si>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</si>
  <si>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</si>
  <si>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</si>
  <si>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</si>
  <si>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</si>
  <si>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</si>
  <si>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BaseDate</t>
  </si>
  <si>
    <t>calendar</t>
  </si>
  <si>
    <t>OIS Data</t>
  </si>
  <si>
    <t>OIS Conventions</t>
  </si>
  <si>
    <t>USD</t>
  </si>
  <si>
    <t>EURBASISDISCOUNT</t>
  </si>
  <si>
    <t>GBP</t>
  </si>
  <si>
    <t>JPY</t>
  </si>
  <si>
    <t>OIS</t>
  </si>
  <si>
    <t>OIS:EUROIS</t>
  </si>
  <si>
    <t>3M6MBasis</t>
  </si>
  <si>
    <t>1M3MBasis</t>
  </si>
  <si>
    <t>XccyBasis</t>
  </si>
  <si>
    <t>FwdFXConst</t>
  </si>
  <si>
    <t>12M</t>
  </si>
  <si>
    <t>daycountfix</t>
  </si>
  <si>
    <t>3M12MBasis</t>
  </si>
  <si>
    <t>6M12MBasis</t>
  </si>
  <si>
    <t>Curve Properties</t>
  </si>
  <si>
    <t>3M6MBasis:EUR3MLFORECAST:3ML</t>
  </si>
  <si>
    <t>1M3MBasis:EUR1MLFORECAST:1ML</t>
  </si>
  <si>
    <t>6M12MBasis:EUR12MLFORECAST:12ML</t>
  </si>
  <si>
    <t>STD:EUR6MLFORECAST:6ML</t>
  </si>
  <si>
    <t>XccyBasis:EURDISCOUNT:EURDF:DF</t>
  </si>
  <si>
    <t>OIS:EUROIS:EURDISCOUNT:EURDF:DF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</si>
  <si>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</si>
  <si>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</si>
  <si>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</si>
  <si>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</si>
  <si>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</si>
  <si>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</si>
  <si>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</si>
  <si>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Curve Names: Native CSA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</si>
  <si>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</si>
  <si>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</si>
  <si>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</si>
  <si>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</si>
  <si>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</si>
  <si>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</si>
  <si>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</si>
  <si>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</si>
  <si>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</si>
  <si>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</si>
  <si>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</si>
  <si>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</si>
  <si>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</si>
  <si>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</si>
  <si>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</si>
  <si>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</si>
  <si>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</si>
  <si>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</si>
  <si>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</si>
  <si>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</si>
  <si>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</si>
  <si>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</si>
  <si>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MaturityOrTenor</t>
  </si>
  <si>
    <t>Yield Curve ID</t>
  </si>
  <si>
    <t>2D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</si>
  <si>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</si>
  <si>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</si>
  <si>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</si>
  <si>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</si>
  <si>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</si>
  <si>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</si>
  <si>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</si>
  <si>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</si>
  <si>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</si>
  <si>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</si>
  <si>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</si>
  <si>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</si>
  <si>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</si>
  <si>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</si>
  <si>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</si>
  <si>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</si>
  <si>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</si>
  <si>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</si>
  <si>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</si>
  <si>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</si>
  <si>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XccyBasis:EURDF_USDCSA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</si>
  <si>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</si>
  <si>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</si>
  <si>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</si>
  <si>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</si>
  <si>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</si>
  <si>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</si>
  <si>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</si>
  <si>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</si>
  <si>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Par Rate</t>
  </si>
  <si>
    <t>PV</t>
  </si>
  <si>
    <t>LIBOR Swap Conventions</t>
  </si>
  <si>
    <t>LIBOR-OIS Basis Conventions</t>
  </si>
  <si>
    <t>longterm.generatemethod</t>
  </si>
  <si>
    <t>dailyaveraging</t>
  </si>
  <si>
    <t>Fixing O/N Rates</t>
  </si>
  <si>
    <t>EUR OIS Swap</t>
  </si>
  <si>
    <t>CompMethod</t>
  </si>
  <si>
    <t>GEOMETRIC</t>
  </si>
  <si>
    <t>NORMAL</t>
  </si>
  <si>
    <t>OIS Curve instrument prices</t>
  </si>
  <si>
    <t>OIS Par Rate and PV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</si>
  <si>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</si>
  <si>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</si>
  <si>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</si>
  <si>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</si>
  <si>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</si>
  <si>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</si>
  <si>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</si>
  <si>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</si>
  <si>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</si>
  <si>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</si>
  <si>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COB</t>
  </si>
  <si>
    <t>ShortEnd</t>
  </si>
  <si>
    <t>Instructions</t>
  </si>
  <si>
    <t>1. Refresh worksheets from Left to Right</t>
  </si>
  <si>
    <t>or</t>
  </si>
  <si>
    <t>2. Refresh using Ctrl + Shift + Alt + F9</t>
  </si>
  <si>
    <t>mirOISParRate</t>
  </si>
  <si>
    <t>mirOISSwapPV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</si>
</sst>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000000%"/>
    <numFmt numFmtId="177" formatCode="0.000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0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18" applyNumberFormat="0" applyBorder="0">
      <alignment horizontal="right" vertical="center"/>
    </xf>
    <xf numFmtId="2" fontId="23" fillId="15" borderId="21" applyBorder="0">
      <alignment horizontal="left" vertical="center"/>
    </xf>
    <xf numFmtId="10" fontId="24" fillId="6" borderId="0" applyBorder="0">
      <alignment horizontal="right"/>
      <protection locked="0"/>
    </xf>
    <xf numFmtId="15" fontId="24" fillId="6" borderId="17" applyBorder="0">
      <alignment horizontal="center"/>
      <protection locked="0"/>
    </xf>
    <xf numFmtId="15" fontId="24" fillId="6" borderId="0" applyBorder="0">
      <alignment horizontal="left"/>
      <protection locked="0"/>
    </xf>
    <xf numFmtId="2" fontId="25" fillId="16" borderId="21" applyNumberFormat="0">
      <alignment horizontal="center" vertical="center"/>
    </xf>
    <xf numFmtId="171" fontId="26" fillId="17" borderId="2" applyBorder="0">
      <alignment horizontal="left"/>
      <protection locked="0"/>
    </xf>
    <xf numFmtId="171" fontId="26" fillId="17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23" applyNumberFormat="0" applyFont="0" applyBorder="0" applyAlignment="0" applyProtection="0"/>
    <xf numFmtId="0" fontId="27" fillId="22" borderId="23" applyNumberFormat="0" applyFont="0" applyBorder="0" applyAlignment="0"/>
    <xf numFmtId="0" fontId="27" fillId="23" borderId="23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2" fontId="28" fillId="0" borderId="19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</cellStyleXfs>
  <cellXfs count="145">
    <xf numFmtId="0" fontId="0" fillId="0" borderId="0" xfId="0"/>
    <xf numFmtId="0" fontId="11" fillId="0" borderId="0" xfId="0" applyFont="1"/>
    <xf numFmtId="0" fontId="14" fillId="0" borderId="0" xfId="0" applyFont="1" applyAlignment="1">
      <alignment horizontal="center" vertical="center"/>
    </xf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8" fillId="7" borderId="5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1" fillId="0" borderId="0" xfId="0" applyFont="1"/>
    <xf numFmtId="0" fontId="32" fillId="0" borderId="0" xfId="0" applyFont="1" applyFill="1" applyAlignment="1">
      <alignment horizontal="left" vertical="center"/>
    </xf>
    <xf numFmtId="0" fontId="15" fillId="0" borderId="0" xfId="0" applyFont="1"/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8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0" xfId="0" applyFont="1"/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5" fontId="8" fillId="31" borderId="4" xfId="0" applyNumberFormat="1" applyFont="1" applyFill="1" applyBorder="1" applyAlignment="1">
      <alignment horizontal="center" vertical="center"/>
    </xf>
    <xf numFmtId="175" fontId="8" fillId="31" borderId="5" xfId="0" applyNumberFormat="1" applyFont="1" applyFill="1" applyBorder="1" applyAlignment="1">
      <alignment horizontal="center" vertical="center"/>
    </xf>
    <xf numFmtId="0" fontId="36" fillId="0" borderId="0" xfId="0" applyFont="1"/>
    <xf numFmtId="0" fontId="0" fillId="0" borderId="0" xfId="0" applyAlignment="1">
      <alignment horizontal="center" vertical="center"/>
    </xf>
    <xf numFmtId="0" fontId="35" fillId="8" borderId="6" xfId="0" applyFont="1" applyFill="1" applyBorder="1" applyAlignment="1">
      <alignment horizontal="center" vertical="center"/>
    </xf>
    <xf numFmtId="168" fontId="35" fillId="8" borderId="0" xfId="0" applyNumberFormat="1" applyFont="1" applyFill="1" applyBorder="1" applyAlignment="1">
      <alignment horizontal="center" vertical="center"/>
    </xf>
    <xf numFmtId="0" fontId="35" fillId="8" borderId="8" xfId="0" applyFont="1" applyFill="1" applyBorder="1" applyAlignment="1">
      <alignment horizontal="center" vertical="center"/>
    </xf>
    <xf numFmtId="168" fontId="35" fillId="8" borderId="10" xfId="0" applyNumberFormat="1" applyFont="1" applyFill="1" applyBorder="1" applyAlignment="1">
      <alignment horizontal="center" vertical="center"/>
    </xf>
    <xf numFmtId="4" fontId="35" fillId="8" borderId="11" xfId="0" applyNumberFormat="1" applyFont="1" applyFill="1" applyBorder="1" applyAlignment="1">
      <alignment horizontal="center" vertical="center"/>
    </xf>
    <xf numFmtId="168" fontId="35" fillId="8" borderId="13" xfId="0" applyNumberFormat="1" applyFont="1" applyFill="1" applyBorder="1" applyAlignment="1">
      <alignment horizontal="center" vertical="center"/>
    </xf>
    <xf numFmtId="4" fontId="35" fillId="8" borderId="6" xfId="0" applyNumberFormat="1" applyFont="1" applyFill="1" applyBorder="1" applyAlignment="1">
      <alignment horizontal="center" vertical="center"/>
    </xf>
    <xf numFmtId="168" fontId="35" fillId="8" borderId="7" xfId="0" applyNumberFormat="1" applyFont="1" applyFill="1" applyBorder="1" applyAlignment="1">
      <alignment horizontal="center" vertical="center"/>
    </xf>
    <xf numFmtId="0" fontId="35" fillId="8" borderId="7" xfId="0" applyFont="1" applyFill="1" applyBorder="1" applyAlignment="1">
      <alignment horizontal="center" vertical="center"/>
    </xf>
    <xf numFmtId="4" fontId="35" fillId="8" borderId="8" xfId="0" applyNumberFormat="1" applyFont="1" applyFill="1" applyBorder="1" applyAlignment="1">
      <alignment horizontal="center" vertical="center"/>
    </xf>
    <xf numFmtId="0" fontId="35" fillId="8" borderId="9" xfId="0" applyFont="1" applyFill="1" applyBorder="1" applyAlignment="1">
      <alignment horizontal="center" vertical="center"/>
    </xf>
    <xf numFmtId="169" fontId="35" fillId="8" borderId="13" xfId="0" applyNumberFormat="1" applyFont="1" applyFill="1" applyBorder="1" applyAlignment="1">
      <alignment horizontal="center" vertical="center"/>
    </xf>
    <xf numFmtId="169" fontId="35" fillId="8" borderId="7" xfId="0" applyNumberFormat="1" applyFont="1" applyFill="1" applyBorder="1" applyAlignment="1">
      <alignment horizontal="center" vertical="center"/>
    </xf>
    <xf numFmtId="169" fontId="35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5" fontId="35" fillId="8" borderId="0" xfId="0" applyNumberFormat="1" applyFont="1" applyFill="1" applyBorder="1" applyAlignment="1">
      <alignment horizontal="center" vertical="center"/>
    </xf>
    <xf numFmtId="0" fontId="8" fillId="8" borderId="6" xfId="0" quotePrefix="1" applyFont="1" applyFill="1" applyBorder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4" borderId="4" xfId="0" quotePrefix="1" applyFont="1" applyFill="1" applyBorder="1" applyAlignment="1">
      <alignment horizontal="center" vertical="center"/>
    </xf>
    <xf numFmtId="0" fontId="35" fillId="4" borderId="4" xfId="0" quotePrefix="1" applyFont="1" applyFill="1" applyBorder="1" applyAlignment="1">
      <alignment horizontal="left" vertical="center"/>
    </xf>
    <xf numFmtId="0" fontId="8" fillId="30" borderId="3" xfId="0" applyFont="1" applyFill="1" applyBorder="1"/>
    <xf numFmtId="0" fontId="8" fillId="30" borderId="4" xfId="0" applyFont="1" applyFill="1" applyBorder="1"/>
    <xf numFmtId="0" fontId="8" fillId="30" borderId="25" xfId="0" applyFont="1" applyFill="1" applyBorder="1"/>
    <xf numFmtId="0" fontId="8" fillId="30" borderId="5" xfId="0" applyFont="1" applyFill="1" applyBorder="1"/>
    <xf numFmtId="0" fontId="31" fillId="0" borderId="4" xfId="0" applyFont="1" applyBorder="1" applyAlignment="1">
      <alignment horizontal="center"/>
    </xf>
    <xf numFmtId="0" fontId="33" fillId="30" borderId="4" xfId="0" applyFont="1" applyFill="1" applyBorder="1"/>
    <xf numFmtId="0" fontId="35" fillId="32" borderId="2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left" vertical="center"/>
    </xf>
    <xf numFmtId="0" fontId="35" fillId="32" borderId="25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4" fontId="35" fillId="30" borderId="24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6" fillId="4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70" fontId="8" fillId="31" borderId="5" xfId="54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76" fontId="0" fillId="0" borderId="0" xfId="0" applyNumberFormat="1"/>
    <xf numFmtId="170" fontId="6" fillId="31" borderId="5" xfId="54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9" fontId="35" fillId="8" borderId="0" xfId="0" applyNumberFormat="1" applyFont="1" applyFill="1" applyBorder="1" applyAlignment="1">
      <alignment horizontal="center" vertical="center"/>
    </xf>
    <xf numFmtId="0" fontId="8" fillId="0" borderId="6" xfId="0" quotePrefix="1" applyFont="1" applyFill="1" applyBorder="1" applyAlignment="1">
      <alignment horizontal="center" vertical="center"/>
    </xf>
    <xf numFmtId="0" fontId="38" fillId="0" borderId="0" xfId="0" applyFont="1"/>
    <xf numFmtId="177" fontId="0" fillId="0" borderId="27" xfId="54" applyNumberFormat="1" applyFont="1" applyBorder="1" applyAlignment="1">
      <alignment horizontal="center" vertical="center"/>
    </xf>
    <xf numFmtId="177" fontId="0" fillId="0" borderId="28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169" fontId="0" fillId="0" borderId="31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6" fillId="4" borderId="5" xfId="54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7" fontId="0" fillId="0" borderId="30" xfId="0" applyNumberFormat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0" fontId="14" fillId="0" borderId="0" xfId="0" applyFont="1"/>
    <xf numFmtId="0" fontId="39" fillId="0" borderId="0" xfId="0" applyFon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F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</cols>
  <sheetData>
    <row r="1" spans="2:32">
      <c r="N1" s="71"/>
    </row>
    <row r="2" spans="2:32">
      <c r="C2" s="126" t="s">
        <v>183</v>
      </c>
      <c r="N2" s="86"/>
      <c r="O2" s="86"/>
      <c r="P2" s="86"/>
    </row>
    <row r="3" spans="2:32">
      <c r="B3" s="111" t="s">
        <v>106</v>
      </c>
      <c r="C3" s="110">
        <v>42429</v>
      </c>
      <c r="N3" s="86"/>
      <c r="O3" s="86"/>
      <c r="P3" s="86"/>
    </row>
    <row r="4" spans="2:32">
      <c r="N4" s="86"/>
      <c r="O4" s="86"/>
      <c r="P4" s="86"/>
    </row>
    <row r="5" spans="2:32" s="53" customFormat="1" ht="23.25">
      <c r="B5" s="52" t="s">
        <v>6</v>
      </c>
      <c r="G5" s="52" t="s">
        <v>7</v>
      </c>
      <c r="J5"/>
      <c r="K5"/>
      <c r="M5"/>
      <c r="N5" s="86"/>
      <c r="O5" s="86"/>
      <c r="P5" s="86"/>
    </row>
    <row r="7" spans="2:32">
      <c r="B7" s="1" t="s">
        <v>143</v>
      </c>
      <c r="C7" s="2"/>
      <c r="F7" t="s">
        <v>8</v>
      </c>
      <c r="G7" s="1" t="s">
        <v>91</v>
      </c>
      <c r="H7" s="2"/>
      <c r="J7" s="1" t="s">
        <v>76</v>
      </c>
      <c r="M7" s="1" t="s">
        <v>75</v>
      </c>
      <c r="S7" s="1" t="s">
        <v>166</v>
      </c>
      <c r="V7" s="1" t="s">
        <v>163</v>
      </c>
      <c r="Y7" s="1" t="s">
        <v>140</v>
      </c>
      <c r="AB7" s="1" t="s">
        <v>162</v>
      </c>
      <c r="AE7" s="1" t="s">
        <v>139</v>
      </c>
    </row>
    <row r="8" spans="2:32">
      <c r="B8" s="12" t="s">
        <v>81</v>
      </c>
      <c r="C8" s="39" t="s">
        <v>146</v>
      </c>
      <c r="D8" s="40"/>
      <c r="E8" s="41"/>
      <c r="F8" t="s">
        <v>8</v>
      </c>
      <c r="G8" s="12" t="s">
        <v>72</v>
      </c>
      <c r="H8" s="33">
        <v>42429</v>
      </c>
      <c r="J8" s="17" t="s">
        <v>74</v>
      </c>
      <c r="K8" s="11" t="s">
        <v>0</v>
      </c>
      <c r="M8" s="19" t="s">
        <v>34</v>
      </c>
      <c r="N8" s="20" t="s">
        <v>33</v>
      </c>
      <c r="O8" s="20" t="s">
        <v>60</v>
      </c>
      <c r="P8" s="20" t="s">
        <v>59</v>
      </c>
      <c r="Q8" s="21" t="s">
        <v>131</v>
      </c>
      <c r="S8" s="15" t="s">
        <v>73</v>
      </c>
      <c r="T8" s="16" t="s">
        <v>33</v>
      </c>
      <c r="V8" s="17" t="s">
        <v>45</v>
      </c>
      <c r="W8" s="11" t="s">
        <v>0</v>
      </c>
      <c r="Y8" s="15" t="s">
        <v>34</v>
      </c>
      <c r="Z8" s="16" t="s">
        <v>33</v>
      </c>
      <c r="AB8" s="17" t="s">
        <v>74</v>
      </c>
      <c r="AC8" s="11" t="s">
        <v>0</v>
      </c>
      <c r="AE8" s="15" t="s">
        <v>34</v>
      </c>
      <c r="AF8" s="16" t="s">
        <v>33</v>
      </c>
    </row>
    <row r="9" spans="2:32">
      <c r="B9" s="13" t="s">
        <v>31</v>
      </c>
      <c r="C9" s="42" t="s">
        <v>144</v>
      </c>
      <c r="D9" s="43"/>
      <c r="E9" s="44"/>
      <c r="F9" t="s">
        <v>8</v>
      </c>
      <c r="G9" s="13" t="s">
        <v>70</v>
      </c>
      <c r="H9" s="22" t="s">
        <v>2</v>
      </c>
      <c r="J9" s="18" t="s">
        <v>53</v>
      </c>
      <c r="K9" s="6" t="s">
        <v>3</v>
      </c>
      <c r="L9" s="70"/>
      <c r="M9" s="72" t="s">
        <v>32</v>
      </c>
      <c r="N9" s="119">
        <v>-2.2699999999999999E-3</v>
      </c>
      <c r="O9" s="23" t="s">
        <v>36</v>
      </c>
      <c r="P9" s="23" t="s">
        <v>36</v>
      </c>
      <c r="Q9" s="24" t="b">
        <v>1</v>
      </c>
      <c r="S9" s="27"/>
      <c r="T9" s="28"/>
      <c r="V9" s="18" t="s">
        <v>49</v>
      </c>
      <c r="W9" s="6" t="s">
        <v>3</v>
      </c>
      <c r="Y9" s="76" t="s">
        <v>25</v>
      </c>
      <c r="Z9" s="83">
        <v>1.5300000000000001E-3</v>
      </c>
      <c r="AB9" s="18" t="s">
        <v>88</v>
      </c>
      <c r="AC9" s="6" t="s">
        <v>71</v>
      </c>
      <c r="AE9" s="76" t="s">
        <v>25</v>
      </c>
      <c r="AF9" s="77">
        <v>-3.4499999999999999E-3</v>
      </c>
    </row>
    <row r="10" spans="2:32">
      <c r="B10" s="13" t="s">
        <v>83</v>
      </c>
      <c r="C10" s="45" t="s">
        <v>145</v>
      </c>
      <c r="D10" s="46"/>
      <c r="E10" s="47"/>
      <c r="F10" t="s">
        <v>8</v>
      </c>
      <c r="G10" s="13" t="s">
        <v>69</v>
      </c>
      <c r="H10" s="22" t="s">
        <v>19</v>
      </c>
      <c r="J10" s="18" t="s">
        <v>48</v>
      </c>
      <c r="K10" s="6" t="s">
        <v>66</v>
      </c>
      <c r="L10" s="70"/>
      <c r="M10" s="72" t="s">
        <v>132</v>
      </c>
      <c r="N10" s="119">
        <v>-3.7000000000000002E-3</v>
      </c>
      <c r="O10" s="89">
        <v>42439</v>
      </c>
      <c r="P10" s="89">
        <v>42481</v>
      </c>
      <c r="Q10" s="24" t="b">
        <v>1</v>
      </c>
      <c r="S10" s="29"/>
      <c r="T10" s="30"/>
      <c r="V10" s="18" t="s">
        <v>1</v>
      </c>
      <c r="W10" s="6" t="s">
        <v>35</v>
      </c>
      <c r="Y10" s="78" t="s">
        <v>23</v>
      </c>
      <c r="Z10" s="84">
        <v>1.6100000000000001E-3</v>
      </c>
      <c r="AB10" s="18" t="s">
        <v>142</v>
      </c>
      <c r="AC10" s="6" t="s">
        <v>66</v>
      </c>
      <c r="AE10" s="78" t="s">
        <v>23</v>
      </c>
      <c r="AF10" s="79">
        <v>-3.1700000000000001E-3</v>
      </c>
    </row>
    <row r="11" spans="2:32">
      <c r="B11" s="13" t="s">
        <v>84</v>
      </c>
      <c r="C11" s="45" t="s">
        <v>147</v>
      </c>
      <c r="D11" s="46"/>
      <c r="E11" s="47"/>
      <c r="F11" t="s">
        <v>8</v>
      </c>
      <c r="G11" s="13" t="s">
        <v>38</v>
      </c>
      <c r="H11" s="22" t="s">
        <v>19</v>
      </c>
      <c r="J11" s="18" t="s">
        <v>65</v>
      </c>
      <c r="K11" s="6" t="s">
        <v>64</v>
      </c>
      <c r="L11" s="70"/>
      <c r="M11" s="72" t="s">
        <v>133</v>
      </c>
      <c r="N11" s="119">
        <v>-3.8900000000000002E-3</v>
      </c>
      <c r="O11" s="89">
        <v>42481</v>
      </c>
      <c r="P11" s="89">
        <v>42523</v>
      </c>
      <c r="Q11" s="24" t="b">
        <v>1</v>
      </c>
      <c r="S11" s="29"/>
      <c r="T11" s="30"/>
      <c r="V11" s="18" t="s">
        <v>37</v>
      </c>
      <c r="W11" s="6" t="s">
        <v>24</v>
      </c>
      <c r="Y11" s="78" t="s">
        <v>22</v>
      </c>
      <c r="Z11" s="84">
        <v>1.6600000000000002E-3</v>
      </c>
      <c r="AB11" s="18" t="s">
        <v>44</v>
      </c>
      <c r="AC11" s="6" t="s">
        <v>24</v>
      </c>
      <c r="AE11" s="78" t="s">
        <v>22</v>
      </c>
      <c r="AF11" s="79">
        <v>-2.5100000000000001E-3</v>
      </c>
    </row>
    <row r="12" spans="2:32">
      <c r="B12" s="13" t="s">
        <v>90</v>
      </c>
      <c r="C12" s="45" t="s">
        <v>148</v>
      </c>
      <c r="D12" s="46"/>
      <c r="E12" s="47"/>
      <c r="F12" t="s">
        <v>8</v>
      </c>
      <c r="G12" s="13" t="s">
        <v>61</v>
      </c>
      <c r="H12" s="22" t="s">
        <v>19</v>
      </c>
      <c r="J12" s="18" t="s">
        <v>56</v>
      </c>
      <c r="K12" s="6" t="s">
        <v>55</v>
      </c>
      <c r="L12" s="70"/>
      <c r="M12" s="72" t="s">
        <v>134</v>
      </c>
      <c r="N12" s="119">
        <v>-4.4000000000000003E-3</v>
      </c>
      <c r="O12" s="89">
        <v>42523</v>
      </c>
      <c r="P12" s="89">
        <v>42572</v>
      </c>
      <c r="Q12" s="24" t="b">
        <v>1</v>
      </c>
      <c r="S12" s="29"/>
      <c r="T12" s="30"/>
      <c r="V12" s="18"/>
      <c r="W12" s="6"/>
      <c r="Y12" s="78" t="s">
        <v>21</v>
      </c>
      <c r="Z12" s="84">
        <v>1.6899999999999999E-3</v>
      </c>
      <c r="AB12" s="18"/>
      <c r="AC12" s="6"/>
      <c r="AE12" s="78" t="s">
        <v>21</v>
      </c>
      <c r="AF12" s="79">
        <v>-1.66E-3</v>
      </c>
    </row>
    <row r="13" spans="2:32">
      <c r="B13" s="13" t="s">
        <v>85</v>
      </c>
      <c r="C13" s="45" t="s">
        <v>151</v>
      </c>
      <c r="D13" s="46"/>
      <c r="E13" s="47"/>
      <c r="F13" t="s">
        <v>8</v>
      </c>
      <c r="G13" s="13" t="s">
        <v>63</v>
      </c>
      <c r="H13" s="22" t="s">
        <v>62</v>
      </c>
      <c r="J13" s="18" t="s">
        <v>68</v>
      </c>
      <c r="K13" s="6" t="s">
        <v>67</v>
      </c>
      <c r="L13" s="70"/>
      <c r="M13" s="72" t="s">
        <v>135</v>
      </c>
      <c r="N13" s="119">
        <v>-4.5799999999999999E-3</v>
      </c>
      <c r="O13" s="89">
        <v>42572</v>
      </c>
      <c r="P13" s="89">
        <v>42621</v>
      </c>
      <c r="Q13" s="24" t="b">
        <v>1</v>
      </c>
      <c r="S13" s="29"/>
      <c r="T13" s="30"/>
      <c r="V13" s="18"/>
      <c r="W13" s="6"/>
      <c r="Y13" s="78" t="s">
        <v>54</v>
      </c>
      <c r="Z13" s="84">
        <v>1.6800000000000001E-3</v>
      </c>
      <c r="AB13" s="18"/>
      <c r="AC13" s="6"/>
      <c r="AE13" s="78" t="s">
        <v>54</v>
      </c>
      <c r="AF13" s="79">
        <v>-6.0999999999999997E-4</v>
      </c>
    </row>
    <row r="14" spans="2:32">
      <c r="B14" s="13" t="s">
        <v>86</v>
      </c>
      <c r="C14" s="90" t="s">
        <v>5</v>
      </c>
      <c r="D14" s="46"/>
      <c r="E14" s="47"/>
      <c r="F14" t="s">
        <v>8</v>
      </c>
      <c r="G14" s="13" t="s">
        <v>58</v>
      </c>
      <c r="H14" s="22" t="s">
        <v>57</v>
      </c>
      <c r="J14" s="18" t="s">
        <v>44</v>
      </c>
      <c r="K14" s="6" t="s">
        <v>24</v>
      </c>
      <c r="L14" s="70"/>
      <c r="M14" s="72" t="s">
        <v>136</v>
      </c>
      <c r="N14" s="119">
        <v>-5.0000000000000001E-3</v>
      </c>
      <c r="O14" s="89">
        <v>42621</v>
      </c>
      <c r="P14" s="89">
        <v>42663</v>
      </c>
      <c r="Q14" s="24" t="b">
        <v>1</v>
      </c>
      <c r="S14" s="29"/>
      <c r="T14" s="30"/>
      <c r="V14" s="18"/>
      <c r="W14" s="6"/>
      <c r="Y14" s="78" t="s">
        <v>20</v>
      </c>
      <c r="Z14" s="84">
        <v>1.6699999999999998E-3</v>
      </c>
      <c r="AB14" s="18"/>
      <c r="AC14" s="6"/>
      <c r="AE14" s="78" t="s">
        <v>20</v>
      </c>
      <c r="AF14" s="79">
        <v>5.8999999999999992E-4</v>
      </c>
    </row>
    <row r="15" spans="2:32">
      <c r="B15" s="13" t="s">
        <v>86</v>
      </c>
      <c r="C15" s="45" t="s">
        <v>149</v>
      </c>
      <c r="D15" s="46"/>
      <c r="E15" s="47"/>
      <c r="F15" t="s">
        <v>8</v>
      </c>
      <c r="G15" s="13" t="s">
        <v>53</v>
      </c>
      <c r="H15" s="22" t="s">
        <v>52</v>
      </c>
      <c r="J15" s="18" t="s">
        <v>51</v>
      </c>
      <c r="K15" s="6" t="s">
        <v>50</v>
      </c>
      <c r="L15" s="70"/>
      <c r="M15" s="72" t="s">
        <v>87</v>
      </c>
      <c r="N15" s="119">
        <v>-4.5500000000000002E-3</v>
      </c>
      <c r="O15" s="89" t="s">
        <v>36</v>
      </c>
      <c r="P15" s="89" t="s">
        <v>36</v>
      </c>
      <c r="Q15" s="24" t="b">
        <v>1</v>
      </c>
      <c r="S15" s="29"/>
      <c r="T15" s="30"/>
      <c r="V15" s="18"/>
      <c r="W15" s="6"/>
      <c r="Y15" s="78" t="s">
        <v>46</v>
      </c>
      <c r="Z15" s="84">
        <v>1.6600000000000002E-3</v>
      </c>
      <c r="AB15" s="18"/>
      <c r="AC15" s="6"/>
      <c r="AE15" s="78" t="s">
        <v>46</v>
      </c>
      <c r="AF15" s="79">
        <v>1.7899999999999999E-3</v>
      </c>
    </row>
    <row r="16" spans="2:32">
      <c r="B16" s="13" t="s">
        <v>86</v>
      </c>
      <c r="C16" s="45" t="s">
        <v>150</v>
      </c>
      <c r="D16" s="46"/>
      <c r="E16" s="47"/>
      <c r="F16" t="s">
        <v>8</v>
      </c>
      <c r="G16" s="13" t="s">
        <v>48</v>
      </c>
      <c r="H16" s="22" t="s">
        <v>47</v>
      </c>
      <c r="J16" s="18" t="s">
        <v>137</v>
      </c>
      <c r="K16" s="6" t="s">
        <v>141</v>
      </c>
      <c r="L16" s="70"/>
      <c r="M16" s="72" t="s">
        <v>26</v>
      </c>
      <c r="N16" s="119">
        <v>-4.8399999999999997E-3</v>
      </c>
      <c r="O16" s="89" t="s">
        <v>36</v>
      </c>
      <c r="P16" s="89" t="s">
        <v>36</v>
      </c>
      <c r="Q16" s="24" t="b">
        <v>1</v>
      </c>
      <c r="S16" s="29"/>
      <c r="T16" s="30"/>
      <c r="V16" s="18"/>
      <c r="W16" s="6"/>
      <c r="Y16" s="78" t="s">
        <v>43</v>
      </c>
      <c r="Z16" s="84">
        <v>1.65E-3</v>
      </c>
      <c r="AB16" s="18"/>
      <c r="AC16" s="6"/>
      <c r="AE16" s="78" t="s">
        <v>43</v>
      </c>
      <c r="AF16" s="79">
        <v>2.9199999999999999E-3</v>
      </c>
    </row>
    <row r="17" spans="2:32">
      <c r="B17" s="14"/>
      <c r="C17" s="48"/>
      <c r="D17" s="49"/>
      <c r="E17" s="50"/>
      <c r="F17" t="s">
        <v>8</v>
      </c>
      <c r="G17" s="13" t="s">
        <v>44</v>
      </c>
      <c r="H17" s="22" t="s">
        <v>39</v>
      </c>
      <c r="J17" s="18" t="s">
        <v>138</v>
      </c>
      <c r="K17" s="6" t="s">
        <v>181</v>
      </c>
      <c r="L17" s="70"/>
      <c r="M17" s="72" t="s">
        <v>25</v>
      </c>
      <c r="N17" s="119">
        <v>-4.9499999999999995E-3</v>
      </c>
      <c r="O17" s="89" t="s">
        <v>36</v>
      </c>
      <c r="P17" s="89" t="s">
        <v>36</v>
      </c>
      <c r="Q17" s="24" t="b">
        <v>1</v>
      </c>
      <c r="S17" s="29"/>
      <c r="T17" s="30"/>
      <c r="V17" s="18"/>
      <c r="W17" s="6"/>
      <c r="Y17" s="78" t="s">
        <v>18</v>
      </c>
      <c r="Z17" s="84">
        <v>1.64E-3</v>
      </c>
      <c r="AB17" s="18"/>
      <c r="AC17" s="6"/>
      <c r="AE17" s="78" t="s">
        <v>18</v>
      </c>
      <c r="AF17" s="79">
        <v>3.9399999999999999E-3</v>
      </c>
    </row>
    <row r="18" spans="2:32">
      <c r="F18" t="s">
        <v>8</v>
      </c>
      <c r="G18" s="13" t="s">
        <v>42</v>
      </c>
      <c r="H18" s="22" t="s">
        <v>40</v>
      </c>
      <c r="J18" s="13" t="s">
        <v>164</v>
      </c>
      <c r="K18" s="6" t="s">
        <v>165</v>
      </c>
      <c r="L18" s="70"/>
      <c r="M18" s="72" t="s">
        <v>23</v>
      </c>
      <c r="N18" s="119">
        <v>-4.7299999999999998E-3</v>
      </c>
      <c r="O18" s="89" t="s">
        <v>36</v>
      </c>
      <c r="P18" s="89" t="s">
        <v>36</v>
      </c>
      <c r="Q18" s="24" t="b">
        <v>1</v>
      </c>
      <c r="S18" s="29"/>
      <c r="T18" s="30"/>
      <c r="V18" s="13"/>
      <c r="W18" s="6"/>
      <c r="Y18" s="78" t="s">
        <v>104</v>
      </c>
      <c r="Z18" s="84">
        <v>1.6199999999999999E-3</v>
      </c>
      <c r="AB18" s="13"/>
      <c r="AC18" s="6"/>
      <c r="AE18" s="78" t="s">
        <v>104</v>
      </c>
      <c r="AF18" s="79">
        <v>4.8799999999999998E-3</v>
      </c>
    </row>
    <row r="19" spans="2:32">
      <c r="B19" s="1" t="s">
        <v>105</v>
      </c>
      <c r="C19" s="2"/>
      <c r="F19" t="s">
        <v>8</v>
      </c>
      <c r="G19" s="13" t="s">
        <v>41</v>
      </c>
      <c r="H19" s="22" t="s">
        <v>40</v>
      </c>
      <c r="J19" s="13"/>
      <c r="K19" s="5"/>
      <c r="L19" s="70"/>
      <c r="M19" s="72" t="s">
        <v>22</v>
      </c>
      <c r="N19" s="119">
        <v>-4.13E-3</v>
      </c>
      <c r="O19" s="23" t="s">
        <v>36</v>
      </c>
      <c r="P19" s="23" t="s">
        <v>36</v>
      </c>
      <c r="Q19" s="24" t="b">
        <v>1</v>
      </c>
      <c r="S19" s="29"/>
      <c r="T19" s="30"/>
      <c r="V19" s="13"/>
      <c r="W19" s="6"/>
      <c r="Y19" s="78" t="s">
        <v>17</v>
      </c>
      <c r="Z19" s="84">
        <v>1.6000000000000001E-3</v>
      </c>
      <c r="AB19" s="13"/>
      <c r="AC19" s="6"/>
      <c r="AE19" s="78" t="s">
        <v>17</v>
      </c>
      <c r="AF19" s="79">
        <v>5.6899999999999997E-3</v>
      </c>
    </row>
    <row r="20" spans="2:32">
      <c r="B20" s="12" t="s">
        <v>81</v>
      </c>
      <c r="C20" s="39" t="s">
        <v>97</v>
      </c>
      <c r="D20" s="40"/>
      <c r="E20" s="41"/>
      <c r="F20" t="s">
        <v>8</v>
      </c>
      <c r="G20" s="13"/>
      <c r="H20" s="22"/>
      <c r="J20" s="13"/>
      <c r="K20" s="5"/>
      <c r="L20" s="70"/>
      <c r="M20" s="72" t="s">
        <v>21</v>
      </c>
      <c r="N20" s="119">
        <v>-3.3300000000000001E-3</v>
      </c>
      <c r="O20" s="23" t="s">
        <v>36</v>
      </c>
      <c r="P20" s="23" t="s">
        <v>36</v>
      </c>
      <c r="Q20" s="24" t="b">
        <v>1</v>
      </c>
      <c r="S20" s="29"/>
      <c r="T20" s="30"/>
      <c r="V20" s="13"/>
      <c r="W20" s="5"/>
      <c r="Y20" s="78" t="s">
        <v>16</v>
      </c>
      <c r="Z20" s="84">
        <v>1.5300000000000001E-3</v>
      </c>
      <c r="AB20" s="13"/>
      <c r="AC20" s="5"/>
      <c r="AE20" s="78" t="s">
        <v>16</v>
      </c>
      <c r="AF20" s="79">
        <v>7.4999999999999997E-3</v>
      </c>
    </row>
    <row r="21" spans="2:32">
      <c r="B21" s="13" t="s">
        <v>31</v>
      </c>
      <c r="C21" s="42" t="s">
        <v>95</v>
      </c>
      <c r="D21" s="43"/>
      <c r="E21" s="44"/>
      <c r="F21" t="s">
        <v>8</v>
      </c>
      <c r="G21" s="13"/>
      <c r="H21" s="22"/>
      <c r="J21" s="13"/>
      <c r="K21" s="5"/>
      <c r="L21" s="70"/>
      <c r="M21" s="72" t="s">
        <v>54</v>
      </c>
      <c r="N21" s="119">
        <v>-2.2799999999999999E-3</v>
      </c>
      <c r="O21" s="23" t="s">
        <v>36</v>
      </c>
      <c r="P21" s="23" t="s">
        <v>36</v>
      </c>
      <c r="Q21" s="24" t="b">
        <v>1</v>
      </c>
      <c r="S21" s="29"/>
      <c r="T21" s="30"/>
      <c r="V21" s="13"/>
      <c r="W21" s="5"/>
      <c r="Y21" s="78" t="s">
        <v>13</v>
      </c>
      <c r="Z21" s="84">
        <v>1.3500000000000001E-3</v>
      </c>
      <c r="AB21" s="13"/>
      <c r="AC21" s="5"/>
      <c r="AE21" s="78" t="s">
        <v>13</v>
      </c>
      <c r="AF21" s="79">
        <v>8.94E-3</v>
      </c>
    </row>
    <row r="22" spans="2:32">
      <c r="B22" s="13" t="s">
        <v>83</v>
      </c>
      <c r="C22" s="42" t="s">
        <v>92</v>
      </c>
      <c r="D22" s="46"/>
      <c r="E22" s="47"/>
      <c r="F22" t="s">
        <v>8</v>
      </c>
      <c r="G22" s="13"/>
      <c r="H22" s="6"/>
      <c r="J22" s="13"/>
      <c r="K22" s="6"/>
      <c r="L22" s="70"/>
      <c r="M22" s="72" t="s">
        <v>20</v>
      </c>
      <c r="N22" s="119">
        <v>-1.09E-3</v>
      </c>
      <c r="O22" s="23" t="s">
        <v>36</v>
      </c>
      <c r="P22" s="23" t="s">
        <v>36</v>
      </c>
      <c r="Q22" s="24" t="b">
        <v>1</v>
      </c>
      <c r="S22" s="29"/>
      <c r="T22" s="30"/>
      <c r="V22" s="13"/>
      <c r="W22" s="6"/>
      <c r="Y22" s="78" t="s">
        <v>12</v>
      </c>
      <c r="Z22" s="84">
        <v>1.2099999999999999E-3</v>
      </c>
      <c r="AB22" s="13"/>
      <c r="AC22" s="6"/>
      <c r="AE22" s="78" t="s">
        <v>12</v>
      </c>
      <c r="AF22" s="79">
        <v>9.389999999999999E-3</v>
      </c>
    </row>
    <row r="23" spans="2:32">
      <c r="B23" s="13" t="s">
        <v>84</v>
      </c>
      <c r="C23" s="45" t="s">
        <v>93</v>
      </c>
      <c r="D23" s="46"/>
      <c r="E23" s="47"/>
      <c r="F23" t="s">
        <v>8</v>
      </c>
      <c r="G23" s="3"/>
      <c r="H23" s="9"/>
      <c r="J23" s="3"/>
      <c r="K23" s="9"/>
      <c r="L23" s="70"/>
      <c r="M23" s="72" t="s">
        <v>46</v>
      </c>
      <c r="N23" s="119">
        <v>1E-4</v>
      </c>
      <c r="O23" s="23" t="s">
        <v>36</v>
      </c>
      <c r="P23" s="23" t="s">
        <v>36</v>
      </c>
      <c r="Q23" s="24" t="b">
        <v>1</v>
      </c>
      <c r="S23" s="29"/>
      <c r="T23" s="30"/>
      <c r="V23" s="3"/>
      <c r="W23" s="9"/>
      <c r="Y23" s="78" t="s">
        <v>11</v>
      </c>
      <c r="Z23" s="84">
        <v>1.1099999999999999E-3</v>
      </c>
      <c r="AB23" s="3"/>
      <c r="AC23" s="9"/>
      <c r="AE23" s="78" t="s">
        <v>11</v>
      </c>
      <c r="AF23" s="79">
        <v>9.4999999999999998E-3</v>
      </c>
    </row>
    <row r="24" spans="2:32">
      <c r="B24" s="13" t="s">
        <v>90</v>
      </c>
      <c r="C24" s="45" t="s">
        <v>94</v>
      </c>
      <c r="D24" s="46"/>
      <c r="E24" s="47"/>
      <c r="F24" t="s">
        <v>8</v>
      </c>
      <c r="G24" s="4"/>
      <c r="H24" s="10"/>
      <c r="J24" s="4"/>
      <c r="K24" s="10"/>
      <c r="L24" s="70"/>
      <c r="M24" s="72" t="s">
        <v>43</v>
      </c>
      <c r="N24" s="119">
        <v>1.2199999999999999E-3</v>
      </c>
      <c r="O24" s="23" t="s">
        <v>36</v>
      </c>
      <c r="P24" s="23" t="s">
        <v>36</v>
      </c>
      <c r="Q24" s="24" t="b">
        <v>1</v>
      </c>
      <c r="S24" s="29"/>
      <c r="T24" s="30"/>
      <c r="V24" s="4"/>
      <c r="W24" s="10"/>
      <c r="Y24" s="78" t="s">
        <v>10</v>
      </c>
      <c r="Z24" s="84">
        <v>9.5E-4</v>
      </c>
      <c r="AB24" s="4"/>
      <c r="AC24" s="10"/>
      <c r="AE24" s="78" t="s">
        <v>10</v>
      </c>
      <c r="AF24" s="79">
        <v>9.4599999999999997E-3</v>
      </c>
    </row>
    <row r="25" spans="2:32">
      <c r="B25" s="13" t="s">
        <v>85</v>
      </c>
      <c r="C25" s="45" t="s">
        <v>98</v>
      </c>
      <c r="D25" s="46"/>
      <c r="E25" s="47"/>
      <c r="F25" t="s">
        <v>8</v>
      </c>
      <c r="L25" s="70"/>
      <c r="M25" s="72" t="s">
        <v>18</v>
      </c>
      <c r="N25" s="119">
        <v>2.2400000000000002E-3</v>
      </c>
      <c r="O25" s="23" t="s">
        <v>36</v>
      </c>
      <c r="P25" s="23" t="s">
        <v>36</v>
      </c>
      <c r="Q25" s="24" t="b">
        <v>1</v>
      </c>
      <c r="S25" s="29"/>
      <c r="T25" s="30"/>
      <c r="Y25" s="78" t="s">
        <v>9</v>
      </c>
      <c r="Z25" s="84">
        <v>8.5999999999999998E-4</v>
      </c>
      <c r="AE25" s="78" t="s">
        <v>9</v>
      </c>
      <c r="AF25" s="79">
        <v>8.9200000000000008E-3</v>
      </c>
    </row>
    <row r="26" spans="2:32">
      <c r="B26" s="13"/>
      <c r="C26" s="45"/>
      <c r="D26" s="46"/>
      <c r="E26" s="47"/>
      <c r="F26" t="s">
        <v>8</v>
      </c>
      <c r="L26" s="70"/>
      <c r="M26" s="72" t="s">
        <v>104</v>
      </c>
      <c r="N26" s="119">
        <v>3.1900000000000001E-3</v>
      </c>
      <c r="O26" s="23" t="s">
        <v>36</v>
      </c>
      <c r="P26" s="23" t="s">
        <v>36</v>
      </c>
      <c r="Q26" s="24" t="b">
        <v>1</v>
      </c>
      <c r="S26" s="29"/>
      <c r="T26" s="30"/>
      <c r="Y26" s="78" t="s">
        <v>36</v>
      </c>
      <c r="Z26" s="84" t="s">
        <v>36</v>
      </c>
      <c r="AE26" s="78" t="s">
        <v>36</v>
      </c>
      <c r="AF26" s="79" t="s">
        <v>36</v>
      </c>
    </row>
    <row r="27" spans="2:32">
      <c r="B27" s="14"/>
      <c r="C27" s="48"/>
      <c r="D27" s="49"/>
      <c r="E27" s="50"/>
      <c r="F27" t="s">
        <v>8</v>
      </c>
      <c r="L27" s="70"/>
      <c r="M27" s="72" t="s">
        <v>17</v>
      </c>
      <c r="N27" s="119">
        <v>4.0100000000000005E-3</v>
      </c>
      <c r="O27" s="23" t="s">
        <v>36</v>
      </c>
      <c r="P27" s="23" t="s">
        <v>36</v>
      </c>
      <c r="Q27" s="24" t="b">
        <v>1</v>
      </c>
      <c r="S27" s="29"/>
      <c r="T27" s="30"/>
      <c r="Y27" s="78" t="s">
        <v>36</v>
      </c>
      <c r="Z27" s="84" t="s">
        <v>36</v>
      </c>
      <c r="AE27" s="78" t="s">
        <v>36</v>
      </c>
      <c r="AF27" s="79" t="s">
        <v>36</v>
      </c>
    </row>
    <row r="28" spans="2:32">
      <c r="F28" t="s">
        <v>8</v>
      </c>
      <c r="L28" s="70"/>
      <c r="M28" s="72" t="s">
        <v>16</v>
      </c>
      <c r="N28" s="119">
        <v>5.8599999999999998E-3</v>
      </c>
      <c r="O28" s="23" t="s">
        <v>36</v>
      </c>
      <c r="P28" s="23" t="s">
        <v>36</v>
      </c>
      <c r="Q28" s="24" t="b">
        <v>1</v>
      </c>
      <c r="S28" s="29"/>
      <c r="T28" s="30"/>
      <c r="Y28" s="78" t="s">
        <v>36</v>
      </c>
      <c r="Z28" s="84" t="s">
        <v>36</v>
      </c>
      <c r="AE28" s="78" t="s">
        <v>36</v>
      </c>
      <c r="AF28" s="79" t="s">
        <v>36</v>
      </c>
    </row>
    <row r="29" spans="2:32">
      <c r="B29" s="1" t="s">
        <v>99</v>
      </c>
      <c r="C29" s="2"/>
      <c r="F29" t="s">
        <v>8</v>
      </c>
      <c r="L29" s="70"/>
      <c r="M29" s="72" t="s">
        <v>13</v>
      </c>
      <c r="N29" s="119">
        <v>7.4599999999999996E-3</v>
      </c>
      <c r="O29" s="23" t="s">
        <v>36</v>
      </c>
      <c r="P29" s="23" t="s">
        <v>36</v>
      </c>
      <c r="Q29" s="24" t="b">
        <v>1</v>
      </c>
      <c r="S29" s="29"/>
      <c r="T29" s="30"/>
      <c r="Y29" s="78" t="s">
        <v>36</v>
      </c>
      <c r="Z29" s="84" t="s">
        <v>36</v>
      </c>
      <c r="AE29" s="78" t="s">
        <v>36</v>
      </c>
      <c r="AF29" s="79" t="s">
        <v>36</v>
      </c>
    </row>
    <row r="30" spans="2:32">
      <c r="B30" s="12" t="s">
        <v>81</v>
      </c>
      <c r="C30" s="39" t="s">
        <v>97</v>
      </c>
      <c r="D30" s="40"/>
      <c r="E30" s="41"/>
      <c r="F30" t="s">
        <v>8</v>
      </c>
      <c r="L30" s="70"/>
      <c r="M30" s="72" t="s">
        <v>12</v>
      </c>
      <c r="N30" s="119">
        <v>8.0499999999999999E-3</v>
      </c>
      <c r="O30" s="23" t="s">
        <v>36</v>
      </c>
      <c r="P30" s="23" t="s">
        <v>36</v>
      </c>
      <c r="Q30" s="24" t="b">
        <v>1</v>
      </c>
      <c r="S30" s="29"/>
      <c r="T30" s="30"/>
      <c r="Y30" s="78" t="s">
        <v>36</v>
      </c>
      <c r="Z30" s="84" t="s">
        <v>36</v>
      </c>
      <c r="AE30" s="78" t="s">
        <v>36</v>
      </c>
      <c r="AF30" s="79" t="s">
        <v>36</v>
      </c>
    </row>
    <row r="31" spans="2:32">
      <c r="B31" s="13" t="s">
        <v>31</v>
      </c>
      <c r="C31" s="42" t="s">
        <v>95</v>
      </c>
      <c r="D31" s="43"/>
      <c r="E31" s="44"/>
      <c r="F31" t="s">
        <v>8</v>
      </c>
      <c r="L31" s="70"/>
      <c r="M31" s="72" t="s">
        <v>11</v>
      </c>
      <c r="N31" s="119">
        <v>8.2500000000000004E-3</v>
      </c>
      <c r="O31" s="23" t="s">
        <v>36</v>
      </c>
      <c r="P31" s="23" t="s">
        <v>36</v>
      </c>
      <c r="Q31" s="24" t="b">
        <v>1</v>
      </c>
      <c r="S31" s="29"/>
      <c r="T31" s="30"/>
      <c r="Y31" s="78" t="s">
        <v>36</v>
      </c>
      <c r="Z31" s="84" t="s">
        <v>36</v>
      </c>
      <c r="AE31" s="78" t="s">
        <v>36</v>
      </c>
      <c r="AF31" s="79" t="s">
        <v>36</v>
      </c>
    </row>
    <row r="32" spans="2:32">
      <c r="B32" s="13" t="s">
        <v>103</v>
      </c>
      <c r="C32" s="42" t="s">
        <v>78</v>
      </c>
      <c r="D32" s="46"/>
      <c r="E32" s="47"/>
      <c r="F32" t="s">
        <v>8</v>
      </c>
      <c r="L32" s="70"/>
      <c r="M32" s="72" t="s">
        <v>10</v>
      </c>
      <c r="N32" s="119">
        <v>8.369999999999999E-3</v>
      </c>
      <c r="O32" s="23" t="s">
        <v>36</v>
      </c>
      <c r="P32" s="23" t="s">
        <v>36</v>
      </c>
      <c r="Q32" s="24" t="b">
        <v>1</v>
      </c>
      <c r="S32" s="29"/>
      <c r="T32" s="30"/>
      <c r="Y32" s="78" t="s">
        <v>36</v>
      </c>
      <c r="Z32" s="84" t="s">
        <v>36</v>
      </c>
      <c r="AE32" s="78" t="s">
        <v>36</v>
      </c>
      <c r="AF32" s="79" t="s">
        <v>36</v>
      </c>
    </row>
    <row r="33" spans="2:32">
      <c r="B33" s="13" t="s">
        <v>83</v>
      </c>
      <c r="C33" s="45" t="s">
        <v>92</v>
      </c>
      <c r="D33" s="46"/>
      <c r="E33" s="47"/>
      <c r="F33" t="s">
        <v>8</v>
      </c>
      <c r="L33" s="70"/>
      <c r="M33" s="72" t="s">
        <v>9</v>
      </c>
      <c r="N33" s="119">
        <v>7.9299999999999995E-3</v>
      </c>
      <c r="O33" s="23" t="s">
        <v>36</v>
      </c>
      <c r="P33" s="23" t="s">
        <v>36</v>
      </c>
      <c r="Q33" s="24" t="b">
        <v>1</v>
      </c>
      <c r="S33" s="29"/>
      <c r="T33" s="30"/>
      <c r="Y33" s="78" t="s">
        <v>36</v>
      </c>
      <c r="Z33" s="84" t="s">
        <v>36</v>
      </c>
      <c r="AE33" s="78" t="s">
        <v>36</v>
      </c>
      <c r="AF33" s="79" t="s">
        <v>36</v>
      </c>
    </row>
    <row r="34" spans="2:32">
      <c r="B34" s="13" t="s">
        <v>84</v>
      </c>
      <c r="C34" s="45" t="s">
        <v>93</v>
      </c>
      <c r="D34" s="46"/>
      <c r="E34" s="47"/>
      <c r="F34" t="s">
        <v>8</v>
      </c>
      <c r="L34" s="70"/>
      <c r="M34" s="72" t="s">
        <v>36</v>
      </c>
      <c r="N34" s="73" t="s">
        <v>36</v>
      </c>
      <c r="O34" s="23" t="s">
        <v>36</v>
      </c>
      <c r="P34" s="23" t="s">
        <v>36</v>
      </c>
      <c r="Q34" s="24" t="b">
        <v>0</v>
      </c>
      <c r="S34" s="29"/>
      <c r="T34" s="30"/>
      <c r="Y34" s="78" t="s">
        <v>36</v>
      </c>
      <c r="Z34" s="84" t="s">
        <v>36</v>
      </c>
      <c r="AE34" s="78" t="s">
        <v>36</v>
      </c>
      <c r="AF34" s="79" t="s">
        <v>36</v>
      </c>
    </row>
    <row r="35" spans="2:32">
      <c r="B35" s="13" t="s">
        <v>90</v>
      </c>
      <c r="C35" s="45" t="s">
        <v>94</v>
      </c>
      <c r="D35" s="46"/>
      <c r="E35" s="47"/>
      <c r="F35" t="s">
        <v>8</v>
      </c>
      <c r="L35" s="70"/>
      <c r="M35" s="72" t="s">
        <v>36</v>
      </c>
      <c r="N35" s="73" t="s">
        <v>36</v>
      </c>
      <c r="O35" s="23" t="s">
        <v>36</v>
      </c>
      <c r="P35" s="23" t="s">
        <v>36</v>
      </c>
      <c r="Q35" s="24" t="b">
        <v>0</v>
      </c>
      <c r="S35" s="29"/>
      <c r="T35" s="30"/>
      <c r="Y35" s="78" t="s">
        <v>36</v>
      </c>
      <c r="Z35" s="84" t="s">
        <v>36</v>
      </c>
      <c r="AE35" s="78" t="s">
        <v>36</v>
      </c>
      <c r="AF35" s="79" t="s">
        <v>36</v>
      </c>
    </row>
    <row r="36" spans="2:32">
      <c r="B36" s="13"/>
      <c r="C36" s="45"/>
      <c r="D36" s="46"/>
      <c r="E36" s="47"/>
      <c r="F36" t="s">
        <v>8</v>
      </c>
      <c r="L36" s="70"/>
      <c r="M36" s="72" t="s">
        <v>36</v>
      </c>
      <c r="N36" s="73" t="s">
        <v>36</v>
      </c>
      <c r="O36" s="23" t="s">
        <v>36</v>
      </c>
      <c r="P36" s="23" t="s">
        <v>36</v>
      </c>
      <c r="Q36" s="24" t="b">
        <v>0</v>
      </c>
      <c r="S36" s="29"/>
      <c r="T36" s="30"/>
      <c r="Y36" s="78" t="s">
        <v>36</v>
      </c>
      <c r="Z36" s="84" t="s">
        <v>36</v>
      </c>
      <c r="AE36" s="78" t="s">
        <v>36</v>
      </c>
      <c r="AF36" s="79" t="s">
        <v>36</v>
      </c>
    </row>
    <row r="37" spans="2:32">
      <c r="B37" s="14"/>
      <c r="C37" s="48"/>
      <c r="D37" s="49"/>
      <c r="E37" s="50"/>
      <c r="F37" t="s">
        <v>8</v>
      </c>
      <c r="L37" s="70"/>
      <c r="M37" s="72" t="s">
        <v>36</v>
      </c>
      <c r="N37" s="73" t="s">
        <v>36</v>
      </c>
      <c r="O37" s="23" t="s">
        <v>36</v>
      </c>
      <c r="P37" s="23" t="s">
        <v>36</v>
      </c>
      <c r="Q37" s="24" t="b">
        <v>0</v>
      </c>
      <c r="S37" s="29"/>
      <c r="T37" s="30"/>
      <c r="Y37" s="78" t="s">
        <v>36</v>
      </c>
      <c r="Z37" s="84" t="s">
        <v>36</v>
      </c>
      <c r="AE37" s="78" t="s">
        <v>36</v>
      </c>
      <c r="AF37" s="79" t="s">
        <v>36</v>
      </c>
    </row>
    <row r="38" spans="2:32">
      <c r="F38" t="s">
        <v>8</v>
      </c>
      <c r="L38" s="70"/>
      <c r="M38" s="72" t="s">
        <v>36</v>
      </c>
      <c r="N38" s="73" t="s">
        <v>36</v>
      </c>
      <c r="O38" s="23" t="s">
        <v>36</v>
      </c>
      <c r="P38" s="23" t="s">
        <v>36</v>
      </c>
      <c r="Q38" s="24" t="b">
        <v>0</v>
      </c>
      <c r="S38" s="29"/>
      <c r="T38" s="30"/>
      <c r="Y38" s="78" t="s">
        <v>36</v>
      </c>
      <c r="Z38" s="84" t="s">
        <v>36</v>
      </c>
      <c r="AE38" s="78" t="s">
        <v>36</v>
      </c>
      <c r="AF38" s="79" t="s">
        <v>36</v>
      </c>
    </row>
    <row r="39" spans="2:32">
      <c r="B39" s="1" t="s">
        <v>100</v>
      </c>
      <c r="C39" s="2"/>
      <c r="F39" t="s">
        <v>8</v>
      </c>
      <c r="L39" s="70"/>
      <c r="M39" s="72" t="s">
        <v>36</v>
      </c>
      <c r="N39" s="73" t="s">
        <v>36</v>
      </c>
      <c r="O39" s="23" t="s">
        <v>36</v>
      </c>
      <c r="P39" s="23" t="s">
        <v>36</v>
      </c>
      <c r="Q39" s="24" t="b">
        <v>0</v>
      </c>
      <c r="S39" s="29"/>
      <c r="T39" s="30"/>
      <c r="Y39" s="78" t="s">
        <v>36</v>
      </c>
      <c r="Z39" s="84" t="s">
        <v>36</v>
      </c>
      <c r="AE39" s="78" t="s">
        <v>36</v>
      </c>
      <c r="AF39" s="79" t="s">
        <v>36</v>
      </c>
    </row>
    <row r="40" spans="2:32">
      <c r="B40" s="12" t="s">
        <v>81</v>
      </c>
      <c r="C40" s="39" t="s">
        <v>82</v>
      </c>
      <c r="D40" s="40"/>
      <c r="E40" s="41"/>
      <c r="F40" t="s">
        <v>8</v>
      </c>
      <c r="L40" s="70"/>
      <c r="M40" s="72" t="s">
        <v>36</v>
      </c>
      <c r="N40" s="73" t="s">
        <v>36</v>
      </c>
      <c r="O40" s="23" t="s">
        <v>36</v>
      </c>
      <c r="P40" s="23" t="s">
        <v>36</v>
      </c>
      <c r="Q40" s="24" t="b">
        <v>0</v>
      </c>
      <c r="S40" s="29"/>
      <c r="T40" s="30"/>
      <c r="Y40" s="78" t="s">
        <v>36</v>
      </c>
      <c r="Z40" s="84" t="s">
        <v>36</v>
      </c>
      <c r="AE40" s="78" t="s">
        <v>36</v>
      </c>
      <c r="AF40" s="79" t="s">
        <v>36</v>
      </c>
    </row>
    <row r="41" spans="2:32">
      <c r="B41" s="13" t="s">
        <v>31</v>
      </c>
      <c r="C41" s="42" t="s">
        <v>95</v>
      </c>
      <c r="D41" s="43"/>
      <c r="E41" s="44"/>
      <c r="F41" t="s">
        <v>8</v>
      </c>
      <c r="L41" s="70"/>
      <c r="M41" s="72" t="s">
        <v>36</v>
      </c>
      <c r="N41" s="73" t="s">
        <v>36</v>
      </c>
      <c r="O41" s="23" t="s">
        <v>36</v>
      </c>
      <c r="P41" s="23" t="s">
        <v>36</v>
      </c>
      <c r="Q41" s="24" t="b">
        <v>0</v>
      </c>
      <c r="S41" s="29"/>
      <c r="T41" s="30"/>
      <c r="Y41" s="78" t="s">
        <v>36</v>
      </c>
      <c r="Z41" s="84" t="s">
        <v>36</v>
      </c>
      <c r="AE41" s="78" t="s">
        <v>36</v>
      </c>
      <c r="AF41" s="79" t="s">
        <v>36</v>
      </c>
    </row>
    <row r="42" spans="2:32">
      <c r="B42" s="13" t="s">
        <v>83</v>
      </c>
      <c r="C42" s="45" t="s">
        <v>92</v>
      </c>
      <c r="D42" s="46"/>
      <c r="E42" s="47"/>
      <c r="F42" t="s">
        <v>8</v>
      </c>
      <c r="L42" s="70"/>
      <c r="M42" s="72" t="s">
        <v>36</v>
      </c>
      <c r="N42" s="73" t="s">
        <v>36</v>
      </c>
      <c r="O42" s="23" t="s">
        <v>36</v>
      </c>
      <c r="P42" s="23" t="s">
        <v>36</v>
      </c>
      <c r="Q42" s="24" t="b">
        <v>0</v>
      </c>
      <c r="S42" s="29"/>
      <c r="T42" s="30"/>
      <c r="Y42" s="78" t="s">
        <v>36</v>
      </c>
      <c r="Z42" s="84" t="s">
        <v>36</v>
      </c>
      <c r="AE42" s="78" t="s">
        <v>36</v>
      </c>
      <c r="AF42" s="79" t="s">
        <v>36</v>
      </c>
    </row>
    <row r="43" spans="2:32">
      <c r="B43" s="13" t="s">
        <v>84</v>
      </c>
      <c r="C43" s="45" t="s">
        <v>93</v>
      </c>
      <c r="D43" s="46"/>
      <c r="E43" s="47"/>
      <c r="F43" t="s">
        <v>8</v>
      </c>
      <c r="L43" s="70"/>
      <c r="M43" s="72" t="s">
        <v>36</v>
      </c>
      <c r="N43" s="73" t="s">
        <v>36</v>
      </c>
      <c r="O43" s="23" t="s">
        <v>36</v>
      </c>
      <c r="P43" s="23" t="s">
        <v>36</v>
      </c>
      <c r="Q43" s="24" t="b">
        <v>0</v>
      </c>
      <c r="S43" s="29"/>
      <c r="T43" s="30"/>
      <c r="Y43" s="78" t="s">
        <v>36</v>
      </c>
      <c r="Z43" s="84" t="s">
        <v>36</v>
      </c>
      <c r="AE43" s="78" t="s">
        <v>36</v>
      </c>
      <c r="AF43" s="79" t="s">
        <v>36</v>
      </c>
    </row>
    <row r="44" spans="2:32">
      <c r="B44" s="13" t="s">
        <v>90</v>
      </c>
      <c r="C44" s="45" t="s">
        <v>94</v>
      </c>
      <c r="D44" s="46"/>
      <c r="E44" s="47"/>
      <c r="F44" t="s">
        <v>8</v>
      </c>
      <c r="L44" s="70"/>
      <c r="M44" s="72" t="s">
        <v>36</v>
      </c>
      <c r="N44" s="73" t="s">
        <v>36</v>
      </c>
      <c r="O44" s="23" t="s">
        <v>36</v>
      </c>
      <c r="P44" s="23" t="s">
        <v>36</v>
      </c>
      <c r="Q44" s="24" t="b">
        <v>0</v>
      </c>
      <c r="S44" s="29"/>
      <c r="T44" s="30"/>
      <c r="Y44" s="78" t="s">
        <v>36</v>
      </c>
      <c r="Z44" s="84" t="s">
        <v>36</v>
      </c>
      <c r="AE44" s="78" t="s">
        <v>36</v>
      </c>
      <c r="AF44" s="79" t="s">
        <v>36</v>
      </c>
    </row>
    <row r="45" spans="2:32">
      <c r="B45" s="13" t="s">
        <v>85</v>
      </c>
      <c r="C45" s="45" t="s">
        <v>96</v>
      </c>
      <c r="D45" s="46"/>
      <c r="E45" s="47"/>
      <c r="F45" t="s">
        <v>8</v>
      </c>
      <c r="J45" t="s">
        <v>8</v>
      </c>
      <c r="K45" t="s">
        <v>8</v>
      </c>
      <c r="L45" s="70"/>
      <c r="M45" s="72" t="s">
        <v>36</v>
      </c>
      <c r="N45" s="73" t="s">
        <v>36</v>
      </c>
      <c r="O45" s="23" t="s">
        <v>36</v>
      </c>
      <c r="P45" s="23" t="s">
        <v>36</v>
      </c>
      <c r="Q45" s="24" t="b">
        <v>0</v>
      </c>
      <c r="S45" s="29"/>
      <c r="T45" s="30"/>
      <c r="Y45" s="78" t="s">
        <v>36</v>
      </c>
      <c r="Z45" s="84" t="s">
        <v>36</v>
      </c>
      <c r="AE45" s="78" t="s">
        <v>36</v>
      </c>
      <c r="AF45" s="79" t="s">
        <v>36</v>
      </c>
    </row>
    <row r="46" spans="2:32">
      <c r="B46" s="13"/>
      <c r="C46" s="45"/>
      <c r="D46" s="46"/>
      <c r="E46" s="47"/>
      <c r="F46" t="s">
        <v>8</v>
      </c>
      <c r="L46" s="70"/>
      <c r="M46" s="72" t="s">
        <v>36</v>
      </c>
      <c r="N46" s="73" t="s">
        <v>36</v>
      </c>
      <c r="O46" s="23" t="s">
        <v>36</v>
      </c>
      <c r="P46" s="23" t="s">
        <v>36</v>
      </c>
      <c r="Q46" s="24" t="b">
        <v>0</v>
      </c>
      <c r="S46" s="29"/>
      <c r="T46" s="30"/>
      <c r="Y46" s="78" t="s">
        <v>36</v>
      </c>
      <c r="Z46" s="84" t="s">
        <v>36</v>
      </c>
      <c r="AE46" s="78" t="s">
        <v>36</v>
      </c>
      <c r="AF46" s="79" t="s">
        <v>36</v>
      </c>
    </row>
    <row r="47" spans="2:32">
      <c r="B47" s="14"/>
      <c r="C47" s="48"/>
      <c r="D47" s="49"/>
      <c r="E47" s="50"/>
      <c r="L47" s="70"/>
      <c r="M47" s="72" t="s">
        <v>36</v>
      </c>
      <c r="N47" s="73" t="s">
        <v>36</v>
      </c>
      <c r="O47" s="23" t="s">
        <v>36</v>
      </c>
      <c r="P47" s="23" t="s">
        <v>36</v>
      </c>
      <c r="Q47" s="24" t="b">
        <v>0</v>
      </c>
      <c r="S47" s="29"/>
      <c r="T47" s="30"/>
      <c r="Y47" s="78" t="s">
        <v>36</v>
      </c>
      <c r="Z47" s="84" t="s">
        <v>36</v>
      </c>
      <c r="AE47" s="78" t="s">
        <v>36</v>
      </c>
      <c r="AF47" s="79" t="s">
        <v>36</v>
      </c>
    </row>
    <row r="48" spans="2:32">
      <c r="L48" s="70"/>
      <c r="M48" s="72" t="s">
        <v>36</v>
      </c>
      <c r="N48" s="73" t="s">
        <v>36</v>
      </c>
      <c r="O48" s="23" t="s">
        <v>36</v>
      </c>
      <c r="P48" s="23" t="s">
        <v>36</v>
      </c>
      <c r="Q48" s="24" t="b">
        <v>0</v>
      </c>
      <c r="S48" s="29"/>
      <c r="T48" s="30"/>
      <c r="Y48" s="78" t="s">
        <v>36</v>
      </c>
      <c r="Z48" s="84" t="s">
        <v>36</v>
      </c>
      <c r="AE48" s="78" t="s">
        <v>36</v>
      </c>
      <c r="AF48" s="79" t="s">
        <v>36</v>
      </c>
    </row>
    <row r="49" spans="2:32">
      <c r="B49" s="1" t="s">
        <v>102</v>
      </c>
      <c r="C49" s="2"/>
      <c r="L49" s="70"/>
      <c r="M49" s="72" t="s">
        <v>36</v>
      </c>
      <c r="N49" s="73" t="s">
        <v>36</v>
      </c>
      <c r="O49" s="23" t="s">
        <v>36</v>
      </c>
      <c r="P49" s="23" t="s">
        <v>36</v>
      </c>
      <c r="Q49" s="24" t="b">
        <v>0</v>
      </c>
      <c r="S49" s="29"/>
      <c r="T49" s="30"/>
      <c r="Y49" s="78" t="s">
        <v>36</v>
      </c>
      <c r="Z49" s="84" t="s">
        <v>36</v>
      </c>
      <c r="AE49" s="78" t="s">
        <v>36</v>
      </c>
      <c r="AF49" s="79" t="s">
        <v>36</v>
      </c>
    </row>
    <row r="50" spans="2:32">
      <c r="B50" s="12" t="s">
        <v>81</v>
      </c>
      <c r="C50" s="39" t="s">
        <v>82</v>
      </c>
      <c r="D50" s="40"/>
      <c r="E50" s="41"/>
      <c r="L50" s="70"/>
      <c r="M50" s="72" t="s">
        <v>36</v>
      </c>
      <c r="N50" s="73" t="s">
        <v>36</v>
      </c>
      <c r="O50" s="23" t="s">
        <v>36</v>
      </c>
      <c r="P50" s="23" t="s">
        <v>36</v>
      </c>
      <c r="Q50" s="24" t="b">
        <v>0</v>
      </c>
      <c r="S50" s="29"/>
      <c r="T50" s="30"/>
      <c r="Y50" s="78" t="s">
        <v>36</v>
      </c>
      <c r="Z50" s="84" t="s">
        <v>36</v>
      </c>
      <c r="AE50" s="78" t="s">
        <v>36</v>
      </c>
      <c r="AF50" s="79" t="s">
        <v>36</v>
      </c>
    </row>
    <row r="51" spans="2:32">
      <c r="B51" s="13" t="s">
        <v>31</v>
      </c>
      <c r="C51" s="42" t="s">
        <v>95</v>
      </c>
      <c r="D51" s="43"/>
      <c r="E51" s="44"/>
      <c r="L51" s="70"/>
      <c r="M51" s="72" t="s">
        <v>36</v>
      </c>
      <c r="N51" s="73" t="s">
        <v>36</v>
      </c>
      <c r="O51" s="23" t="s">
        <v>36</v>
      </c>
      <c r="P51" s="23" t="s">
        <v>36</v>
      </c>
      <c r="Q51" s="24" t="b">
        <v>0</v>
      </c>
      <c r="S51" s="29"/>
      <c r="T51" s="30"/>
      <c r="Y51" s="78" t="s">
        <v>36</v>
      </c>
      <c r="Z51" s="84" t="s">
        <v>36</v>
      </c>
      <c r="AE51" s="78" t="s">
        <v>36</v>
      </c>
      <c r="AF51" s="79" t="s">
        <v>36</v>
      </c>
    </row>
    <row r="52" spans="2:32">
      <c r="B52" s="13" t="s">
        <v>83</v>
      </c>
      <c r="C52" s="45" t="s">
        <v>92</v>
      </c>
      <c r="D52" s="46"/>
      <c r="E52" s="47"/>
      <c r="L52" s="70"/>
      <c r="M52" s="72" t="s">
        <v>36</v>
      </c>
      <c r="N52" s="73" t="s">
        <v>36</v>
      </c>
      <c r="O52" s="23" t="s">
        <v>36</v>
      </c>
      <c r="P52" s="23" t="s">
        <v>36</v>
      </c>
      <c r="Q52" s="24" t="b">
        <v>0</v>
      </c>
      <c r="S52" s="29"/>
      <c r="T52" s="30"/>
      <c r="Y52" s="78" t="s">
        <v>36</v>
      </c>
      <c r="Z52" s="84" t="s">
        <v>36</v>
      </c>
      <c r="AE52" s="78" t="s">
        <v>36</v>
      </c>
      <c r="AF52" s="79" t="s">
        <v>36</v>
      </c>
    </row>
    <row r="53" spans="2:32">
      <c r="B53" s="13" t="s">
        <v>84</v>
      </c>
      <c r="C53" s="45" t="s">
        <v>93</v>
      </c>
      <c r="D53" s="46"/>
      <c r="E53" s="47"/>
      <c r="L53" s="70"/>
      <c r="M53" s="72" t="s">
        <v>36</v>
      </c>
      <c r="N53" s="73" t="s">
        <v>36</v>
      </c>
      <c r="O53" s="23" t="s">
        <v>36</v>
      </c>
      <c r="P53" s="23" t="s">
        <v>36</v>
      </c>
      <c r="Q53" s="24" t="b">
        <v>0</v>
      </c>
      <c r="S53" s="29"/>
      <c r="T53" s="30"/>
      <c r="Y53" s="78" t="s">
        <v>36</v>
      </c>
      <c r="Z53" s="84" t="s">
        <v>36</v>
      </c>
      <c r="AE53" s="78" t="s">
        <v>36</v>
      </c>
      <c r="AF53" s="79" t="s">
        <v>36</v>
      </c>
    </row>
    <row r="54" spans="2:32">
      <c r="B54" s="13" t="s">
        <v>90</v>
      </c>
      <c r="C54" s="45" t="s">
        <v>94</v>
      </c>
      <c r="D54" s="46"/>
      <c r="E54" s="47"/>
      <c r="L54" s="70"/>
      <c r="M54" s="72" t="s">
        <v>36</v>
      </c>
      <c r="N54" s="73" t="s">
        <v>36</v>
      </c>
      <c r="O54" s="23" t="s">
        <v>36</v>
      </c>
      <c r="P54" s="23" t="s">
        <v>36</v>
      </c>
      <c r="Q54" s="24" t="b">
        <v>0</v>
      </c>
      <c r="S54" s="29"/>
      <c r="T54" s="30"/>
      <c r="Y54" s="78" t="s">
        <v>36</v>
      </c>
      <c r="Z54" s="84" t="s">
        <v>36</v>
      </c>
      <c r="AE54" s="78" t="s">
        <v>36</v>
      </c>
      <c r="AF54" s="79" t="s">
        <v>36</v>
      </c>
    </row>
    <row r="55" spans="2:32">
      <c r="B55" s="13" t="s">
        <v>86</v>
      </c>
      <c r="C55" s="45" t="s">
        <v>96</v>
      </c>
      <c r="D55" s="46"/>
      <c r="E55" s="47"/>
      <c r="L55" s="70"/>
      <c r="M55" s="72" t="s">
        <v>36</v>
      </c>
      <c r="N55" s="73" t="s">
        <v>36</v>
      </c>
      <c r="O55" s="23" t="s">
        <v>36</v>
      </c>
      <c r="P55" s="23" t="s">
        <v>36</v>
      </c>
      <c r="Q55" s="24" t="b">
        <v>0</v>
      </c>
      <c r="S55" s="29"/>
      <c r="T55" s="30"/>
      <c r="Y55" s="78" t="s">
        <v>36</v>
      </c>
      <c r="Z55" s="84" t="s">
        <v>36</v>
      </c>
      <c r="AE55" s="78" t="s">
        <v>36</v>
      </c>
      <c r="AF55" s="79" t="s">
        <v>36</v>
      </c>
    </row>
    <row r="56" spans="2:32">
      <c r="B56" s="13"/>
      <c r="C56" s="45"/>
      <c r="D56" s="46"/>
      <c r="E56" s="47"/>
      <c r="L56" s="70"/>
      <c r="M56" s="72" t="s">
        <v>36</v>
      </c>
      <c r="N56" s="73" t="s">
        <v>36</v>
      </c>
      <c r="O56" s="23" t="s">
        <v>36</v>
      </c>
      <c r="P56" s="23" t="s">
        <v>36</v>
      </c>
      <c r="Q56" s="24" t="b">
        <v>0</v>
      </c>
      <c r="S56" s="29"/>
      <c r="T56" s="30"/>
      <c r="Y56" s="78" t="s">
        <v>36</v>
      </c>
      <c r="Z56" s="84" t="s">
        <v>36</v>
      </c>
      <c r="AE56" s="78" t="s">
        <v>36</v>
      </c>
      <c r="AF56" s="79" t="s">
        <v>36</v>
      </c>
    </row>
    <row r="57" spans="2:32">
      <c r="B57" s="14"/>
      <c r="C57" s="48"/>
      <c r="D57" s="49"/>
      <c r="E57" s="50"/>
      <c r="L57" s="70"/>
      <c r="M57" s="72" t="s">
        <v>36</v>
      </c>
      <c r="N57" s="73" t="s">
        <v>36</v>
      </c>
      <c r="O57" s="23" t="s">
        <v>36</v>
      </c>
      <c r="P57" s="23" t="s">
        <v>36</v>
      </c>
      <c r="Q57" s="24" t="b">
        <v>0</v>
      </c>
      <c r="S57" s="29"/>
      <c r="T57" s="30"/>
      <c r="Y57" s="78" t="s">
        <v>36</v>
      </c>
      <c r="Z57" s="84" t="s">
        <v>36</v>
      </c>
      <c r="AE57" s="78" t="s">
        <v>36</v>
      </c>
      <c r="AF57" s="79" t="s">
        <v>36</v>
      </c>
    </row>
    <row r="58" spans="2:32">
      <c r="L58" s="70"/>
      <c r="M58" s="72" t="s">
        <v>36</v>
      </c>
      <c r="N58" s="73" t="s">
        <v>36</v>
      </c>
      <c r="O58" s="23" t="s">
        <v>36</v>
      </c>
      <c r="P58" s="23" t="s">
        <v>36</v>
      </c>
      <c r="Q58" s="24" t="b">
        <v>0</v>
      </c>
      <c r="S58" s="29"/>
      <c r="T58" s="30"/>
      <c r="Y58" s="78" t="s">
        <v>36</v>
      </c>
      <c r="Z58" s="84" t="s">
        <v>36</v>
      </c>
      <c r="AE58" s="78" t="s">
        <v>36</v>
      </c>
      <c r="AF58" s="79" t="s">
        <v>36</v>
      </c>
    </row>
    <row r="59" spans="2:32">
      <c r="B59" s="1" t="s">
        <v>101</v>
      </c>
      <c r="C59" s="2"/>
      <c r="L59" s="70"/>
      <c r="M59" s="72" t="s">
        <v>36</v>
      </c>
      <c r="N59" s="73" t="s">
        <v>36</v>
      </c>
      <c r="O59" s="23" t="s">
        <v>36</v>
      </c>
      <c r="P59" s="23" t="s">
        <v>36</v>
      </c>
      <c r="Q59" s="24" t="b">
        <v>0</v>
      </c>
      <c r="S59" s="29"/>
      <c r="T59" s="30"/>
      <c r="Y59" s="78" t="s">
        <v>36</v>
      </c>
      <c r="Z59" s="84" t="s">
        <v>36</v>
      </c>
      <c r="AE59" s="78" t="s">
        <v>36</v>
      </c>
      <c r="AF59" s="79" t="s">
        <v>36</v>
      </c>
    </row>
    <row r="60" spans="2:32">
      <c r="B60" s="12" t="s">
        <v>81</v>
      </c>
      <c r="C60" s="39" t="s">
        <v>82</v>
      </c>
      <c r="D60" s="40"/>
      <c r="E60" s="41"/>
      <c r="L60" s="70"/>
      <c r="M60" s="72" t="s">
        <v>36</v>
      </c>
      <c r="N60" s="73" t="s">
        <v>36</v>
      </c>
      <c r="O60" s="23" t="s">
        <v>36</v>
      </c>
      <c r="P60" s="23" t="s">
        <v>36</v>
      </c>
      <c r="Q60" s="24" t="b">
        <v>0</v>
      </c>
      <c r="S60" s="29"/>
      <c r="T60" s="30"/>
      <c r="Y60" s="78" t="s">
        <v>36</v>
      </c>
      <c r="Z60" s="84" t="s">
        <v>36</v>
      </c>
      <c r="AE60" s="78" t="s">
        <v>36</v>
      </c>
      <c r="AF60" s="79" t="s">
        <v>36</v>
      </c>
    </row>
    <row r="61" spans="2:32">
      <c r="B61" s="13" t="s">
        <v>31</v>
      </c>
      <c r="C61" s="42" t="s">
        <v>95</v>
      </c>
      <c r="D61" s="43"/>
      <c r="E61" s="44"/>
      <c r="L61" s="70"/>
      <c r="M61" s="72" t="s">
        <v>36</v>
      </c>
      <c r="N61" s="73" t="s">
        <v>36</v>
      </c>
      <c r="O61" s="23" t="s">
        <v>36</v>
      </c>
      <c r="P61" s="23" t="s">
        <v>36</v>
      </c>
      <c r="Q61" s="24" t="b">
        <v>0</v>
      </c>
      <c r="S61" s="29"/>
      <c r="T61" s="30"/>
      <c r="Y61" s="78" t="s">
        <v>36</v>
      </c>
      <c r="Z61" s="84" t="s">
        <v>36</v>
      </c>
      <c r="AE61" s="78" t="s">
        <v>36</v>
      </c>
      <c r="AF61" s="79" t="s">
        <v>36</v>
      </c>
    </row>
    <row r="62" spans="2:32">
      <c r="B62" s="13" t="s">
        <v>83</v>
      </c>
      <c r="C62" s="45" t="s">
        <v>92</v>
      </c>
      <c r="D62" s="46"/>
      <c r="E62" s="47"/>
      <c r="L62" s="70"/>
      <c r="M62" s="72" t="s">
        <v>36</v>
      </c>
      <c r="N62" s="73" t="s">
        <v>36</v>
      </c>
      <c r="O62" s="23" t="s">
        <v>36</v>
      </c>
      <c r="P62" s="23" t="s">
        <v>36</v>
      </c>
      <c r="Q62" s="24" t="b">
        <v>0</v>
      </c>
      <c r="S62" s="29"/>
      <c r="T62" s="30"/>
      <c r="Y62" s="78" t="s">
        <v>36</v>
      </c>
      <c r="Z62" s="84" t="s">
        <v>36</v>
      </c>
      <c r="AE62" s="78" t="s">
        <v>36</v>
      </c>
      <c r="AF62" s="79" t="s">
        <v>36</v>
      </c>
    </row>
    <row r="63" spans="2:32">
      <c r="B63" s="13" t="s">
        <v>84</v>
      </c>
      <c r="C63" s="45" t="s">
        <v>93</v>
      </c>
      <c r="D63" s="46"/>
      <c r="E63" s="47"/>
      <c r="L63" s="70"/>
      <c r="M63" s="72" t="s">
        <v>36</v>
      </c>
      <c r="N63" s="73" t="s">
        <v>36</v>
      </c>
      <c r="O63" s="23" t="s">
        <v>36</v>
      </c>
      <c r="P63" s="23" t="s">
        <v>36</v>
      </c>
      <c r="Q63" s="24" t="b">
        <v>0</v>
      </c>
      <c r="S63" s="29"/>
      <c r="T63" s="30"/>
      <c r="Y63" s="78" t="s">
        <v>36</v>
      </c>
      <c r="Z63" s="84" t="s">
        <v>36</v>
      </c>
      <c r="AE63" s="78" t="s">
        <v>36</v>
      </c>
      <c r="AF63" s="79" t="s">
        <v>36</v>
      </c>
    </row>
    <row r="64" spans="2:32">
      <c r="B64" s="13" t="s">
        <v>90</v>
      </c>
      <c r="C64" s="45" t="s">
        <v>94</v>
      </c>
      <c r="D64" s="46"/>
      <c r="E64" s="47"/>
      <c r="L64" s="70"/>
      <c r="M64" s="72" t="s">
        <v>36</v>
      </c>
      <c r="N64" s="73" t="s">
        <v>36</v>
      </c>
      <c r="O64" s="23" t="s">
        <v>36</v>
      </c>
      <c r="P64" s="23" t="s">
        <v>36</v>
      </c>
      <c r="Q64" s="24" t="b">
        <v>0</v>
      </c>
      <c r="S64" s="29"/>
      <c r="T64" s="30"/>
      <c r="Y64" s="78" t="s">
        <v>36</v>
      </c>
      <c r="Z64" s="84" t="s">
        <v>36</v>
      </c>
      <c r="AE64" s="78" t="s">
        <v>36</v>
      </c>
      <c r="AF64" s="79" t="s">
        <v>36</v>
      </c>
    </row>
    <row r="65" spans="1:32">
      <c r="B65" s="13" t="s">
        <v>85</v>
      </c>
      <c r="C65" s="45" t="s">
        <v>98</v>
      </c>
      <c r="D65" s="46"/>
      <c r="E65" s="47"/>
      <c r="L65" s="70"/>
      <c r="M65" s="72" t="s">
        <v>36</v>
      </c>
      <c r="N65" s="73" t="s">
        <v>36</v>
      </c>
      <c r="O65" s="23" t="s">
        <v>36</v>
      </c>
      <c r="P65" s="23" t="s">
        <v>36</v>
      </c>
      <c r="Q65" s="24" t="b">
        <v>0</v>
      </c>
      <c r="S65" s="29"/>
      <c r="T65" s="30"/>
      <c r="Y65" s="78" t="s">
        <v>36</v>
      </c>
      <c r="Z65" s="84" t="s">
        <v>36</v>
      </c>
      <c r="AE65" s="78" t="s">
        <v>36</v>
      </c>
      <c r="AF65" s="79" t="s">
        <v>36</v>
      </c>
    </row>
    <row r="66" spans="1:32">
      <c r="B66" s="13" t="s">
        <v>86</v>
      </c>
      <c r="C66" s="45" t="s">
        <v>96</v>
      </c>
      <c r="D66" s="46"/>
      <c r="E66" s="47"/>
      <c r="L66" s="70"/>
      <c r="M66" s="72" t="s">
        <v>36</v>
      </c>
      <c r="N66" s="73" t="s">
        <v>36</v>
      </c>
      <c r="O66" s="23" t="s">
        <v>36</v>
      </c>
      <c r="P66" s="23" t="s">
        <v>36</v>
      </c>
      <c r="Q66" s="24" t="b">
        <v>0</v>
      </c>
      <c r="S66" s="29"/>
      <c r="T66" s="30"/>
      <c r="Y66" s="78" t="s">
        <v>36</v>
      </c>
      <c r="Z66" s="84" t="s">
        <v>36</v>
      </c>
      <c r="AE66" s="78" t="s">
        <v>36</v>
      </c>
      <c r="AF66" s="79" t="s">
        <v>36</v>
      </c>
    </row>
    <row r="67" spans="1:32">
      <c r="B67" s="14"/>
      <c r="C67" s="48"/>
      <c r="D67" s="49"/>
      <c r="E67" s="50"/>
      <c r="L67" s="70"/>
      <c r="M67" s="72" t="s">
        <v>36</v>
      </c>
      <c r="N67" s="73" t="s">
        <v>36</v>
      </c>
      <c r="O67" s="23" t="s">
        <v>36</v>
      </c>
      <c r="P67" s="23" t="s">
        <v>36</v>
      </c>
      <c r="Q67" s="24" t="b">
        <v>0</v>
      </c>
      <c r="S67" s="29"/>
      <c r="T67" s="30"/>
      <c r="Y67" s="78" t="s">
        <v>36</v>
      </c>
      <c r="Z67" s="84" t="s">
        <v>36</v>
      </c>
      <c r="AE67" s="78" t="s">
        <v>36</v>
      </c>
      <c r="AF67" s="79" t="s">
        <v>36</v>
      </c>
    </row>
    <row r="68" spans="1:32">
      <c r="L68" s="70"/>
      <c r="M68" s="72" t="s">
        <v>36</v>
      </c>
      <c r="N68" s="73" t="s">
        <v>36</v>
      </c>
      <c r="O68" s="23" t="s">
        <v>36</v>
      </c>
      <c r="P68" s="23" t="s">
        <v>36</v>
      </c>
      <c r="Q68" s="24" t="b">
        <v>0</v>
      </c>
      <c r="S68" s="29"/>
      <c r="T68" s="30"/>
      <c r="Y68" s="78" t="s">
        <v>36</v>
      </c>
      <c r="Z68" s="84" t="s">
        <v>36</v>
      </c>
      <c r="AE68" s="78" t="s">
        <v>36</v>
      </c>
      <c r="AF68" s="79" t="s">
        <v>36</v>
      </c>
    </row>
    <row r="69" spans="1:32">
      <c r="L69" s="70"/>
      <c r="M69" s="72" t="s">
        <v>36</v>
      </c>
      <c r="N69" s="73" t="s">
        <v>36</v>
      </c>
      <c r="O69" s="23" t="s">
        <v>36</v>
      </c>
      <c r="P69" s="23" t="s">
        <v>36</v>
      </c>
      <c r="Q69" s="24" t="b">
        <v>0</v>
      </c>
      <c r="S69" s="29"/>
      <c r="T69" s="30"/>
      <c r="Y69" s="78" t="s">
        <v>36</v>
      </c>
      <c r="Z69" s="84" t="s">
        <v>36</v>
      </c>
      <c r="AE69" s="78" t="s">
        <v>36</v>
      </c>
      <c r="AF69" s="79" t="s">
        <v>36</v>
      </c>
    </row>
    <row r="70" spans="1:32">
      <c r="L70" s="70"/>
      <c r="M70" s="72" t="s">
        <v>36</v>
      </c>
      <c r="N70" s="73" t="s">
        <v>36</v>
      </c>
      <c r="O70" s="23" t="s">
        <v>36</v>
      </c>
      <c r="P70" s="23" t="s">
        <v>36</v>
      </c>
      <c r="Q70" s="24" t="b">
        <v>0</v>
      </c>
      <c r="S70" s="29"/>
      <c r="T70" s="30"/>
      <c r="Y70" s="78" t="s">
        <v>36</v>
      </c>
      <c r="Z70" s="84" t="s">
        <v>36</v>
      </c>
      <c r="AE70" s="78" t="s">
        <v>36</v>
      </c>
      <c r="AF70" s="79" t="s">
        <v>36</v>
      </c>
    </row>
    <row r="71" spans="1:32">
      <c r="L71" s="70"/>
      <c r="M71" s="72" t="s">
        <v>36</v>
      </c>
      <c r="N71" s="73" t="s">
        <v>36</v>
      </c>
      <c r="O71" s="23" t="s">
        <v>36</v>
      </c>
      <c r="P71" s="23" t="s">
        <v>36</v>
      </c>
      <c r="Q71" s="24" t="b">
        <v>0</v>
      </c>
      <c r="S71" s="29"/>
      <c r="T71" s="30"/>
      <c r="Y71" s="78" t="s">
        <v>36</v>
      </c>
      <c r="Z71" s="84" t="s">
        <v>36</v>
      </c>
      <c r="AE71" s="78" t="s">
        <v>36</v>
      </c>
      <c r="AF71" s="79" t="s">
        <v>36</v>
      </c>
    </row>
    <row r="72" spans="1:32">
      <c r="L72" s="70"/>
      <c r="M72" s="72" t="s">
        <v>36</v>
      </c>
      <c r="N72" s="73" t="s">
        <v>36</v>
      </c>
      <c r="O72" s="23" t="s">
        <v>36</v>
      </c>
      <c r="P72" s="23" t="s">
        <v>36</v>
      </c>
      <c r="Q72" s="24" t="b">
        <v>0</v>
      </c>
      <c r="S72" s="29"/>
      <c r="T72" s="30"/>
      <c r="Y72" s="78" t="s">
        <v>36</v>
      </c>
      <c r="Z72" s="84" t="s">
        <v>36</v>
      </c>
      <c r="AE72" s="78" t="s">
        <v>36</v>
      </c>
      <c r="AF72" s="79" t="s">
        <v>36</v>
      </c>
    </row>
    <row r="73" spans="1:32">
      <c r="F73" t="s">
        <v>8</v>
      </c>
      <c r="L73" s="70"/>
      <c r="M73" s="72" t="s">
        <v>36</v>
      </c>
      <c r="N73" s="73" t="s">
        <v>36</v>
      </c>
      <c r="O73" s="23" t="s">
        <v>36</v>
      </c>
      <c r="P73" s="23" t="s">
        <v>36</v>
      </c>
      <c r="Q73" s="24" t="b">
        <v>0</v>
      </c>
      <c r="S73" s="29"/>
      <c r="T73" s="30"/>
      <c r="Y73" s="78" t="s">
        <v>36</v>
      </c>
      <c r="Z73" s="84" t="s">
        <v>36</v>
      </c>
      <c r="AE73" s="78" t="s">
        <v>36</v>
      </c>
      <c r="AF73" s="79" t="s">
        <v>36</v>
      </c>
    </row>
    <row r="74" spans="1:32">
      <c r="F74" t="s">
        <v>8</v>
      </c>
      <c r="L74" s="70"/>
      <c r="M74" s="72" t="s">
        <v>36</v>
      </c>
      <c r="N74" s="73" t="s">
        <v>36</v>
      </c>
      <c r="O74" s="23" t="s">
        <v>36</v>
      </c>
      <c r="P74" s="23" t="s">
        <v>36</v>
      </c>
      <c r="Q74" s="24" t="b">
        <v>0</v>
      </c>
      <c r="S74" s="29"/>
      <c r="T74" s="30"/>
      <c r="Y74" s="78" t="s">
        <v>36</v>
      </c>
      <c r="Z74" s="84" t="s">
        <v>36</v>
      </c>
      <c r="AE74" s="78" t="s">
        <v>36</v>
      </c>
      <c r="AF74" s="79" t="s">
        <v>36</v>
      </c>
    </row>
    <row r="75" spans="1:32">
      <c r="F75" t="s">
        <v>8</v>
      </c>
      <c r="L75" s="70"/>
      <c r="M75" s="72" t="s">
        <v>36</v>
      </c>
      <c r="N75" s="73" t="s">
        <v>36</v>
      </c>
      <c r="O75" s="23" t="s">
        <v>36</v>
      </c>
      <c r="P75" s="23" t="s">
        <v>36</v>
      </c>
      <c r="Q75" s="24" t="b">
        <v>0</v>
      </c>
      <c r="S75" s="29"/>
      <c r="T75" s="30"/>
      <c r="Y75" s="78" t="s">
        <v>36</v>
      </c>
      <c r="Z75" s="84" t="s">
        <v>36</v>
      </c>
      <c r="AE75" s="78" t="s">
        <v>36</v>
      </c>
      <c r="AF75" s="79" t="s">
        <v>36</v>
      </c>
    </row>
    <row r="76" spans="1:32">
      <c r="F76" t="s">
        <v>8</v>
      </c>
      <c r="L76" s="70"/>
      <c r="M76" s="72" t="s">
        <v>36</v>
      </c>
      <c r="N76" s="73" t="s">
        <v>36</v>
      </c>
      <c r="O76" s="23" t="s">
        <v>36</v>
      </c>
      <c r="P76" s="23" t="s">
        <v>36</v>
      </c>
      <c r="Q76" s="24" t="b">
        <v>0</v>
      </c>
      <c r="S76" s="29"/>
      <c r="T76" s="30"/>
      <c r="Y76" s="78" t="s">
        <v>36</v>
      </c>
      <c r="Z76" s="84" t="s">
        <v>36</v>
      </c>
      <c r="AE76" s="78" t="s">
        <v>36</v>
      </c>
      <c r="AF76" s="79" t="s">
        <v>36</v>
      </c>
    </row>
    <row r="77" spans="1:32">
      <c r="F77" t="s">
        <v>8</v>
      </c>
      <c r="L77" s="70"/>
      <c r="M77" s="72" t="s">
        <v>36</v>
      </c>
      <c r="N77" s="73" t="s">
        <v>36</v>
      </c>
      <c r="O77" s="23" t="s">
        <v>36</v>
      </c>
      <c r="P77" s="23" t="s">
        <v>36</v>
      </c>
      <c r="Q77" s="24" t="b">
        <v>0</v>
      </c>
      <c r="S77" s="31"/>
      <c r="T77" s="7"/>
      <c r="Y77" s="78" t="s">
        <v>36</v>
      </c>
      <c r="Z77" s="84" t="s">
        <v>36</v>
      </c>
      <c r="AE77" s="78" t="s">
        <v>36</v>
      </c>
      <c r="AF77" s="80" t="s">
        <v>36</v>
      </c>
    </row>
    <row r="78" spans="1:32">
      <c r="F78" t="s">
        <v>8</v>
      </c>
      <c r="L78" s="70"/>
      <c r="M78" s="74" t="s">
        <v>36</v>
      </c>
      <c r="N78" s="75" t="s">
        <v>36</v>
      </c>
      <c r="O78" s="25" t="s">
        <v>36</v>
      </c>
      <c r="P78" s="25" t="s">
        <v>36</v>
      </c>
      <c r="Q78" s="26" t="b">
        <v>0</v>
      </c>
      <c r="S78" s="32"/>
      <c r="T78" s="8"/>
      <c r="Y78" s="81" t="s">
        <v>36</v>
      </c>
      <c r="Z78" s="85" t="s">
        <v>36</v>
      </c>
      <c r="AE78" s="81" t="s">
        <v>36</v>
      </c>
      <c r="AF78" s="82" t="s">
        <v>36</v>
      </c>
    </row>
    <row r="79" spans="1:32">
      <c r="A79" t="s">
        <v>8</v>
      </c>
      <c r="F79" t="s">
        <v>8</v>
      </c>
      <c r="G79" t="s">
        <v>8</v>
      </c>
      <c r="H79" t="s">
        <v>8</v>
      </c>
      <c r="I79" t="s">
        <v>8</v>
      </c>
      <c r="J79" t="s">
        <v>8</v>
      </c>
      <c r="K79" t="s">
        <v>8</v>
      </c>
      <c r="L79" t="s">
        <v>8</v>
      </c>
      <c r="M79" t="s">
        <v>8</v>
      </c>
      <c r="N79" t="s">
        <v>8</v>
      </c>
      <c r="O79" t="s">
        <v>8</v>
      </c>
      <c r="P79" t="s">
        <v>8</v>
      </c>
      <c r="Q79" t="s">
        <v>8</v>
      </c>
      <c r="R79" t="s">
        <v>8</v>
      </c>
      <c r="S79" t="s">
        <v>8</v>
      </c>
      <c r="T79" t="s">
        <v>8</v>
      </c>
      <c r="X79" t="s">
        <v>8</v>
      </c>
      <c r="Y79" t="s">
        <v>8</v>
      </c>
      <c r="Z79" t="s">
        <v>8</v>
      </c>
      <c r="AD79" t="s">
        <v>8</v>
      </c>
      <c r="AE79" t="s">
        <v>8</v>
      </c>
      <c r="AF79" t="s">
        <v>8</v>
      </c>
    </row>
    <row r="80" spans="1:32">
      <c r="L80" s="70"/>
    </row>
    <row r="81" spans="12:12">
      <c r="L81" s="70"/>
    </row>
    <row r="82" spans="12:12">
      <c r="L82" s="70"/>
    </row>
    <row r="83" spans="12:12">
      <c r="L83" s="70"/>
    </row>
    <row r="84" spans="12:12">
      <c r="L84" s="70"/>
    </row>
    <row r="85" spans="12:12">
      <c r="L85" s="70"/>
    </row>
    <row r="86" spans="12:12">
      <c r="L86" s="70"/>
    </row>
    <row r="87" spans="12:12">
      <c r="L87" s="70"/>
    </row>
    <row r="88" spans="12:12">
      <c r="L88" s="70"/>
    </row>
    <row r="89" spans="12:12">
      <c r="L89" s="70"/>
    </row>
    <row r="90" spans="12:12">
      <c r="L90" s="70"/>
    </row>
    <row r="91" spans="12:12">
      <c r="L91" s="70"/>
    </row>
    <row r="92" spans="12:12">
      <c r="L92" s="70"/>
    </row>
    <row r="93" spans="12:12">
      <c r="L93" s="70"/>
    </row>
    <row r="94" spans="12:12">
      <c r="L94" s="70"/>
    </row>
    <row r="95" spans="12:12">
      <c r="L95" s="70"/>
    </row>
    <row r="96" spans="12:12">
      <c r="L96" s="70"/>
    </row>
    <row r="97" spans="12:12">
      <c r="L97" s="70"/>
    </row>
    <row r="98" spans="12:12">
      <c r="L98" s="70"/>
    </row>
    <row r="99" spans="12:12">
      <c r="L99" s="70"/>
    </row>
    <row r="100" spans="12:12">
      <c r="L100" s="70"/>
    </row>
    <row r="101" spans="12:12">
      <c r="L101" s="70"/>
    </row>
    <row r="102" spans="12:12">
      <c r="L102" s="70"/>
    </row>
    <row r="103" spans="12:12">
      <c r="L103" s="70"/>
    </row>
    <row r="104" spans="12:12">
      <c r="L104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60"/>
  <sheetViews>
    <sheetView showGridLines="0" workbookViewId="0">
      <selection activeCell="D18" sqref="D18"/>
    </sheetView>
  </sheetViews>
  <sheetFormatPr defaultRowHeight="15"/>
  <cols>
    <col min="1" max="1" width="11.42578125" style="38" customWidth="1"/>
    <col min="2" max="2" width="2.28515625" style="36" customWidth="1"/>
    <col min="3" max="3" width="15.7109375" style="36" customWidth="1"/>
    <col min="4" max="4" width="37.140625" style="36" bestFit="1" customWidth="1"/>
    <col min="5" max="16384" width="9.140625" style="36"/>
  </cols>
  <sheetData>
    <row r="1" spans="1:4">
      <c r="A1" s="109"/>
    </row>
    <row r="2" spans="1:4" s="37" customFormat="1" ht="15" customHeight="1">
      <c r="A2" s="38"/>
      <c r="C2" s="141" t="s">
        <v>182</v>
      </c>
      <c r="D2" s="142"/>
    </row>
    <row r="3" spans="1:4" ht="15" customHeight="1">
      <c r="A3" s="55"/>
      <c r="C3" s="141"/>
      <c r="D3" s="142"/>
    </row>
    <row r="4" spans="1:4" ht="15" customHeight="1">
      <c r="A4" s="55"/>
      <c r="C4" s="87"/>
      <c r="D4" s="88"/>
    </row>
    <row r="5" spans="1:4" ht="15" hidden="1" customHeight="1">
      <c r="A5" s="143" t="s">
        <v>77</v>
      </c>
      <c r="B5" s="34" t="s">
        <v>8</v>
      </c>
      <c r="C5" s="34"/>
      <c r="D5" s="54" t="s">
        <v>153</v>
      </c>
    </row>
    <row r="6" spans="1:4" ht="15" hidden="1" customHeight="1">
      <c r="A6" s="143"/>
      <c r="B6" s="36" t="s">
        <v>8</v>
      </c>
      <c r="C6" s="95" t="s">
        <v>81</v>
      </c>
      <c r="D6" s="91" t="e">
        <f ca="1">IF(AND(NOW(),CurveEnablement.USD),_xll.mirSetUpOISCurve(D$5,C$6,YieldCurvePropertiesOIS,OISConv,OISRates,OISCurveNamesCombined,OISHistoricalRates,[0]!OIS.LobRates,[0]!OIS.SwapConv,[0]!OIS.SwapRates,[0]!OIS.LOBasisConv),"DISABLED")</f>
        <v>#REF!</v>
      </c>
    </row>
    <row r="7" spans="1:4" hidden="1">
      <c r="B7" s="36" t="s">
        <v>8</v>
      </c>
      <c r="C7" s="96" t="s">
        <v>31</v>
      </c>
      <c r="D7" s="92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#REF!</v>
      </c>
    </row>
    <row r="8" spans="1:4" hidden="1">
      <c r="B8" s="36" t="s">
        <v>8</v>
      </c>
      <c r="C8" s="96" t="s">
        <v>83</v>
      </c>
      <c r="D8" s="92" t="e">
        <f ca="1">IF(AND(NOW(),CurveEnablement.USD),IF(#REF!,_xll.mirSetUpBasisSwapCurve(D$5,C8,YieldCurvePropertiesTenorBasis,BasisConv3x6,BasisData3x6,TenorBasis3x6CurveNamesCombined),"#WAIT"),"DISABLED")</f>
        <v>#REF!</v>
      </c>
    </row>
    <row r="9" spans="1:4" hidden="1">
      <c r="B9" s="36" t="s">
        <v>8</v>
      </c>
      <c r="C9" s="100" t="s">
        <v>84</v>
      </c>
      <c r="D9" s="92" t="e">
        <f ca="1">IF(AND(NOW(),CurveEnablement.USD),IF(#REF!,_xll.mirSetUpBasisSwapCurve(D$5,C9,YieldCurvePropertiesTenorBasis,BasisConv1x3,BasisData1x3,TenorBasis1x3CurveNamesCombined),"#WAIT"),"DISABLED")</f>
        <v>#REF!</v>
      </c>
    </row>
    <row r="10" spans="1:4" hidden="1">
      <c r="B10" s="36" t="s">
        <v>8</v>
      </c>
      <c r="C10" s="96" t="s">
        <v>89</v>
      </c>
      <c r="D10" s="94" t="e">
        <f ca="1">IF(AND(NOW(),CurveEnablement.USD),IF(#REF!,_xll.mirSetUpBasisSwapCurve(D$5,C10,YieldCurvePropertiesTenorBasis,BasisConv3x12,BasisData3x12,TenorBasis3x12CurveNamesCombined),"#WAIT"),"DISABLED")</f>
        <v>#REF!</v>
      </c>
    </row>
    <row r="11" spans="1:4" hidden="1">
      <c r="B11" s="36" t="s">
        <v>8</v>
      </c>
      <c r="C11" s="97" t="s">
        <v>85</v>
      </c>
      <c r="D11" s="101" t="s">
        <v>5</v>
      </c>
    </row>
    <row r="12" spans="1:4" hidden="1">
      <c r="C12" s="96" t="s">
        <v>157</v>
      </c>
      <c r="D12" s="102" t="e">
        <f ca="1">IF(AND(NOW(),CurveEnablement.USD),IF(AND(#REF!,#REF!),_xll.mirSetUpFwdFXConstantCurve(D$5,C12,ConstForwardFXProperties,ConstForwardFXEURCSA,FwdFXConstCurveNamesCombinedEUR),"#WAIT"),"DISABLED")</f>
        <v>#REF!</v>
      </c>
    </row>
    <row r="13" spans="1:4" hidden="1">
      <c r="C13" s="96" t="s">
        <v>158</v>
      </c>
      <c r="D13" s="102" t="e">
        <f ca="1">IF(AND(NOW(),CurveEnablement.USD),IF(AND(#REF!,#REF!),_xll.mirSetUpFwdFXConstantCurve(D$5,C13,ConstForwardFXProperties,ConstForwardFXGBPCSA,FwdFXConstCurveNamesCombinedGBP),"#WAIT"),"DISABLED")</f>
        <v>#REF!</v>
      </c>
    </row>
    <row r="14" spans="1:4" hidden="1">
      <c r="C14" s="98" t="s">
        <v>159</v>
      </c>
      <c r="D14" s="103" t="e">
        <f ca="1">IF(AND(NOW(),CurveEnablement.USD),IF(AND(#REF!,#REF!),_xll.mirSetUpFwdFXConstantCurve(D$5,C14,ConstForwardFXProperties,ConstForwardFXJPYCSA,FwdFXConstCurveNamesCombinedJPY),"#WAIT"),"DISABLED")</f>
        <v>#REF!</v>
      </c>
    </row>
    <row r="15" spans="1:4">
      <c r="C15" s="34"/>
    </row>
    <row r="16" spans="1:4" ht="15" customHeight="1">
      <c r="A16" s="143" t="s">
        <v>2</v>
      </c>
      <c r="B16" s="34" t="s">
        <v>8</v>
      </c>
      <c r="C16" s="34"/>
      <c r="D16" s="54" t="s">
        <v>154</v>
      </c>
    </row>
    <row r="17" spans="1:4" ht="15" customHeight="1">
      <c r="A17" s="143"/>
      <c r="B17" s="36" t="s">
        <v>8</v>
      </c>
      <c r="C17" s="95" t="s">
        <v>81</v>
      </c>
      <c r="D17" s="91" t="str">
        <f>_xll.mirSetUpOISCurve(D$16,C17,'EUR Curve Config'!YieldCurvePropertiesOIS,'EUR Curve Config'!OISConv,'EUR Curve Config'!OISRates,'EUR Curve Config'!OISCurveNamesCombined,'EUR Curve Config'!OISHistoricalRates,'EUR Curve Config'!OIS.LobRates,'EUR Curve Config'!OIS.SwapConv,'EUR Curve Config'!OIS.SwapRates,'EUR Curve Config'!OIS.LOBasisConv)</f>
        <v>OIS OIS Curve has been set (0.00700 sec)</v>
      </c>
    </row>
    <row r="18" spans="1:4">
      <c r="B18" s="36" t="s">
        <v>8</v>
      </c>
      <c r="C18" s="96"/>
      <c r="D18" s="92"/>
    </row>
    <row r="19" spans="1:4">
      <c r="B19" s="36" t="s">
        <v>8</v>
      </c>
      <c r="C19" s="96"/>
      <c r="D19" s="92"/>
    </row>
    <row r="20" spans="1:4">
      <c r="B20" s="36" t="s">
        <v>8</v>
      </c>
      <c r="C20" s="100"/>
      <c r="D20" s="92"/>
    </row>
    <row r="21" spans="1:4">
      <c r="B21" s="36" t="s">
        <v>8</v>
      </c>
      <c r="C21" s="96"/>
      <c r="D21" s="94"/>
    </row>
    <row r="22" spans="1:4">
      <c r="B22" s="36" t="s">
        <v>8</v>
      </c>
      <c r="C22" s="97"/>
      <c r="D22" s="104"/>
    </row>
    <row r="23" spans="1:4">
      <c r="C23" s="96"/>
      <c r="D23" s="106"/>
    </row>
    <row r="24" spans="1:4">
      <c r="C24" s="96"/>
      <c r="D24" s="102"/>
    </row>
    <row r="25" spans="1:4">
      <c r="C25" s="98"/>
      <c r="D25" s="103"/>
    </row>
    <row r="26" spans="1:4" hidden="1">
      <c r="C26" s="34"/>
      <c r="D26" s="51"/>
    </row>
    <row r="27" spans="1:4" ht="15" hidden="1" customHeight="1">
      <c r="A27" s="143" t="s">
        <v>79</v>
      </c>
      <c r="B27" s="34" t="s">
        <v>8</v>
      </c>
      <c r="C27" s="34"/>
      <c r="D27" s="54" t="s">
        <v>155</v>
      </c>
    </row>
    <row r="28" spans="1:4" ht="15" hidden="1" customHeight="1">
      <c r="A28" s="143"/>
      <c r="B28" s="36" t="s">
        <v>8</v>
      </c>
      <c r="C28" s="95" t="s">
        <v>81</v>
      </c>
      <c r="D28" s="91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#REF!</v>
      </c>
    </row>
    <row r="29" spans="1:4" hidden="1">
      <c r="B29" s="36" t="s">
        <v>8</v>
      </c>
      <c r="C29" s="96" t="s">
        <v>31</v>
      </c>
      <c r="D29" s="92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30" spans="1:4" hidden="1">
      <c r="B30" s="36" t="s">
        <v>8</v>
      </c>
      <c r="C30" s="96" t="s">
        <v>83</v>
      </c>
      <c r="D30" s="92" t="e">
        <f ca="1">IF(AND(NOW(),CurveEnablement.GBP),IF(#REF!,_xll.mirSetUpBasisSwapCurve(D$27,C30,[0]!YieldCurvePropertiesTenorBasis,[0]!BasisConv3x6,[0]!BasisData3x6,[0]!TenorBasis3x6CurveNamesCombined),"#WAIT"),"DISABLED")</f>
        <v>#REF!</v>
      </c>
    </row>
    <row r="31" spans="1:4" hidden="1">
      <c r="B31" s="36" t="s">
        <v>8</v>
      </c>
      <c r="C31" s="100" t="s">
        <v>84</v>
      </c>
      <c r="D31" s="92" t="e">
        <f ca="1">IF(AND(NOW(),CurveEnablement.GBP),IF(#REF!,_xll.mirSetUpBasisSwapCurve(D$27,C31,[0]!YieldCurvePropertiesTenorBasis,[0]!BasisConv1x3,[0]!BasisData1x3,[0]!TenorBasis1x6CurveNamesCombined),"#WAIT"),"DISABLED")</f>
        <v>#REF!</v>
      </c>
    </row>
    <row r="32" spans="1:4" hidden="1">
      <c r="B32" s="36" t="s">
        <v>8</v>
      </c>
      <c r="C32" s="96" t="s">
        <v>89</v>
      </c>
      <c r="D32" s="94" t="e">
        <f ca="1">IF(AND(NOW(),CurveEnablement.GBP),IF(#REF!,_xll.mirSetUpBasisSwapCurve(D$27,C32,[0]!YieldCurvePropertiesTenorBasis,[0]!BasisConv6x12,[0]!BasisData6x12,[0]!TenorBasis6x12CurveNamesCombined),"#WAIT"),"DISABLED")</f>
        <v>#REF!</v>
      </c>
    </row>
    <row r="33" spans="1:4" hidden="1">
      <c r="B33" s="36" t="s">
        <v>8</v>
      </c>
      <c r="C33" s="97" t="s">
        <v>85</v>
      </c>
      <c r="D33" s="104" t="e">
        <f ca="1">IF(AND(NOW(),CurveEnablement.GBP),IF(AND(#REF!,#REF!),_xll.mirSetUpBasisSwapCurve(D$27,C33,[0]!XccyBasisProperties,[0]!XccyBasisConvUSDCSA,[0]!XccyBasisData,[0]!XccyBasisCurveNamesCombined),"#WAIT"),"DISABLED")</f>
        <v>#REF!</v>
      </c>
    </row>
    <row r="34" spans="1:4" hidden="1">
      <c r="B34" s="36" t="s">
        <v>8</v>
      </c>
      <c r="C34" s="96" t="s">
        <v>157</v>
      </c>
      <c r="D34" s="102" t="e">
        <f ca="1">IF(AND(NOW(),CurveEnablement.GBP),IF(AND(#REF!,#REF!),_xll.mirSetUpFwdFXConstantCurve(D$27,C34,[0]!ConstForwardFXProperties,[0]!ConstForwardFXEURCSA,[0]!FwdFXConstCurveNamesCombinedEUR),"#WAIT"),"DISABLED")</f>
        <v>#REF!</v>
      </c>
    </row>
    <row r="35" spans="1:4" hidden="1">
      <c r="C35" s="96" t="s">
        <v>158</v>
      </c>
      <c r="D35" s="106" t="s">
        <v>5</v>
      </c>
    </row>
    <row r="36" spans="1:4" hidden="1">
      <c r="C36" s="98" t="s">
        <v>159</v>
      </c>
      <c r="D36" s="103" t="e">
        <f ca="1">IF(AND(NOW(),CurveEnablement.GBP),IF(AND(#REF!,#REF!),_xll.mirSetUpFwdFXConstantCurve(D$27,C36,[0]!ConstForwardFXProperties,[0]!ConstForwardFXJPYCSA,[0]!FwdFXConstCurveNamesCombinedJPY),"#WAIT"),"DISABLED")</f>
        <v>#REF!</v>
      </c>
    </row>
    <row r="37" spans="1:4" hidden="1">
      <c r="B37" s="36" t="s">
        <v>8</v>
      </c>
      <c r="C37" s="34"/>
    </row>
    <row r="38" spans="1:4" ht="15" hidden="1" customHeight="1">
      <c r="A38" s="143" t="s">
        <v>80</v>
      </c>
      <c r="B38" s="34" t="s">
        <v>8</v>
      </c>
      <c r="C38" s="34"/>
      <c r="D38" s="54" t="s">
        <v>156</v>
      </c>
    </row>
    <row r="39" spans="1:4" ht="15" hidden="1" customHeight="1">
      <c r="A39" s="143"/>
      <c r="B39" s="36" t="s">
        <v>8</v>
      </c>
      <c r="C39" s="95" t="s">
        <v>81</v>
      </c>
      <c r="D39" s="91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#REF!</v>
      </c>
    </row>
    <row r="40" spans="1:4" hidden="1">
      <c r="B40" s="36" t="s">
        <v>8</v>
      </c>
      <c r="C40" s="96" t="s">
        <v>31</v>
      </c>
      <c r="D40" s="92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41" spans="1:4" hidden="1">
      <c r="B41" s="36" t="s">
        <v>8</v>
      </c>
      <c r="C41" s="96" t="s">
        <v>83</v>
      </c>
      <c r="D41" s="92" t="e">
        <f ca="1">IF(AND(NOW(),CurveEnablement.JPY),IF(#REF!,_xll.mirSetUpBasisSwapCurve(D$38,C41,[0]!YieldCurvePropertiesTenorBasis,[0]!BasisConv3x6,[0]!BasisData3x6,[0]!TenorBasis3x6CurveNamesCombined),"#WAIT"),"DISABLED")</f>
        <v>#REF!</v>
      </c>
    </row>
    <row r="42" spans="1:4" hidden="1">
      <c r="B42" s="36" t="s">
        <v>8</v>
      </c>
      <c r="C42" s="100" t="s">
        <v>84</v>
      </c>
      <c r="D42" s="92" t="e">
        <f ca="1">IF(AND(NOW(),CurveEnablement.JPY),IF(#REF!,_xll.mirSetUpBasisSwapCurve(D$38,C42,[0]!YieldCurvePropertiesTenorBasis,[0]!BasisConv1x3,[0]!BasisData1x3,[0]!TenorBasis1x6CurveNamesCombined),"#WAIT"),"DISABLED")</f>
        <v>#REF!</v>
      </c>
    </row>
    <row r="43" spans="1:4" hidden="1">
      <c r="B43" s="36" t="s">
        <v>8</v>
      </c>
      <c r="C43" s="96" t="s">
        <v>89</v>
      </c>
      <c r="D43" s="93" t="s">
        <v>5</v>
      </c>
    </row>
    <row r="44" spans="1:4" hidden="1">
      <c r="B44" s="36" t="s">
        <v>8</v>
      </c>
      <c r="C44" s="97" t="s">
        <v>85</v>
      </c>
      <c r="D44" s="104" t="e">
        <f ca="1">IF(AND(NOW(),CurveEnablement.JPY),IF(AND(#REF!,#REF!),_xll.mirSetUpBasisSwapCurve(D$38,C44,[0]!XccyBasisProperties,[0]!XccyBasisConvUSDCSA,[0]!XccyBasisData,[0]!XccyBasisCurveNamesCombined),"#WAIT"),"DISABLED")</f>
        <v>#REF!</v>
      </c>
    </row>
    <row r="45" spans="1:4" hidden="1">
      <c r="B45" s="36" t="s">
        <v>8</v>
      </c>
      <c r="C45" s="96" t="s">
        <v>157</v>
      </c>
      <c r="D45" s="102" t="e">
        <f ca="1">IF(AND(NOW(),CurveEnablement.JPY),IF(AND(#REF!,#REF!),_xll.mirSetUpFwdFXConstantCurve(D$38,$C45,[0]!ConstForwardFXProperties,[0]!ConstForwardFXEURCSA,[0]!FwdFXConstCurveNamesCombinedEUR),"#WAIT"),"DISABLED")</f>
        <v>#REF!</v>
      </c>
    </row>
    <row r="46" spans="1:4" hidden="1">
      <c r="C46" s="96" t="s">
        <v>158</v>
      </c>
      <c r="D46" s="102" t="e">
        <f ca="1">IF(AND(NOW(),CurveEnablement.JPY),IF(AND(#REF!,#REF!),_xll.mirSetUpFwdFXConstantCurve(D$38,$C46,[0]!ConstForwardFXProperties,[0]!ConstForwardFXGBPCSA,[0]!FwdFXConstCurveNamesCombinedGBP),"#WAIT"),"DISABLED")</f>
        <v>#REF!</v>
      </c>
    </row>
    <row r="47" spans="1:4" hidden="1">
      <c r="C47" s="98" t="s">
        <v>159</v>
      </c>
      <c r="D47" s="105" t="s">
        <v>5</v>
      </c>
    </row>
    <row r="48" spans="1:4" hidden="1"/>
    <row r="49" spans="3:3" hidden="1"/>
    <row r="50" spans="3:3" hidden="1"/>
    <row r="51" spans="3:3" hidden="1">
      <c r="C51" s="36" t="s">
        <v>178</v>
      </c>
    </row>
    <row r="52" spans="3:3" hidden="1">
      <c r="C52" s="36" t="s">
        <v>177</v>
      </c>
    </row>
    <row r="53" spans="3:3" hidden="1">
      <c r="C53" s="36" t="s">
        <v>179</v>
      </c>
    </row>
    <row r="54" spans="3:3" hidden="1"/>
    <row r="55" spans="3:3" hidden="1"/>
    <row r="56" spans="3:3" hidden="1">
      <c r="C56" s="36" t="s">
        <v>173</v>
      </c>
    </row>
    <row r="57" spans="3:3" hidden="1">
      <c r="C57" s="36" t="s">
        <v>174</v>
      </c>
    </row>
    <row r="58" spans="3:3" hidden="1">
      <c r="C58" s="36" t="s">
        <v>175</v>
      </c>
    </row>
    <row r="59" spans="3:3" hidden="1">
      <c r="C59" s="36" t="s">
        <v>176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36"/>
  <sheetViews>
    <sheetView showGridLines="0" tabSelected="1" workbookViewId="0"/>
  </sheetViews>
  <sheetFormatPr defaultRowHeight="15"/>
  <cols>
    <col min="1" max="1" width="3.7109375" customWidth="1"/>
    <col min="2" max="2" width="16" bestFit="1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0" customWidth="1"/>
    <col min="12" max="12" width="14" style="126" bestFit="1" customWidth="1"/>
    <col min="13" max="13" width="15.42578125" style="126" customWidth="1"/>
    <col min="14" max="14" width="5.85546875" customWidth="1"/>
    <col min="15" max="15" width="10.5703125" customWidth="1"/>
  </cols>
  <sheetData>
    <row r="2" spans="2:15">
      <c r="B2" s="140" t="s">
        <v>185</v>
      </c>
      <c r="L2" s="144"/>
    </row>
    <row r="3" spans="2:15">
      <c r="B3" s="139" t="s">
        <v>186</v>
      </c>
    </row>
    <row r="4" spans="2:15">
      <c r="B4" s="139" t="s">
        <v>187</v>
      </c>
    </row>
    <row r="5" spans="2:15">
      <c r="B5" s="139" t="s">
        <v>188</v>
      </c>
    </row>
    <row r="8" spans="2:15">
      <c r="B8" s="65" t="s">
        <v>167</v>
      </c>
      <c r="C8" s="35" t="s">
        <v>115</v>
      </c>
      <c r="D8" s="35" t="s">
        <v>116</v>
      </c>
      <c r="H8" t="s">
        <v>171</v>
      </c>
      <c r="K8" s="121" t="s">
        <v>172</v>
      </c>
    </row>
    <row r="9" spans="2:15">
      <c r="B9" s="65"/>
      <c r="C9" s="35"/>
      <c r="D9" s="35"/>
      <c r="K9" s="121"/>
    </row>
    <row r="10" spans="2:15">
      <c r="L10" s="2" t="s">
        <v>189</v>
      </c>
      <c r="M10" s="2" t="s">
        <v>190</v>
      </c>
    </row>
    <row r="11" spans="2:15">
      <c r="B11" s="56" t="s">
        <v>107</v>
      </c>
      <c r="C11" s="66">
        <v>1000000</v>
      </c>
      <c r="D11" s="66"/>
      <c r="H11" s="128" t="s">
        <v>34</v>
      </c>
      <c r="I11" s="129" t="s">
        <v>33</v>
      </c>
      <c r="J11" s="126"/>
      <c r="K11" s="130" t="s">
        <v>34</v>
      </c>
      <c r="L11" s="131" t="s">
        <v>160</v>
      </c>
      <c r="M11" s="132" t="s">
        <v>161</v>
      </c>
      <c r="N11" s="126" t="s">
        <v>8</v>
      </c>
      <c r="O11" s="135" t="s">
        <v>180</v>
      </c>
    </row>
    <row r="12" spans="2:15">
      <c r="B12" s="58" t="s">
        <v>108</v>
      </c>
      <c r="C12" s="67" t="s">
        <v>109</v>
      </c>
      <c r="D12" s="67"/>
      <c r="H12" s="133" t="s">
        <v>32</v>
      </c>
      <c r="I12" s="124">
        <f>'EUR Curve Config'!N9</f>
        <v>-2.2699999999999999E-3</v>
      </c>
      <c r="J12" s="126"/>
      <c r="K12" s="133" t="s">
        <v>32</v>
      </c>
      <c r="L12" s="124">
        <f>_xll.mirOISParRate($C$13,K12,$C$15,$C$17,$C$18,$C$19,$C$20,$C$21,$C$22,$C$23,$C$27,$C$28,$D$17,$D$18,$D$19,$D$20,$D$21,$D$22,$D$23,$D$24,$D$25,$D$26,$D$27,$D$28,$C$29,$C$30,$C$31,$C$32,$D$16,$C$33)</f>
        <v>-3.699999999944303E-3</v>
      </c>
      <c r="M12" s="122">
        <f t="array" aca="1" ref="M12" ca="1">_xll.mirOISSwapPV($C$11,$C$12,$C$13,K12,$C$15,L12,$C$17,$C$18,$C$19,$C$20,$C$21,$C$22,$C$23,$C$27,$C$28,$D$16,$D$17,$D$18,$D$19,$D$20,$D$21,$D$22,$D$23,$D$24,$D$25,$D$26,$D$27,$D$28,$C$29,$C$30,$C$31,$C$32,$C$33)</f>
        <v>0</v>
      </c>
      <c r="N12" s="126" t="s">
        <v>8</v>
      </c>
      <c r="O12" s="136"/>
    </row>
    <row r="13" spans="2:15">
      <c r="B13" s="58" t="s">
        <v>110</v>
      </c>
      <c r="C13" s="68">
        <f>_xll.mirGetDate(COB,D13,C19,C20)</f>
        <v>42431</v>
      </c>
      <c r="D13" s="68" t="s">
        <v>130</v>
      </c>
      <c r="H13" s="133" t="s">
        <v>132</v>
      </c>
      <c r="I13" s="124">
        <f>'EUR Curve Config'!N10</f>
        <v>-3.7000000000000002E-3</v>
      </c>
      <c r="J13" s="126"/>
      <c r="K13" s="133" t="s">
        <v>14</v>
      </c>
      <c r="L13" s="124">
        <f>_xll.mirOISParRate($C$13,K13,$C$15,$C$17,$C$18,$C$19,$C$20,$C$21,$C$22,$C$23,$C$27,$C$28,$D$17,$D$18,$D$19,$D$20,$D$21,$D$22,$D$23,$D$24,$D$25,$D$26,$D$27,$D$28,$C$29,$C$30,$C$31,$C$32,$D$16,$C$33)</f>
        <v>-3.6994169642554846E-3</v>
      </c>
      <c r="M13" s="122">
        <f>_xll.mirOISSwapPV($C$11,$C$12,$C$13,K13,$C$15,L13,$C$17,$C$18,$C$19,$C$20,$C$21,$C$22,$C$23,$C$27,$C$28,$D$16,$D$17,$D$18,$D$19,$D$20,$D$21,$D$22,$D$23,$D$24,$D$25,$D$26,$D$27,$D$28,$C$29,$C$30,$C$31,$C$32,$C$33)</f>
        <v>0</v>
      </c>
      <c r="N13" s="126" t="s">
        <v>8</v>
      </c>
      <c r="O13" s="136"/>
    </row>
    <row r="14" spans="2:15">
      <c r="B14" s="58" t="s">
        <v>128</v>
      </c>
      <c r="C14" s="68" t="s">
        <v>16</v>
      </c>
      <c r="D14" s="68"/>
      <c r="H14" s="133" t="s">
        <v>133</v>
      </c>
      <c r="I14" s="124">
        <f>'EUR Curve Config'!N11</f>
        <v>-3.8900000000000002E-3</v>
      </c>
      <c r="J14" s="126"/>
      <c r="K14" s="133" t="s">
        <v>30</v>
      </c>
      <c r="L14" s="124">
        <f>_xll.mirOISParRate($C$13,K14,$C$15,$C$17,$C$18,$C$19,$C$20,$C$21,$C$22,$C$23,$C$27,$C$28,$D$17,$D$18,$D$19,$D$20,$D$21,$D$22,$D$23,$D$24,$D$25,$D$26,$D$27,$D$28,$C$29,$C$30,$C$31,$C$32,$D$16,$C$33)</f>
        <v>-3.733122056775332E-3</v>
      </c>
      <c r="M14" s="122">
        <f>_xll.mirOISSwapPV($C$11,$C$12,$C$13,K14,$C$15,L14,$C$17,$C$18,$C$19,$C$20,$C$21,$C$22,$C$23,$C$27,$C$28,$D$16,$D$17,$D$18,$D$19,$D$20,$D$21,$D$22,$D$23,$D$24,$D$25,$D$26,$D$27,$D$28,$C$29,$C$30,$C$31,$C$32,$C$33)</f>
        <v>0</v>
      </c>
      <c r="N14" s="126" t="s">
        <v>8</v>
      </c>
      <c r="O14" s="136"/>
    </row>
    <row r="15" spans="2:15">
      <c r="B15" s="58" t="s">
        <v>129</v>
      </c>
      <c r="C15" s="69" t="s">
        <v>154</v>
      </c>
      <c r="D15" s="69"/>
      <c r="H15" s="133" t="s">
        <v>134</v>
      </c>
      <c r="I15" s="124">
        <f>'EUR Curve Config'!N12</f>
        <v>-4.4000000000000003E-3</v>
      </c>
      <c r="J15" s="126"/>
      <c r="K15" s="133" t="s">
        <v>27</v>
      </c>
      <c r="L15" s="124">
        <f>_xll.mirOISParRate($C$13,K15,$C$15,$C$17,$C$18,$C$19,$C$20,$C$21,$C$22,$C$23,$C$27,$C$28,$D$17,$D$18,$D$19,$D$20,$D$21,$D$22,$D$23,$D$24,$D$25,$D$26,$D$27,$D$28,$C$29,$C$30,$C$31,$C$32,$D$16,$C$33)</f>
        <v>-3.7849471537484852E-3</v>
      </c>
      <c r="M15" s="122">
        <f>_xll.mirOISSwapPV($C$11,$C$12,$C$13,K15,$C$15,L15,$C$17,$C$18,$C$19,$C$20,$C$21,$C$22,$C$23,$C$27,$C$28,$D$16,$D$17,$D$18,$D$19,$D$20,$D$21,$D$22,$D$23,$D$24,$D$25,$D$26,$D$27,$D$28,$C$29,$C$30,$C$31,$C$32,$C$33)</f>
        <v>0</v>
      </c>
      <c r="N15" s="126" t="s">
        <v>8</v>
      </c>
      <c r="O15" s="136"/>
    </row>
    <row r="16" spans="2:15">
      <c r="B16" s="58" t="s">
        <v>117</v>
      </c>
      <c r="C16" s="114"/>
      <c r="D16" s="117"/>
      <c r="H16" s="133" t="s">
        <v>135</v>
      </c>
      <c r="I16" s="124">
        <f>'EUR Curve Config'!N13</f>
        <v>-4.5799999999999999E-3</v>
      </c>
      <c r="J16" s="126"/>
      <c r="K16" s="133" t="s">
        <v>15</v>
      </c>
      <c r="L16" s="124">
        <f>_xll.mirOISParRate($C$13,K16,$C$15,$C$17,$C$18,$C$19,$C$20,$C$21,$C$22,$C$23,$C$27,$C$28,$D$17,$D$18,$D$19,$D$20,$D$21,$D$22,$D$23,$D$24,$D$25,$D$26,$D$27,$D$28,$C$29,$C$30,$C$31,$C$32,$D$16,$C$33)</f>
        <v>-4.1311129691850657E-3</v>
      </c>
      <c r="M16" s="122">
        <f>_xll.mirOISSwapPV($C$11,$C$12,$C$13,K16,$C$15,L16,$C$17,$C$18,$C$19,$C$20,$C$21,$C$22,$C$23,$C$27,$C$28,$D$16,$D$17,$D$18,$D$19,$D$20,$D$21,$D$22,$D$23,$D$24,$D$25,$D$26,$D$27,$D$28,$C$29,$C$30,$C$31,$C$32,$C$33)</f>
        <v>0</v>
      </c>
      <c r="N16" s="126" t="s">
        <v>8</v>
      </c>
      <c r="O16" s="136"/>
    </row>
    <row r="17" spans="2:15">
      <c r="B17" s="58" t="s">
        <v>48</v>
      </c>
      <c r="C17" s="113" t="s">
        <v>66</v>
      </c>
      <c r="D17" s="113" t="s">
        <v>66</v>
      </c>
      <c r="H17" s="133" t="s">
        <v>136</v>
      </c>
      <c r="I17" s="124">
        <f>'EUR Curve Config'!N14</f>
        <v>-5.0000000000000001E-3</v>
      </c>
      <c r="J17" s="126"/>
      <c r="K17" s="133" t="s">
        <v>29</v>
      </c>
      <c r="L17" s="124">
        <f>_xll.mirOISParRate($C$13,K17,$C$15,$C$17,$C$18,$C$19,$C$20,$C$21,$C$22,$C$23,$C$27,$C$28,$D$17,$D$18,$D$19,$D$20,$D$21,$D$22,$D$23,$D$24,$D$25,$D$26,$D$27,$D$28,$C$29,$C$30,$C$31,$C$32,$D$16,$C$33)</f>
        <v>-4.4036881157587327E-3</v>
      </c>
      <c r="M17" s="122">
        <f>_xll.mirOISSwapPV($C$11,$C$12,$C$13,K17,$C$15,L17,$C$17,$C$18,$C$19,$C$20,$C$21,$C$22,$C$23,$C$27,$C$28,$D$16,$D$17,$D$18,$D$19,$D$20,$D$21,$D$22,$D$23,$D$24,$D$25,$D$26,$D$27,$D$28,$C$29,$C$30,$C$31,$C$32,$C$33)</f>
        <v>0</v>
      </c>
      <c r="N17" s="126" t="s">
        <v>8</v>
      </c>
      <c r="O17" s="136"/>
    </row>
    <row r="18" spans="2:15">
      <c r="B18" s="58" t="s">
        <v>53</v>
      </c>
      <c r="C18" s="113" t="s">
        <v>28</v>
      </c>
      <c r="D18" s="113" t="s">
        <v>28</v>
      </c>
      <c r="H18" s="133" t="s">
        <v>87</v>
      </c>
      <c r="I18" s="124">
        <f>'EUR Curve Config'!N15</f>
        <v>-4.5500000000000002E-3</v>
      </c>
      <c r="J18" s="126"/>
      <c r="K18" s="133" t="s">
        <v>87</v>
      </c>
      <c r="L18" s="124">
        <f>_xll.mirOISParRate($C$13,K18,$C$15,$C$17,$C$18,$C$19,$C$20,$C$21,$C$22,$C$23,$C$27,$C$28,$D$17,$D$18,$D$19,$D$20,$D$21,$D$22,$D$23,$D$24,$D$25,$D$26,$D$27,$D$28,$C$29,$C$30,$C$31,$C$32,$D$16,$C$33)</f>
        <v>-4.5499999288232604E-3</v>
      </c>
      <c r="M18" s="122">
        <f>_xll.mirOISSwapPV($C$11,$C$12,$C$13,K18,$C$15,L18,$C$17,$C$18,$C$19,$C$20,$C$21,$C$22,$C$23,$C$27,$C$28,$D$16,$D$17,$D$18,$D$19,$D$20,$D$21,$D$22,$D$23,$D$24,$D$25,$D$26,$D$27,$D$28,$C$29,$C$30,$C$31,$C$32,$C$33)</f>
        <v>0</v>
      </c>
      <c r="N18" s="126" t="s">
        <v>8</v>
      </c>
      <c r="O18" s="137">
        <f>(L18-I18)*10000</f>
        <v>7.1176739849243553E-7</v>
      </c>
    </row>
    <row r="19" spans="2:15">
      <c r="B19" s="58" t="s">
        <v>118</v>
      </c>
      <c r="C19" s="60" t="s">
        <v>24</v>
      </c>
      <c r="D19" s="60" t="s">
        <v>24</v>
      </c>
      <c r="H19" s="133" t="s">
        <v>26</v>
      </c>
      <c r="I19" s="124">
        <f>'EUR Curve Config'!N16</f>
        <v>-4.8399999999999997E-3</v>
      </c>
      <c r="J19" s="126"/>
      <c r="K19" s="133" t="s">
        <v>26</v>
      </c>
      <c r="L19" s="124">
        <f>_xll.mirOISParRate($C$13,K19,$C$15,$C$17,$C$18,$C$19,$C$20,$C$21,$C$22,$C$23,$C$27,$C$28,$D$17,$D$18,$D$19,$D$20,$D$21,$D$22,$D$23,$D$24,$D$25,$D$26,$D$27,$D$28,$C$29,$C$30,$C$31,$C$32,$D$16,$C$33)</f>
        <v>-4.8400000266877827E-3</v>
      </c>
      <c r="M19" s="122">
        <f>_xll.mirOISSwapPV($C$11,$C$12,$C$13,K19,$C$15,L19,$C$17,$C$18,$C$19,$C$20,$C$21,$C$22,$C$23,$C$27,$C$28,$D$16,$D$17,$D$18,$D$19,$D$20,$D$21,$D$22,$D$23,$D$24,$D$25,$D$26,$D$27,$D$28,$C$29,$C$30,$C$31,$C$32,$C$33)</f>
        <v>0</v>
      </c>
      <c r="N19" s="126" t="s">
        <v>8</v>
      </c>
      <c r="O19" s="137">
        <f t="shared" ref="O19:O36" si="0">(L19-I19)*10000</f>
        <v>-2.6687783059864412E-7</v>
      </c>
    </row>
    <row r="20" spans="2:15">
      <c r="B20" s="58" t="s">
        <v>74</v>
      </c>
      <c r="C20" s="60" t="s">
        <v>0</v>
      </c>
      <c r="D20" s="60" t="s">
        <v>0</v>
      </c>
      <c r="H20" s="133" t="s">
        <v>25</v>
      </c>
      <c r="I20" s="124">
        <f>'EUR Curve Config'!N17</f>
        <v>-4.9499999999999995E-3</v>
      </c>
      <c r="J20" s="126"/>
      <c r="K20" s="133" t="s">
        <v>25</v>
      </c>
      <c r="L20" s="124">
        <f>_xll.mirOISParRate($C$13,K20,$C$15,$C$17,$C$18,$C$19,$C$20,$C$21,$C$22,$C$23,$C$27,$C$28,$D$17,$D$18,$D$19,$D$20,$D$21,$D$22,$D$23,$D$24,$D$25,$D$26,$D$27,$D$28,$C$29,$C$30,$C$31,$C$32,$D$16,$C$33)</f>
        <v>-4.949999999664818E-3</v>
      </c>
      <c r="M20" s="122">
        <f>_xll.mirOISSwapPV($C$11,$C$12,$C$13,K20,$C$15,L20,$C$17,$C$18,$C$19,$C$20,$C$21,$C$22,$C$23,$C$27,$C$28,$D$16,$D$17,$D$18,$D$19,$D$20,$D$21,$D$22,$D$23,$D$24,$D$25,$D$26,$D$27,$D$28,$C$29,$C$30,$C$31,$C$32,$C$33)</f>
        <v>0</v>
      </c>
      <c r="N20" s="126" t="s">
        <v>8</v>
      </c>
      <c r="O20" s="137">
        <f t="shared" si="0"/>
        <v>3.3518153530476269E-9</v>
      </c>
    </row>
    <row r="21" spans="2:15">
      <c r="B21" s="58" t="s">
        <v>119</v>
      </c>
      <c r="C21" s="62"/>
      <c r="D21" s="62"/>
      <c r="H21" s="133" t="s">
        <v>23</v>
      </c>
      <c r="I21" s="124">
        <f>'EUR Curve Config'!N18</f>
        <v>-4.7299999999999998E-3</v>
      </c>
      <c r="J21" s="126"/>
      <c r="K21" s="133" t="s">
        <v>23</v>
      </c>
      <c r="L21" s="124">
        <f>_xll.mirOISParRate($C$13,K21,$C$15,$C$17,$C$18,$C$19,$C$20,$C$21,$C$22,$C$23,$C$27,$C$28,$D$17,$D$18,$D$19,$D$20,$D$21,$D$22,$D$23,$D$24,$D$25,$D$26,$D$27,$D$28,$C$29,$C$30,$C$31,$C$32,$D$16,$C$33)</f>
        <v>-4.7300000468094147E-3</v>
      </c>
      <c r="M21" s="122">
        <f>_xll.mirOISSwapPV($C$11,$C$12,$C$13,K21,$C$15,L21,$C$17,$C$18,$C$19,$C$20,$C$21,$C$22,$C$23,$C$27,$C$28,$D$16,$D$17,$D$18,$D$19,$D$20,$D$21,$D$22,$D$23,$D$24,$D$25,$D$26,$D$27,$D$28,$C$29,$C$30,$C$31,$C$32,$C$33)</f>
        <v>0</v>
      </c>
      <c r="N21" s="126" t="s">
        <v>8</v>
      </c>
      <c r="O21" s="137">
        <f t="shared" si="0"/>
        <v>-4.6809414851189945E-7</v>
      </c>
    </row>
    <row r="22" spans="2:15">
      <c r="B22" s="58" t="s">
        <v>120</v>
      </c>
      <c r="C22" s="62"/>
      <c r="D22" s="62"/>
      <c r="H22" s="133" t="s">
        <v>22</v>
      </c>
      <c r="I22" s="124">
        <f>'EUR Curve Config'!N19</f>
        <v>-4.13E-3</v>
      </c>
      <c r="J22" s="126"/>
      <c r="K22" s="133" t="s">
        <v>22</v>
      </c>
      <c r="L22" s="124">
        <f>_xll.mirOISParRate($C$13,K22,$C$15,$C$17,$C$18,$C$19,$C$20,$C$21,$C$22,$C$23,$C$27,$C$28,$D$17,$D$18,$D$19,$D$20,$D$21,$D$22,$D$23,$D$24,$D$25,$D$26,$D$27,$D$28,$C$29,$C$30,$C$31,$C$32,$D$16,$C$33)</f>
        <v>-4.1300000702695844E-3</v>
      </c>
      <c r="M22" s="122">
        <f>_xll.mirOISSwapPV($C$11,$C$12,$C$13,K22,$C$15,L22,$C$17,$C$18,$C$19,$C$20,$C$21,$C$22,$C$23,$C$27,$C$28,$D$16,$D$17,$D$18,$D$19,$D$20,$D$21,$D$22,$D$23,$D$24,$D$25,$D$26,$D$27,$D$28,$C$29,$C$30,$C$31,$C$32,$C$33)</f>
        <v>0</v>
      </c>
      <c r="N22" s="126" t="s">
        <v>8</v>
      </c>
      <c r="O22" s="137">
        <f t="shared" si="0"/>
        <v>-7.026958442207798E-7</v>
      </c>
    </row>
    <row r="23" spans="2:15">
      <c r="B23" s="58" t="s">
        <v>121</v>
      </c>
      <c r="C23" s="107">
        <f>DAY(C13)</f>
        <v>2</v>
      </c>
      <c r="D23" s="107">
        <f>DAY(C13)</f>
        <v>2</v>
      </c>
      <c r="H23" s="133" t="s">
        <v>21</v>
      </c>
      <c r="I23" s="124">
        <f>'EUR Curve Config'!N20</f>
        <v>-3.3300000000000001E-3</v>
      </c>
      <c r="J23" s="126"/>
      <c r="K23" s="133" t="s">
        <v>21</v>
      </c>
      <c r="L23" s="124">
        <f>_xll.mirOISParRate($C$13,K23,$C$15,$C$17,$C$18,$C$19,$C$20,$C$21,$C$22,$C$23,$C$27,$C$28,$D$17,$D$18,$D$19,$D$20,$D$21,$D$22,$D$23,$D$24,$D$25,$D$26,$D$27,$D$28,$C$29,$C$30,$C$31,$C$32,$D$16,$C$33)</f>
        <v>-3.3300000821977378E-3</v>
      </c>
      <c r="M23" s="122">
        <f>_xll.mirOISSwapPV($C$11,$C$12,$C$13,K23,$C$15,L23,$C$17,$C$18,$C$19,$C$20,$C$21,$C$22,$C$23,$C$27,$C$28,$D$16,$D$17,$D$18,$D$19,$D$20,$D$21,$D$22,$D$23,$D$24,$D$25,$D$26,$D$27,$D$28,$C$29,$C$30,$C$31,$C$32,$C$33)</f>
        <v>0</v>
      </c>
      <c r="N23" s="126" t="s">
        <v>8</v>
      </c>
      <c r="O23" s="137">
        <f t="shared" si="0"/>
        <v>-8.2197737765604684E-7</v>
      </c>
    </row>
    <row r="24" spans="2:15">
      <c r="B24" s="58" t="s">
        <v>122</v>
      </c>
      <c r="C24" s="61" t="s">
        <v>5</v>
      </c>
      <c r="D24" s="127"/>
      <c r="H24" s="133" t="s">
        <v>54</v>
      </c>
      <c r="I24" s="124">
        <f>'EUR Curve Config'!N21</f>
        <v>-2.2799999999999999E-3</v>
      </c>
      <c r="J24" s="126"/>
      <c r="K24" s="133" t="s">
        <v>54</v>
      </c>
      <c r="L24" s="124">
        <f>_xll.mirOISParRate($C$13,K24,$C$15,$C$17,$C$18,$C$19,$C$20,$C$21,$C$22,$C$23,$C$27,$C$28,$D$17,$D$18,$D$19,$D$20,$D$21,$D$22,$D$23,$D$24,$D$25,$D$26,$D$27,$D$28,$C$29,$C$30,$C$31,$C$32,$D$16,$C$33)</f>
        <v>-2.2800000689427299E-3</v>
      </c>
      <c r="M24" s="122">
        <f>_xll.mirOISSwapPV($C$11,$C$12,$C$13,K24,$C$15,L24,$C$17,$C$18,$C$19,$C$20,$C$21,$C$22,$C$23,$C$27,$C$28,$D$16,$D$17,$D$18,$D$19,$D$20,$D$21,$D$22,$D$23,$D$24,$D$25,$D$26,$D$27,$D$28,$C$29,$C$30,$C$31,$C$32,$C$33)</f>
        <v>0</v>
      </c>
      <c r="N24" s="126" t="s">
        <v>8</v>
      </c>
      <c r="O24" s="137">
        <f t="shared" si="0"/>
        <v>-6.8942729997134578E-7</v>
      </c>
    </row>
    <row r="25" spans="2:15">
      <c r="B25" s="58" t="s">
        <v>124</v>
      </c>
      <c r="C25" s="120" t="s">
        <v>5</v>
      </c>
      <c r="D25" s="127"/>
      <c r="H25" s="133" t="s">
        <v>20</v>
      </c>
      <c r="I25" s="124">
        <f>'EUR Curve Config'!N22</f>
        <v>-1.09E-3</v>
      </c>
      <c r="J25" s="126"/>
      <c r="K25" s="133" t="s">
        <v>20</v>
      </c>
      <c r="L25" s="124">
        <f>_xll.mirOISParRate($C$13,K25,$C$15,$C$17,$C$18,$C$19,$C$20,$C$21,$C$22,$C$23,$C$27,$C$28,$D$17,$D$18,$D$19,$D$20,$D$21,$D$22,$D$23,$D$24,$D$25,$D$26,$D$27,$D$28,$C$29,$C$30,$C$31,$C$32,$D$16,$C$33)</f>
        <v>-1.0900000304391027E-3</v>
      </c>
      <c r="M25" s="122">
        <f>_xll.mirOISSwapPV($C$11,$C$12,$C$13,K25,$C$15,L25,$C$17,$C$18,$C$19,$C$20,$C$21,$C$22,$C$23,$C$27,$C$28,$D$16,$D$17,$D$18,$D$19,$D$20,$D$21,$D$22,$D$23,$D$24,$D$25,$D$26,$D$27,$D$28,$C$29,$C$30,$C$31,$C$32,$C$33)</f>
        <v>0</v>
      </c>
      <c r="N25" s="126" t="s">
        <v>8</v>
      </c>
      <c r="O25" s="137">
        <f t="shared" si="0"/>
        <v>-3.0439102627344283E-7</v>
      </c>
    </row>
    <row r="26" spans="2:15">
      <c r="B26" s="58" t="s">
        <v>125</v>
      </c>
      <c r="C26" s="63" t="s">
        <v>5</v>
      </c>
      <c r="D26" s="108"/>
      <c r="H26" s="133" t="s">
        <v>46</v>
      </c>
      <c r="I26" s="124">
        <f>'EUR Curve Config'!N23</f>
        <v>1E-4</v>
      </c>
      <c r="J26" s="126"/>
      <c r="K26" s="133" t="s">
        <v>46</v>
      </c>
      <c r="L26" s="124">
        <f>_xll.mirOISParRate($C$13,K26,$C$15,$C$17,$C$18,$C$19,$C$20,$C$21,$C$22,$C$23,$C$27,$C$28,$D$17,$D$18,$D$19,$D$20,$D$21,$D$22,$D$23,$D$24,$D$25,$D$26,$D$27,$D$28,$C$29,$C$30,$C$31,$C$32,$D$16,$C$33)</f>
        <v>9.9999999509746198E-5</v>
      </c>
      <c r="M26" s="122">
        <f>_xll.mirOISSwapPV($C$11,$C$12,$C$13,K26,$C$15,L26,$C$17,$C$18,$C$19,$C$20,$C$21,$C$22,$C$23,$C$27,$C$28,$D$16,$D$17,$D$18,$D$19,$D$20,$D$21,$D$22,$D$23,$D$24,$D$25,$D$26,$D$27,$D$28,$C$29,$C$30,$C$31,$C$32,$C$33)</f>
        <v>0</v>
      </c>
      <c r="N26" s="126" t="s">
        <v>8</v>
      </c>
      <c r="O26" s="137">
        <f t="shared" si="0"/>
        <v>-4.9025380651802897E-9</v>
      </c>
    </row>
    <row r="27" spans="2:15">
      <c r="B27" s="58" t="s">
        <v>126</v>
      </c>
      <c r="C27" s="63" t="s">
        <v>123</v>
      </c>
      <c r="D27" s="63" t="s">
        <v>123</v>
      </c>
      <c r="H27" s="133" t="s">
        <v>43</v>
      </c>
      <c r="I27" s="124">
        <f>'EUR Curve Config'!N24</f>
        <v>1.2199999999999999E-3</v>
      </c>
      <c r="J27" s="126"/>
      <c r="K27" s="133" t="s">
        <v>43</v>
      </c>
      <c r="L27" s="124">
        <f>_xll.mirOISParRate($C$13,K27,$C$15,$C$17,$C$18,$C$19,$C$20,$C$21,$C$22,$C$23,$C$27,$C$28,$D$17,$D$18,$D$19,$D$20,$D$21,$D$22,$D$23,$D$24,$D$25,$D$26,$D$27,$D$28,$C$29,$C$30,$C$31,$C$32,$D$16,$C$33)</f>
        <v>1.2199998646010837E-3</v>
      </c>
      <c r="M27" s="122">
        <f>_xll.mirOISSwapPV($C$11,$C$12,$C$13,K27,$C$15,L27,$C$17,$C$18,$C$19,$C$20,$C$21,$C$22,$C$23,$C$27,$C$28,$D$16,$D$17,$D$18,$D$19,$D$20,$D$21,$D$22,$D$23,$D$24,$D$25,$D$26,$D$27,$D$28,$C$29,$C$30,$C$31,$C$32,$C$33)</f>
        <v>0</v>
      </c>
      <c r="N27" s="126" t="s">
        <v>8</v>
      </c>
      <c r="O27" s="137">
        <f t="shared" si="0"/>
        <v>-1.3539891625426181E-6</v>
      </c>
    </row>
    <row r="28" spans="2:15">
      <c r="B28" s="57" t="s">
        <v>127</v>
      </c>
      <c r="C28" s="64" t="s">
        <v>184</v>
      </c>
      <c r="D28" s="64" t="s">
        <v>184</v>
      </c>
      <c r="H28" s="133" t="s">
        <v>18</v>
      </c>
      <c r="I28" s="124">
        <f>'EUR Curve Config'!N25</f>
        <v>2.2400000000000002E-3</v>
      </c>
      <c r="J28" s="126"/>
      <c r="K28" s="133" t="s">
        <v>18</v>
      </c>
      <c r="L28" s="124">
        <f>_xll.mirOISParRate($C$13,K28,$C$15,$C$17,$C$18,$C$19,$C$20,$C$21,$C$22,$C$23,$C$27,$C$28,$D$17,$D$18,$D$19,$D$20,$D$21,$D$22,$D$23,$D$24,$D$25,$D$26,$D$27,$D$28,$C$29,$C$30,$C$31,$C$32,$D$16,$C$33)</f>
        <v>2.2399992358993755E-3</v>
      </c>
      <c r="M28" s="122">
        <f>_xll.mirOISSwapPV($C$11,$C$12,$C$13,K28,$C$15,L28,$C$17,$C$18,$C$19,$C$20,$C$21,$C$22,$C$23,$C$27,$C$28,$D$16,$D$17,$D$18,$D$19,$D$20,$D$21,$D$22,$D$23,$D$24,$D$25,$D$26,$D$27,$D$28,$C$29,$C$30,$C$31,$C$32,$C$33)</f>
        <v>0</v>
      </c>
      <c r="N28" s="126" t="s">
        <v>8</v>
      </c>
      <c r="O28" s="137">
        <f t="shared" si="0"/>
        <v>-7.6410062478660112E-6</v>
      </c>
    </row>
    <row r="29" spans="2:15">
      <c r="B29" s="58" t="s">
        <v>4</v>
      </c>
      <c r="C29" s="59" t="s">
        <v>111</v>
      </c>
      <c r="D29" s="59"/>
      <c r="H29" s="133" t="s">
        <v>104</v>
      </c>
      <c r="I29" s="124">
        <f>'EUR Curve Config'!N26</f>
        <v>3.1900000000000001E-3</v>
      </c>
      <c r="J29" s="126"/>
      <c r="K29" s="133" t="s">
        <v>104</v>
      </c>
      <c r="L29" s="124">
        <f>_xll.mirOISParRate($C$13,K29,$C$15,$C$17,$C$18,$C$19,$C$20,$C$21,$C$22,$C$23,$C$27,$C$28,$D$17,$D$18,$D$19,$D$20,$D$21,$D$22,$D$23,$D$24,$D$25,$D$26,$D$27,$D$28,$C$29,$C$30,$C$31,$C$32,$D$16,$C$33)</f>
        <v>3.1899999999422616E-3</v>
      </c>
      <c r="M29" s="122">
        <f>_xll.mirOISSwapPV($C$11,$C$12,$C$13,K29,$C$15,L29,$C$17,$C$18,$C$19,$C$20,$C$21,$C$22,$C$23,$C$27,$C$28,$D$16,$D$17,$D$18,$D$19,$D$20,$D$21,$D$22,$D$23,$D$24,$D$25,$D$26,$D$27,$D$28,$C$29,$C$30,$C$31,$C$32,$C$33)</f>
        <v>0</v>
      </c>
      <c r="N29" s="126" t="s">
        <v>8</v>
      </c>
      <c r="O29" s="137">
        <f t="shared" si="0"/>
        <v>-5.7738536174412047E-10</v>
      </c>
    </row>
    <row r="30" spans="2:15">
      <c r="B30" s="58" t="s">
        <v>112</v>
      </c>
      <c r="C30" s="115" t="s">
        <v>81</v>
      </c>
      <c r="D30" s="99"/>
      <c r="H30" s="133" t="s">
        <v>17</v>
      </c>
      <c r="I30" s="124">
        <f>'EUR Curve Config'!N27</f>
        <v>4.0100000000000005E-3</v>
      </c>
      <c r="J30" s="126"/>
      <c r="K30" s="133" t="s">
        <v>17</v>
      </c>
      <c r="L30" s="124">
        <f>_xll.mirOISParRate($C$13,K30,$C$15,$C$17,$C$18,$C$19,$C$20,$C$21,$C$22,$C$23,$C$27,$C$28,$D$17,$D$18,$D$19,$D$20,$D$21,$D$22,$D$23,$D$24,$D$25,$D$26,$D$27,$D$28,$C$29,$C$30,$C$31,$C$32,$D$16,$C$33)</f>
        <v>4.0099999997588679E-3</v>
      </c>
      <c r="M30" s="122">
        <f>_xll.mirOISSwapPV($C$11,$C$12,$C$13,K30,$C$15,L30,$C$17,$C$18,$C$19,$C$20,$C$21,$C$22,$C$23,$C$27,$C$28,$D$16,$D$17,$D$18,$D$19,$D$20,$D$21,$D$22,$D$23,$D$24,$D$25,$D$26,$D$27,$D$28,$C$29,$C$30,$C$31,$C$32,$C$33)</f>
        <v>0</v>
      </c>
      <c r="N30" s="126" t="s">
        <v>8</v>
      </c>
      <c r="O30" s="137">
        <f t="shared" si="0"/>
        <v>-2.411326346929421E-9</v>
      </c>
    </row>
    <row r="31" spans="2:15">
      <c r="B31" s="58" t="s">
        <v>113</v>
      </c>
      <c r="C31" s="60" t="str">
        <f>LEFT(C15,3)&amp;"DF_"&amp;D31</f>
        <v>EURDF_NOCSA</v>
      </c>
      <c r="D31" s="60" t="s">
        <v>152</v>
      </c>
      <c r="H31" s="133" t="s">
        <v>16</v>
      </c>
      <c r="I31" s="124">
        <f>'EUR Curve Config'!N28</f>
        <v>5.8599999999999998E-3</v>
      </c>
      <c r="J31" s="126"/>
      <c r="K31" s="133" t="s">
        <v>16</v>
      </c>
      <c r="L31" s="124">
        <f>_xll.mirOISParRate($C$13,K31,$C$15,$C$17,$C$18,$C$19,$C$20,$C$21,$C$22,$C$23,$C$27,$C$28,$D$17,$D$18,$D$19,$D$20,$D$21,$D$22,$D$23,$D$24,$D$25,$D$26,$D$27,$D$28,$C$29,$C$30,$C$31,$C$32,$D$16,$C$33)</f>
        <v>5.8599999970109602E-3</v>
      </c>
      <c r="M31" s="122">
        <f>_xll.mirOISSwapPV($C$11,$C$12,$C$13,K31,$C$15,L31,$C$17,$C$18,$C$19,$C$20,$C$21,$C$22,$C$23,$C$27,$C$28,$D$16,$D$17,$D$18,$D$19,$D$20,$D$21,$D$22,$D$23,$D$24,$D$25,$D$26,$D$27,$D$28,$C$29,$C$30,$C$31,$C$32,$C$33)</f>
        <v>0</v>
      </c>
      <c r="N31" s="126" t="s">
        <v>8</v>
      </c>
      <c r="O31" s="137">
        <f t="shared" si="0"/>
        <v>-2.9890395714105011E-8</v>
      </c>
    </row>
    <row r="32" spans="2:15">
      <c r="B32" s="58" t="s">
        <v>114</v>
      </c>
      <c r="C32" s="60" t="s">
        <v>170</v>
      </c>
      <c r="D32" s="112"/>
      <c r="H32" s="133" t="s">
        <v>13</v>
      </c>
      <c r="I32" s="124">
        <f>'EUR Curve Config'!N29</f>
        <v>7.4599999999999996E-3</v>
      </c>
      <c r="J32" s="126"/>
      <c r="K32" s="133" t="s">
        <v>13</v>
      </c>
      <c r="L32" s="124">
        <f>_xll.mirOISParRate($C$13,K32,$C$15,$C$17,$C$18,$C$19,$C$20,$C$21,$C$22,$C$23,$C$27,$C$28,$D$17,$D$18,$D$19,$D$20,$D$21,$D$22,$D$23,$D$24,$D$25,$D$26,$D$27,$D$28,$C$29,$C$30,$C$31,$C$32,$D$16,$C$33)</f>
        <v>7.4599999744759506E-3</v>
      </c>
      <c r="M32" s="122">
        <f>_xll.mirOISSwapPV($C$11,$C$12,$C$13,K32,$C$15,L32,$C$17,$C$18,$C$19,$C$20,$C$21,$C$22,$C$23,$C$27,$C$28,$D$16,$D$17,$D$18,$D$19,$D$20,$D$21,$D$22,$D$23,$D$24,$D$25,$D$26,$D$27,$D$28,$C$29,$C$30,$C$31,$C$32,$C$33)</f>
        <v>0</v>
      </c>
      <c r="N32" s="126" t="s">
        <v>8</v>
      </c>
      <c r="O32" s="137">
        <f t="shared" si="0"/>
        <v>-2.5524049020175799E-7</v>
      </c>
    </row>
    <row r="33" spans="2:15">
      <c r="B33" s="57" t="s">
        <v>168</v>
      </c>
      <c r="C33" s="118" t="s">
        <v>169</v>
      </c>
      <c r="D33" s="118"/>
      <c r="H33" s="133" t="s">
        <v>12</v>
      </c>
      <c r="I33" s="124">
        <f>'EUR Curve Config'!N30</f>
        <v>8.0499999999999999E-3</v>
      </c>
      <c r="J33" s="126"/>
      <c r="K33" s="133" t="s">
        <v>12</v>
      </c>
      <c r="L33" s="124">
        <f>_xll.mirOISParRate($C$13,K33,$C$15,$C$17,$C$18,$C$19,$C$20,$C$21,$C$22,$C$23,$C$27,$C$28,$D$17,$D$18,$D$19,$D$20,$D$21,$D$22,$D$23,$D$24,$D$25,$D$26,$D$27,$D$28,$C$29,$C$30,$C$31,$C$32,$D$16,$C$33)</f>
        <v>8.0499999243309906E-3</v>
      </c>
      <c r="M33" s="122">
        <f>_xll.mirOISSwapPV($C$11,$C$12,$C$13,K33,$C$15,L33,$C$17,$C$18,$C$19,$C$20,$C$21,$C$22,$C$23,$C$27,$C$28,$D$16,$D$17,$D$18,$D$19,$D$20,$D$21,$D$22,$D$23,$D$24,$D$25,$D$26,$D$27,$D$28,$C$29,$C$30,$C$31,$C$32,$C$33)</f>
        <v>-2.7755575615628914E-11</v>
      </c>
      <c r="N33" s="126" t="s">
        <v>8</v>
      </c>
      <c r="O33" s="137">
        <f t="shared" si="0"/>
        <v>-7.5669009252932184E-7</v>
      </c>
    </row>
    <row r="34" spans="2:15">
      <c r="H34" s="133" t="s">
        <v>11</v>
      </c>
      <c r="I34" s="124">
        <f>'EUR Curve Config'!N31</f>
        <v>8.2500000000000004E-3</v>
      </c>
      <c r="J34" s="126"/>
      <c r="K34" s="133" t="s">
        <v>11</v>
      </c>
      <c r="L34" s="124">
        <f>_xll.mirOISParRate($C$13,K34,$C$15,$C$17,$C$18,$C$19,$C$20,$C$21,$C$22,$C$23,$C$27,$C$28,$D$17,$D$18,$D$19,$D$20,$D$21,$D$22,$D$23,$D$24,$D$25,$D$26,$D$27,$D$28,$C$29,$C$30,$C$31,$C$32,$D$16,$C$33)</f>
        <v>8.2499998706170776E-3</v>
      </c>
      <c r="M34" s="122">
        <f>_xll.mirOISSwapPV($C$11,$C$12,$C$13,K34,$C$15,L34,$C$17,$C$18,$C$19,$C$20,$C$21,$C$22,$C$23,$C$27,$C$28,$D$16,$D$17,$D$18,$D$19,$D$20,$D$21,$D$22,$D$23,$D$24,$D$25,$D$26,$D$27,$D$28,$C$29,$C$30,$C$31,$C$32,$C$33)</f>
        <v>2.7755575615628914E-11</v>
      </c>
      <c r="N34" s="126" t="s">
        <v>8</v>
      </c>
      <c r="O34" s="137">
        <f t="shared" si="0"/>
        <v>-1.2938292277830943E-6</v>
      </c>
    </row>
    <row r="35" spans="2:15">
      <c r="H35" s="133" t="s">
        <v>10</v>
      </c>
      <c r="I35" s="124">
        <f>'EUR Curve Config'!N32</f>
        <v>8.369999999999999E-3</v>
      </c>
      <c r="J35" s="126"/>
      <c r="K35" s="133" t="s">
        <v>10</v>
      </c>
      <c r="L35" s="124">
        <f>_xll.mirOISParRate($C$13,K35,$C$15,$C$17,$C$18,$C$19,$C$20,$C$21,$C$22,$C$23,$C$27,$C$28,$D$17,$D$18,$D$19,$D$20,$D$21,$D$22,$D$23,$D$24,$D$25,$D$26,$D$27,$D$28,$C$29,$C$30,$C$31,$C$32,$D$16,$C$33)</f>
        <v>8.3699998234103429E-3</v>
      </c>
      <c r="M35" s="122">
        <f>_xll.mirOISSwapPV($C$11,$C$12,$C$13,K35,$C$15,L35,$C$17,$C$18,$C$19,$C$20,$C$21,$C$22,$C$23,$C$27,$C$28,$D$16,$D$17,$D$18,$D$19,$D$20,$D$21,$D$22,$D$23,$D$24,$D$25,$D$26,$D$27,$D$28,$C$29,$C$30,$C$31,$C$32,$C$33)</f>
        <v>0</v>
      </c>
      <c r="N35" s="126" t="s">
        <v>8</v>
      </c>
      <c r="O35" s="137">
        <f t="shared" si="0"/>
        <v>-1.7658965609235189E-6</v>
      </c>
    </row>
    <row r="36" spans="2:15">
      <c r="C36" s="116"/>
      <c r="H36" s="134" t="s">
        <v>9</v>
      </c>
      <c r="I36" s="125">
        <f>'EUR Curve Config'!N33</f>
        <v>7.9299999999999995E-3</v>
      </c>
      <c r="J36" s="126"/>
      <c r="K36" s="134" t="s">
        <v>9</v>
      </c>
      <c r="L36" s="125">
        <f>_xll.mirOISParRate($C$13,K36,$C$15,$C$17,$C$18,$C$19,$C$20,$C$21,$C$22,$C$23,$C$27,$C$28,$D$17,$D$18,$D$19,$D$20,$D$21,$D$22,$D$23,$D$24,$D$25,$D$26,$D$27,$D$28,$C$29,$C$30,$C$31,$C$32,$D$16,$C$33)</f>
        <v>7.9299999478642438E-3</v>
      </c>
      <c r="M36" s="123">
        <f>_xll.mirOISSwapPV($C$11,$C$12,$C$13,K36,$C$15,L36,$C$17,$C$18,$C$19,$C$20,$C$21,$C$22,$C$23,$C$27,$C$28,$D$16,$D$17,$D$18,$D$19,$D$20,$D$21,$D$22,$D$23,$D$24,$D$25,$D$26,$D$27,$D$28,$C$29,$C$30,$C$31,$C$32,$C$33)</f>
        <v>-5.5511151231257827E-11</v>
      </c>
      <c r="N36" s="126" t="s">
        <v>8</v>
      </c>
      <c r="O36" s="138">
        <f t="shared" si="0"/>
        <v>-5.2135755782001247E-7</v>
      </c>
    </row>
  </sheetData>
  <dataValidations count="6">
    <dataValidation type="list" allowBlank="1" showInputMessage="1" showErrorMessage="1" sqref="C12:D12">
      <formula1>"PAYER,RECEIVER"</formula1>
    </dataValidation>
    <dataValidation type="list" allowBlank="1" showInputMessage="1" showErrorMessage="1" sqref="C19:D19">
      <formula1>"MOD_FOLLOWING,FOLLOWING,MOD_PRECEDING,PRECEDING,NO_CHANGE"</formula1>
    </dataValidation>
    <dataValidation type="list" allowBlank="1" showInputMessage="1" showErrorMessage="1" sqref="C28:D28">
      <formula1>"None,ShortStart,ShortEnd,LongStart,LongEnd"</formula1>
    </dataValidation>
    <dataValidation type="list" allowBlank="1" showInputMessage="1" showErrorMessage="1" sqref="C33">
      <formula1>"GEOMETRIC, ARITHMETIC"</formula1>
    </dataValidation>
    <dataValidation type="list" allowBlank="1" showInputMessage="1" showErrorMessage="1" sqref="C32">
      <formula1>"EOM, NORMAL"</formula1>
    </dataValidation>
    <dataValidation type="list" allowBlank="1" showInputMessage="1" showErrorMessage="1" sqref="C14">
      <formula1>$I$8:$I$28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EUR Curve Config</vt:lpstr>
      <vt:lpstr>Build OIS Curve</vt:lpstr>
      <vt:lpstr>EUR OIS Swaps</vt:lpstr>
      <vt:lpstr>'EUR Curve Config'!BlockCurveNames</vt:lpstr>
      <vt:lpstr>'EUR Curve Config'!BlockOISCurve</vt:lpstr>
      <vt:lpstr>COB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Config'!YieldCurvePropertiesOIS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2016-03-16T11:07:46Z</dcterms:modified>
</cp:coreProperties>
</file>