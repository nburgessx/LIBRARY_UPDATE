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3"/>
  </bookViews>
  <sheets>
    <sheet name="EUR OIS" sheetId="2" r:id="rId1"/>
    <sheet name="EUR SWAP 6ML" sheetId="3" r:id="rId2"/>
    <sheet name="EUR BASIS 3ML" sheetId="4" r:id="rId3"/>
    <sheet name="Swap Pricing" sheetId="21" r:id="rId4"/>
  </sheets>
  <definedNames>
    <definedName name="COB">'EUR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orwardCurves.CurveID">#REF!</definedName>
    <definedName name="ForwardCurves.Interpolation">#REF!</definedName>
    <definedName name="ForwardCurves.Periodicity">#REF!</definedName>
    <definedName name="Forwards.EUR1ML">#REF!</definedName>
    <definedName name="Forwards.OIS">#REF!</definedName>
    <definedName name="Forwards.StartDate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GBPLoaded">#REF!</definedName>
    <definedName name="isEUROISLoaded">'EUR OIS'!$D$8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#REF!</definedName>
    <definedName name="isUSDOISLoaded">#REF!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M6" i="21" l="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B23" i="21"/>
  <c r="B13" i="21"/>
  <c r="B7" i="21"/>
  <c r="B25" i="21"/>
  <c r="B19" i="21"/>
  <c r="B22" i="21"/>
  <c r="B9" i="21"/>
  <c r="B14" i="21"/>
  <c r="B10" i="21"/>
  <c r="B16" i="21"/>
  <c r="B6" i="21"/>
  <c r="B11" i="21"/>
  <c r="B8" i="21"/>
  <c r="B15" i="21"/>
  <c r="B20" i="21"/>
  <c r="B12" i="21"/>
  <c r="B17" i="21"/>
  <c r="B21" i="21"/>
  <c r="B24" i="21"/>
  <c r="D7" i="2"/>
  <c r="B18" i="21"/>
  <c r="D8" i="2" l="1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AU23" i="21"/>
  <c r="AU24" i="21"/>
  <c r="AU25" i="21"/>
  <c r="D8" i="3"/>
  <c r="D9" i="3" l="1"/>
  <c r="AM7" i="2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6" i="21"/>
  <c r="AN6" i="21"/>
  <c r="E7" i="4"/>
  <c r="W6" i="21" l="1"/>
  <c r="AS5" i="21" l="1" a="1"/>
  <c r="AS5" i="21" s="1"/>
  <c r="AJ25" i="21"/>
  <c r="AK25" i="21" s="1"/>
  <c r="X25" i="21"/>
  <c r="W25" i="21"/>
  <c r="AN25" i="21"/>
  <c r="AJ24" i="21"/>
  <c r="AK24" i="21" s="1"/>
  <c r="X24" i="21"/>
  <c r="W24" i="21"/>
  <c r="AN24" i="21"/>
  <c r="AJ23" i="21"/>
  <c r="AK23" i="21" s="1"/>
  <c r="X23" i="21"/>
  <c r="W23" i="21"/>
  <c r="AN23" i="21"/>
  <c r="AJ22" i="21"/>
  <c r="AK22" i="21" s="1"/>
  <c r="X22" i="21"/>
  <c r="W22" i="21"/>
  <c r="AN22" i="21"/>
  <c r="AJ21" i="21"/>
  <c r="AK21" i="21" s="1"/>
  <c r="X21" i="21"/>
  <c r="W21" i="21"/>
  <c r="AN21" i="21"/>
  <c r="AJ20" i="21"/>
  <c r="AK20" i="21" s="1"/>
  <c r="X20" i="21"/>
  <c r="W20" i="21"/>
  <c r="AN20" i="21"/>
  <c r="AJ19" i="21"/>
  <c r="AK19" i="21" s="1"/>
  <c r="X19" i="21"/>
  <c r="W19" i="21"/>
  <c r="AN19" i="21"/>
  <c r="AJ18" i="21"/>
  <c r="AK18" i="21" s="1"/>
  <c r="X18" i="21"/>
  <c r="W18" i="21"/>
  <c r="AN18" i="21"/>
  <c r="AJ17" i="21"/>
  <c r="AK17" i="21" s="1"/>
  <c r="X17" i="21"/>
  <c r="W17" i="21"/>
  <c r="AN17" i="21"/>
  <c r="AJ16" i="21"/>
  <c r="AK16" i="21" s="1"/>
  <c r="X16" i="21"/>
  <c r="W16" i="21"/>
  <c r="AN16" i="21"/>
  <c r="AJ15" i="21"/>
  <c r="AK15" i="21" s="1"/>
  <c r="X15" i="21"/>
  <c r="W15" i="21"/>
  <c r="AN15" i="21"/>
  <c r="AJ14" i="21"/>
  <c r="AK14" i="21" s="1"/>
  <c r="X14" i="21"/>
  <c r="W14" i="21"/>
  <c r="AN14" i="21"/>
  <c r="AJ13" i="21"/>
  <c r="AK13" i="21" s="1"/>
  <c r="X13" i="21"/>
  <c r="W13" i="21"/>
  <c r="AN13" i="21"/>
  <c r="AJ12" i="21"/>
  <c r="AK12" i="21" s="1"/>
  <c r="X12" i="21"/>
  <c r="W12" i="21"/>
  <c r="AN12" i="21"/>
  <c r="AJ11" i="21"/>
  <c r="AK11" i="21" s="1"/>
  <c r="X11" i="21"/>
  <c r="W11" i="21"/>
  <c r="AN11" i="21"/>
  <c r="AJ10" i="21"/>
  <c r="AK10" i="21" s="1"/>
  <c r="X10" i="21"/>
  <c r="W10" i="21"/>
  <c r="AN10" i="21"/>
  <c r="AJ9" i="21"/>
  <c r="AK9" i="21" s="1"/>
  <c r="X9" i="21"/>
  <c r="W9" i="21"/>
  <c r="AN9" i="21"/>
  <c r="AJ8" i="21"/>
  <c r="AK8" i="21" s="1"/>
  <c r="X8" i="21"/>
  <c r="W8" i="21"/>
  <c r="AN8" i="21"/>
  <c r="AJ7" i="21"/>
  <c r="AK7" i="21" s="1"/>
  <c r="X7" i="21"/>
  <c r="W7" i="21"/>
  <c r="AN7" i="21"/>
  <c r="AJ6" i="21"/>
  <c r="AK6" i="21" s="1"/>
  <c r="X6" i="21"/>
  <c r="AS15" i="21" l="1"/>
  <c r="AT13" i="21"/>
  <c r="AT11" i="21"/>
  <c r="AS11" i="21"/>
  <c r="AT7" i="21"/>
  <c r="AT20" i="21"/>
  <c r="AT22" i="21"/>
  <c r="AT17" i="21"/>
  <c r="AT16" i="21"/>
  <c r="AS8" i="21"/>
  <c r="AS20" i="21"/>
  <c r="AU20" i="21" s="1"/>
  <c r="AT19" i="21"/>
  <c r="AT12" i="21"/>
  <c r="AS7" i="21"/>
  <c r="AS19" i="21"/>
  <c r="AU19" i="21" s="1"/>
  <c r="AS12" i="21"/>
  <c r="AT5" i="21"/>
  <c r="AS16" i="21"/>
  <c r="AT9" i="21"/>
  <c r="AT21" i="21"/>
  <c r="AT15" i="21"/>
  <c r="AT8" i="21"/>
  <c r="AT18" i="21"/>
  <c r="AT14" i="21"/>
  <c r="AT10" i="21"/>
  <c r="AT6" i="21"/>
  <c r="AS22" i="21"/>
  <c r="AU22" i="21" s="1"/>
  <c r="AS18" i="21"/>
  <c r="AS14" i="21"/>
  <c r="AS10" i="21"/>
  <c r="AS6" i="21"/>
  <c r="AS21" i="21"/>
  <c r="AU21" i="21" s="1"/>
  <c r="AS17" i="21"/>
  <c r="AS13" i="21"/>
  <c r="AS9" i="21"/>
  <c r="T6" i="2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Q14" i="21"/>
  <c r="AP25" i="21"/>
  <c r="AP20" i="21"/>
  <c r="AP18" i="21"/>
  <c r="AP16" i="21"/>
  <c r="AQ6" i="21"/>
  <c r="AO17" i="21"/>
  <c r="AP23" i="21"/>
  <c r="AO16" i="21"/>
  <c r="AO21" i="21"/>
  <c r="AQ20" i="21"/>
  <c r="AQ9" i="21"/>
  <c r="AO12" i="21"/>
  <c r="AQ24" i="21"/>
  <c r="AQ12" i="21"/>
  <c r="AQ15" i="21"/>
  <c r="AQ22" i="21"/>
  <c r="AO25" i="21"/>
  <c r="AO20" i="21"/>
  <c r="AP6" i="21"/>
  <c r="AP12" i="21"/>
  <c r="AO6" i="21"/>
  <c r="AP22" i="21"/>
  <c r="AQ23" i="21"/>
  <c r="AO19" i="21"/>
  <c r="AP10" i="21"/>
  <c r="AO22" i="21"/>
  <c r="AO23" i="21"/>
  <c r="AQ21" i="21"/>
  <c r="AP19" i="21"/>
  <c r="AO9" i="21"/>
  <c r="AQ8" i="21"/>
  <c r="AP9" i="21"/>
  <c r="AQ19" i="21"/>
  <c r="AP8" i="21"/>
  <c r="AQ7" i="21"/>
  <c r="AO24" i="21"/>
  <c r="AP13" i="21"/>
  <c r="AP11" i="21"/>
  <c r="AP15" i="21"/>
  <c r="AO10" i="21"/>
  <c r="AQ17" i="21"/>
  <c r="AO7" i="21"/>
  <c r="AQ11" i="21"/>
  <c r="AO15" i="21"/>
  <c r="AQ13" i="21"/>
  <c r="AO14" i="21"/>
  <c r="AO8" i="21"/>
  <c r="AP7" i="21"/>
  <c r="AO18" i="21"/>
  <c r="AO13" i="21"/>
  <c r="AO11" i="21"/>
  <c r="AQ10" i="21"/>
  <c r="AP14" i="21"/>
  <c r="AQ25" i="21"/>
  <c r="AQ18" i="21"/>
  <c r="AQ16" i="21"/>
  <c r="AP17" i="21"/>
  <c r="AP21" i="21"/>
  <c r="AP24" i="21"/>
  <c r="E8" i="4" l="1"/>
  <c r="C68" i="4"/>
  <c r="AU13" i="21" l="1"/>
  <c r="AU18" i="21"/>
  <c r="AU7" i="21"/>
  <c r="AU15" i="21"/>
  <c r="AU16" i="21"/>
  <c r="AU9" i="21"/>
  <c r="AU8" i="21"/>
  <c r="AU12" i="21"/>
  <c r="AU6" i="21"/>
  <c r="AU10" i="21"/>
  <c r="AU14" i="21"/>
  <c r="AU17" i="21"/>
  <c r="AU11" i="21"/>
  <c r="AP2" i="2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<sst xmlns="http://schemas.openxmlformats.org/spreadsheetml/2006/main" count="923" uniqueCount="257">
  <si>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</si>
  <si>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</si>
  <si>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</si>
  <si>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</si>
  <si>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</si>
  <si>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</si>
  <si>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</si>
  <si>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</si>
  <si>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</si>
  <si>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</si>
  <si>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</si>
  <si>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</si>
  <si>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</si>
  <si>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</si>
  <si>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</si>
  <si>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</si>
  <si>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</si>
  <si>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</si>
  <si>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</si>
  <si>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</si>
  <si>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</si>
  <si>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</si>
  <si>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</si>
  <si>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</si>
  <si>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</si>
  <si>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</si>
  <si>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</si>
  <si>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</si>
  <si>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</si>
  <si>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</si>
  <si>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</si>
  <si>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</si>
  <si>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</si>
  <si>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</si>
  <si>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</si>
  <si>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</si>
  <si>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</si>
  <si>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</si>
  <si>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</si>
  <si>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</si>
  <si>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</si>
  <si>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</si>
  <si>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</si>
  <si>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</si>
  <si>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</si>
  <si>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</si>
  <si>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</si>
  <si>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</si>
  <si>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</si>
  <si>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</si>
  <si>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</si>
  <si>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</si>
  <si>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</si>
  <si>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</si>
  <si>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</si>
  <si>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</si>
  <si>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</si>
  <si>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</si>
  <si>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</si>
  <si>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</si>
  <si>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</si>
  <si>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</si>
  <si>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</si>
  <si>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</si>
  <si>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</si>
  <si>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</si>
  <si>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</si>
  <si>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</si>
  <si>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</si>
  <si>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</si>
  <si>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</si>
  <si>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</si>
  <si>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</si>
  <si>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</si>
  <si>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</si>
  <si>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</si>
  <si>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</si>
  <si>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</si>
  <si>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</si>
  <si>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</si>
  <si>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</si>
  <si>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</si>
  <si>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</si>
  <si>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</si>
  <si>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</si>
  <si>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</si>
  <si>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</si>
  <si>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</si>
  <si>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</si>
  <si>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</si>
  <si>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</si>
  <si>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</si>
  <si>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</si>
  <si>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</si>
  <si>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</si>
  <si>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</si>
  <si>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</si>
  <si>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</si>
  <si>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</si>
  <si>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</si>
  <si>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</si>
  <si>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</si>
  <si>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</si>
  <si>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</si>
  <si>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</si>
  <si>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</si>
  <si>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</si>
  <si>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</si>
  <si>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</si>
  <si>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</si>
  <si>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</si>
  <si>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</si>
  <si>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</si>
  <si>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</si>
  <si>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</si>
  <si>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</si>
  <si>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</si>
  <si>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</si>
  <si>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</si>
  <si>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</si>
  <si>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</si>
  <si>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</si>
  <si>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</si>
  <si>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</si>
  <si>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</si>
  <si>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</si>
  <si>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</si>
  <si>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</si>
  <si>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</si>
  <si>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</si>
  <si>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</si>
  <si>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</si>
  <si>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</si>
  <si>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</si>
  <si>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</si>
  <si>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</si>
  <si>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</si>
  <si>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</si>
  <si>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</si>
  <si>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</si>
  <si>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</si>
  <si>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</si>
  <si>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</si>
  <si>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</si>
  <si>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</si>
  <si>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</si>
  <si>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</si>
  <si>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</si>
  <si>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</si>
  <si>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</si>
  <si>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</si>
  <si>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</si>
  <si>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</si>
  <si>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</si>
  <si>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</si>
  <si>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</si>
  <si>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</si>
  <si>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</si>
  <si>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</si>
  <si>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</si>
  <si>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</si>
  <si>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</si>
  <si>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</si>
  <si>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</si>
  <si>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</si>
  <si>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</si>
  <si>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</si>
  <si>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</si>
  <si>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</si>
  <si>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</si>
  <si>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</si>
  <si>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</si>
  <si>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</si>
  <si>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</si>
  <si>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</si>
  <si>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</si>
  <si>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</si>
  <si>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</si>
  <si>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</si>
  <si>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</si>
  <si>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</si>
  <si>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</si>
  <si>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</si>
  <si>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</si>
  <si>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</si>
  <si>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</si>
  <si>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</si>
  <si>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</si>
  <si>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</si>
  <si>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</si>
  <si>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</si>
  <si>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</si>
  <si>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</si>
  <si>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MonotoneConvex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</si>
  <si>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</si>
  <si>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</si>
  <si>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</si>
  <si>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</si>
  <si>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</si>
  <si>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</si>
  <si>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</si>
  <si>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</si>
  <si>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</si>
  <si>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</si>
  <si>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</si>
  <si>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</si>
  <si>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</si>
  <si>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</si>
  <si>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</si>
  <si>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</si>
  <si>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</si>
  <si>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</si>
  <si>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</si>
  <si>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</si>
  <si>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</si>
  <si>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</si>
  <si>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</si>
  <si>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</si>
  <si>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</si>
  <si>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</si>
  <si>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</si>
  <si>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</si>
  <si>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</si>
  <si>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</si>
  <si>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</si>
  <si>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</si>
  <si>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</si>
  <si>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</si>
  <si>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</si>
  <si>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</si>
  <si>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</si>
  <si>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</si>
  <si>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</si>
  <si>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</si>
  <si>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</si>
  <si>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</si>
  <si>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</si>
  <si>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</si>
  <si>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</si>
  <si>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</si>
  <si>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</si>
  <si>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</si>
  <si>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</si>
  <si>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</si>
  <si>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</si>
  <si>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</si>
  <si>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</si>
  <si>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</si>
  <si>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</si>
  <si>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</si>
  <si>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</si>
  <si>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</si>
  <si>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</si>
  <si>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</si>
  <si>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</si>
  <si>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basis.interpolation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</si>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</sst>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0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0" borderId="0" xfId="0" applyFont="1"/>
    <xf numFmtId="0" fontId="24" fillId="0" borderId="0" xfId="0" applyFont="1" applyAlignment="1">
      <alignment horizontal="center" vertical="center"/>
    </xf>
    <xf numFmtId="3" fontId="0" fillId="0" borderId="0" xfId="0" applyNumberFormat="1"/>
    <xf numFmtId="0" fontId="0" fillId="3" borderId="20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center" wrapText="1"/>
    </xf>
    <xf numFmtId="0" fontId="0" fillId="3" borderId="22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6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/>
    </xf>
    <xf numFmtId="165" fontId="6" fillId="0" borderId="26" xfId="0" applyNumberFormat="1" applyFont="1" applyFill="1" applyBorder="1" applyAlignment="1">
      <alignment horizontal="center" vertical="center"/>
    </xf>
    <xf numFmtId="0" fontId="0" fillId="2" borderId="26" xfId="0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165" fontId="9" fillId="2" borderId="26" xfId="0" applyNumberFormat="1" applyFont="1" applyFill="1" applyBorder="1" applyAlignment="1">
      <alignment horizontal="center"/>
    </xf>
    <xf numFmtId="165" fontId="0" fillId="2" borderId="26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5" xfId="0" applyFont="1" applyFill="1" applyBorder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23" xfId="0" applyNumberFormat="1" applyFont="1" applyFill="1" applyBorder="1" applyAlignment="1">
      <alignment horizontal="center" vertical="center"/>
    </xf>
    <xf numFmtId="167" fontId="6" fillId="0" borderId="26" xfId="0" applyNumberFormat="1" applyFont="1" applyFill="1" applyBorder="1" applyAlignment="1">
      <alignment horizontal="center" vertical="center"/>
    </xf>
    <xf numFmtId="4" fontId="9" fillId="2" borderId="26" xfId="0" applyNumberFormat="1" applyFont="1" applyFill="1" applyBorder="1" applyAlignment="1">
      <alignment horizontal="center" vertical="center"/>
    </xf>
    <xf numFmtId="167" fontId="9" fillId="3" borderId="24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167" fontId="9" fillId="3" borderId="25" xfId="0" applyNumberFormat="1" applyFont="1" applyFill="1" applyBorder="1" applyAlignment="1">
      <alignment horizontal="center" vertical="center"/>
    </xf>
    <xf numFmtId="169" fontId="9" fillId="2" borderId="27" xfId="0" applyNumberFormat="1" applyFont="1" applyFill="1" applyBorder="1" applyAlignment="1">
      <alignment horizontal="center"/>
    </xf>
    <xf numFmtId="0" fontId="0" fillId="3" borderId="22" xfId="0" applyNumberFormat="1" applyFill="1" applyBorder="1" applyAlignment="1">
      <alignment horizontal="center" vertical="top" wrapText="1"/>
    </xf>
    <xf numFmtId="0" fontId="0" fillId="3" borderId="20" xfId="0" applyNumberFormat="1" applyFill="1" applyBorder="1" applyAlignment="1">
      <alignment horizontal="center" vertical="center" wrapText="1"/>
    </xf>
    <xf numFmtId="169" fontId="9" fillId="3" borderId="2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168" fontId="2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54" t="s">
        <v>217</v>
      </c>
    </row>
    <row r="3" spans="2:14" x14ac:dyDescent="0.25">
      <c r="B3" s="64"/>
    </row>
    <row r="4" spans="2:14" x14ac:dyDescent="0.25">
      <c r="B4" s="64"/>
    </row>
    <row r="5" spans="2:14" x14ac:dyDescent="0.25">
      <c r="B5" s="155" t="s">
        <v>215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56" t="s">
        <v>215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(0.03100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7" t="s">
        <v>192</v>
      </c>
      <c r="D8" s="118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7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9" t="s">
        <v>189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57" t="s">
        <v>218</v>
      </c>
    </row>
    <row r="6" spans="2:12" x14ac:dyDescent="0.25">
      <c r="B6" s="158" t="s">
        <v>216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59" t="s">
        <v>216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(0.01500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7" t="s">
        <v>192</v>
      </c>
      <c r="D9" s="118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7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9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8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7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253</v>
      </c>
      <c r="D37" s="10"/>
      <c r="E37" s="10"/>
      <c r="F37" s="49" t="s">
        <v>103</v>
      </c>
      <c r="G37" s="10"/>
      <c r="H37" s="10"/>
      <c r="I37" s="49" t="s">
        <v>252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185</v>
      </c>
      <c r="J39" s="74">
        <v>-2.8E-3</v>
      </c>
      <c r="K39" s="77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1" t="s">
        <v>169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101</v>
      </c>
      <c r="G41" s="68">
        <v>2</v>
      </c>
      <c r="H41" s="10"/>
      <c r="I41" s="71" t="s">
        <v>104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70"/>
      <c r="G52" s="74"/>
      <c r="H52" s="10"/>
      <c r="I52" s="70" t="s">
        <v>110</v>
      </c>
      <c r="J52" s="74">
        <v>-1.2900000000000001E-3</v>
      </c>
      <c r="K52" s="77"/>
      <c r="L52" s="55"/>
    </row>
    <row r="53" spans="2:12" x14ac:dyDescent="0.25">
      <c r="B53" s="5"/>
      <c r="C53" s="28" t="s">
        <v>107</v>
      </c>
      <c r="D53" s="35">
        <v>2</v>
      </c>
      <c r="E53" s="9"/>
      <c r="F53" s="71"/>
      <c r="G53" s="75"/>
      <c r="H53" s="10"/>
      <c r="I53" s="71" t="s">
        <v>111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112</v>
      </c>
      <c r="J54" s="75">
        <v>-1.33E-3</v>
      </c>
      <c r="K54" s="77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71"/>
      <c r="G55" s="75"/>
      <c r="H55" s="10"/>
      <c r="I55" s="71" t="s">
        <v>113</v>
      </c>
      <c r="J55" s="75">
        <v>-1.3900000000000002E-3</v>
      </c>
      <c r="K55" s="77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71"/>
      <c r="G56" s="75"/>
      <c r="H56" s="10"/>
      <c r="I56" s="71" t="s">
        <v>114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>
        <v>2</v>
      </c>
      <c r="E57" s="9"/>
      <c r="F57" s="71"/>
      <c r="G57" s="75"/>
      <c r="H57" s="10"/>
      <c r="I57" s="71" t="s">
        <v>115</v>
      </c>
      <c r="J57" s="75">
        <v>-1.4399999999999999E-3</v>
      </c>
      <c r="K57" s="77"/>
      <c r="L57" s="55"/>
    </row>
    <row r="58" spans="2:12" x14ac:dyDescent="0.25">
      <c r="B58" s="5"/>
      <c r="C58" s="28"/>
      <c r="D58" s="35"/>
      <c r="E58" s="9"/>
      <c r="F58" s="71"/>
      <c r="G58" s="75"/>
      <c r="H58" s="10"/>
      <c r="I58" s="71" t="s">
        <v>116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117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118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119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120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139</v>
      </c>
      <c r="G72" s="96" t="s">
        <v>13</v>
      </c>
      <c r="H72" s="96" t="s">
        <v>14</v>
      </c>
      <c r="I72" s="96" t="s">
        <v>12</v>
      </c>
      <c r="J72" s="96" t="s">
        <v>124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97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129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131</v>
      </c>
      <c r="D97" s="35" t="s">
        <v>130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132</v>
      </c>
      <c r="D98" s="110" t="s">
        <v>84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102</v>
      </c>
      <c r="D99" s="35" t="b">
        <v>1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254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101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133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134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135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136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8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60" t="s">
        <v>219</v>
      </c>
    </row>
    <row r="5" spans="2:10" x14ac:dyDescent="0.25">
      <c r="B5" s="161" t="s">
        <v>220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62" t="s">
        <v>220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(0.03300 sec)</v>
      </c>
      <c r="F7" s="62"/>
      <c r="G7" s="63"/>
      <c r="H7" s="7"/>
      <c r="I7" s="7"/>
      <c r="J7" s="8"/>
    </row>
    <row r="8" spans="2:10" x14ac:dyDescent="0.25">
      <c r="B8" s="5"/>
      <c r="C8" s="7"/>
      <c r="D8" s="117" t="s">
        <v>192</v>
      </c>
      <c r="E8" s="163" t="b">
        <f ca="1">LEFT(E7,10)="EURYC 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6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7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9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6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7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255</v>
      </c>
      <c r="E23" s="110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 t="s">
        <v>256</v>
      </c>
      <c r="E24" s="107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07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7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7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7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7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7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9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4"/>
      <c r="D38" s="27" t="s">
        <v>143</v>
      </c>
      <c r="E38" s="34" t="s">
        <v>144</v>
      </c>
      <c r="F38" s="7"/>
      <c r="G38" s="77" t="s">
        <v>11</v>
      </c>
      <c r="H38" s="77" t="s">
        <v>12</v>
      </c>
      <c r="I38" s="10"/>
      <c r="J38" s="55"/>
    </row>
    <row r="39" spans="2:10" x14ac:dyDescent="0.25">
      <c r="B39" s="5"/>
      <c r="C39" s="190" t="s">
        <v>190</v>
      </c>
      <c r="D39" s="111" t="s">
        <v>145</v>
      </c>
      <c r="E39" s="112" t="b">
        <v>0</v>
      </c>
      <c r="F39" s="9"/>
      <c r="G39" s="70" t="s">
        <v>183</v>
      </c>
      <c r="H39" s="74">
        <v>1.1300000000000001E-3</v>
      </c>
      <c r="I39" s="10"/>
      <c r="J39" s="55"/>
    </row>
    <row r="40" spans="2:10" x14ac:dyDescent="0.25">
      <c r="B40" s="5"/>
      <c r="C40" s="191"/>
      <c r="D40" s="28" t="s">
        <v>146</v>
      </c>
      <c r="E40" s="35" t="s">
        <v>2</v>
      </c>
      <c r="F40" s="9"/>
      <c r="G40" s="71" t="s">
        <v>47</v>
      </c>
      <c r="H40" s="75">
        <v>1.1925E-3</v>
      </c>
      <c r="I40" s="10"/>
      <c r="J40" s="55"/>
    </row>
    <row r="41" spans="2:10" x14ac:dyDescent="0.25">
      <c r="B41" s="5"/>
      <c r="C41" s="191"/>
      <c r="D41" s="28" t="s">
        <v>147</v>
      </c>
      <c r="E41" s="35" t="s">
        <v>148</v>
      </c>
      <c r="F41" s="9"/>
      <c r="G41" s="71" t="s">
        <v>43</v>
      </c>
      <c r="H41" s="75">
        <v>1.2425000000000001E-3</v>
      </c>
      <c r="I41" s="10"/>
      <c r="J41" s="55"/>
    </row>
    <row r="42" spans="2:10" x14ac:dyDescent="0.25">
      <c r="B42" s="5"/>
      <c r="C42" s="191"/>
      <c r="D42" s="28" t="s">
        <v>149</v>
      </c>
      <c r="E42" s="67" t="s">
        <v>130</v>
      </c>
      <c r="F42" s="9"/>
      <c r="G42" s="71" t="s">
        <v>50</v>
      </c>
      <c r="H42" s="75">
        <v>1.2975E-3</v>
      </c>
      <c r="I42" s="10"/>
      <c r="J42" s="55"/>
    </row>
    <row r="43" spans="2:10" x14ac:dyDescent="0.25">
      <c r="B43" s="5"/>
      <c r="C43" s="191"/>
      <c r="D43" s="28" t="s">
        <v>150</v>
      </c>
      <c r="E43" s="67" t="s">
        <v>22</v>
      </c>
      <c r="F43" s="9"/>
      <c r="G43" s="71" t="s">
        <v>52</v>
      </c>
      <c r="H43" s="75">
        <v>1.3324999999999999E-3</v>
      </c>
      <c r="I43" s="10"/>
      <c r="J43" s="55"/>
    </row>
    <row r="44" spans="2:10" x14ac:dyDescent="0.25">
      <c r="B44" s="5"/>
      <c r="C44" s="191"/>
      <c r="D44" s="28" t="s">
        <v>151</v>
      </c>
      <c r="E44" s="35" t="s">
        <v>123</v>
      </c>
      <c r="F44" s="9"/>
      <c r="G44" s="71" t="s">
        <v>54</v>
      </c>
      <c r="H44" s="75">
        <v>1.3074999999999999E-3</v>
      </c>
      <c r="I44" s="10"/>
      <c r="J44" s="55"/>
    </row>
    <row r="45" spans="2:10" x14ac:dyDescent="0.25">
      <c r="B45" s="5"/>
      <c r="C45" s="191"/>
      <c r="D45" s="28" t="s">
        <v>152</v>
      </c>
      <c r="E45" s="35" t="s">
        <v>9</v>
      </c>
      <c r="F45" s="9"/>
      <c r="G45" s="71" t="s">
        <v>56</v>
      </c>
      <c r="H45" s="75">
        <v>1.2725E-3</v>
      </c>
      <c r="I45" s="10"/>
      <c r="J45" s="55"/>
    </row>
    <row r="46" spans="2:10" x14ac:dyDescent="0.25">
      <c r="B46" s="5"/>
      <c r="C46" s="191"/>
      <c r="D46" s="28" t="s">
        <v>153</v>
      </c>
      <c r="E46" s="35" t="s">
        <v>188</v>
      </c>
      <c r="F46" s="9"/>
      <c r="G46" s="71" t="s">
        <v>58</v>
      </c>
      <c r="H46" s="75">
        <v>1.2275000000000001E-3</v>
      </c>
      <c r="I46" s="10"/>
      <c r="J46" s="55"/>
    </row>
    <row r="47" spans="2:10" x14ac:dyDescent="0.25">
      <c r="B47" s="5"/>
      <c r="C47" s="191"/>
      <c r="D47" s="28" t="s">
        <v>154</v>
      </c>
      <c r="E47" s="35" t="s">
        <v>104</v>
      </c>
      <c r="F47" s="9"/>
      <c r="G47" s="71" t="s">
        <v>60</v>
      </c>
      <c r="H47" s="75">
        <v>1.1675000000000001E-3</v>
      </c>
      <c r="I47" s="10"/>
      <c r="J47" s="55"/>
    </row>
    <row r="48" spans="2:10" x14ac:dyDescent="0.25">
      <c r="B48" s="5"/>
      <c r="C48" s="191"/>
      <c r="D48" s="28" t="s">
        <v>155</v>
      </c>
      <c r="E48" s="35" t="s">
        <v>148</v>
      </c>
      <c r="F48" s="9"/>
      <c r="G48" s="71" t="s">
        <v>61</v>
      </c>
      <c r="H48" s="75">
        <v>1.1025E-3</v>
      </c>
      <c r="I48" s="10"/>
      <c r="J48" s="55"/>
    </row>
    <row r="49" spans="2:10" x14ac:dyDescent="0.25">
      <c r="B49" s="5"/>
      <c r="C49" s="191"/>
      <c r="D49" s="28" t="s">
        <v>156</v>
      </c>
      <c r="E49" s="35" t="s">
        <v>2</v>
      </c>
      <c r="F49" s="9"/>
      <c r="G49" s="71" t="s">
        <v>62</v>
      </c>
      <c r="H49" s="75">
        <v>1.0425E-3</v>
      </c>
      <c r="I49" s="10"/>
      <c r="J49" s="55"/>
    </row>
    <row r="50" spans="2:10" x14ac:dyDescent="0.25">
      <c r="B50" s="5"/>
      <c r="C50" s="191"/>
      <c r="D50" s="28" t="s">
        <v>157</v>
      </c>
      <c r="E50" s="35" t="s">
        <v>100</v>
      </c>
      <c r="F50" s="9"/>
      <c r="G50" s="71" t="s">
        <v>63</v>
      </c>
      <c r="H50" s="75">
        <v>9.9250000000000011E-4</v>
      </c>
      <c r="I50" s="10"/>
      <c r="J50" s="55"/>
    </row>
    <row r="51" spans="2:10" x14ac:dyDescent="0.25">
      <c r="B51" s="5"/>
      <c r="C51" s="191"/>
      <c r="D51" s="28" t="s">
        <v>158</v>
      </c>
      <c r="E51" s="35" t="s">
        <v>2</v>
      </c>
      <c r="F51" s="9"/>
      <c r="G51" s="71" t="s">
        <v>64</v>
      </c>
      <c r="H51" s="75">
        <v>8.6249999999999999E-4</v>
      </c>
      <c r="I51" s="10"/>
      <c r="J51" s="55"/>
    </row>
    <row r="52" spans="2:10" x14ac:dyDescent="0.25">
      <c r="B52" s="5"/>
      <c r="C52" s="191"/>
      <c r="D52" s="28" t="s">
        <v>159</v>
      </c>
      <c r="E52" s="35" t="s">
        <v>123</v>
      </c>
      <c r="F52" s="9"/>
      <c r="G52" s="71" t="s">
        <v>65</v>
      </c>
      <c r="H52" s="75">
        <v>6.8749999999999996E-4</v>
      </c>
      <c r="I52" s="10"/>
      <c r="J52" s="55"/>
    </row>
    <row r="53" spans="2:10" x14ac:dyDescent="0.25">
      <c r="B53" s="5"/>
      <c r="C53" s="192"/>
      <c r="D53" s="113" t="s">
        <v>160</v>
      </c>
      <c r="E53" s="67" t="s">
        <v>22</v>
      </c>
      <c r="F53" s="9"/>
      <c r="G53" s="71" t="s">
        <v>66</v>
      </c>
      <c r="H53" s="75">
        <v>5.8250000000000001E-4</v>
      </c>
      <c r="I53" s="10"/>
      <c r="J53" s="55"/>
    </row>
    <row r="54" spans="2:10" x14ac:dyDescent="0.25">
      <c r="B54" s="5"/>
      <c r="C54" s="193" t="s">
        <v>191</v>
      </c>
      <c r="D54" s="111" t="s">
        <v>161</v>
      </c>
      <c r="E54" s="112" t="s">
        <v>2</v>
      </c>
      <c r="F54" s="9"/>
      <c r="G54" s="71" t="s">
        <v>67</v>
      </c>
      <c r="H54" s="75">
        <v>5.1250000000000004E-4</v>
      </c>
      <c r="I54" s="10"/>
      <c r="J54" s="55"/>
    </row>
    <row r="55" spans="2:10" x14ac:dyDescent="0.25">
      <c r="B55" s="5"/>
      <c r="C55" s="194"/>
      <c r="D55" s="28" t="s">
        <v>162</v>
      </c>
      <c r="E55" s="35" t="s">
        <v>148</v>
      </c>
      <c r="F55" s="9"/>
      <c r="G55" s="71"/>
      <c r="H55" s="75"/>
      <c r="I55" s="10"/>
      <c r="J55" s="55"/>
    </row>
    <row r="56" spans="2:10" x14ac:dyDescent="0.25">
      <c r="B56" s="5"/>
      <c r="C56" s="194"/>
      <c r="D56" s="28" t="s">
        <v>163</v>
      </c>
      <c r="E56" s="67" t="s">
        <v>28</v>
      </c>
      <c r="F56" s="9"/>
      <c r="G56" s="71"/>
      <c r="H56" s="75"/>
      <c r="I56" s="10"/>
      <c r="J56" s="55"/>
    </row>
    <row r="57" spans="2:10" x14ac:dyDescent="0.25">
      <c r="B57" s="5"/>
      <c r="C57" s="194"/>
      <c r="D57" s="28" t="s">
        <v>164</v>
      </c>
      <c r="E57" s="67" t="s">
        <v>22</v>
      </c>
      <c r="F57" s="9"/>
      <c r="G57" s="71"/>
      <c r="H57" s="75"/>
      <c r="I57" s="10"/>
      <c r="J57" s="55"/>
    </row>
    <row r="58" spans="2:10" x14ac:dyDescent="0.25">
      <c r="B58" s="5"/>
      <c r="C58" s="194"/>
      <c r="D58" s="28" t="s">
        <v>165</v>
      </c>
      <c r="E58" s="35" t="s">
        <v>123</v>
      </c>
      <c r="F58" s="9"/>
      <c r="G58" s="71"/>
      <c r="H58" s="75"/>
      <c r="I58" s="10"/>
      <c r="J58" s="55"/>
    </row>
    <row r="59" spans="2:10" x14ac:dyDescent="0.25">
      <c r="B59" s="5"/>
      <c r="C59" s="194"/>
      <c r="D59" s="28" t="s">
        <v>166</v>
      </c>
      <c r="E59" s="35" t="s">
        <v>9</v>
      </c>
      <c r="F59" s="9"/>
      <c r="G59" s="71"/>
      <c r="H59" s="75"/>
      <c r="I59" s="10"/>
      <c r="J59" s="55"/>
    </row>
    <row r="60" spans="2:10" x14ac:dyDescent="0.25">
      <c r="B60" s="5"/>
      <c r="C60" s="194"/>
      <c r="D60" s="28" t="s">
        <v>167</v>
      </c>
      <c r="E60" s="35" t="s">
        <v>90</v>
      </c>
      <c r="F60" s="9"/>
      <c r="G60" s="71"/>
      <c r="H60" s="75"/>
      <c r="I60" s="10"/>
      <c r="J60" s="55"/>
    </row>
    <row r="61" spans="2:10" x14ac:dyDescent="0.25">
      <c r="B61" s="5"/>
      <c r="C61" s="194"/>
      <c r="D61" s="28" t="s">
        <v>168</v>
      </c>
      <c r="E61" s="35" t="s">
        <v>169</v>
      </c>
      <c r="F61" s="9"/>
      <c r="G61" s="71"/>
      <c r="H61" s="75"/>
      <c r="I61" s="10"/>
      <c r="J61" s="55"/>
    </row>
    <row r="62" spans="2:10" x14ac:dyDescent="0.25">
      <c r="B62" s="5"/>
      <c r="C62" s="194"/>
      <c r="D62" s="28" t="s">
        <v>170</v>
      </c>
      <c r="E62" s="35" t="s">
        <v>148</v>
      </c>
      <c r="F62" s="9"/>
      <c r="G62" s="71"/>
      <c r="H62" s="75"/>
      <c r="I62" s="10"/>
      <c r="J62" s="55"/>
    </row>
    <row r="63" spans="2:10" x14ac:dyDescent="0.25">
      <c r="B63" s="5"/>
      <c r="C63" s="194"/>
      <c r="D63" s="28" t="s">
        <v>171</v>
      </c>
      <c r="E63" s="35" t="s">
        <v>2</v>
      </c>
      <c r="F63" s="9"/>
      <c r="G63" s="71"/>
      <c r="H63" s="75"/>
      <c r="I63" s="10"/>
      <c r="J63" s="55"/>
    </row>
    <row r="64" spans="2:10" x14ac:dyDescent="0.25">
      <c r="B64" s="5"/>
      <c r="C64" s="194"/>
      <c r="D64" s="28" t="s">
        <v>172</v>
      </c>
      <c r="E64" s="35" t="s">
        <v>100</v>
      </c>
      <c r="F64" s="9"/>
      <c r="G64" s="71"/>
      <c r="H64" s="75"/>
      <c r="I64" s="10"/>
      <c r="J64" s="55"/>
    </row>
    <row r="65" spans="2:10" x14ac:dyDescent="0.25">
      <c r="B65" s="5"/>
      <c r="C65" s="194"/>
      <c r="D65" s="28" t="s">
        <v>173</v>
      </c>
      <c r="E65" s="35" t="s">
        <v>2</v>
      </c>
      <c r="F65" s="9"/>
      <c r="G65" s="71"/>
      <c r="H65" s="75"/>
      <c r="I65" s="10"/>
      <c r="J65" s="55"/>
    </row>
    <row r="66" spans="2:10" x14ac:dyDescent="0.25">
      <c r="B66" s="5"/>
      <c r="C66" s="194"/>
      <c r="D66" s="28" t="s">
        <v>174</v>
      </c>
      <c r="E66" s="35" t="s">
        <v>123</v>
      </c>
      <c r="F66" s="9"/>
      <c r="G66" s="71"/>
      <c r="H66" s="75"/>
      <c r="I66" s="10"/>
      <c r="J66" s="55"/>
    </row>
    <row r="67" spans="2:10" x14ac:dyDescent="0.25">
      <c r="B67" s="5"/>
      <c r="C67" s="195"/>
      <c r="D67" s="113" t="s">
        <v>175</v>
      </c>
      <c r="E67" s="67" t="s">
        <v>22</v>
      </c>
      <c r="F67" s="9"/>
      <c r="G67" s="71"/>
      <c r="H67" s="75"/>
      <c r="I67" s="10"/>
      <c r="J67" s="55"/>
    </row>
    <row r="68" spans="2:10" x14ac:dyDescent="0.25">
      <c r="B68" s="5"/>
      <c r="C68" s="196" t="str">
        <f>"Solving For :"&amp;CHAR(32)&amp;$E$68</f>
        <v>Solving For : Leg2Forecast</v>
      </c>
      <c r="D68" s="116" t="s">
        <v>176</v>
      </c>
      <c r="E68" s="115" t="s">
        <v>177</v>
      </c>
      <c r="F68" s="9"/>
      <c r="G68" s="71"/>
      <c r="H68" s="75"/>
      <c r="I68" s="10"/>
      <c r="J68" s="55"/>
    </row>
    <row r="69" spans="2:10" x14ac:dyDescent="0.25">
      <c r="B69" s="5"/>
      <c r="C69" s="197"/>
      <c r="D69" s="28" t="s">
        <v>134</v>
      </c>
      <c r="E69" s="35" t="b">
        <v>1</v>
      </c>
      <c r="F69" s="9"/>
      <c r="G69" s="71"/>
      <c r="H69" s="75"/>
      <c r="I69" s="10"/>
      <c r="J69" s="55"/>
    </row>
    <row r="70" spans="2:10" x14ac:dyDescent="0.25">
      <c r="B70" s="5"/>
      <c r="C70" s="197"/>
      <c r="D70" s="28" t="s">
        <v>178</v>
      </c>
      <c r="E70" s="110" t="s">
        <v>84</v>
      </c>
      <c r="F70" s="9"/>
      <c r="G70" s="71"/>
      <c r="H70" s="75"/>
      <c r="I70" s="10"/>
      <c r="J70" s="55"/>
    </row>
    <row r="71" spans="2:10" x14ac:dyDescent="0.25">
      <c r="B71" s="5"/>
      <c r="C71" s="197"/>
      <c r="D71" s="28" t="s">
        <v>179</v>
      </c>
      <c r="E71" s="35" t="b">
        <v>1</v>
      </c>
      <c r="F71" s="9"/>
      <c r="G71" s="71"/>
      <c r="H71" s="75"/>
      <c r="I71" s="10"/>
      <c r="J71" s="55"/>
    </row>
    <row r="72" spans="2:10" x14ac:dyDescent="0.25">
      <c r="B72" s="5"/>
      <c r="C72" s="197"/>
      <c r="D72" s="28" t="s">
        <v>180</v>
      </c>
      <c r="E72" s="35" t="b">
        <v>1</v>
      </c>
      <c r="F72" s="9"/>
      <c r="G72" s="71"/>
      <c r="H72" s="75"/>
      <c r="I72" s="10"/>
      <c r="J72" s="55"/>
    </row>
    <row r="73" spans="2:10" x14ac:dyDescent="0.25">
      <c r="B73" s="5"/>
      <c r="C73" s="197"/>
      <c r="D73" s="28" t="s">
        <v>181</v>
      </c>
      <c r="E73" s="35" t="s">
        <v>169</v>
      </c>
      <c r="F73" s="9"/>
      <c r="G73" s="71"/>
      <c r="H73" s="75"/>
      <c r="I73" s="10"/>
      <c r="J73" s="55"/>
    </row>
    <row r="74" spans="2:10" x14ac:dyDescent="0.25">
      <c r="B74" s="5"/>
      <c r="C74" s="197"/>
      <c r="D74" s="28" t="s">
        <v>182</v>
      </c>
      <c r="E74" s="35" t="b">
        <v>0</v>
      </c>
      <c r="F74" s="9"/>
      <c r="G74" s="71"/>
      <c r="H74" s="75"/>
      <c r="I74" s="10"/>
      <c r="J74" s="55"/>
    </row>
    <row r="75" spans="2:10" x14ac:dyDescent="0.25">
      <c r="B75" s="5"/>
      <c r="C75" s="197"/>
      <c r="D75" s="28" t="s">
        <v>135</v>
      </c>
      <c r="E75" s="38">
        <v>1.0000000000000001E-9</v>
      </c>
      <c r="F75" s="9"/>
      <c r="G75" s="71"/>
      <c r="H75" s="75"/>
      <c r="I75" s="10"/>
      <c r="J75" s="55"/>
    </row>
    <row r="76" spans="2:10" x14ac:dyDescent="0.25">
      <c r="B76" s="5"/>
      <c r="C76" s="197"/>
      <c r="D76" s="28" t="s">
        <v>136</v>
      </c>
      <c r="E76" s="105">
        <v>1000</v>
      </c>
      <c r="F76" s="9"/>
      <c r="G76" s="71"/>
      <c r="H76" s="75"/>
      <c r="I76" s="10"/>
      <c r="J76" s="55"/>
    </row>
    <row r="77" spans="2:10" x14ac:dyDescent="0.25">
      <c r="B77" s="5"/>
      <c r="C77" s="197"/>
      <c r="D77" s="28"/>
      <c r="E77" s="35"/>
      <c r="F77" s="9"/>
      <c r="G77" s="71"/>
      <c r="H77" s="75"/>
      <c r="I77" s="10"/>
      <c r="J77" s="55"/>
    </row>
    <row r="78" spans="2:10" x14ac:dyDescent="0.25">
      <c r="B78" s="5"/>
      <c r="C78" s="197"/>
      <c r="D78" s="28"/>
      <c r="E78" s="35"/>
      <c r="F78" s="9"/>
      <c r="G78" s="71"/>
      <c r="H78" s="75"/>
      <c r="I78" s="10"/>
      <c r="J78" s="55"/>
    </row>
    <row r="79" spans="2:10" x14ac:dyDescent="0.25">
      <c r="B79" s="5"/>
      <c r="C79" s="197"/>
      <c r="D79" s="28"/>
      <c r="E79" s="35"/>
      <c r="F79" s="9"/>
      <c r="G79" s="71"/>
      <c r="H79" s="75"/>
      <c r="I79" s="10"/>
      <c r="J79" s="55"/>
    </row>
    <row r="80" spans="2:10" x14ac:dyDescent="0.25">
      <c r="B80" s="5"/>
      <c r="C80" s="198"/>
      <c r="D80" s="33"/>
      <c r="E80" s="40"/>
      <c r="F80" s="9"/>
      <c r="G80" s="72"/>
      <c r="H80" s="76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U37"/>
  <sheetViews>
    <sheetView showGridLines="0" tabSelected="1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9.710937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7" hidden="1" customWidth="1"/>
    <col min="39" max="39" width="13" hidden="1" customWidth="1"/>
    <col min="40" max="40" width="10.5703125" hidden="1" customWidth="1"/>
    <col min="41" max="41" width="17.5703125" customWidth="1"/>
    <col min="42" max="42" width="17" customWidth="1"/>
    <col min="43" max="43" width="13.42578125" customWidth="1"/>
    <col min="45" max="47" width="15.7109375" customWidth="1"/>
  </cols>
  <sheetData>
    <row r="1" spans="1:47" x14ac:dyDescent="0.25">
      <c r="A1" s="121"/>
      <c r="B1" s="121"/>
    </row>
    <row r="2" spans="1:47" ht="23.25" x14ac:dyDescent="0.35">
      <c r="B2" s="122" t="s">
        <v>198</v>
      </c>
      <c r="C2" s="122"/>
      <c r="L2" s="122"/>
      <c r="AO2" s="123" t="s">
        <v>199</v>
      </c>
      <c r="AP2" s="199">
        <f ca="1">SUM($AP$6:$AP$25)</f>
        <v>-312917.34318188898</v>
      </c>
      <c r="AQ2" s="200"/>
      <c r="AS2" s="122" t="s">
        <v>213</v>
      </c>
    </row>
    <row r="3" spans="1:47" x14ac:dyDescent="0.25">
      <c r="AO3" s="120"/>
      <c r="AP3" s="201"/>
      <c r="AQ3" s="200"/>
    </row>
    <row r="4" spans="1:47" x14ac:dyDescent="0.25">
      <c r="AO4" s="164"/>
      <c r="AQ4" s="124"/>
      <c r="AR4" t="s">
        <v>4</v>
      </c>
    </row>
    <row r="5" spans="1:47" ht="33" customHeight="1" x14ac:dyDescent="0.25">
      <c r="B5" s="125" t="s">
        <v>223</v>
      </c>
      <c r="C5" s="126" t="s">
        <v>224</v>
      </c>
      <c r="D5" s="126" t="s">
        <v>16</v>
      </c>
      <c r="E5" s="126" t="s">
        <v>237</v>
      </c>
      <c r="F5" s="126" t="s">
        <v>251</v>
      </c>
      <c r="G5" s="126" t="s">
        <v>225</v>
      </c>
      <c r="H5" s="126" t="s">
        <v>250</v>
      </c>
      <c r="I5" s="126" t="s">
        <v>200</v>
      </c>
      <c r="J5" s="126" t="s">
        <v>194</v>
      </c>
      <c r="K5" s="126" t="s">
        <v>221</v>
      </c>
      <c r="L5" s="125" t="s">
        <v>223</v>
      </c>
      <c r="M5" s="126" t="s">
        <v>222</v>
      </c>
      <c r="N5" s="126" t="s">
        <v>228</v>
      </c>
      <c r="O5" s="126" t="s">
        <v>229</v>
      </c>
      <c r="P5" s="126" t="s">
        <v>230</v>
      </c>
      <c r="Q5" s="126" t="s">
        <v>231</v>
      </c>
      <c r="R5" s="126" t="s">
        <v>232</v>
      </c>
      <c r="S5" s="126" t="s">
        <v>233</v>
      </c>
      <c r="T5" s="126" t="s">
        <v>234</v>
      </c>
      <c r="U5" s="126" t="s">
        <v>235</v>
      </c>
      <c r="V5" s="126" t="s">
        <v>236</v>
      </c>
      <c r="W5" s="126" t="s">
        <v>226</v>
      </c>
      <c r="X5" s="126" t="s">
        <v>238</v>
      </c>
      <c r="Y5" s="126" t="s">
        <v>239</v>
      </c>
      <c r="Z5" s="126" t="s">
        <v>240</v>
      </c>
      <c r="AA5" s="126" t="s">
        <v>241</v>
      </c>
      <c r="AB5" s="126" t="s">
        <v>242</v>
      </c>
      <c r="AC5" s="126" t="s">
        <v>243</v>
      </c>
      <c r="AD5" s="126" t="s">
        <v>244</v>
      </c>
      <c r="AE5" s="126" t="s">
        <v>245</v>
      </c>
      <c r="AF5" s="126" t="s">
        <v>227</v>
      </c>
      <c r="AG5" s="126" t="s">
        <v>246</v>
      </c>
      <c r="AH5" s="126" t="s">
        <v>247</v>
      </c>
      <c r="AI5" s="126" t="s">
        <v>248</v>
      </c>
      <c r="AJ5" s="126" t="s">
        <v>88</v>
      </c>
      <c r="AK5" s="126" t="s">
        <v>249</v>
      </c>
      <c r="AL5" s="126" t="s">
        <v>132</v>
      </c>
      <c r="AM5" s="126" t="s">
        <v>250</v>
      </c>
      <c r="AN5" s="183" t="s">
        <v>225</v>
      </c>
      <c r="AO5" s="184" t="s">
        <v>201</v>
      </c>
      <c r="AP5" s="127" t="s">
        <v>202</v>
      </c>
      <c r="AQ5" s="128" t="s">
        <v>203</v>
      </c>
      <c r="AR5" t="s">
        <v>4</v>
      </c>
      <c r="AS5" s="150" t="str">
        <f t="array" ref="AS5:AT22">'EUR SWAP 6ML'!F93:G111</f>
        <v>Term</v>
      </c>
      <c r="AT5" s="152" t="str">
        <v>Rate</v>
      </c>
      <c r="AU5" s="151" t="s">
        <v>214</v>
      </c>
    </row>
    <row r="6" spans="1:47" x14ac:dyDescent="0.25">
      <c r="A6" s="129">
        <v>1</v>
      </c>
      <c r="B6" s="178">
        <f ca="1">IF(NOW(),_xll.meDateFromTenor(COB,$C6,$P6,$Q6))</f>
        <v>42423</v>
      </c>
      <c r="C6" s="187" t="s">
        <v>204</v>
      </c>
      <c r="D6" s="165" t="s">
        <v>17</v>
      </c>
      <c r="E6" s="133" t="s">
        <v>205</v>
      </c>
      <c r="F6" s="133" t="s">
        <v>183</v>
      </c>
      <c r="G6" s="133">
        <v>0.01</v>
      </c>
      <c r="H6" s="133">
        <v>0</v>
      </c>
      <c r="I6" s="166" t="s">
        <v>206</v>
      </c>
      <c r="J6" s="165">
        <v>1000000</v>
      </c>
      <c r="K6" s="132" t="s">
        <v>195</v>
      </c>
      <c r="L6" s="178">
        <f ca="1">B6</f>
        <v>42423</v>
      </c>
      <c r="M6" s="171" t="str">
        <f>F6</f>
        <v>1Y</v>
      </c>
      <c r="N6" s="119" t="s">
        <v>26</v>
      </c>
      <c r="O6" s="167" t="s">
        <v>20</v>
      </c>
      <c r="P6" s="119" t="s">
        <v>22</v>
      </c>
      <c r="Q6" s="119" t="s">
        <v>2</v>
      </c>
      <c r="R6" s="168"/>
      <c r="S6" s="168"/>
      <c r="T6" s="169">
        <f t="shared" ref="T6:T25" ca="1" si="0">IF($L6="","",DAY($L6))</f>
        <v>23</v>
      </c>
      <c r="U6" s="170" t="s">
        <v>196</v>
      </c>
      <c r="V6" s="167" t="s">
        <v>197</v>
      </c>
      <c r="W6" s="135" t="str">
        <f t="shared" ref="W6:W25" si="1">$D6&amp;$E6</f>
        <v>EUR6ML</v>
      </c>
      <c r="X6" s="169" t="str">
        <f t="shared" ref="X6:X25" si="2">IF($E6="1ML","Monthly",IF($E6="3ML","Quarterly",IF($E6="6ML","Semi-Annual","Annual")))</f>
        <v>Semi-Annual</v>
      </c>
      <c r="Y6" s="167" t="s">
        <v>6</v>
      </c>
      <c r="Z6" s="119" t="s">
        <v>22</v>
      </c>
      <c r="AA6" s="119" t="s">
        <v>2</v>
      </c>
      <c r="AB6" s="168"/>
      <c r="AC6" s="168"/>
      <c r="AD6" s="169">
        <f t="shared" ref="AD6:AD25" ca="1" si="3">IF($L6="","",DAY($L6))</f>
        <v>23</v>
      </c>
      <c r="AE6" s="170" t="s">
        <v>196</v>
      </c>
      <c r="AF6" s="171" t="s">
        <v>37</v>
      </c>
      <c r="AG6" s="172"/>
      <c r="AH6" s="170" t="s">
        <v>196</v>
      </c>
      <c r="AI6" s="167" t="s">
        <v>197</v>
      </c>
      <c r="AJ6" s="168" t="str">
        <f t="shared" ref="AJ6:AJ25" si="4">D6&amp;"YC"</f>
        <v>EURYC</v>
      </c>
      <c r="AK6" s="135" t="str">
        <f t="shared" ref="AK6:AK25" si="5">LEFT(AJ6,3)&amp;"DF_"&amp;I6</f>
        <v>EURDF_NOCSA</v>
      </c>
      <c r="AL6" s="134" t="s">
        <v>193</v>
      </c>
      <c r="AM6" s="173">
        <f t="shared" ref="AM6:AM25" si="6">H6</f>
        <v>0</v>
      </c>
      <c r="AN6" s="179">
        <f t="shared" ref="AN6:AN25" si="7">G6</f>
        <v>0.01</v>
      </c>
      <c r="AO6" s="185">
        <f ca="1">IF(NOW(),_xll.meProductSwapParRate(_xll.meUtilityLVBFromKeysValues($L$5:$AM$5,$L6:$AM6),FALSE))</f>
        <v>-1.3969484986246625E-3</v>
      </c>
      <c r="AP6" s="174">
        <f ca="1">IF(NOW(),_xll.meProductSwapPV(_xll.meUtilityLVBFromKeysValues($J$5:$AN$5,$J6:$AN6),FALSE))</f>
        <v>-11440.204542792844</v>
      </c>
      <c r="AQ6" s="175">
        <f ca="1">IF(NOW(),_xll.meProductSwapPV01(_xll.meUtilityLVBFromKeysValues($J$5:$AL$5,$J6:$AL6),FALSE))</f>
        <v>100.3795405776678</v>
      </c>
      <c r="AR6" t="s">
        <v>4</v>
      </c>
      <c r="AS6" s="146" t="str">
        <v>2Y</v>
      </c>
      <c r="AT6" s="148">
        <v>-1.33E-3</v>
      </c>
      <c r="AU6" s="153">
        <f ca="1">IF(ISNA(VLOOKUP(AS6,$M$6:$AO$25,29,0)),"-",(VLOOKUP(AS6,$M$6:$AO$25,29,0)-AT6)*10000)</f>
        <v>2.056986308715536E-8</v>
      </c>
    </row>
    <row r="7" spans="1:47" x14ac:dyDescent="0.25">
      <c r="A7" s="129">
        <v>2</v>
      </c>
      <c r="B7" s="178">
        <f ca="1">IF(NOW(),_xll.meDateFromTenor(COB,$C7,$P7,$Q7))</f>
        <v>42423</v>
      </c>
      <c r="C7" s="130" t="s">
        <v>204</v>
      </c>
      <c r="D7" s="131" t="s">
        <v>17</v>
      </c>
      <c r="E7" s="133" t="s">
        <v>205</v>
      </c>
      <c r="F7" s="133" t="s">
        <v>47</v>
      </c>
      <c r="G7" s="133">
        <v>0.01</v>
      </c>
      <c r="H7" s="133">
        <v>0</v>
      </c>
      <c r="I7" s="166" t="s">
        <v>206</v>
      </c>
      <c r="J7" s="131">
        <v>1000000</v>
      </c>
      <c r="K7" s="132" t="s">
        <v>195</v>
      </c>
      <c r="L7" s="178">
        <f t="shared" ref="L7:L25" ca="1" si="8">B7</f>
        <v>42423</v>
      </c>
      <c r="M7" s="169" t="str">
        <f t="shared" ref="M7:M25" si="9">F7</f>
        <v>2Y</v>
      </c>
      <c r="N7" s="119" t="s">
        <v>26</v>
      </c>
      <c r="O7" s="119" t="s">
        <v>20</v>
      </c>
      <c r="P7" s="119" t="s">
        <v>22</v>
      </c>
      <c r="Q7" s="119" t="s">
        <v>2</v>
      </c>
      <c r="R7" s="134"/>
      <c r="S7" s="134"/>
      <c r="T7" s="135">
        <f t="shared" ca="1" si="0"/>
        <v>23</v>
      </c>
      <c r="U7" s="134" t="s">
        <v>196</v>
      </c>
      <c r="V7" s="134" t="s">
        <v>197</v>
      </c>
      <c r="W7" s="135" t="str">
        <f t="shared" si="1"/>
        <v>EUR6ML</v>
      </c>
      <c r="X7" s="135" t="str">
        <f t="shared" si="2"/>
        <v>Semi-Annual</v>
      </c>
      <c r="Y7" s="134" t="s">
        <v>6</v>
      </c>
      <c r="Z7" s="134" t="s">
        <v>22</v>
      </c>
      <c r="AA7" s="134" t="s">
        <v>2</v>
      </c>
      <c r="AB7" s="134"/>
      <c r="AC7" s="134"/>
      <c r="AD7" s="135">
        <f t="shared" ca="1" si="3"/>
        <v>23</v>
      </c>
      <c r="AE7" s="134" t="s">
        <v>196</v>
      </c>
      <c r="AF7" s="136" t="s">
        <v>37</v>
      </c>
      <c r="AG7" s="137"/>
      <c r="AH7" s="134" t="s">
        <v>196</v>
      </c>
      <c r="AI7" s="134" t="s">
        <v>197</v>
      </c>
      <c r="AJ7" s="135" t="str">
        <f t="shared" si="4"/>
        <v>EURYC</v>
      </c>
      <c r="AK7" s="135" t="str">
        <f t="shared" si="5"/>
        <v>EURDF_NOCSA</v>
      </c>
      <c r="AL7" s="134" t="s">
        <v>193</v>
      </c>
      <c r="AM7" s="173">
        <f t="shared" si="6"/>
        <v>0</v>
      </c>
      <c r="AN7" s="179">
        <f t="shared" si="7"/>
        <v>0.01</v>
      </c>
      <c r="AO7" s="185">
        <f ca="1">IF(NOW(),_xll.meProductSwapParRate(_xll.meUtilityLVBFromKeysValues($L$5:$AM$5,$L7:$AM7),FALSE))</f>
        <v>-1.3299999979430137E-3</v>
      </c>
      <c r="AP7" s="174">
        <f ca="1">IF(NOW(),_xll.meProductSwapPV(_xll.meUtilityLVBFromKeysValues($J$5:$AN$5,$J7:$AN7),FALSE))</f>
        <v>-22790.570967240608</v>
      </c>
      <c r="AQ7" s="175">
        <f ca="1">IF(NOW(),_xll.meProductSwapPV01(_xll.meUtilityLVBFromKeysValues($J$5:$AL$5,$J7:$AL7),FALSE))</f>
        <v>201.15243575797254</v>
      </c>
      <c r="AR7" t="s">
        <v>4</v>
      </c>
      <c r="AS7" s="146" t="str">
        <v>3Y</v>
      </c>
      <c r="AT7" s="148">
        <v>-8.699999999999999E-4</v>
      </c>
      <c r="AU7" s="153">
        <f ca="1">IF(ISNA(VLOOKUP(AS7,$M$6:$AO$25,29,0)),"-",(VLOOKUP(AS7,$M$6:$AO$25,29,0)-AT7)*10000)</f>
        <v>5.1372236542848726E-8</v>
      </c>
    </row>
    <row r="8" spans="1:47" x14ac:dyDescent="0.25">
      <c r="A8" s="129">
        <v>3</v>
      </c>
      <c r="B8" s="178">
        <f ca="1">IF(NOW(),_xll.meDateFromTenor(COB,$C8,$P8,$Q8))</f>
        <v>42423</v>
      </c>
      <c r="C8" s="130" t="s">
        <v>204</v>
      </c>
      <c r="D8" s="131" t="s">
        <v>17</v>
      </c>
      <c r="E8" s="133" t="s">
        <v>205</v>
      </c>
      <c r="F8" s="133" t="s">
        <v>43</v>
      </c>
      <c r="G8" s="133">
        <v>0.01</v>
      </c>
      <c r="H8" s="133">
        <v>0</v>
      </c>
      <c r="I8" s="166" t="s">
        <v>206</v>
      </c>
      <c r="J8" s="131">
        <v>1000000</v>
      </c>
      <c r="K8" s="132" t="s">
        <v>195</v>
      </c>
      <c r="L8" s="178">
        <f t="shared" ca="1" si="8"/>
        <v>42423</v>
      </c>
      <c r="M8" s="169" t="str">
        <f t="shared" si="9"/>
        <v>3Y</v>
      </c>
      <c r="N8" s="119" t="s">
        <v>26</v>
      </c>
      <c r="O8" s="119" t="s">
        <v>20</v>
      </c>
      <c r="P8" s="119" t="s">
        <v>22</v>
      </c>
      <c r="Q8" s="119" t="s">
        <v>2</v>
      </c>
      <c r="R8" s="134"/>
      <c r="S8" s="134"/>
      <c r="T8" s="135">
        <f t="shared" ca="1" si="0"/>
        <v>23</v>
      </c>
      <c r="U8" s="134" t="s">
        <v>196</v>
      </c>
      <c r="V8" s="134" t="s">
        <v>197</v>
      </c>
      <c r="W8" s="135" t="str">
        <f t="shared" si="1"/>
        <v>EUR6ML</v>
      </c>
      <c r="X8" s="135" t="str">
        <f t="shared" si="2"/>
        <v>Semi-Annual</v>
      </c>
      <c r="Y8" s="134" t="s">
        <v>6</v>
      </c>
      <c r="Z8" s="134" t="s">
        <v>22</v>
      </c>
      <c r="AA8" s="134" t="s">
        <v>2</v>
      </c>
      <c r="AB8" s="134"/>
      <c r="AC8" s="134"/>
      <c r="AD8" s="135">
        <f t="shared" ca="1" si="3"/>
        <v>23</v>
      </c>
      <c r="AE8" s="134" t="s">
        <v>196</v>
      </c>
      <c r="AF8" s="136" t="s">
        <v>37</v>
      </c>
      <c r="AG8" s="137"/>
      <c r="AH8" s="134" t="s">
        <v>196</v>
      </c>
      <c r="AI8" s="134" t="s">
        <v>197</v>
      </c>
      <c r="AJ8" s="135" t="str">
        <f t="shared" si="4"/>
        <v>EURYC</v>
      </c>
      <c r="AK8" s="135" t="str">
        <f t="shared" si="5"/>
        <v>EURDF_NOCSA</v>
      </c>
      <c r="AL8" s="134" t="s">
        <v>193</v>
      </c>
      <c r="AM8" s="173">
        <f t="shared" si="6"/>
        <v>0</v>
      </c>
      <c r="AN8" s="179">
        <f t="shared" si="7"/>
        <v>0.01</v>
      </c>
      <c r="AO8" s="185">
        <f ca="1">IF(NOW(),_xll.meProductSwapParRate(_xll.meUtilityLVBFromKeysValues($L$5:$AM$5,$L8:$AM8),FALSE))</f>
        <v>-8.6999999486277624E-4</v>
      </c>
      <c r="AP8" s="174">
        <f ca="1">IF(NOW(),_xll.meProductSwapPV(_xll.meUtilityLVBFromKeysValues($J$5:$AN$5,$J8:$AN8),FALSE))</f>
        <v>-32910.404313542167</v>
      </c>
      <c r="AQ8" s="175">
        <f ca="1">IF(NOW(),_xll.meProductSwapPV01(_xll.meUtilityLVBFromKeysValues($J$5:$AL$5,$J8:$AL8),FALSE))</f>
        <v>302.76360928331019</v>
      </c>
      <c r="AR8" t="s">
        <v>4</v>
      </c>
      <c r="AS8" s="146" t="str">
        <v>4Y</v>
      </c>
      <c r="AT8" s="148">
        <v>-8.0000000000000007E-5</v>
      </c>
      <c r="AU8" s="153">
        <f t="shared" ref="AU8:AU25" ca="1" si="10">IF(ISNA(VLOOKUP(AS8,$M$6:$AO$25,29,0)),"-",(VLOOKUP(AS8,$M$6:$AO$25,29,0)-AT8)*10000)</f>
        <v>-4.8060600367060696E-8</v>
      </c>
    </row>
    <row r="9" spans="1:47" x14ac:dyDescent="0.25">
      <c r="A9" s="129">
        <v>4</v>
      </c>
      <c r="B9" s="178">
        <f ca="1">IF(NOW(),_xll.meDateFromTenor(COB,$C9,$P9,$Q9))</f>
        <v>42423</v>
      </c>
      <c r="C9" s="138" t="s">
        <v>204</v>
      </c>
      <c r="D9" s="131" t="s">
        <v>17</v>
      </c>
      <c r="E9" s="133" t="s">
        <v>205</v>
      </c>
      <c r="F9" s="133" t="s">
        <v>50</v>
      </c>
      <c r="G9" s="133">
        <v>0.01</v>
      </c>
      <c r="H9" s="133">
        <v>0</v>
      </c>
      <c r="I9" s="166" t="s">
        <v>206</v>
      </c>
      <c r="J9" s="131">
        <v>1000000</v>
      </c>
      <c r="K9" s="132" t="s">
        <v>195</v>
      </c>
      <c r="L9" s="178">
        <f t="shared" ca="1" si="8"/>
        <v>42423</v>
      </c>
      <c r="M9" s="169" t="str">
        <f t="shared" si="9"/>
        <v>4Y</v>
      </c>
      <c r="N9" s="134" t="s">
        <v>26</v>
      </c>
      <c r="O9" s="134" t="s">
        <v>20</v>
      </c>
      <c r="P9" s="134" t="s">
        <v>22</v>
      </c>
      <c r="Q9" s="134" t="s">
        <v>2</v>
      </c>
      <c r="R9" s="134"/>
      <c r="S9" s="134"/>
      <c r="T9" s="135">
        <f t="shared" ca="1" si="0"/>
        <v>23</v>
      </c>
      <c r="U9" s="134" t="s">
        <v>196</v>
      </c>
      <c r="V9" s="134" t="s">
        <v>197</v>
      </c>
      <c r="W9" s="135" t="str">
        <f t="shared" si="1"/>
        <v>EUR6ML</v>
      </c>
      <c r="X9" s="135" t="str">
        <f t="shared" si="2"/>
        <v>Semi-Annual</v>
      </c>
      <c r="Y9" s="134" t="s">
        <v>6</v>
      </c>
      <c r="Z9" s="134" t="s">
        <v>22</v>
      </c>
      <c r="AA9" s="134" t="s">
        <v>2</v>
      </c>
      <c r="AB9" s="134"/>
      <c r="AC9" s="134"/>
      <c r="AD9" s="135">
        <f t="shared" ca="1" si="3"/>
        <v>23</v>
      </c>
      <c r="AE9" s="134" t="s">
        <v>196</v>
      </c>
      <c r="AF9" s="136" t="s">
        <v>37</v>
      </c>
      <c r="AG9" s="137"/>
      <c r="AH9" s="134" t="s">
        <v>196</v>
      </c>
      <c r="AI9" s="134" t="s">
        <v>197</v>
      </c>
      <c r="AJ9" s="135" t="str">
        <f t="shared" si="4"/>
        <v>EURYC</v>
      </c>
      <c r="AK9" s="135" t="str">
        <f t="shared" si="5"/>
        <v>EURDF_NOCSA</v>
      </c>
      <c r="AL9" s="134" t="s">
        <v>193</v>
      </c>
      <c r="AM9" s="173">
        <f t="shared" si="6"/>
        <v>0</v>
      </c>
      <c r="AN9" s="180">
        <f t="shared" si="7"/>
        <v>0.01</v>
      </c>
      <c r="AO9" s="185">
        <f ca="1">IF(NOW(),_xll.meProductSwapParRate(_xll.meUtilityLVBFromKeysValues($L$5:$AM$5,$L9:$AM9),FALSE))</f>
        <v>-8.0000004806060043E-5</v>
      </c>
      <c r="AP9" s="174">
        <f ca="1">IF(NOW(),_xll.meProductSwapPV(_xll.meUtilityLVBFromKeysValues($J$5:$AN$5,$J9:$AN9),FALSE))</f>
        <v>-40681.945777649111</v>
      </c>
      <c r="AQ9" s="175">
        <f ca="1">IF(NOW(),_xll.meProductSwapPV01(_xll.meUtilityLVBFromKeysValues($J$5:$AL$5,$J9:$AL9),FALSE))</f>
        <v>403.59073172869336</v>
      </c>
      <c r="AR9" t="s">
        <v>4</v>
      </c>
      <c r="AS9" s="146" t="str">
        <v>5Y</v>
      </c>
      <c r="AT9" s="148">
        <v>9.2999999999999995E-4</v>
      </c>
      <c r="AU9" s="153">
        <f t="shared" ca="1" si="10"/>
        <v>-1.2266548454070714E-7</v>
      </c>
    </row>
    <row r="10" spans="1:47" x14ac:dyDescent="0.25">
      <c r="A10" s="129">
        <v>5</v>
      </c>
      <c r="B10" s="178">
        <f ca="1">IF(NOW(),_xll.meDateFromTenor(COB,$C10,$P10,$Q10))</f>
        <v>42423</v>
      </c>
      <c r="C10" s="138" t="s">
        <v>204</v>
      </c>
      <c r="D10" s="131" t="s">
        <v>17</v>
      </c>
      <c r="E10" s="133" t="s">
        <v>205</v>
      </c>
      <c r="F10" s="133" t="s">
        <v>52</v>
      </c>
      <c r="G10" s="133">
        <v>0.01</v>
      </c>
      <c r="H10" s="133">
        <v>0</v>
      </c>
      <c r="I10" s="166" t="s">
        <v>206</v>
      </c>
      <c r="J10" s="131">
        <v>1000000</v>
      </c>
      <c r="K10" s="132" t="s">
        <v>195</v>
      </c>
      <c r="L10" s="178">
        <f t="shared" ca="1" si="8"/>
        <v>42423</v>
      </c>
      <c r="M10" s="169" t="str">
        <f t="shared" si="9"/>
        <v>5Y</v>
      </c>
      <c r="N10" s="134" t="s">
        <v>26</v>
      </c>
      <c r="O10" s="134" t="s">
        <v>20</v>
      </c>
      <c r="P10" s="134" t="s">
        <v>22</v>
      </c>
      <c r="Q10" s="134" t="s">
        <v>2</v>
      </c>
      <c r="R10" s="134"/>
      <c r="S10" s="134"/>
      <c r="T10" s="135">
        <f t="shared" ca="1" si="0"/>
        <v>23</v>
      </c>
      <c r="U10" s="134" t="s">
        <v>196</v>
      </c>
      <c r="V10" s="134" t="s">
        <v>197</v>
      </c>
      <c r="W10" s="135" t="str">
        <f t="shared" si="1"/>
        <v>EUR6ML</v>
      </c>
      <c r="X10" s="135" t="str">
        <f t="shared" si="2"/>
        <v>Semi-Annual</v>
      </c>
      <c r="Y10" s="134" t="s">
        <v>6</v>
      </c>
      <c r="Z10" s="134" t="s">
        <v>22</v>
      </c>
      <c r="AA10" s="134" t="s">
        <v>2</v>
      </c>
      <c r="AB10" s="134"/>
      <c r="AC10" s="134"/>
      <c r="AD10" s="135">
        <f t="shared" ca="1" si="3"/>
        <v>23</v>
      </c>
      <c r="AE10" s="134" t="s">
        <v>196</v>
      </c>
      <c r="AF10" s="136" t="s">
        <v>37</v>
      </c>
      <c r="AG10" s="137"/>
      <c r="AH10" s="134" t="s">
        <v>196</v>
      </c>
      <c r="AI10" s="134" t="s">
        <v>197</v>
      </c>
      <c r="AJ10" s="135" t="str">
        <f t="shared" si="4"/>
        <v>EURYC</v>
      </c>
      <c r="AK10" s="135" t="str">
        <f t="shared" si="5"/>
        <v>EURDF_NOCSA</v>
      </c>
      <c r="AL10" s="134" t="s">
        <v>193</v>
      </c>
      <c r="AM10" s="173">
        <f t="shared" si="6"/>
        <v>0</v>
      </c>
      <c r="AN10" s="180">
        <f t="shared" si="7"/>
        <v>0.01</v>
      </c>
      <c r="AO10" s="185">
        <f ca="1">IF(NOW(),_xll.meProductSwapParRate(_xll.meUtilityLVBFromKeysValues($L$5:$AM$5,$L10:$AM10),FALSE))</f>
        <v>9.2999998773345149E-4</v>
      </c>
      <c r="AP10" s="174">
        <f ca="1">IF(NOW(),_xll.meProductSwapPV(_xll.meUtilityLVBFromKeysValues($J$5:$AN$5,$J10:$AN10),FALSE))</f>
        <v>-45731.89906730425</v>
      </c>
      <c r="AQ10" s="175">
        <f ca="1">IF(NOW(),_xll.meProductSwapPV01(_xll.meUtilityLVBFromKeysValues($J$5:$AL$5,$J10:$AL10),FALSE))</f>
        <v>504.21057337877636</v>
      </c>
      <c r="AR10" t="s">
        <v>4</v>
      </c>
      <c r="AS10" s="146" t="str">
        <v>6Y</v>
      </c>
      <c r="AT10" s="148">
        <v>2.0200000000000001E-3</v>
      </c>
      <c r="AU10" s="153">
        <f t="shared" ca="1" si="10"/>
        <v>-2.2603425207934347E-7</v>
      </c>
    </row>
    <row r="11" spans="1:47" x14ac:dyDescent="0.25">
      <c r="A11" s="129">
        <v>6</v>
      </c>
      <c r="B11" s="178">
        <f ca="1">IF(NOW(),_xll.meDateFromTenor(COB,$C11,$P11,$Q11))</f>
        <v>42423</v>
      </c>
      <c r="C11" s="138" t="s">
        <v>204</v>
      </c>
      <c r="D11" s="131" t="s">
        <v>17</v>
      </c>
      <c r="E11" s="133" t="s">
        <v>205</v>
      </c>
      <c r="F11" s="133" t="s">
        <v>54</v>
      </c>
      <c r="G11" s="133">
        <v>0.01</v>
      </c>
      <c r="H11" s="133">
        <v>0</v>
      </c>
      <c r="I11" s="166" t="s">
        <v>206</v>
      </c>
      <c r="J11" s="131">
        <v>1000000</v>
      </c>
      <c r="K11" s="132" t="s">
        <v>195</v>
      </c>
      <c r="L11" s="178">
        <f t="shared" ca="1" si="8"/>
        <v>42423</v>
      </c>
      <c r="M11" s="169" t="str">
        <f t="shared" si="9"/>
        <v>6Y</v>
      </c>
      <c r="N11" s="134" t="s">
        <v>26</v>
      </c>
      <c r="O11" s="134" t="s">
        <v>20</v>
      </c>
      <c r="P11" s="134" t="s">
        <v>22</v>
      </c>
      <c r="Q11" s="134" t="s">
        <v>2</v>
      </c>
      <c r="R11" s="134"/>
      <c r="S11" s="134"/>
      <c r="T11" s="135">
        <f t="shared" ca="1" si="0"/>
        <v>23</v>
      </c>
      <c r="U11" s="134" t="s">
        <v>196</v>
      </c>
      <c r="V11" s="134" t="s">
        <v>197</v>
      </c>
      <c r="W11" s="135" t="str">
        <f t="shared" si="1"/>
        <v>EUR6ML</v>
      </c>
      <c r="X11" s="135" t="str">
        <f t="shared" si="2"/>
        <v>Semi-Annual</v>
      </c>
      <c r="Y11" s="134" t="s">
        <v>6</v>
      </c>
      <c r="Z11" s="134" t="s">
        <v>22</v>
      </c>
      <c r="AA11" s="134" t="s">
        <v>2</v>
      </c>
      <c r="AB11" s="134"/>
      <c r="AC11" s="134"/>
      <c r="AD11" s="135">
        <f t="shared" ca="1" si="3"/>
        <v>23</v>
      </c>
      <c r="AE11" s="134" t="s">
        <v>196</v>
      </c>
      <c r="AF11" s="136" t="s">
        <v>37</v>
      </c>
      <c r="AG11" s="137"/>
      <c r="AH11" s="134" t="s">
        <v>196</v>
      </c>
      <c r="AI11" s="134" t="s">
        <v>197</v>
      </c>
      <c r="AJ11" s="135" t="str">
        <f t="shared" si="4"/>
        <v>EURYC</v>
      </c>
      <c r="AK11" s="135" t="str">
        <f t="shared" si="5"/>
        <v>EURDF_NOCSA</v>
      </c>
      <c r="AL11" s="134" t="s">
        <v>193</v>
      </c>
      <c r="AM11" s="173">
        <f t="shared" si="6"/>
        <v>0</v>
      </c>
      <c r="AN11" s="180">
        <f t="shared" si="7"/>
        <v>0.01</v>
      </c>
      <c r="AO11" s="185">
        <f ca="1">IF(NOW(),_xll.meProductSwapParRate(_xll.meUtilityLVBFromKeysValues($L$5:$AM$5,$L11:$AM11),FALSE))</f>
        <v>2.0199999773965749E-3</v>
      </c>
      <c r="AP11" s="174">
        <f ca="1">IF(NOW(),_xll.meProductSwapPV(_xll.meUtilityLVBFromKeysValues($J$5:$AN$5,$J11:$AN11),FALSE))</f>
        <v>-48247.579135806285</v>
      </c>
      <c r="AQ11" s="175">
        <f ca="1">IF(NOW(),_xll.meProductSwapPV01(_xll.meUtilityLVBFromKeysValues($J$5:$AL$5,$J11:$AL11),FALSE))</f>
        <v>604.60625312211232</v>
      </c>
      <c r="AR11" t="s">
        <v>4</v>
      </c>
      <c r="AS11" s="146" t="str">
        <v>7Y</v>
      </c>
      <c r="AT11" s="148">
        <v>3.2100000000000002E-3</v>
      </c>
      <c r="AU11" s="153">
        <f t="shared" ca="1" si="10"/>
        <v>9.2650761195078868E-8</v>
      </c>
    </row>
    <row r="12" spans="1:47" x14ac:dyDescent="0.25">
      <c r="A12" s="129">
        <v>7</v>
      </c>
      <c r="B12" s="178">
        <f ca="1">IF(NOW(),_xll.meDateFromTenor(COB,$C12,$P12,$Q12))</f>
        <v>42423</v>
      </c>
      <c r="C12" s="138" t="s">
        <v>204</v>
      </c>
      <c r="D12" s="131" t="s">
        <v>17</v>
      </c>
      <c r="E12" s="133" t="s">
        <v>205</v>
      </c>
      <c r="F12" s="133" t="s">
        <v>56</v>
      </c>
      <c r="G12" s="133">
        <v>0.01</v>
      </c>
      <c r="H12" s="133">
        <v>0</v>
      </c>
      <c r="I12" s="166" t="s">
        <v>206</v>
      </c>
      <c r="J12" s="131">
        <v>1000000</v>
      </c>
      <c r="K12" s="132" t="s">
        <v>195</v>
      </c>
      <c r="L12" s="178">
        <f t="shared" ca="1" si="8"/>
        <v>42423</v>
      </c>
      <c r="M12" s="169" t="str">
        <f t="shared" si="9"/>
        <v>7Y</v>
      </c>
      <c r="N12" s="134" t="s">
        <v>26</v>
      </c>
      <c r="O12" s="134" t="s">
        <v>20</v>
      </c>
      <c r="P12" s="134" t="s">
        <v>22</v>
      </c>
      <c r="Q12" s="134" t="s">
        <v>2</v>
      </c>
      <c r="R12" s="134"/>
      <c r="S12" s="134"/>
      <c r="T12" s="135">
        <f t="shared" ca="1" si="0"/>
        <v>23</v>
      </c>
      <c r="U12" s="134" t="s">
        <v>196</v>
      </c>
      <c r="V12" s="134" t="s">
        <v>197</v>
      </c>
      <c r="W12" s="135" t="str">
        <f t="shared" si="1"/>
        <v>EUR6ML</v>
      </c>
      <c r="X12" s="135" t="str">
        <f t="shared" si="2"/>
        <v>Semi-Annual</v>
      </c>
      <c r="Y12" s="134" t="s">
        <v>6</v>
      </c>
      <c r="Z12" s="134" t="s">
        <v>22</v>
      </c>
      <c r="AA12" s="134" t="s">
        <v>2</v>
      </c>
      <c r="AB12" s="134"/>
      <c r="AC12" s="134"/>
      <c r="AD12" s="135">
        <f t="shared" ca="1" si="3"/>
        <v>23</v>
      </c>
      <c r="AE12" s="134" t="s">
        <v>196</v>
      </c>
      <c r="AF12" s="136" t="s">
        <v>37</v>
      </c>
      <c r="AG12" s="137"/>
      <c r="AH12" s="134" t="s">
        <v>196</v>
      </c>
      <c r="AI12" s="134" t="s">
        <v>197</v>
      </c>
      <c r="AJ12" s="135" t="str">
        <f t="shared" si="4"/>
        <v>EURYC</v>
      </c>
      <c r="AK12" s="135" t="str">
        <f t="shared" si="5"/>
        <v>EURDF_NOCSA</v>
      </c>
      <c r="AL12" s="134" t="s">
        <v>193</v>
      </c>
      <c r="AM12" s="173">
        <f t="shared" si="6"/>
        <v>0</v>
      </c>
      <c r="AN12" s="180">
        <f t="shared" si="7"/>
        <v>0.01</v>
      </c>
      <c r="AO12" s="185">
        <f ca="1">IF(NOW(),_xll.meProductSwapParRate(_xll.meUtilityLVBFromKeysValues($L$5:$AM$5,$L12:$AM12),FALSE))</f>
        <v>3.2100000092650763E-3</v>
      </c>
      <c r="AP12" s="174">
        <f ca="1">IF(NOW(),_xll.meProductSwapPV(_xll.meUtilityLVBFromKeysValues($J$5:$AN$5,$J12:$AN12),FALSE))</f>
        <v>-47815.226091034681</v>
      </c>
      <c r="AQ12" s="175">
        <f ca="1">IF(NOW(),_xll.meProductSwapPV01(_xll.meUtilityLVBFromKeysValues($J$5:$AL$5,$J12:$AL12),FALSE))</f>
        <v>704.20067976847452</v>
      </c>
      <c r="AR12" t="s">
        <v>4</v>
      </c>
      <c r="AS12" s="146" t="str">
        <v>8Y</v>
      </c>
      <c r="AT12" s="148">
        <v>4.4400000000000004E-3</v>
      </c>
      <c r="AU12" s="153">
        <f t="shared" ca="1" si="10"/>
        <v>1.0631796918542102E-6</v>
      </c>
    </row>
    <row r="13" spans="1:47" x14ac:dyDescent="0.25">
      <c r="A13" s="129">
        <v>8</v>
      </c>
      <c r="B13" s="178">
        <f ca="1">IF(NOW(),_xll.meDateFromTenor(COB,$C13,$P13,$Q13))</f>
        <v>42423</v>
      </c>
      <c r="C13" s="138" t="s">
        <v>204</v>
      </c>
      <c r="D13" s="131" t="s">
        <v>17</v>
      </c>
      <c r="E13" s="133" t="s">
        <v>205</v>
      </c>
      <c r="F13" s="133" t="s">
        <v>58</v>
      </c>
      <c r="G13" s="133">
        <v>0.01</v>
      </c>
      <c r="H13" s="133">
        <v>0</v>
      </c>
      <c r="I13" s="166" t="s">
        <v>206</v>
      </c>
      <c r="J13" s="131">
        <v>1000000</v>
      </c>
      <c r="K13" s="132" t="s">
        <v>195</v>
      </c>
      <c r="L13" s="178">
        <f t="shared" ca="1" si="8"/>
        <v>42423</v>
      </c>
      <c r="M13" s="169" t="str">
        <f t="shared" si="9"/>
        <v>8Y</v>
      </c>
      <c r="N13" s="134" t="s">
        <v>26</v>
      </c>
      <c r="O13" s="134" t="s">
        <v>20</v>
      </c>
      <c r="P13" s="134" t="s">
        <v>22</v>
      </c>
      <c r="Q13" s="134" t="s">
        <v>2</v>
      </c>
      <c r="R13" s="134"/>
      <c r="S13" s="134"/>
      <c r="T13" s="135">
        <f t="shared" ca="1" si="0"/>
        <v>23</v>
      </c>
      <c r="U13" s="134" t="s">
        <v>196</v>
      </c>
      <c r="V13" s="134" t="s">
        <v>197</v>
      </c>
      <c r="W13" s="135" t="str">
        <f t="shared" si="1"/>
        <v>EUR6ML</v>
      </c>
      <c r="X13" s="135" t="str">
        <f t="shared" si="2"/>
        <v>Semi-Annual</v>
      </c>
      <c r="Y13" s="134" t="s">
        <v>6</v>
      </c>
      <c r="Z13" s="134" t="s">
        <v>22</v>
      </c>
      <c r="AA13" s="134" t="s">
        <v>2</v>
      </c>
      <c r="AB13" s="134"/>
      <c r="AC13" s="134"/>
      <c r="AD13" s="135">
        <f t="shared" ca="1" si="3"/>
        <v>23</v>
      </c>
      <c r="AE13" s="134" t="s">
        <v>196</v>
      </c>
      <c r="AF13" s="136" t="s">
        <v>37</v>
      </c>
      <c r="AG13" s="137"/>
      <c r="AH13" s="134" t="s">
        <v>196</v>
      </c>
      <c r="AI13" s="134" t="s">
        <v>197</v>
      </c>
      <c r="AJ13" s="135" t="str">
        <f t="shared" si="4"/>
        <v>EURYC</v>
      </c>
      <c r="AK13" s="135" t="str">
        <f t="shared" si="5"/>
        <v>EURDF_NOCSA</v>
      </c>
      <c r="AL13" s="134" t="s">
        <v>193</v>
      </c>
      <c r="AM13" s="173">
        <f t="shared" si="6"/>
        <v>0</v>
      </c>
      <c r="AN13" s="180">
        <f t="shared" si="7"/>
        <v>0.01</v>
      </c>
      <c r="AO13" s="185">
        <f ca="1">IF(NOW(),_xll.meProductSwapParRate(_xll.meUtilityLVBFromKeysValues($L$5:$AM$5,$L13:$AM13),FALSE))</f>
        <v>4.4400001063179696E-3</v>
      </c>
      <c r="AP13" s="174">
        <f ca="1">IF(NOW(),_xll.meProductSwapPV(_xll.meUtilityLVBFromKeysValues($J$5:$AN$5,$J13:$AN13),FALSE))</f>
        <v>-44630.718806232966</v>
      </c>
      <c r="AQ13" s="175">
        <f ca="1">IF(NOW(),_xll.meProductSwapPV01(_xll.meUtilityLVBFromKeysValues($J$5:$AL$5,$J13:$AL13),FALSE))</f>
        <v>802.71078524566133</v>
      </c>
      <c r="AR13" t="s">
        <v>4</v>
      </c>
      <c r="AS13" s="146" t="str">
        <v>9Y</v>
      </c>
      <c r="AT13" s="148">
        <v>5.6100000000000004E-3</v>
      </c>
      <c r="AU13" s="153">
        <f t="shared" ca="1" si="10"/>
        <v>1.9356689168192887E-6</v>
      </c>
    </row>
    <row r="14" spans="1:47" x14ac:dyDescent="0.25">
      <c r="A14" s="129">
        <v>9</v>
      </c>
      <c r="B14" s="178">
        <f ca="1">IF(NOW(),_xll.meDateFromTenor(COB,$C14,$P14,$Q14))</f>
        <v>42423</v>
      </c>
      <c r="C14" s="138" t="s">
        <v>204</v>
      </c>
      <c r="D14" s="131" t="s">
        <v>17</v>
      </c>
      <c r="E14" s="133" t="s">
        <v>205</v>
      </c>
      <c r="F14" s="133" t="s">
        <v>60</v>
      </c>
      <c r="G14" s="133">
        <v>0.01</v>
      </c>
      <c r="H14" s="133">
        <v>0</v>
      </c>
      <c r="I14" s="166" t="s">
        <v>206</v>
      </c>
      <c r="J14" s="131">
        <v>1000000</v>
      </c>
      <c r="K14" s="132" t="s">
        <v>195</v>
      </c>
      <c r="L14" s="178">
        <f t="shared" ca="1" si="8"/>
        <v>42423</v>
      </c>
      <c r="M14" s="169" t="str">
        <f t="shared" si="9"/>
        <v>9Y</v>
      </c>
      <c r="N14" s="134" t="s">
        <v>26</v>
      </c>
      <c r="O14" s="134" t="s">
        <v>20</v>
      </c>
      <c r="P14" s="134" t="s">
        <v>22</v>
      </c>
      <c r="Q14" s="134" t="s">
        <v>2</v>
      </c>
      <c r="R14" s="134"/>
      <c r="S14" s="134"/>
      <c r="T14" s="135">
        <f t="shared" ca="1" si="0"/>
        <v>23</v>
      </c>
      <c r="U14" s="134" t="s">
        <v>196</v>
      </c>
      <c r="V14" s="134" t="s">
        <v>197</v>
      </c>
      <c r="W14" s="135" t="str">
        <f t="shared" si="1"/>
        <v>EUR6ML</v>
      </c>
      <c r="X14" s="135" t="str">
        <f t="shared" si="2"/>
        <v>Semi-Annual</v>
      </c>
      <c r="Y14" s="134" t="s">
        <v>6</v>
      </c>
      <c r="Z14" s="134" t="s">
        <v>22</v>
      </c>
      <c r="AA14" s="134" t="s">
        <v>2</v>
      </c>
      <c r="AB14" s="134"/>
      <c r="AC14" s="134"/>
      <c r="AD14" s="135">
        <f t="shared" ca="1" si="3"/>
        <v>23</v>
      </c>
      <c r="AE14" s="134" t="s">
        <v>196</v>
      </c>
      <c r="AF14" s="136" t="s">
        <v>37</v>
      </c>
      <c r="AG14" s="137"/>
      <c r="AH14" s="134" t="s">
        <v>196</v>
      </c>
      <c r="AI14" s="134" t="s">
        <v>197</v>
      </c>
      <c r="AJ14" s="135" t="str">
        <f t="shared" si="4"/>
        <v>EURYC</v>
      </c>
      <c r="AK14" s="135" t="str">
        <f t="shared" si="5"/>
        <v>EURDF_NOCSA</v>
      </c>
      <c r="AL14" s="134" t="s">
        <v>193</v>
      </c>
      <c r="AM14" s="173">
        <f t="shared" si="6"/>
        <v>0</v>
      </c>
      <c r="AN14" s="180">
        <f t="shared" si="7"/>
        <v>0.01</v>
      </c>
      <c r="AO14" s="185">
        <f ca="1">IF(NOW(),_xll.meProductSwapParRate(_xll.meUtilityLVBFromKeysValues($L$5:$AM$5,$L14:$AM14),FALSE))</f>
        <v>5.6100001935668921E-3</v>
      </c>
      <c r="AP14" s="174">
        <f ca="1">IF(NOW(),_xll.meProductSwapPV(_xll.meUtilityLVBFromKeysValues($J$5:$AN$5,$J14:$AN14),FALSE))</f>
        <v>-39518.122866206388</v>
      </c>
      <c r="AQ14" s="175">
        <f ca="1">IF(NOW(),_xll.meProductSwapPV01(_xll.meUtilityLVBFromKeysValues($J$5:$AL$5,$J14:$AL14),FALSE))</f>
        <v>900.18507081245218</v>
      </c>
      <c r="AR14" t="s">
        <v>4</v>
      </c>
      <c r="AS14" s="146" t="str">
        <v>10Y</v>
      </c>
      <c r="AT14" s="148">
        <v>6.6700000000000006E-3</v>
      </c>
      <c r="AU14" s="153">
        <f t="shared" ca="1" si="10"/>
        <v>3.4304033832283087E-6</v>
      </c>
    </row>
    <row r="15" spans="1:47" x14ac:dyDescent="0.25">
      <c r="A15" s="129">
        <v>10</v>
      </c>
      <c r="B15" s="178">
        <f ca="1">IF(NOW(),_xll.meDateFromTenor(COB,$C15,$P15,$Q15))</f>
        <v>42423</v>
      </c>
      <c r="C15" s="138" t="s">
        <v>204</v>
      </c>
      <c r="D15" s="131" t="s">
        <v>17</v>
      </c>
      <c r="E15" s="133" t="s">
        <v>205</v>
      </c>
      <c r="F15" s="133" t="s">
        <v>61</v>
      </c>
      <c r="G15" s="133">
        <v>0.01</v>
      </c>
      <c r="H15" s="133">
        <v>0</v>
      </c>
      <c r="I15" s="166" t="s">
        <v>206</v>
      </c>
      <c r="J15" s="131">
        <v>1000000</v>
      </c>
      <c r="K15" s="132" t="s">
        <v>195</v>
      </c>
      <c r="L15" s="178">
        <f t="shared" ca="1" si="8"/>
        <v>42423</v>
      </c>
      <c r="M15" s="169" t="str">
        <f t="shared" si="9"/>
        <v>10Y</v>
      </c>
      <c r="N15" s="134" t="s">
        <v>26</v>
      </c>
      <c r="O15" s="134" t="s">
        <v>20</v>
      </c>
      <c r="P15" s="134" t="s">
        <v>22</v>
      </c>
      <c r="Q15" s="134" t="s">
        <v>2</v>
      </c>
      <c r="R15" s="134"/>
      <c r="S15" s="134"/>
      <c r="T15" s="135">
        <f t="shared" ca="1" si="0"/>
        <v>23</v>
      </c>
      <c r="U15" s="134" t="s">
        <v>196</v>
      </c>
      <c r="V15" s="134" t="s">
        <v>197</v>
      </c>
      <c r="W15" s="135" t="str">
        <f t="shared" si="1"/>
        <v>EUR6ML</v>
      </c>
      <c r="X15" s="135" t="str">
        <f t="shared" si="2"/>
        <v>Semi-Annual</v>
      </c>
      <c r="Y15" s="134" t="s">
        <v>6</v>
      </c>
      <c r="Z15" s="134" t="s">
        <v>22</v>
      </c>
      <c r="AA15" s="134" t="s">
        <v>2</v>
      </c>
      <c r="AB15" s="134"/>
      <c r="AC15" s="134"/>
      <c r="AD15" s="135">
        <f t="shared" ca="1" si="3"/>
        <v>23</v>
      </c>
      <c r="AE15" s="134" t="s">
        <v>196</v>
      </c>
      <c r="AF15" s="136" t="s">
        <v>37</v>
      </c>
      <c r="AG15" s="137"/>
      <c r="AH15" s="134" t="s">
        <v>196</v>
      </c>
      <c r="AI15" s="134" t="s">
        <v>197</v>
      </c>
      <c r="AJ15" s="135" t="str">
        <f t="shared" si="4"/>
        <v>EURYC</v>
      </c>
      <c r="AK15" s="135" t="str">
        <f t="shared" si="5"/>
        <v>EURDF_NOCSA</v>
      </c>
      <c r="AL15" s="134" t="s">
        <v>193</v>
      </c>
      <c r="AM15" s="173">
        <f t="shared" si="6"/>
        <v>0</v>
      </c>
      <c r="AN15" s="180">
        <f t="shared" si="7"/>
        <v>0.01</v>
      </c>
      <c r="AO15" s="185">
        <f ca="1">IF(NOW(),_xll.meProductSwapParRate(_xll.meUtilityLVBFromKeysValues($L$5:$AM$5,$L15:$AM15),FALSE))</f>
        <v>6.6700003430403389E-3</v>
      </c>
      <c r="AP15" s="174">
        <f ca="1">IF(NOW(),_xll.meProductSwapPV(_xll.meUtilityLVBFromKeysValues($J$5:$AN$5,$J15:$AN15),FALSE))</f>
        <v>-33156.520392392071</v>
      </c>
      <c r="AQ15" s="175">
        <f ca="1">IF(NOW(),_xll.meProductSwapPV01(_xll.meUtilityLVBFromKeysValues($J$5:$AL$5,$J15:$AL15),FALSE))</f>
        <v>995.69140564610348</v>
      </c>
      <c r="AR15" t="s">
        <v>4</v>
      </c>
      <c r="AS15" s="146" t="str">
        <v>11Y</v>
      </c>
      <c r="AT15" s="148">
        <v>7.6300000000000005E-3</v>
      </c>
      <c r="AU15" s="153">
        <f t="shared" ca="1" si="10"/>
        <v>5.4717767296319497E-6</v>
      </c>
    </row>
    <row r="16" spans="1:47" x14ac:dyDescent="0.25">
      <c r="A16" s="129">
        <v>11</v>
      </c>
      <c r="B16" s="178">
        <f ca="1">IF(NOW(),_xll.meDateFromTenor(COB,$C16,$P16,$Q16))</f>
        <v>42423</v>
      </c>
      <c r="C16" s="138" t="s">
        <v>204</v>
      </c>
      <c r="D16" s="131" t="s">
        <v>17</v>
      </c>
      <c r="E16" s="133" t="s">
        <v>205</v>
      </c>
      <c r="F16" s="133" t="s">
        <v>62</v>
      </c>
      <c r="G16" s="133">
        <v>0.01</v>
      </c>
      <c r="H16" s="133">
        <v>0</v>
      </c>
      <c r="I16" s="166" t="s">
        <v>206</v>
      </c>
      <c r="J16" s="131">
        <v>1000000</v>
      </c>
      <c r="K16" s="132" t="s">
        <v>195</v>
      </c>
      <c r="L16" s="178">
        <f t="shared" ca="1" si="8"/>
        <v>42423</v>
      </c>
      <c r="M16" s="169" t="str">
        <f t="shared" si="9"/>
        <v>11Y</v>
      </c>
      <c r="N16" s="134" t="s">
        <v>26</v>
      </c>
      <c r="O16" s="134" t="s">
        <v>20</v>
      </c>
      <c r="P16" s="134" t="s">
        <v>22</v>
      </c>
      <c r="Q16" s="134" t="s">
        <v>2</v>
      </c>
      <c r="R16" s="134"/>
      <c r="S16" s="134"/>
      <c r="T16" s="135">
        <f t="shared" ca="1" si="0"/>
        <v>23</v>
      </c>
      <c r="U16" s="134" t="s">
        <v>196</v>
      </c>
      <c r="V16" s="134" t="s">
        <v>197</v>
      </c>
      <c r="W16" s="135" t="str">
        <f t="shared" si="1"/>
        <v>EUR6ML</v>
      </c>
      <c r="X16" s="135" t="str">
        <f t="shared" si="2"/>
        <v>Semi-Annual</v>
      </c>
      <c r="Y16" s="134" t="s">
        <v>6</v>
      </c>
      <c r="Z16" s="134" t="s">
        <v>22</v>
      </c>
      <c r="AA16" s="134" t="s">
        <v>2</v>
      </c>
      <c r="AB16" s="134"/>
      <c r="AC16" s="134"/>
      <c r="AD16" s="135">
        <f t="shared" ca="1" si="3"/>
        <v>23</v>
      </c>
      <c r="AE16" s="134" t="s">
        <v>196</v>
      </c>
      <c r="AF16" s="136" t="s">
        <v>37</v>
      </c>
      <c r="AG16" s="137"/>
      <c r="AH16" s="134" t="s">
        <v>196</v>
      </c>
      <c r="AI16" s="134" t="s">
        <v>197</v>
      </c>
      <c r="AJ16" s="135" t="str">
        <f t="shared" si="4"/>
        <v>EURYC</v>
      </c>
      <c r="AK16" s="135" t="str">
        <f t="shared" si="5"/>
        <v>EURDF_NOCSA</v>
      </c>
      <c r="AL16" s="134" t="s">
        <v>193</v>
      </c>
      <c r="AM16" s="173">
        <f t="shared" si="6"/>
        <v>0</v>
      </c>
      <c r="AN16" s="180">
        <f t="shared" si="7"/>
        <v>0.01</v>
      </c>
      <c r="AO16" s="185">
        <f ca="1">IF(NOW(),_xll.meProductSwapParRate(_xll.meUtilityLVBFromKeysValues($L$5:$AM$5,$L16:$AM16),FALSE))</f>
        <v>7.6300005471776735E-3</v>
      </c>
      <c r="AP16" s="174">
        <f ca="1">IF(NOW(),_xll.meProductSwapPV(_xll.meUtilityLVBFromKeysValues($J$5:$AN$5,$J16:$AN16),FALSE))</f>
        <v>-25831.59413351613</v>
      </c>
      <c r="AQ16" s="175">
        <f ca="1">IF(NOW(),_xll.meProductSwapPV01(_xll.meUtilityLVBFromKeysValues($J$5:$AL$5,$J16:$AL16),FALSE))</f>
        <v>1089.9409323809944</v>
      </c>
      <c r="AR16" t="s">
        <v>4</v>
      </c>
      <c r="AS16" s="146" t="str">
        <v>12Y</v>
      </c>
      <c r="AT16" s="148">
        <v>8.4700000000000001E-3</v>
      </c>
      <c r="AU16" s="153">
        <f t="shared" ca="1" si="10"/>
        <v>7.7640117598920533E-6</v>
      </c>
    </row>
    <row r="17" spans="1:47" x14ac:dyDescent="0.25">
      <c r="A17" s="129">
        <v>12</v>
      </c>
      <c r="B17" s="178">
        <f ca="1">IF(NOW(),_xll.meDateFromTenor(COB,$C17,$P17,$Q17))</f>
        <v>42423</v>
      </c>
      <c r="C17" s="138" t="s">
        <v>204</v>
      </c>
      <c r="D17" s="131" t="s">
        <v>17</v>
      </c>
      <c r="E17" s="133" t="s">
        <v>205</v>
      </c>
      <c r="F17" s="133" t="s">
        <v>63</v>
      </c>
      <c r="G17" s="133">
        <v>0.01</v>
      </c>
      <c r="H17" s="133">
        <v>0</v>
      </c>
      <c r="I17" s="166" t="s">
        <v>206</v>
      </c>
      <c r="J17" s="131">
        <v>1000000</v>
      </c>
      <c r="K17" s="132" t="s">
        <v>195</v>
      </c>
      <c r="L17" s="178">
        <f t="shared" ca="1" si="8"/>
        <v>42423</v>
      </c>
      <c r="M17" s="169" t="str">
        <f t="shared" si="9"/>
        <v>12Y</v>
      </c>
      <c r="N17" s="134" t="s">
        <v>26</v>
      </c>
      <c r="O17" s="134" t="s">
        <v>20</v>
      </c>
      <c r="P17" s="134" t="s">
        <v>22</v>
      </c>
      <c r="Q17" s="134" t="s">
        <v>2</v>
      </c>
      <c r="R17" s="134"/>
      <c r="S17" s="134"/>
      <c r="T17" s="135">
        <f t="shared" ca="1" si="0"/>
        <v>23</v>
      </c>
      <c r="U17" s="134" t="s">
        <v>196</v>
      </c>
      <c r="V17" s="134" t="s">
        <v>197</v>
      </c>
      <c r="W17" s="135" t="str">
        <f t="shared" si="1"/>
        <v>EUR6ML</v>
      </c>
      <c r="X17" s="135" t="str">
        <f t="shared" si="2"/>
        <v>Semi-Annual</v>
      </c>
      <c r="Y17" s="134" t="s">
        <v>6</v>
      </c>
      <c r="Z17" s="134" t="s">
        <v>22</v>
      </c>
      <c r="AA17" s="134" t="s">
        <v>2</v>
      </c>
      <c r="AB17" s="134"/>
      <c r="AC17" s="134"/>
      <c r="AD17" s="135">
        <f t="shared" ca="1" si="3"/>
        <v>23</v>
      </c>
      <c r="AE17" s="134" t="s">
        <v>196</v>
      </c>
      <c r="AF17" s="136" t="s">
        <v>37</v>
      </c>
      <c r="AG17" s="137"/>
      <c r="AH17" s="134" t="s">
        <v>196</v>
      </c>
      <c r="AI17" s="134" t="s">
        <v>197</v>
      </c>
      <c r="AJ17" s="135" t="str">
        <f t="shared" si="4"/>
        <v>EURYC</v>
      </c>
      <c r="AK17" s="135" t="str">
        <f t="shared" si="5"/>
        <v>EURDF_NOCSA</v>
      </c>
      <c r="AL17" s="134" t="s">
        <v>193</v>
      </c>
      <c r="AM17" s="173">
        <f t="shared" si="6"/>
        <v>0</v>
      </c>
      <c r="AN17" s="180">
        <f t="shared" si="7"/>
        <v>0.01</v>
      </c>
      <c r="AO17" s="185">
        <f ca="1">IF(NOW(),_xll.meProductSwapParRate(_xll.meUtilityLVBFromKeysValues($L$5:$AM$5,$L17:$AM17),FALSE))</f>
        <v>8.4700007764011761E-3</v>
      </c>
      <c r="AP17" s="174">
        <f ca="1">IF(NOW(),_xll.meProductSwapPV(_xll.meUtilityLVBFromKeysValues($J$5:$AN$5,$J17:$AN17),FALSE))</f>
        <v>-18094.33664296542</v>
      </c>
      <c r="AQ17" s="175">
        <f ca="1">IF(NOW(),_xll.meProductSwapPV01(_xll.meUtilityLVBFromKeysValues($J$5:$AL$5,$J17:$AL17),FALSE))</f>
        <v>1182.6369820243692</v>
      </c>
      <c r="AR17" t="s">
        <v>4</v>
      </c>
      <c r="AS17" s="146" t="str">
        <v>15Y</v>
      </c>
      <c r="AT17" s="148">
        <v>1.03E-2</v>
      </c>
      <c r="AU17" s="153">
        <f t="shared" ca="1" si="10"/>
        <v>8.2753381404343518E-6</v>
      </c>
    </row>
    <row r="18" spans="1:47" x14ac:dyDescent="0.25">
      <c r="A18" s="129">
        <v>13</v>
      </c>
      <c r="B18" s="178">
        <f ca="1">IF(NOW(),_xll.meDateFromTenor(COB,$C18,$P18,$Q18))</f>
        <v>42423</v>
      </c>
      <c r="C18" s="138" t="s">
        <v>204</v>
      </c>
      <c r="D18" s="131" t="s">
        <v>17</v>
      </c>
      <c r="E18" s="133" t="s">
        <v>205</v>
      </c>
      <c r="F18" s="133" t="s">
        <v>207</v>
      </c>
      <c r="G18" s="133">
        <v>0.01</v>
      </c>
      <c r="H18" s="133">
        <v>0</v>
      </c>
      <c r="I18" s="166" t="s">
        <v>206</v>
      </c>
      <c r="J18" s="131">
        <v>1000000</v>
      </c>
      <c r="K18" s="132" t="s">
        <v>195</v>
      </c>
      <c r="L18" s="178">
        <f t="shared" ca="1" si="8"/>
        <v>42423</v>
      </c>
      <c r="M18" s="169" t="str">
        <f t="shared" si="9"/>
        <v>13Y</v>
      </c>
      <c r="N18" s="134" t="s">
        <v>26</v>
      </c>
      <c r="O18" s="134" t="s">
        <v>20</v>
      </c>
      <c r="P18" s="134" t="s">
        <v>22</v>
      </c>
      <c r="Q18" s="134" t="s">
        <v>2</v>
      </c>
      <c r="R18" s="134"/>
      <c r="S18" s="134"/>
      <c r="T18" s="135">
        <f t="shared" ca="1" si="0"/>
        <v>23</v>
      </c>
      <c r="U18" s="134" t="s">
        <v>196</v>
      </c>
      <c r="V18" s="134" t="s">
        <v>197</v>
      </c>
      <c r="W18" s="135" t="str">
        <f t="shared" si="1"/>
        <v>EUR6ML</v>
      </c>
      <c r="X18" s="135" t="str">
        <f t="shared" si="2"/>
        <v>Semi-Annual</v>
      </c>
      <c r="Y18" s="134" t="s">
        <v>6</v>
      </c>
      <c r="Z18" s="134" t="s">
        <v>22</v>
      </c>
      <c r="AA18" s="134" t="s">
        <v>2</v>
      </c>
      <c r="AB18" s="134"/>
      <c r="AC18" s="134"/>
      <c r="AD18" s="135">
        <f t="shared" ca="1" si="3"/>
        <v>23</v>
      </c>
      <c r="AE18" s="134" t="s">
        <v>196</v>
      </c>
      <c r="AF18" s="136" t="s">
        <v>37</v>
      </c>
      <c r="AG18" s="137"/>
      <c r="AH18" s="134" t="s">
        <v>196</v>
      </c>
      <c r="AI18" s="134" t="s">
        <v>197</v>
      </c>
      <c r="AJ18" s="135" t="str">
        <f t="shared" si="4"/>
        <v>EURYC</v>
      </c>
      <c r="AK18" s="135" t="str">
        <f t="shared" si="5"/>
        <v>EURDF_NOCSA</v>
      </c>
      <c r="AL18" s="134" t="s">
        <v>193</v>
      </c>
      <c r="AM18" s="173">
        <f t="shared" si="6"/>
        <v>0</v>
      </c>
      <c r="AN18" s="180">
        <f t="shared" si="7"/>
        <v>0.01</v>
      </c>
      <c r="AO18" s="185">
        <f ca="1">IF(NOW(),_xll.meProductSwapParRate(_xll.meUtilityLVBFromKeysValues($L$5:$AM$5,$L18:$AM18),FALSE))</f>
        <v>9.1775539730296739E-3</v>
      </c>
      <c r="AP18" s="174">
        <f ca="1">IF(NOW(),_xll.meProductSwapPV(_xll.meUtilityLVBFromKeysValues($J$5:$AN$5,$J18:$AN18),FALSE))</f>
        <v>-10476.201429786488</v>
      </c>
      <c r="AQ18" s="175">
        <f ca="1">IF(NOW(),_xll.meProductSwapPV01(_xll.meUtilityLVBFromKeysValues($J$5:$AL$5,$J18:$AL18),FALSE))</f>
        <v>1273.7858882215123</v>
      </c>
      <c r="AR18" t="s">
        <v>4</v>
      </c>
      <c r="AS18" s="146" t="str">
        <v>20Y</v>
      </c>
      <c r="AT18" s="148">
        <v>1.1659999999999998E-2</v>
      </c>
      <c r="AU18" s="153">
        <f t="shared" ca="1" si="10"/>
        <v>7.9995662524701139E-6</v>
      </c>
    </row>
    <row r="19" spans="1:47" x14ac:dyDescent="0.25">
      <c r="A19" s="129">
        <v>14</v>
      </c>
      <c r="B19" s="178">
        <f ca="1">IF(NOW(),_xll.meDateFromTenor(COB,$C19,$P19,$Q19))</f>
        <v>42423</v>
      </c>
      <c r="C19" s="138" t="s">
        <v>204</v>
      </c>
      <c r="D19" s="131" t="s">
        <v>17</v>
      </c>
      <c r="E19" s="133" t="s">
        <v>205</v>
      </c>
      <c r="F19" s="133" t="s">
        <v>208</v>
      </c>
      <c r="G19" s="133">
        <v>0.01</v>
      </c>
      <c r="H19" s="133">
        <v>0</v>
      </c>
      <c r="I19" s="166" t="s">
        <v>206</v>
      </c>
      <c r="J19" s="131">
        <v>1000000</v>
      </c>
      <c r="K19" s="132" t="s">
        <v>195</v>
      </c>
      <c r="L19" s="178">
        <f t="shared" ca="1" si="8"/>
        <v>42423</v>
      </c>
      <c r="M19" s="169" t="str">
        <f t="shared" si="9"/>
        <v>14Y</v>
      </c>
      <c r="N19" s="134" t="s">
        <v>26</v>
      </c>
      <c r="O19" s="134" t="s">
        <v>20</v>
      </c>
      <c r="P19" s="134" t="s">
        <v>22</v>
      </c>
      <c r="Q19" s="134" t="s">
        <v>2</v>
      </c>
      <c r="R19" s="134"/>
      <c r="S19" s="134"/>
      <c r="T19" s="135">
        <f t="shared" ca="1" si="0"/>
        <v>23</v>
      </c>
      <c r="U19" s="134" t="s">
        <v>196</v>
      </c>
      <c r="V19" s="134" t="s">
        <v>197</v>
      </c>
      <c r="W19" s="135" t="str">
        <f t="shared" si="1"/>
        <v>EUR6ML</v>
      </c>
      <c r="X19" s="135" t="str">
        <f t="shared" si="2"/>
        <v>Semi-Annual</v>
      </c>
      <c r="Y19" s="134" t="s">
        <v>6</v>
      </c>
      <c r="Z19" s="134" t="s">
        <v>22</v>
      </c>
      <c r="AA19" s="134" t="s">
        <v>2</v>
      </c>
      <c r="AB19" s="134"/>
      <c r="AC19" s="134"/>
      <c r="AD19" s="135">
        <f t="shared" ca="1" si="3"/>
        <v>23</v>
      </c>
      <c r="AE19" s="134" t="s">
        <v>196</v>
      </c>
      <c r="AF19" s="136" t="s">
        <v>37</v>
      </c>
      <c r="AG19" s="137"/>
      <c r="AH19" s="134" t="s">
        <v>196</v>
      </c>
      <c r="AI19" s="134" t="s">
        <v>197</v>
      </c>
      <c r="AJ19" s="135" t="str">
        <f t="shared" si="4"/>
        <v>EURYC</v>
      </c>
      <c r="AK19" s="135" t="str">
        <f t="shared" si="5"/>
        <v>EURDF_NOCSA</v>
      </c>
      <c r="AL19" s="134" t="s">
        <v>193</v>
      </c>
      <c r="AM19" s="173">
        <f t="shared" si="6"/>
        <v>0</v>
      </c>
      <c r="AN19" s="180">
        <f t="shared" si="7"/>
        <v>0.01</v>
      </c>
      <c r="AO19" s="185">
        <f ca="1">IF(NOW(),_xll.meProductSwapParRate(_xll.meUtilityLVBFromKeysValues($L$5:$AM$5,$L19:$AM19),FALSE))</f>
        <v>9.7836373454312352E-3</v>
      </c>
      <c r="AP19" s="174">
        <f ca="1">IF(NOW(),_xll.meProductSwapPV(_xll.meUtilityLVBFromKeysValues($J$5:$AN$5,$J19:$AN19),FALSE))</f>
        <v>-2950.9806417766517</v>
      </c>
      <c r="AQ19" s="175">
        <f ca="1">IF(NOW(),_xll.meProductSwapPV01(_xll.meUtilityLVBFromKeysValues($J$5:$AL$5,$J19:$AL19),FALSE))</f>
        <v>1363.9048049481034</v>
      </c>
      <c r="AR19" t="s">
        <v>4</v>
      </c>
      <c r="AS19" s="146" t="str">
        <v>25Y</v>
      </c>
      <c r="AT19" s="148">
        <v>1.201E-2</v>
      </c>
      <c r="AU19" s="153" t="str">
        <f t="shared" si="10"/>
        <v>-</v>
      </c>
    </row>
    <row r="20" spans="1:47" x14ac:dyDescent="0.25">
      <c r="A20" s="129">
        <v>15</v>
      </c>
      <c r="B20" s="178">
        <f ca="1">IF(NOW(),_xll.meDateFromTenor(COB,$C20,$P20,$Q20))</f>
        <v>42423</v>
      </c>
      <c r="C20" s="138" t="s">
        <v>204</v>
      </c>
      <c r="D20" s="131" t="s">
        <v>17</v>
      </c>
      <c r="E20" s="133" t="s">
        <v>205</v>
      </c>
      <c r="F20" s="133" t="s">
        <v>64</v>
      </c>
      <c r="G20" s="133">
        <v>0.01</v>
      </c>
      <c r="H20" s="133">
        <v>0</v>
      </c>
      <c r="I20" s="166" t="s">
        <v>206</v>
      </c>
      <c r="J20" s="131">
        <v>1000000</v>
      </c>
      <c r="K20" s="132" t="s">
        <v>195</v>
      </c>
      <c r="L20" s="178">
        <f t="shared" ca="1" si="8"/>
        <v>42423</v>
      </c>
      <c r="M20" s="169" t="str">
        <f t="shared" si="9"/>
        <v>15Y</v>
      </c>
      <c r="N20" s="134" t="s">
        <v>26</v>
      </c>
      <c r="O20" s="134" t="s">
        <v>20</v>
      </c>
      <c r="P20" s="134" t="s">
        <v>22</v>
      </c>
      <c r="Q20" s="134" t="s">
        <v>2</v>
      </c>
      <c r="R20" s="134"/>
      <c r="S20" s="134"/>
      <c r="T20" s="135">
        <f t="shared" ca="1" si="0"/>
        <v>23</v>
      </c>
      <c r="U20" s="134" t="s">
        <v>196</v>
      </c>
      <c r="V20" s="134" t="s">
        <v>197</v>
      </c>
      <c r="W20" s="135" t="str">
        <f t="shared" si="1"/>
        <v>EUR6ML</v>
      </c>
      <c r="X20" s="135" t="str">
        <f t="shared" si="2"/>
        <v>Semi-Annual</v>
      </c>
      <c r="Y20" s="134" t="s">
        <v>6</v>
      </c>
      <c r="Z20" s="134" t="s">
        <v>22</v>
      </c>
      <c r="AA20" s="134" t="s">
        <v>2</v>
      </c>
      <c r="AB20" s="134"/>
      <c r="AC20" s="134"/>
      <c r="AD20" s="135">
        <f t="shared" ca="1" si="3"/>
        <v>23</v>
      </c>
      <c r="AE20" s="134" t="s">
        <v>196</v>
      </c>
      <c r="AF20" s="136" t="s">
        <v>37</v>
      </c>
      <c r="AG20" s="137"/>
      <c r="AH20" s="134" t="s">
        <v>196</v>
      </c>
      <c r="AI20" s="134" t="s">
        <v>197</v>
      </c>
      <c r="AJ20" s="135" t="str">
        <f t="shared" si="4"/>
        <v>EURYC</v>
      </c>
      <c r="AK20" s="135" t="str">
        <f t="shared" si="5"/>
        <v>EURDF_NOCSA</v>
      </c>
      <c r="AL20" s="134" t="s">
        <v>193</v>
      </c>
      <c r="AM20" s="173">
        <f t="shared" si="6"/>
        <v>0</v>
      </c>
      <c r="AN20" s="180">
        <f t="shared" si="7"/>
        <v>0.01</v>
      </c>
      <c r="AO20" s="185">
        <f ca="1">IF(NOW(),_xll.meProductSwapParRate(_xll.meUtilityLVBFromKeysValues($L$5:$AM$5,$L20:$AM20),FALSE))</f>
        <v>1.0300000827533814E-2</v>
      </c>
      <c r="AP20" s="174">
        <f ca="1">IF(NOW(),_xll.meProductSwapPV(_xll.meUtilityLVBFromKeysValues($J$5:$AN$5,$J20:$AN20),FALSE))</f>
        <v>4355.2502290582497</v>
      </c>
      <c r="AQ20" s="175">
        <f ca="1">IF(NOW(),_xll.meProductSwapPV01(_xll.meUtilityLVBFromKeysValues($J$5:$AL$5,$J20:$AL20),FALSE))</f>
        <v>1451.7460717895378</v>
      </c>
      <c r="AR20" t="s">
        <v>4</v>
      </c>
      <c r="AS20" s="146" t="str">
        <v>30Y</v>
      </c>
      <c r="AT20" s="148">
        <v>1.204E-2</v>
      </c>
      <c r="AU20" s="153" t="str">
        <f t="shared" si="10"/>
        <v>-</v>
      </c>
    </row>
    <row r="21" spans="1:47" x14ac:dyDescent="0.25">
      <c r="A21" s="129">
        <v>16</v>
      </c>
      <c r="B21" s="178">
        <f ca="1">IF(NOW(),_xll.meDateFromTenor(COB,$C21,$P21,$Q21))</f>
        <v>42423</v>
      </c>
      <c r="C21" s="138" t="s">
        <v>204</v>
      </c>
      <c r="D21" s="131" t="s">
        <v>17</v>
      </c>
      <c r="E21" s="133" t="s">
        <v>205</v>
      </c>
      <c r="F21" s="133" t="s">
        <v>209</v>
      </c>
      <c r="G21" s="133">
        <v>0.01</v>
      </c>
      <c r="H21" s="133">
        <v>0</v>
      </c>
      <c r="I21" s="166" t="s">
        <v>206</v>
      </c>
      <c r="J21" s="131">
        <v>1000000</v>
      </c>
      <c r="K21" s="132" t="s">
        <v>195</v>
      </c>
      <c r="L21" s="178">
        <f t="shared" ca="1" si="8"/>
        <v>42423</v>
      </c>
      <c r="M21" s="169" t="str">
        <f t="shared" si="9"/>
        <v>16Y</v>
      </c>
      <c r="N21" s="134" t="s">
        <v>26</v>
      </c>
      <c r="O21" s="134" t="s">
        <v>20</v>
      </c>
      <c r="P21" s="134" t="s">
        <v>22</v>
      </c>
      <c r="Q21" s="134" t="s">
        <v>2</v>
      </c>
      <c r="R21" s="134"/>
      <c r="S21" s="134"/>
      <c r="T21" s="135">
        <f t="shared" ca="1" si="0"/>
        <v>23</v>
      </c>
      <c r="U21" s="134" t="s">
        <v>196</v>
      </c>
      <c r="V21" s="134" t="s">
        <v>197</v>
      </c>
      <c r="W21" s="135" t="str">
        <f t="shared" si="1"/>
        <v>EUR6ML</v>
      </c>
      <c r="X21" s="135" t="str">
        <f t="shared" si="2"/>
        <v>Semi-Annual</v>
      </c>
      <c r="Y21" s="134" t="s">
        <v>6</v>
      </c>
      <c r="Z21" s="134" t="s">
        <v>22</v>
      </c>
      <c r="AA21" s="134" t="s">
        <v>2</v>
      </c>
      <c r="AB21" s="134"/>
      <c r="AC21" s="134"/>
      <c r="AD21" s="135">
        <f t="shared" ca="1" si="3"/>
        <v>23</v>
      </c>
      <c r="AE21" s="134" t="s">
        <v>196</v>
      </c>
      <c r="AF21" s="136" t="s">
        <v>37</v>
      </c>
      <c r="AG21" s="137"/>
      <c r="AH21" s="134" t="s">
        <v>196</v>
      </c>
      <c r="AI21" s="134" t="s">
        <v>197</v>
      </c>
      <c r="AJ21" s="135" t="str">
        <f t="shared" si="4"/>
        <v>EURYC</v>
      </c>
      <c r="AK21" s="135" t="str">
        <f t="shared" si="5"/>
        <v>EURDF_NOCSA</v>
      </c>
      <c r="AL21" s="134" t="s">
        <v>193</v>
      </c>
      <c r="AM21" s="173">
        <f t="shared" si="6"/>
        <v>0</v>
      </c>
      <c r="AN21" s="180">
        <f t="shared" si="7"/>
        <v>0.01</v>
      </c>
      <c r="AO21" s="185">
        <f ca="1">IF(NOW(),_xll.meProductSwapParRate(_xll.meUtilityLVBFromKeysValues($L$5:$AM$5,$L21:$AM21),FALSE))</f>
        <v>1.0695998049129758E-2</v>
      </c>
      <c r="AP21" s="174">
        <f ca="1">IF(NOW(),_xll.meProductSwapPV(_xll.meUtilityLVBFromKeysValues($J$5:$AN$5,$J21:$AN21),FALSE))</f>
        <v>10705.16776777361</v>
      </c>
      <c r="AQ21" s="175">
        <f ca="1">IF(NOW(),_xll.meProductSwapPV01(_xll.meUtilityLVBFromKeysValues($J$5:$AL$5,$J21:$AL21),FALSE))</f>
        <v>1538.1031284726789</v>
      </c>
      <c r="AR21" t="s">
        <v>4</v>
      </c>
      <c r="AS21" s="146" t="str">
        <v>40Y</v>
      </c>
      <c r="AT21" s="148">
        <v>1.1859999999999999E-2</v>
      </c>
      <c r="AU21" s="153" t="str">
        <f t="shared" si="10"/>
        <v>-</v>
      </c>
    </row>
    <row r="22" spans="1:47" x14ac:dyDescent="0.25">
      <c r="A22" s="129">
        <v>17</v>
      </c>
      <c r="B22" s="178">
        <f ca="1">IF(NOW(),_xll.meDateFromTenor(COB,$C22,$P22,$Q22))</f>
        <v>42423</v>
      </c>
      <c r="C22" s="138" t="s">
        <v>204</v>
      </c>
      <c r="D22" s="131" t="s">
        <v>17</v>
      </c>
      <c r="E22" s="133" t="s">
        <v>205</v>
      </c>
      <c r="F22" s="133" t="s">
        <v>210</v>
      </c>
      <c r="G22" s="133">
        <v>0.01</v>
      </c>
      <c r="H22" s="133">
        <v>0</v>
      </c>
      <c r="I22" s="166" t="s">
        <v>206</v>
      </c>
      <c r="J22" s="131">
        <v>1000000</v>
      </c>
      <c r="K22" s="132" t="s">
        <v>195</v>
      </c>
      <c r="L22" s="178">
        <f t="shared" ca="1" si="8"/>
        <v>42423</v>
      </c>
      <c r="M22" s="169" t="str">
        <f t="shared" si="9"/>
        <v>17Y</v>
      </c>
      <c r="N22" s="134" t="s">
        <v>26</v>
      </c>
      <c r="O22" s="134" t="s">
        <v>20</v>
      </c>
      <c r="P22" s="134" t="s">
        <v>22</v>
      </c>
      <c r="Q22" s="134" t="s">
        <v>2</v>
      </c>
      <c r="R22" s="134"/>
      <c r="S22" s="134"/>
      <c r="T22" s="135">
        <f t="shared" ca="1" si="0"/>
        <v>23</v>
      </c>
      <c r="U22" s="134" t="s">
        <v>196</v>
      </c>
      <c r="V22" s="134" t="s">
        <v>197</v>
      </c>
      <c r="W22" s="135" t="str">
        <f t="shared" si="1"/>
        <v>EUR6ML</v>
      </c>
      <c r="X22" s="135" t="str">
        <f t="shared" si="2"/>
        <v>Semi-Annual</v>
      </c>
      <c r="Y22" s="134" t="s">
        <v>6</v>
      </c>
      <c r="Z22" s="134" t="s">
        <v>22</v>
      </c>
      <c r="AA22" s="134" t="s">
        <v>2</v>
      </c>
      <c r="AB22" s="134"/>
      <c r="AC22" s="134"/>
      <c r="AD22" s="135">
        <f t="shared" ca="1" si="3"/>
        <v>23</v>
      </c>
      <c r="AE22" s="134" t="s">
        <v>196</v>
      </c>
      <c r="AF22" s="136" t="s">
        <v>37</v>
      </c>
      <c r="AG22" s="137"/>
      <c r="AH22" s="134" t="s">
        <v>196</v>
      </c>
      <c r="AI22" s="134" t="s">
        <v>197</v>
      </c>
      <c r="AJ22" s="135" t="str">
        <f t="shared" si="4"/>
        <v>EURYC</v>
      </c>
      <c r="AK22" s="135" t="str">
        <f t="shared" si="5"/>
        <v>EURDF_NOCSA</v>
      </c>
      <c r="AL22" s="134" t="s">
        <v>193</v>
      </c>
      <c r="AM22" s="173">
        <f t="shared" si="6"/>
        <v>0</v>
      </c>
      <c r="AN22" s="180">
        <f t="shared" si="7"/>
        <v>0.01</v>
      </c>
      <c r="AO22" s="185">
        <f ca="1">IF(NOW(),_xll.meProductSwapParRate(_xll.meUtilityLVBFromKeysValues($L$5:$AM$5,$L22:$AM22),FALSE))</f>
        <v>1.1020698744596347E-2</v>
      </c>
      <c r="AP22" s="174">
        <f ca="1">IF(NOW(),_xll.meProductSwapPV(_xll.meUtilityLVBFromKeysValues($J$5:$AN$5,$J22:$AN22),FALSE))</f>
        <v>16569.190150147682</v>
      </c>
      <c r="AQ22" s="175">
        <f ca="1">IF(NOW(),_xll.meProductSwapPV01(_xll.meUtilityLVBFromKeysValues($J$5:$AL$5,$J22:$AL22),FALSE))</f>
        <v>1623.3183628241109</v>
      </c>
      <c r="AR22" t="s">
        <v>4</v>
      </c>
      <c r="AS22" s="146" t="str">
        <v>50Y</v>
      </c>
      <c r="AT22" s="148">
        <v>1.1200000000000002E-2</v>
      </c>
      <c r="AU22" s="153" t="str">
        <f t="shared" si="10"/>
        <v>-</v>
      </c>
    </row>
    <row r="23" spans="1:47" x14ac:dyDescent="0.25">
      <c r="A23" s="129">
        <v>18</v>
      </c>
      <c r="B23" s="178">
        <f ca="1">IF(NOW(),_xll.meDateFromTenor(COB,$C23,$P23,$Q23))</f>
        <v>42423</v>
      </c>
      <c r="C23" s="138" t="s">
        <v>204</v>
      </c>
      <c r="D23" s="131" t="s">
        <v>17</v>
      </c>
      <c r="E23" s="133" t="s">
        <v>205</v>
      </c>
      <c r="F23" s="133" t="s">
        <v>211</v>
      </c>
      <c r="G23" s="133">
        <v>0.01</v>
      </c>
      <c r="H23" s="133">
        <v>0</v>
      </c>
      <c r="I23" s="166" t="s">
        <v>206</v>
      </c>
      <c r="J23" s="131">
        <v>1000000</v>
      </c>
      <c r="K23" s="132" t="s">
        <v>195</v>
      </c>
      <c r="L23" s="178">
        <f t="shared" ca="1" si="8"/>
        <v>42423</v>
      </c>
      <c r="M23" s="169" t="str">
        <f t="shared" si="9"/>
        <v>18Y</v>
      </c>
      <c r="N23" s="134" t="s">
        <v>26</v>
      </c>
      <c r="O23" s="134" t="s">
        <v>20</v>
      </c>
      <c r="P23" s="134" t="s">
        <v>22</v>
      </c>
      <c r="Q23" s="134" t="s">
        <v>2</v>
      </c>
      <c r="R23" s="134"/>
      <c r="S23" s="134"/>
      <c r="T23" s="135">
        <f t="shared" ca="1" si="0"/>
        <v>23</v>
      </c>
      <c r="U23" s="134" t="s">
        <v>196</v>
      </c>
      <c r="V23" s="134" t="s">
        <v>197</v>
      </c>
      <c r="W23" s="135" t="str">
        <f t="shared" si="1"/>
        <v>EUR6ML</v>
      </c>
      <c r="X23" s="135" t="str">
        <f t="shared" si="2"/>
        <v>Semi-Annual</v>
      </c>
      <c r="Y23" s="134" t="s">
        <v>6</v>
      </c>
      <c r="Z23" s="134" t="s">
        <v>22</v>
      </c>
      <c r="AA23" s="134" t="s">
        <v>2</v>
      </c>
      <c r="AB23" s="134"/>
      <c r="AC23" s="134"/>
      <c r="AD23" s="135">
        <f t="shared" ca="1" si="3"/>
        <v>23</v>
      </c>
      <c r="AE23" s="134" t="s">
        <v>196</v>
      </c>
      <c r="AF23" s="136" t="s">
        <v>37</v>
      </c>
      <c r="AG23" s="137"/>
      <c r="AH23" s="134" t="s">
        <v>196</v>
      </c>
      <c r="AI23" s="134" t="s">
        <v>197</v>
      </c>
      <c r="AJ23" s="135" t="str">
        <f t="shared" si="4"/>
        <v>EURYC</v>
      </c>
      <c r="AK23" s="135" t="str">
        <f t="shared" si="5"/>
        <v>EURDF_NOCSA</v>
      </c>
      <c r="AL23" s="134" t="s">
        <v>193</v>
      </c>
      <c r="AM23" s="173">
        <f t="shared" si="6"/>
        <v>0</v>
      </c>
      <c r="AN23" s="180">
        <f t="shared" si="7"/>
        <v>0.01</v>
      </c>
      <c r="AO23" s="185">
        <f ca="1">IF(NOW(),_xll.meProductSwapParRate(_xll.meUtilityLVBFromKeysValues($L$5:$AM$5,$L23:$AM23),FALSE))</f>
        <v>1.1283541206727076E-2</v>
      </c>
      <c r="AP23" s="174">
        <f ca="1">IF(NOW(),_xll.meProductSwapPV(_xll.meUtilityLVBFromKeysValues($J$5:$AN$5,$J23:$AN23),FALSE))</f>
        <v>21913.170225490387</v>
      </c>
      <c r="AQ23" s="175">
        <f ca="1">IF(NOW(),_xll.meProductSwapPV01(_xll.meUtilityLVBFromKeysValues($J$5:$AL$5,$J23:$AL23),FALSE))</f>
        <v>1707.2432198236293</v>
      </c>
      <c r="AR23" t="s">
        <v>4</v>
      </c>
      <c r="AS23" s="146"/>
      <c r="AT23" s="148"/>
      <c r="AU23" s="153" t="str">
        <f t="shared" si="10"/>
        <v>-</v>
      </c>
    </row>
    <row r="24" spans="1:47" x14ac:dyDescent="0.25">
      <c r="A24" s="129">
        <v>19</v>
      </c>
      <c r="B24" s="178">
        <f ca="1">IF(NOW(),_xll.meDateFromTenor(COB,$C24,$P24,$Q24))</f>
        <v>42423</v>
      </c>
      <c r="C24" s="138" t="s">
        <v>204</v>
      </c>
      <c r="D24" s="131" t="s">
        <v>17</v>
      </c>
      <c r="E24" s="133" t="s">
        <v>205</v>
      </c>
      <c r="F24" s="133" t="s">
        <v>212</v>
      </c>
      <c r="G24" s="133">
        <v>0.01</v>
      </c>
      <c r="H24" s="133">
        <v>0</v>
      </c>
      <c r="I24" s="166" t="s">
        <v>206</v>
      </c>
      <c r="J24" s="131">
        <v>1000000</v>
      </c>
      <c r="K24" s="132" t="s">
        <v>195</v>
      </c>
      <c r="L24" s="178">
        <f t="shared" ca="1" si="8"/>
        <v>42423</v>
      </c>
      <c r="M24" s="169" t="str">
        <f t="shared" si="9"/>
        <v>19Y</v>
      </c>
      <c r="N24" s="134" t="s">
        <v>26</v>
      </c>
      <c r="O24" s="134" t="s">
        <v>20</v>
      </c>
      <c r="P24" s="134" t="s">
        <v>22</v>
      </c>
      <c r="Q24" s="134" t="s">
        <v>2</v>
      </c>
      <c r="R24" s="134"/>
      <c r="S24" s="134"/>
      <c r="T24" s="135">
        <f t="shared" ca="1" si="0"/>
        <v>23</v>
      </c>
      <c r="U24" s="134" t="s">
        <v>196</v>
      </c>
      <c r="V24" s="134" t="s">
        <v>197</v>
      </c>
      <c r="W24" s="135" t="str">
        <f t="shared" si="1"/>
        <v>EUR6ML</v>
      </c>
      <c r="X24" s="135" t="str">
        <f t="shared" si="2"/>
        <v>Semi-Annual</v>
      </c>
      <c r="Y24" s="134" t="s">
        <v>6</v>
      </c>
      <c r="Z24" s="134" t="s">
        <v>22</v>
      </c>
      <c r="AA24" s="134" t="s">
        <v>2</v>
      </c>
      <c r="AB24" s="134"/>
      <c r="AC24" s="134"/>
      <c r="AD24" s="135">
        <f t="shared" ca="1" si="3"/>
        <v>23</v>
      </c>
      <c r="AE24" s="134" t="s">
        <v>196</v>
      </c>
      <c r="AF24" s="136" t="s">
        <v>37</v>
      </c>
      <c r="AG24" s="137"/>
      <c r="AH24" s="134" t="s">
        <v>196</v>
      </c>
      <c r="AI24" s="134" t="s">
        <v>197</v>
      </c>
      <c r="AJ24" s="135" t="str">
        <f t="shared" si="4"/>
        <v>EURYC</v>
      </c>
      <c r="AK24" s="135" t="str">
        <f t="shared" si="5"/>
        <v>EURDF_NOCSA</v>
      </c>
      <c r="AL24" s="134" t="s">
        <v>193</v>
      </c>
      <c r="AM24" s="173">
        <f t="shared" si="6"/>
        <v>0</v>
      </c>
      <c r="AN24" s="180">
        <f t="shared" si="7"/>
        <v>0.01</v>
      </c>
      <c r="AO24" s="185">
        <f ca="1">IF(NOW(),_xll.meProductSwapParRate(_xll.meUtilityLVBFromKeysValues($L$5:$AM$5,$L24:$AM24),FALSE))</f>
        <v>1.14940686569787E-2</v>
      </c>
      <c r="AP24" s="174">
        <f ca="1">IF(NOW(),_xll.meProductSwapPV(_xll.meUtilityLVBFromKeysValues($J$5:$AN$5,$J24:$AN24),FALSE))</f>
        <v>26742.936282900337</v>
      </c>
      <c r="AQ24" s="175">
        <f ca="1">IF(NOW(),_xll.meProductSwapPV01(_xll.meUtilityLVBFromKeysValues($J$5:$AL$5,$J24:$AL24),FALSE))</f>
        <v>1789.9402519412881</v>
      </c>
      <c r="AR24" t="s">
        <v>4</v>
      </c>
      <c r="AS24" s="146"/>
      <c r="AT24" s="148"/>
      <c r="AU24" s="153" t="str">
        <f t="shared" si="10"/>
        <v>-</v>
      </c>
    </row>
    <row r="25" spans="1:47" x14ac:dyDescent="0.25">
      <c r="A25" s="129">
        <v>20</v>
      </c>
      <c r="B25" s="178">
        <f ca="1">IF(NOW(),_xll.meDateFromTenor(COB,$C25,$P25,$Q25))</f>
        <v>42423</v>
      </c>
      <c r="C25" s="188" t="s">
        <v>204</v>
      </c>
      <c r="D25" s="139" t="s">
        <v>17</v>
      </c>
      <c r="E25" s="141" t="s">
        <v>205</v>
      </c>
      <c r="F25" s="141" t="s">
        <v>65</v>
      </c>
      <c r="G25" s="141">
        <v>0.01</v>
      </c>
      <c r="H25" s="141">
        <v>0</v>
      </c>
      <c r="I25" s="176" t="s">
        <v>206</v>
      </c>
      <c r="J25" s="139">
        <v>1000000</v>
      </c>
      <c r="K25" s="140" t="s">
        <v>195</v>
      </c>
      <c r="L25" s="181">
        <f t="shared" ca="1" si="8"/>
        <v>42423</v>
      </c>
      <c r="M25" s="189" t="str">
        <f t="shared" si="9"/>
        <v>20Y</v>
      </c>
      <c r="N25" s="142" t="s">
        <v>26</v>
      </c>
      <c r="O25" s="142" t="s">
        <v>20</v>
      </c>
      <c r="P25" s="142" t="s">
        <v>22</v>
      </c>
      <c r="Q25" s="142" t="s">
        <v>2</v>
      </c>
      <c r="R25" s="142"/>
      <c r="S25" s="142"/>
      <c r="T25" s="143">
        <f t="shared" ca="1" si="0"/>
        <v>23</v>
      </c>
      <c r="U25" s="142" t="s">
        <v>196</v>
      </c>
      <c r="V25" s="142" t="s">
        <v>197</v>
      </c>
      <c r="W25" s="143" t="str">
        <f t="shared" si="1"/>
        <v>EUR6ML</v>
      </c>
      <c r="X25" s="143" t="str">
        <f t="shared" si="2"/>
        <v>Semi-Annual</v>
      </c>
      <c r="Y25" s="142" t="s">
        <v>6</v>
      </c>
      <c r="Z25" s="142" t="s">
        <v>22</v>
      </c>
      <c r="AA25" s="142" t="s">
        <v>2</v>
      </c>
      <c r="AB25" s="142"/>
      <c r="AC25" s="142"/>
      <c r="AD25" s="143">
        <f t="shared" ca="1" si="3"/>
        <v>23</v>
      </c>
      <c r="AE25" s="142" t="s">
        <v>196</v>
      </c>
      <c r="AF25" s="144" t="s">
        <v>37</v>
      </c>
      <c r="AG25" s="145"/>
      <c r="AH25" s="142" t="s">
        <v>196</v>
      </c>
      <c r="AI25" s="142" t="s">
        <v>197</v>
      </c>
      <c r="AJ25" s="143" t="str">
        <f t="shared" si="4"/>
        <v>EURYC</v>
      </c>
      <c r="AK25" s="143" t="str">
        <f t="shared" si="5"/>
        <v>EURDF_NOCSA</v>
      </c>
      <c r="AL25" s="142" t="s">
        <v>193</v>
      </c>
      <c r="AM25" s="177">
        <f t="shared" si="6"/>
        <v>0</v>
      </c>
      <c r="AN25" s="182">
        <f t="shared" si="7"/>
        <v>0.01</v>
      </c>
      <c r="AO25" s="185">
        <f ca="1">IF(NOW(),_xll.meProductSwapParRate(_xll.meUtilityLVBFromKeysValues($L$5:$AM$5,$L25:$AM25),FALSE))</f>
        <v>1.1660000799956624E-2</v>
      </c>
      <c r="AP25" s="174">
        <f ca="1">IF(NOW(),_xll.meProductSwapPV(_xll.meUtilityLVBFromKeysValues($J$5:$AN$5,$J25:$AN25),FALSE))</f>
        <v>31073.246970986875</v>
      </c>
      <c r="AQ25" s="175">
        <f ca="1">IF(NOW(),_xll.meProductSwapPV01(_xll.meUtilityLVBFromKeysValues($J$5:$AL$5,$J25:$AL25),FALSE))</f>
        <v>1871.8814455871845</v>
      </c>
      <c r="AR25" t="s">
        <v>4</v>
      </c>
      <c r="AS25" s="147"/>
      <c r="AT25" s="149"/>
      <c r="AU25" s="186" t="str">
        <f t="shared" si="10"/>
        <v>-</v>
      </c>
    </row>
    <row r="26" spans="1:47" x14ac:dyDescent="0.25">
      <c r="AO26" s="164"/>
    </row>
    <row r="37" spans="7:7" x14ac:dyDescent="0.25">
      <c r="G37" s="66"/>
    </row>
  </sheetData>
  <mergeCells count="2">
    <mergeCell ref="AP2:AQ2"/>
    <mergeCell ref="AP3:AQ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</vt:i4>
      </vt:variant>
    </vt:vector>
  </HeadingPairs>
  <TitlesOfParts>
    <vt:vector size="39" baseType="lpstr">
      <vt:lpstr>EUR OIS</vt:lpstr>
      <vt:lpstr>EUR SWAP 6ML</vt:lpstr>
      <vt:lpstr>EUR BASIS 3ML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2016-10-10T14:22:24Z</dcterms:modified>
</cp:coreProperties>
</file>