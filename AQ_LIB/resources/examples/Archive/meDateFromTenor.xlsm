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0" windowWidth="18315" windowHeight="11760"/>
  </bookViews>
  <sheets>
    <sheet name="meDateFromTenor" sheetId="2" r:id="rId1"/>
  </sheets>
  <definedNames>
    <definedName name="Curve.BuildProperties">#REF!</definedName>
    <definedName name="Curve.CollectionName">#REF!</definedName>
    <definedName name="Curve.MarketDataTable">#REF!</definedName>
    <definedName name="Curve.OISIndexName">#REF!</definedName>
    <definedName name="LiborOISBasis.Conventions">#REF!</definedName>
    <definedName name="LiborOISBasis.MarketData">#REF!</definedName>
    <definedName name="LiborSwap.Conventions">#REF!</definedName>
    <definedName name="LiborSwap.MarketData">#REF!</definedName>
    <definedName name="OIS.Conventions">#REF!</definedName>
    <definedName name="OIS.FixingTable">#REF!</definedName>
    <definedName name="OIS.MarketData">#REF!</definedName>
  </definedNames>
  <calcPr calcId="145621" calcMode="manual" calcOnSave="0"/>
</workbook>
</file>

<file path=xl/calcChain.xml><?xml version="1.0" encoding="utf-8"?>
<calcChain xmlns="http://schemas.openxmlformats.org/spreadsheetml/2006/main">
  <c r="E17" i="2" l="1" a="1"/>
  <c r="E20" i="2" l="1"/>
  <c r="E18" i="2"/>
  <c r="E21" i="2"/>
  <c r="E17" i="2"/>
  <c r="E19" i="2"/>
  <c r="E4" i="2"/>
  <c r="D4" i="2"/>
</calcChain>
</file>

<file path=xl/sharedStrings.xml><?xml version="1.0" encoding="utf-8"?>
<sst xmlns="http://schemas.openxmlformats.org/spreadsheetml/2006/main" count="60" uniqueCount="56">
  <si>
    <t>SlidingRules</t>
  </si>
  <si>
    <t>Calendars</t>
  </si>
  <si>
    <t xml:space="preserve"> </t>
  </si>
  <si>
    <t>MOD_FOLLOWING</t>
  </si>
  <si>
    <t>AmB</t>
  </si>
  <si>
    <t>FOLLOWING</t>
  </si>
  <si>
    <t>AuB</t>
  </si>
  <si>
    <t>PRECEDING</t>
  </si>
  <si>
    <t>BMA</t>
  </si>
  <si>
    <t>StartDate</t>
  </si>
  <si>
    <t>EURYC</t>
  </si>
  <si>
    <t>MOD_PRECEDING</t>
  </si>
  <si>
    <t>BmB</t>
  </si>
  <si>
    <t>1Y</t>
  </si>
  <si>
    <t>NO_CHANGE</t>
  </si>
  <si>
    <t>FrB</t>
  </si>
  <si>
    <t>OIS</t>
  </si>
  <si>
    <t>HeB</t>
  </si>
  <si>
    <t>TGT</t>
  </si>
  <si>
    <t>HKB</t>
  </si>
  <si>
    <t>NORMAL</t>
  </si>
  <si>
    <t>IsB</t>
  </si>
  <si>
    <t>JaB</t>
  </si>
  <si>
    <t>JoB</t>
  </si>
  <si>
    <t>LnB</t>
  </si>
  <si>
    <t>LxB</t>
  </si>
  <si>
    <t>MeB</t>
  </si>
  <si>
    <t>MoB</t>
  </si>
  <si>
    <t>MxB</t>
  </si>
  <si>
    <t>NYB</t>
  </si>
  <si>
    <t>RiB</t>
  </si>
  <si>
    <t>SiB</t>
  </si>
  <si>
    <t>SPB</t>
  </si>
  <si>
    <t>SyB</t>
  </si>
  <si>
    <t>Tgt</t>
  </si>
  <si>
    <t>TkB</t>
  </si>
  <si>
    <t>TrB</t>
  </si>
  <si>
    <t>WeB</t>
  </si>
  <si>
    <t>ZuB</t>
  </si>
  <si>
    <t>BxB</t>
  </si>
  <si>
    <t>RJB</t>
  </si>
  <si>
    <t>BeB</t>
  </si>
  <si>
    <t>MwB</t>
  </si>
  <si>
    <t>SeB</t>
  </si>
  <si>
    <t>TpB</t>
  </si>
  <si>
    <t>KLB</t>
  </si>
  <si>
    <t>BkB</t>
  </si>
  <si>
    <t>NBR</t>
  </si>
  <si>
    <t>ViB</t>
  </si>
  <si>
    <t>RollDayInput</t>
  </si>
  <si>
    <t>Calendar</t>
  </si>
  <si>
    <t>BusinessDayAdjustment</t>
  </si>
  <si>
    <t>Tenor</t>
  </si>
  <si>
    <t>meDateFromTenor</t>
  </si>
  <si>
    <t>meDateFromTenor with multiple startDates</t>
  </si>
  <si>
    <t>StartDates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</si>
</sst>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d\,\ d\-mmm\-yy"/>
    <numFmt numFmtId="165" formatCode="#,##0.0000"/>
  </numFmts>
  <fonts count="11">
    <font>
      <sz val="11"/>
      <color theme="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10"/>
      <name val="Geneva"/>
      <family val="2"/>
    </font>
    <font>
      <sz val="11"/>
      <name val="Calibri"/>
      <family val="2"/>
      <scheme val="minor"/>
    </font>
    <font>
      <i/>
      <sz val="11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rgb="FF006600"/>
      <name val="Calibri"/>
      <family val="2"/>
      <scheme val="minor"/>
    </font>
    <font>
      <b/>
      <i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50">
    <xf numFmtId="0" fontId="0" fillId="0" borderId="0" xfId="0">
      <alignment vertical="center"/>
    </xf>
    <xf numFmtId="0" fontId="4" fillId="0" borderId="0" xfId="0" applyFont="1" applyAlignment="1"/>
    <xf numFmtId="0" fontId="0" fillId="0" borderId="0" xfId="0" applyAlignment="1"/>
    <xf numFmtId="0" fontId="3" fillId="2" borderId="0" xfId="0" applyFont="1" applyFill="1" applyAlignment="1"/>
    <xf numFmtId="0" fontId="0" fillId="3" borderId="5" xfId="0" applyFill="1" applyBorder="1" applyAlignment="1"/>
    <xf numFmtId="0" fontId="5" fillId="3" borderId="6" xfId="0" applyFont="1" applyFill="1" applyBorder="1" applyAlignment="1"/>
    <xf numFmtId="0" fontId="6" fillId="3" borderId="6" xfId="0" applyFont="1" applyFill="1" applyBorder="1" applyAlignment="1">
      <alignment horizontal="center" vertical="center"/>
    </xf>
    <xf numFmtId="0" fontId="0" fillId="3" borderId="6" xfId="0" applyFill="1" applyBorder="1" applyAlignment="1"/>
    <xf numFmtId="0" fontId="0" fillId="3" borderId="7" xfId="0" applyFill="1" applyBorder="1" applyAlignment="1"/>
    <xf numFmtId="0" fontId="3" fillId="3" borderId="5" xfId="0" applyFont="1" applyFill="1" applyBorder="1" applyAlignment="1"/>
    <xf numFmtId="0" fontId="3" fillId="3" borderId="6" xfId="0" applyFont="1" applyFill="1" applyBorder="1" applyAlignment="1"/>
    <xf numFmtId="0" fontId="3" fillId="3" borderId="7" xfId="0" applyFont="1" applyFill="1" applyBorder="1" applyAlignment="1"/>
    <xf numFmtId="0" fontId="0" fillId="3" borderId="8" xfId="0" applyFill="1" applyBorder="1" applyAlignment="1"/>
    <xf numFmtId="0" fontId="7" fillId="0" borderId="4" xfId="0" quotePrefix="1" applyFont="1" applyFill="1" applyBorder="1" applyAlignment="1"/>
    <xf numFmtId="0" fontId="8" fillId="0" borderId="9" xfId="0" applyFont="1" applyFill="1" applyBorder="1" applyAlignment="1">
      <alignment horizontal="left" vertical="center"/>
    </xf>
    <xf numFmtId="164" fontId="9" fillId="0" borderId="4" xfId="0" quotePrefix="1" applyNumberFormat="1" applyFont="1" applyFill="1" applyBorder="1" applyAlignment="1">
      <alignment horizontal="center" vertical="center"/>
    </xf>
    <xf numFmtId="0" fontId="0" fillId="3" borderId="10" xfId="0" applyFill="1" applyBorder="1" applyAlignment="1"/>
    <xf numFmtId="0" fontId="3" fillId="3" borderId="0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3" fillId="3" borderId="0" xfId="0" applyFont="1" applyFill="1" applyBorder="1" applyAlignment="1">
      <alignment horizontal="center" vertical="center"/>
    </xf>
    <xf numFmtId="0" fontId="3" fillId="3" borderId="10" xfId="0" applyFont="1" applyFill="1" applyBorder="1" applyAlignment="1"/>
    <xf numFmtId="0" fontId="5" fillId="3" borderId="0" xfId="0" applyFont="1" applyFill="1" applyBorder="1" applyAlignment="1"/>
    <xf numFmtId="0" fontId="6" fillId="3" borderId="0" xfId="0" applyFont="1" applyFill="1" applyBorder="1" applyAlignment="1">
      <alignment horizontal="center" vertical="center"/>
    </xf>
    <xf numFmtId="0" fontId="0" fillId="3" borderId="0" xfId="0" applyFill="1" applyBorder="1" applyAlignment="1"/>
    <xf numFmtId="0" fontId="3" fillId="0" borderId="1" xfId="0" applyFont="1" applyFill="1" applyBorder="1" applyAlignment="1">
      <alignment vertical="center"/>
    </xf>
    <xf numFmtId="164" fontId="9" fillId="0" borderId="1" xfId="0" applyNumberFormat="1" applyFont="1" applyFill="1" applyBorder="1" applyAlignment="1">
      <alignment horizontal="center" vertical="center"/>
    </xf>
    <xf numFmtId="0" fontId="3" fillId="0" borderId="2" xfId="0" applyFont="1" applyFill="1" applyBorder="1" applyAlignment="1">
      <alignment vertical="center"/>
    </xf>
    <xf numFmtId="165" fontId="9" fillId="0" borderId="2" xfId="0" applyNumberFormat="1" applyFont="1" applyFill="1" applyBorder="1" applyAlignment="1">
      <alignment horizontal="center" vertical="center"/>
    </xf>
    <xf numFmtId="0" fontId="0" fillId="3" borderId="11" xfId="0" applyFill="1" applyBorder="1" applyAlignment="1"/>
    <xf numFmtId="0" fontId="0" fillId="3" borderId="12" xfId="0" applyFill="1" applyBorder="1" applyAlignment="1"/>
    <xf numFmtId="0" fontId="0" fillId="3" borderId="13" xfId="0" applyFill="1" applyBorder="1" applyAlignment="1"/>
    <xf numFmtId="164" fontId="3" fillId="2" borderId="0" xfId="0" applyNumberFormat="1" applyFont="1" applyFill="1" applyAlignment="1"/>
    <xf numFmtId="0" fontId="3" fillId="3" borderId="11" xfId="0" applyFont="1" applyFill="1" applyBorder="1" applyAlignment="1"/>
    <xf numFmtId="0" fontId="3" fillId="3" borderId="12" xfId="0" applyFont="1" applyFill="1" applyBorder="1" applyAlignment="1"/>
    <xf numFmtId="0" fontId="3" fillId="3" borderId="13" xfId="0" applyFont="1" applyFill="1" applyBorder="1" applyAlignment="1"/>
    <xf numFmtId="15" fontId="9" fillId="0" borderId="1" xfId="0" applyNumberFormat="1" applyFont="1" applyFill="1" applyBorder="1" applyAlignment="1">
      <alignment horizontal="center" vertical="center"/>
    </xf>
    <xf numFmtId="15" fontId="9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vertical="center"/>
    </xf>
    <xf numFmtId="0" fontId="9" fillId="0" borderId="3" xfId="0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4" fontId="9" fillId="0" borderId="8" xfId="0" applyNumberFormat="1" applyFont="1" applyFill="1" applyBorder="1" applyAlignment="1">
      <alignment horizontal="center" vertical="center"/>
    </xf>
    <xf numFmtId="164" fontId="9" fillId="0" borderId="0" xfId="0" applyNumberFormat="1" applyFont="1" applyFill="1" applyBorder="1" applyAlignment="1">
      <alignment horizontal="center" vertical="center"/>
    </xf>
    <xf numFmtId="164" fontId="9" fillId="0" borderId="10" xfId="0" applyNumberFormat="1" applyFont="1" applyFill="1" applyBorder="1" applyAlignment="1">
      <alignment horizontal="center" vertical="center"/>
    </xf>
    <xf numFmtId="164" fontId="9" fillId="0" borderId="11" xfId="0" applyNumberFormat="1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0" fontId="7" fillId="0" borderId="9" xfId="0" quotePrefix="1" applyFont="1" applyFill="1" applyBorder="1" applyAlignment="1">
      <alignment horizontal="center" vertical="center"/>
    </xf>
    <xf numFmtId="0" fontId="8" fillId="0" borderId="14" xfId="0" applyFont="1" applyFill="1" applyBorder="1" applyAlignment="1">
      <alignment horizontal="center" vertical="center"/>
    </xf>
    <xf numFmtId="0" fontId="10" fillId="0" borderId="15" xfId="0" quotePrefix="1" applyFont="1" applyFill="1" applyBorder="1" applyAlignment="1">
      <alignment horizontal="center" vertical="center"/>
    </xf>
  </cellXfs>
  <cellStyles count="2">
    <cellStyle name="Normal" xfId="0" builtinId="0"/>
    <cellStyle name="標準_DegitalOption_test" xfId="1"/>
  </cellStyles>
  <dxfs count="0"/>
  <tableStyles count="0" defaultTableStyle="TableStyleMedium2" defaultPivotStyle="PivotStyleLight16"/>
  <colors>
    <mruColors>
      <color rgb="FF0000FF"/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N40"/>
  <sheetViews>
    <sheetView showGridLines="0" tabSelected="1" workbookViewId="0"/>
  </sheetViews>
  <sheetFormatPr defaultRowHeight="15"/>
  <cols>
    <col min="1" max="1" width="9.140625" style="3"/>
    <col min="2" max="2" width="2.7109375" style="3" customWidth="1"/>
    <col min="3" max="3" width="23.7109375" style="3" customWidth="1"/>
    <col min="4" max="4" width="0" style="3" hidden="1" customWidth="1"/>
    <col min="5" max="5" width="20.7109375" style="3" customWidth="1"/>
    <col min="6" max="8" width="9.140625" style="3"/>
    <col min="9" max="9" width="18" style="3" bestFit="1" customWidth="1"/>
    <col min="10" max="16384" width="9.140625" style="3"/>
  </cols>
  <sheetData>
    <row r="2" spans="2:14">
      <c r="B2" s="1" t="s">
        <v>53</v>
      </c>
      <c r="C2" s="2"/>
      <c r="D2" s="2"/>
      <c r="E2" s="2"/>
      <c r="F2" s="2"/>
      <c r="H2" s="1" t="s">
        <v>0</v>
      </c>
      <c r="L2" s="1" t="s">
        <v>1</v>
      </c>
    </row>
    <row r="3" spans="2:14">
      <c r="B3" s="4"/>
      <c r="C3" s="5"/>
      <c r="D3" s="6"/>
      <c r="E3" s="7"/>
      <c r="F3" s="8"/>
      <c r="H3" s="4"/>
      <c r="I3" s="5"/>
      <c r="J3" s="8"/>
      <c r="L3" s="9"/>
      <c r="M3" s="10"/>
      <c r="N3" s="11"/>
    </row>
    <row r="4" spans="2:14">
      <c r="B4" s="12"/>
      <c r="C4" s="13" t="s">
        <v>53</v>
      </c>
      <c r="D4" s="14" t="e">
        <f ca="1">_xll.mirSetUpOISCurve(Curve.CollectionName,Curve.MarketDataTable,Curve.BuildProperties,OIS.Conventions,OIS.MarketData,Curve.OISIndexName,OIS.FixingTable,LiborOISBasis.MarketData,LiborSwap.Conventions,LiborSwap.MarketData,LiborOISBasis.Conventions)</f>
        <v>#NAME?</v>
      </c>
      <c r="E4" s="15">
        <f>_xll.meDateFromTenor(E7,$E$8,$E$9,$E$10,$E$11)</f>
        <v>42794</v>
      </c>
      <c r="F4" s="16" t="s">
        <v>2</v>
      </c>
      <c r="H4" s="12"/>
      <c r="I4" s="17" t="s">
        <v>3</v>
      </c>
      <c r="J4" s="16"/>
      <c r="L4" s="18"/>
      <c r="M4" s="19" t="s">
        <v>4</v>
      </c>
      <c r="N4" s="20"/>
    </row>
    <row r="5" spans="2:14">
      <c r="B5" s="12"/>
      <c r="C5" s="21"/>
      <c r="D5" s="22"/>
      <c r="E5" s="23"/>
      <c r="F5" s="16"/>
      <c r="H5" s="12"/>
      <c r="I5" s="17" t="s">
        <v>5</v>
      </c>
      <c r="J5" s="16"/>
      <c r="L5" s="18"/>
      <c r="M5" s="19" t="s">
        <v>6</v>
      </c>
      <c r="N5" s="20"/>
    </row>
    <row r="6" spans="2:14">
      <c r="B6" s="12"/>
      <c r="C6" s="21"/>
      <c r="D6" s="22"/>
      <c r="E6" s="23"/>
      <c r="F6" s="16"/>
      <c r="H6" s="12"/>
      <c r="I6" s="17" t="s">
        <v>7</v>
      </c>
      <c r="J6" s="16"/>
      <c r="L6" s="18"/>
      <c r="M6" s="19" t="s">
        <v>8</v>
      </c>
      <c r="N6" s="20"/>
    </row>
    <row r="7" spans="2:14">
      <c r="B7" s="12"/>
      <c r="C7" s="24" t="s">
        <v>9</v>
      </c>
      <c r="D7" s="35" t="s">
        <v>10</v>
      </c>
      <c r="E7" s="25">
        <v>42429</v>
      </c>
      <c r="F7" s="16"/>
      <c r="H7" s="12"/>
      <c r="I7" s="17" t="s">
        <v>11</v>
      </c>
      <c r="J7" s="16"/>
      <c r="L7" s="18"/>
      <c r="M7" s="19" t="s">
        <v>12</v>
      </c>
      <c r="N7" s="20"/>
    </row>
    <row r="8" spans="2:14">
      <c r="B8" s="12"/>
      <c r="C8" s="26" t="s">
        <v>52</v>
      </c>
      <c r="D8" s="36"/>
      <c r="E8" s="27" t="s">
        <v>13</v>
      </c>
      <c r="F8" s="16"/>
      <c r="H8" s="12"/>
      <c r="I8" s="17" t="s">
        <v>14</v>
      </c>
      <c r="J8" s="16"/>
      <c r="L8" s="18"/>
      <c r="M8" s="19" t="s">
        <v>15</v>
      </c>
      <c r="N8" s="20"/>
    </row>
    <row r="9" spans="2:14">
      <c r="B9" s="12"/>
      <c r="C9" s="26" t="s">
        <v>51</v>
      </c>
      <c r="D9" s="37" t="s">
        <v>16</v>
      </c>
      <c r="E9" s="27" t="s">
        <v>5</v>
      </c>
      <c r="F9" s="16"/>
      <c r="H9" s="12"/>
      <c r="I9" s="17"/>
      <c r="J9" s="16"/>
      <c r="L9" s="18"/>
      <c r="M9" s="19" t="s">
        <v>17</v>
      </c>
      <c r="N9" s="20"/>
    </row>
    <row r="10" spans="2:14">
      <c r="B10" s="12"/>
      <c r="C10" s="26" t="s">
        <v>50</v>
      </c>
      <c r="D10" s="37"/>
      <c r="E10" s="27" t="s">
        <v>18</v>
      </c>
      <c r="F10" s="16"/>
      <c r="H10" s="12"/>
      <c r="I10" s="17"/>
      <c r="J10" s="16"/>
      <c r="L10" s="18"/>
      <c r="M10" s="19" t="s">
        <v>19</v>
      </c>
      <c r="N10" s="20"/>
    </row>
    <row r="11" spans="2:14">
      <c r="B11" s="12"/>
      <c r="C11" s="38" t="s">
        <v>49</v>
      </c>
      <c r="D11" s="39"/>
      <c r="E11" s="40" t="s">
        <v>20</v>
      </c>
      <c r="F11" s="16"/>
      <c r="H11" s="12"/>
      <c r="I11" s="17"/>
      <c r="J11" s="16"/>
      <c r="L11" s="18"/>
      <c r="M11" s="19" t="s">
        <v>21</v>
      </c>
      <c r="N11" s="20"/>
    </row>
    <row r="12" spans="2:14">
      <c r="B12" s="28"/>
      <c r="C12" s="29"/>
      <c r="D12" s="29"/>
      <c r="E12" s="29"/>
      <c r="F12" s="30"/>
      <c r="H12" s="28"/>
      <c r="I12" s="29"/>
      <c r="J12" s="30"/>
      <c r="L12" s="18"/>
      <c r="M12" s="19" t="s">
        <v>22</v>
      </c>
      <c r="N12" s="20"/>
    </row>
    <row r="13" spans="2:14">
      <c r="L13" s="18"/>
      <c r="M13" s="19" t="s">
        <v>23</v>
      </c>
      <c r="N13" s="20"/>
    </row>
    <row r="14" spans="2:14">
      <c r="B14" s="1" t="s">
        <v>54</v>
      </c>
      <c r="L14" s="18"/>
      <c r="M14" s="19" t="s">
        <v>24</v>
      </c>
      <c r="N14" s="20"/>
    </row>
    <row r="15" spans="2:14">
      <c r="B15" s="4"/>
      <c r="C15" s="5"/>
      <c r="D15" s="6"/>
      <c r="E15" s="7"/>
      <c r="F15" s="8"/>
      <c r="L15" s="18"/>
      <c r="M15" s="19" t="s">
        <v>25</v>
      </c>
      <c r="N15" s="20"/>
    </row>
    <row r="16" spans="2:14">
      <c r="B16" s="12"/>
      <c r="C16" s="47" t="s">
        <v>55</v>
      </c>
      <c r="D16" s="48"/>
      <c r="E16" s="49" t="s">
        <v>53</v>
      </c>
      <c r="F16" s="16"/>
      <c r="L16" s="18"/>
      <c r="M16" s="19" t="s">
        <v>26</v>
      </c>
      <c r="N16" s="20"/>
    </row>
    <row r="17" spans="2:14">
      <c r="B17" s="12"/>
      <c r="C17" s="41">
        <v>42429</v>
      </c>
      <c r="D17" s="42"/>
      <c r="E17" s="43">
        <f t="array" ref="E17:E21">_xll.meDateFromTenor(C17:C21,$E$8,$E$9,$E$10,$E$11)</f>
        <v>42794</v>
      </c>
      <c r="F17" s="16"/>
      <c r="L17" s="18"/>
      <c r="M17" s="19" t="s">
        <v>27</v>
      </c>
      <c r="N17" s="20"/>
    </row>
    <row r="18" spans="2:14">
      <c r="B18" s="12"/>
      <c r="C18" s="41">
        <v>42430</v>
      </c>
      <c r="D18" s="42"/>
      <c r="E18" s="43">
        <v>42795</v>
      </c>
      <c r="F18" s="16"/>
      <c r="L18" s="18"/>
      <c r="M18" s="19" t="s">
        <v>28</v>
      </c>
      <c r="N18" s="20"/>
    </row>
    <row r="19" spans="2:14">
      <c r="B19" s="12"/>
      <c r="C19" s="41">
        <v>42431</v>
      </c>
      <c r="D19" s="42"/>
      <c r="E19" s="43">
        <v>42796</v>
      </c>
      <c r="F19" s="16"/>
      <c r="L19" s="18"/>
      <c r="M19" s="19" t="s">
        <v>29</v>
      </c>
      <c r="N19" s="20"/>
    </row>
    <row r="20" spans="2:14">
      <c r="B20" s="12"/>
      <c r="C20" s="41">
        <v>42432</v>
      </c>
      <c r="D20" s="42"/>
      <c r="E20" s="43">
        <v>42797</v>
      </c>
      <c r="F20" s="16"/>
      <c r="L20" s="18"/>
      <c r="M20" s="19" t="s">
        <v>30</v>
      </c>
      <c r="N20" s="20"/>
    </row>
    <row r="21" spans="2:14">
      <c r="B21" s="12"/>
      <c r="C21" s="44">
        <v>42433</v>
      </c>
      <c r="D21" s="45"/>
      <c r="E21" s="46">
        <v>42800</v>
      </c>
      <c r="F21" s="16"/>
      <c r="L21" s="18"/>
      <c r="M21" s="19" t="s">
        <v>31</v>
      </c>
      <c r="N21" s="20"/>
    </row>
    <row r="22" spans="2:14">
      <c r="B22" s="28"/>
      <c r="C22" s="29"/>
      <c r="D22" s="29"/>
      <c r="E22" s="29"/>
      <c r="F22" s="30"/>
      <c r="L22" s="18"/>
      <c r="M22" s="19" t="s">
        <v>32</v>
      </c>
      <c r="N22" s="20"/>
    </row>
    <row r="23" spans="2:14">
      <c r="L23" s="18"/>
      <c r="M23" s="19" t="s">
        <v>33</v>
      </c>
      <c r="N23" s="20"/>
    </row>
    <row r="24" spans="2:14">
      <c r="L24" s="18"/>
      <c r="M24" s="19" t="s">
        <v>34</v>
      </c>
      <c r="N24" s="20"/>
    </row>
    <row r="25" spans="2:14">
      <c r="L25" s="18"/>
      <c r="M25" s="19" t="s">
        <v>35</v>
      </c>
      <c r="N25" s="20"/>
    </row>
    <row r="26" spans="2:14">
      <c r="L26" s="18"/>
      <c r="M26" s="19" t="s">
        <v>36</v>
      </c>
      <c r="N26" s="20"/>
    </row>
    <row r="27" spans="2:14">
      <c r="E27" s="31"/>
      <c r="L27" s="18"/>
      <c r="M27" s="19" t="s">
        <v>37</v>
      </c>
      <c r="N27" s="20"/>
    </row>
    <row r="28" spans="2:14">
      <c r="L28" s="18"/>
      <c r="M28" s="19" t="s">
        <v>38</v>
      </c>
      <c r="N28" s="20"/>
    </row>
    <row r="29" spans="2:14">
      <c r="L29" s="18"/>
      <c r="M29" s="19" t="s">
        <v>39</v>
      </c>
      <c r="N29" s="20"/>
    </row>
    <row r="30" spans="2:14">
      <c r="L30" s="18"/>
      <c r="M30" s="19" t="s">
        <v>40</v>
      </c>
      <c r="N30" s="20"/>
    </row>
    <row r="31" spans="2:14">
      <c r="L31" s="18"/>
      <c r="M31" s="19" t="s">
        <v>32</v>
      </c>
      <c r="N31" s="20"/>
    </row>
    <row r="32" spans="2:14">
      <c r="L32" s="18"/>
      <c r="M32" s="19" t="s">
        <v>41</v>
      </c>
      <c r="N32" s="20"/>
    </row>
    <row r="33" spans="12:14">
      <c r="L33" s="18"/>
      <c r="M33" s="19" t="s">
        <v>42</v>
      </c>
      <c r="N33" s="20"/>
    </row>
    <row r="34" spans="12:14">
      <c r="L34" s="18"/>
      <c r="M34" s="19" t="s">
        <v>43</v>
      </c>
      <c r="N34" s="20"/>
    </row>
    <row r="35" spans="12:14">
      <c r="L35" s="18"/>
      <c r="M35" s="19" t="s">
        <v>44</v>
      </c>
      <c r="N35" s="20"/>
    </row>
    <row r="36" spans="12:14">
      <c r="L36" s="18"/>
      <c r="M36" s="19" t="s">
        <v>45</v>
      </c>
      <c r="N36" s="20"/>
    </row>
    <row r="37" spans="12:14">
      <c r="L37" s="18"/>
      <c r="M37" s="19" t="s">
        <v>46</v>
      </c>
      <c r="N37" s="20"/>
    </row>
    <row r="38" spans="12:14">
      <c r="L38" s="18"/>
      <c r="M38" s="19" t="s">
        <v>47</v>
      </c>
      <c r="N38" s="20"/>
    </row>
    <row r="39" spans="12:14">
      <c r="L39" s="18"/>
      <c r="M39" s="19" t="s">
        <v>48</v>
      </c>
      <c r="N39" s="20"/>
    </row>
    <row r="40" spans="12:14">
      <c r="L40" s="32"/>
      <c r="M40" s="33"/>
      <c r="N40" s="34"/>
    </row>
  </sheetData>
  <dataValidations count="2">
    <dataValidation type="list" allowBlank="1" showInputMessage="1" showErrorMessage="1" sqref="E11">
      <formula1>"NORMAL,EOM,LUNAR"</formula1>
    </dataValidation>
    <dataValidation type="list" allowBlank="1" showInputMessage="1" showErrorMessage="1" sqref="E9">
      <formula1>"MOD_FOLLOWING,FOLLOWING,PRECEDING,MOD_PRECEDING,NO_CHANGE"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meDateFromTenor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Uragami Shinichiro</dc:creator>
  <cp:lastModifiedBy>Nicholas Burgess</cp:lastModifiedBy>
  <dcterms:created xsi:type="dcterms:W3CDTF">2015-08-06T14:26:47Z</dcterms:created>
  <dcterms:modified xsi:type="dcterms:W3CDTF">2016-06-03T16:30:38Z</dcterms:modified>
</cp:coreProperties>
</file>