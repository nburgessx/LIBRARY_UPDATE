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harts/chart1.xml" ContentType="application/vnd.openxmlformats-officedocument.drawingml.chart+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90" windowWidth="19980" windowHeight="7665" tabRatio="703" activeTab="10"/>
  </bookViews>
  <sheets>
    <sheet name="Settings" sheetId="24" r:id="rId1"/>
    <sheet name="EUROIS" sheetId="2" r:id="rId2"/>
    <sheet name="EUR3ML" sheetId="3" r:id="rId3"/>
    <sheet name="EUR6ML" sheetId="4" r:id="rId4"/>
    <sheet name="EUR1ML" sheetId="27" r:id="rId5"/>
    <sheet name="EUR12ML" sheetId="28" r:id="rId6"/>
    <sheet name="Forwards" sheetId="20" r:id="rId7"/>
    <sheet name="DiscountFactors" sheetId="35" r:id="rId8"/>
    <sheet name="SwapSchedule" sheetId="37" r:id="rId9"/>
    <sheet name="ManualPriceIRS" sheetId="38" r:id="rId10"/>
    <sheet name="PriceOIS" sheetId="33" r:id="rId11"/>
    <sheet name="PriceIRS" sheetId="34" r:id="rId12"/>
  </sheets>
  <definedNames>
    <definedName name="ApplyTension">Settings!$F$7</definedName>
    <definedName name="CalcMode">Settings!$F$10</definedName>
    <definedName name="COB">Settings!$F$5</definedName>
    <definedName name="Curve.BuildProperties">EUROIS!$E$20:$F$24</definedName>
    <definedName name="Curve.CollectionName">EUROIS!$F$11</definedName>
    <definedName name="Curve.MarketDataTable">EUROIS!$F$12</definedName>
    <definedName name="Curve.OISIndexName">EUROIS!$F$13</definedName>
    <definedName name="EURNumericalRisk.RiskFormula">#REF!</definedName>
    <definedName name="EURNumericalRisk.Totals">#REF!</definedName>
    <definedName name="EURSwaps.Portfolio" localSheetId="11">PriceIRS!$B$9:$G$43</definedName>
    <definedName name="EURSwaps.Portfolio">#REF!</definedName>
    <definedName name="ForwardCurves.CurveID" localSheetId="6">Forwards!$C$5</definedName>
    <definedName name="ForwardCurves.Interpolation" localSheetId="6">Forwards!$C$6</definedName>
    <definedName name="ForwardCurves.Periodicity" localSheetId="6">Forwards!$C$17</definedName>
    <definedName name="Forwards.EUR1ML" localSheetId="6">Forwards!$M$15:$M$1514</definedName>
    <definedName name="Forwards.OIS" localSheetId="6">Forwards!$D$15:$D$1514</definedName>
    <definedName name="Forwards.StartDate" localSheetId="6">Forwards!$C$15:$C$1514</definedName>
    <definedName name="FRA.Conventions">EUR3ML!$E$51:$F$64</definedName>
    <definedName name="FRA.MarketDataX3">EUR3ML!$H$52:$I$64</definedName>
    <definedName name="FRA.MarketDataX6">EUR3ML!$K$52:$L$64</definedName>
    <definedName name="Futures.Conventions">EUR3ML!$E$72:$F$85</definedName>
    <definedName name="Futures.MarketData">EUR3ML!$H$73:$L$85</definedName>
    <definedName name="Info" localSheetId="5">EUR12ML!$C:$D</definedName>
    <definedName name="Info" localSheetId="4">EUR1ML!$C:$D</definedName>
    <definedName name="Info" localSheetId="2">EUR3ML!$C:$D</definedName>
    <definedName name="Info" localSheetId="3">EUR6ML!$C:$D</definedName>
    <definedName name="Info" localSheetId="1">EUROIS!$C:$D</definedName>
    <definedName name="Interpolation">Settings!$F$6</definedName>
    <definedName name="interpolationFunction">Settings!$G$6</definedName>
    <definedName name="isEUR12MLLoaded">EUR12ML!$G$8</definedName>
    <definedName name="isEUR1MLLoaded">EUR1ML!$G$8</definedName>
    <definedName name="isEUR3MLLoaded">EUR3ML!$F$9</definedName>
    <definedName name="isEUR6MLLoaded">EUR6ML!$G$8</definedName>
    <definedName name="isEUROISLoaded">EUROIS!$F$8</definedName>
    <definedName name="Libor.Conventions">EUR3ML!$H$38:$I$43</definedName>
    <definedName name="Libor.MarketData">EUR3ML!$K$39:$L$43</definedName>
    <definedName name="LiborOISBasis.Conventions">EUROIS!$E$64:$F$89</definedName>
    <definedName name="LiborOISBasis.MarketData">EUROIS!$H$65:$I$89</definedName>
    <definedName name="LiborSwap.Conventions">EUROIS!$K$64:$L$89</definedName>
    <definedName name="LiborSwap.MarketData">EUROIS!$N$65:$O$89</definedName>
    <definedName name="MoneyMarket.Conventions">EUR3ML!$E$38:$F$43</definedName>
    <definedName name="OIS.Conventions">EUROIS!$E$31:$F$57</definedName>
    <definedName name="OIS.FixingTable">EUROIS!$N$32:$O$57</definedName>
    <definedName name="OIS.MarketData">EUROIS!$H$32:$L$57</definedName>
    <definedName name="Settings.ForecastCurveSet">Settings!$J$6:$J$10</definedName>
    <definedName name="Settings.LookupTable.DiscountCurve">Settings!$J$14:$K$14</definedName>
    <definedName name="Settings.LookupTable.ForecastCurve">Settings!$J$6:$K$10</definedName>
    <definedName name="Settings.Risk.BumpMode">Settings!$F$14</definedName>
    <definedName name="Settings.Risk.BumpSize">Settings!$F$13</definedName>
    <definedName name="STDCurve.Buildproperties">EUR3ML!$E$22:$F$31</definedName>
    <definedName name="STDCurve.CollectionName">EUR3ML!$F$13</definedName>
    <definedName name="STDCurve.IndexName">EUR3ML!$F$15</definedName>
    <definedName name="STDCurve.StaticDataTable">EUR3ML!$F$14</definedName>
    <definedName name="Swap.Conventions">EUR3ML!$E$93:$F$111</definedName>
    <definedName name="Swap.MarketData">EUR3ML!$H$94:$J$111</definedName>
    <definedName name="SwapDealInfo" localSheetId="9">ManualPriceIRS!$27:$62</definedName>
    <definedName name="SwapDealInfo" localSheetId="11">PriceIRS!$8:$45</definedName>
    <definedName name="SwapDealInfo" localSheetId="10">PriceOIS!$7:$44</definedName>
    <definedName name="SwapDealInfo" localSheetId="8">SwapSchedule!$28:$63</definedName>
    <definedName name="TenorBasisCurve.EUR12ML.ForwardStarting" localSheetId="5">EUR12ML!$I$35:$M$76</definedName>
    <definedName name="TenorBasisCurve.EUR1ML.ForwardStarting" localSheetId="4">EUR1ML!$I$35:$M$76</definedName>
    <definedName name="TenorBasisCurve.EUR3ML.ForwardStarting">EUR6ML!$I$35:$M$76</definedName>
    <definedName name="TenorBasisCurve1M3M.BuildProperties" localSheetId="4">EUR1ML!$F$21:$G$27</definedName>
    <definedName name="TenorBasisCurve1M3M.CollectionName" localSheetId="4">EUR1ML!$G$12</definedName>
    <definedName name="TenorBasisCurve1M3M.IndexName" localSheetId="4">EUR1ML!$G$14</definedName>
    <definedName name="TenorBasisCurve1M3M.StaticDataTable" localSheetId="4">EUR1ML!$G$13</definedName>
    <definedName name="TenorBasisCurve3M6M.CollectionName">EUR6ML!$G$12</definedName>
    <definedName name="TenorBasisCurve3M6M.IndexName">EUR6ML!$G$14</definedName>
    <definedName name="TenorBasisCurve3M6M.StaticDataTable">EUR6ML!$G$13</definedName>
    <definedName name="TenorBasisCurve6M12M.BuildProperties" localSheetId="5">EUR12ML!$F$21:$G$27</definedName>
    <definedName name="TenorBasisCurve6M12M.CollectionName" localSheetId="5">EUR12ML!$G$12</definedName>
    <definedName name="TenorBasisCurve6M12M.IndexName" localSheetId="5">EUR12ML!$G$14</definedName>
    <definedName name="TenorBasisCurve6M12M.StaticDataTable" localSheetId="5">EUR12ML!$G$13</definedName>
    <definedName name="TenorBasisCurve6M6M.BuildProperties">EUR6ML!$F$21:$G$27</definedName>
    <definedName name="TenorBasisSwap1M3M.Conventions" localSheetId="4">EUR1ML!$F$34:$G$76</definedName>
    <definedName name="TenorBasisSwap3M6M.Conventions">EUR6ML!$F$34:$G$76</definedName>
    <definedName name="TenorBasisSwap6M12M.Conventions" localSheetId="5">EUR12ML!$F$34:$G$76</definedName>
  </definedNames>
  <calcPr calcId="145621" calcMode="manual" calcCompleted="0" calcOnSave="0"/>
</workbook>
</file>

<file path=xl/calcChain.xml><?xml version="1.0" encoding="utf-8"?>
<calcChain xmlns="http://schemas.openxmlformats.org/spreadsheetml/2006/main">
  <c r="I57" i="35" l="1" a="1"/>
  <c r="I57" i="35"/>
  <c r="I58" i="35"/>
  <c r="I59" i="35"/>
  <c r="I60" i="35"/>
  <c r="C57" i="35"/>
  <c r="I32" i="35" a="1"/>
  <c r="I32" i="35"/>
  <c r="I33" i="35"/>
  <c r="I34" i="35"/>
  <c r="I35" i="35"/>
  <c r="C32" i="35"/>
  <c r="I18" i="35" a="1"/>
  <c r="I18" i="35"/>
  <c r="I19" i="35"/>
  <c r="I20" i="35"/>
  <c r="I21" i="35"/>
  <c r="C18" i="35"/>
  <c r="G25" i="24"/>
  <c r="G24" i="24"/>
  <c r="G23" i="24"/>
  <c r="G22" i="24"/>
  <c r="G21" i="24"/>
  <c r="C25" i="38" l="1"/>
  <c r="J5" i="35"/>
  <c r="J6" i="35" s="1"/>
  <c r="J7" i="35" s="1"/>
  <c r="J8" i="35" s="1"/>
  <c r="D5" i="35"/>
  <c r="G13" i="24"/>
  <c r="C5" i="38"/>
  <c r="C24" i="38" l="1"/>
  <c r="C26" i="37"/>
  <c r="E5" i="38" a="1"/>
  <c r="E24" i="38" a="1"/>
  <c r="G14" i="38" l="1"/>
  <c r="F8" i="38"/>
  <c r="J18" i="38"/>
  <c r="G12" i="38"/>
  <c r="J5" i="38"/>
  <c r="H16" i="38"/>
  <c r="E10" i="38"/>
  <c r="I20" i="38"/>
  <c r="J15" i="38"/>
  <c r="F6" i="38"/>
  <c r="I6" i="38"/>
  <c r="F18" i="38"/>
  <c r="E5" i="38"/>
  <c r="I15" i="38"/>
  <c r="H9" i="38"/>
  <c r="F20" i="38"/>
  <c r="I13" i="38"/>
  <c r="F7" i="38"/>
  <c r="J17" i="38"/>
  <c r="G11" i="38"/>
  <c r="E8" i="38"/>
  <c r="P8" i="38" s="1"/>
  <c r="H10" i="38"/>
  <c r="G6" i="38"/>
  <c r="E17" i="38"/>
  <c r="Q17" i="38" s="1"/>
  <c r="J10" i="38"/>
  <c r="H21" i="38"/>
  <c r="E15" i="38"/>
  <c r="Q15" i="38" s="1"/>
  <c r="H8" i="38"/>
  <c r="F19" i="38"/>
  <c r="I12" i="38"/>
  <c r="J11" i="38"/>
  <c r="G5" i="38"/>
  <c r="F13" i="38"/>
  <c r="F14" i="38"/>
  <c r="J7" i="38"/>
  <c r="I19" i="38"/>
  <c r="H13" i="38"/>
  <c r="I17" i="38"/>
  <c r="J21" i="38"/>
  <c r="I18" i="38"/>
  <c r="E20" i="38"/>
  <c r="F21" i="38"/>
  <c r="G10" i="38"/>
  <c r="J14" i="38"/>
  <c r="E19" i="38"/>
  <c r="Q19" i="38" s="1"/>
  <c r="E6" i="38"/>
  <c r="F5" i="38"/>
  <c r="F10" i="38"/>
  <c r="H18" i="38"/>
  <c r="H19" i="38"/>
  <c r="I7" i="38"/>
  <c r="G18" i="38"/>
  <c r="F12" i="38"/>
  <c r="I5" i="38"/>
  <c r="G16" i="38"/>
  <c r="J9" i="38"/>
  <c r="H20" i="38"/>
  <c r="E14" i="38"/>
  <c r="Q14" i="38" s="1"/>
  <c r="H15" i="38"/>
  <c r="F9" i="38"/>
  <c r="J16" i="38"/>
  <c r="G17" i="38"/>
  <c r="H11" i="38"/>
  <c r="E9" i="38"/>
  <c r="O9" i="38" s="1"/>
  <c r="E7" i="38"/>
  <c r="F11" i="38"/>
  <c r="G15" i="38"/>
  <c r="J12" i="38"/>
  <c r="I14" i="38"/>
  <c r="E21" i="38"/>
  <c r="Q21" i="38" s="1"/>
  <c r="G8" i="38"/>
  <c r="H12" i="38"/>
  <c r="I16" i="38"/>
  <c r="E16" i="38"/>
  <c r="H7" i="38"/>
  <c r="G9" i="38"/>
  <c r="G21" i="38"/>
  <c r="I11" i="38"/>
  <c r="H5" i="38"/>
  <c r="F16" i="38"/>
  <c r="I9" i="38"/>
  <c r="G20" i="38"/>
  <c r="J13" i="38"/>
  <c r="G7" i="38"/>
  <c r="E18" i="38"/>
  <c r="Q18" i="38" s="1"/>
  <c r="J8" i="38"/>
  <c r="J19" i="38"/>
  <c r="G13" i="38"/>
  <c r="I10" i="38"/>
  <c r="F17" i="38"/>
  <c r="E13" i="38"/>
  <c r="Q13" i="38" s="1"/>
  <c r="J6" i="38"/>
  <c r="H17" i="38"/>
  <c r="E11" i="38"/>
  <c r="L11" i="38" s="1"/>
  <c r="I21" i="38"/>
  <c r="F15" i="38"/>
  <c r="I8" i="38"/>
  <c r="G19" i="38"/>
  <c r="E12" i="38"/>
  <c r="H6" i="38"/>
  <c r="J20" i="38"/>
  <c r="H14" i="38"/>
  <c r="F25" i="38"/>
  <c r="H26" i="38"/>
  <c r="J27" i="38"/>
  <c r="F29" i="38"/>
  <c r="H30" i="38"/>
  <c r="J31" i="38"/>
  <c r="F33" i="38"/>
  <c r="H34" i="38"/>
  <c r="J35" i="38"/>
  <c r="F37" i="38"/>
  <c r="H38" i="38"/>
  <c r="J39" i="38"/>
  <c r="G24" i="38"/>
  <c r="I25" i="38"/>
  <c r="E27" i="38"/>
  <c r="G28" i="38"/>
  <c r="I29" i="38"/>
  <c r="E31" i="38"/>
  <c r="G32" i="38"/>
  <c r="I33" i="38"/>
  <c r="E35" i="38"/>
  <c r="G36" i="38"/>
  <c r="I37" i="38"/>
  <c r="E39" i="38"/>
  <c r="G40" i="38"/>
  <c r="H24" i="38"/>
  <c r="J25" i="38"/>
  <c r="F27" i="38"/>
  <c r="H28" i="38"/>
  <c r="J29" i="38"/>
  <c r="F31" i="38"/>
  <c r="H32" i="38"/>
  <c r="J33" i="38"/>
  <c r="F35" i="38"/>
  <c r="H36" i="38"/>
  <c r="J37" i="38"/>
  <c r="F39" i="38"/>
  <c r="H40" i="38"/>
  <c r="I24" i="38"/>
  <c r="E26" i="38"/>
  <c r="G27" i="38"/>
  <c r="I28" i="38"/>
  <c r="E30" i="38"/>
  <c r="G31" i="38"/>
  <c r="I32" i="38"/>
  <c r="E34" i="38"/>
  <c r="G35" i="38"/>
  <c r="I36" i="38"/>
  <c r="E38" i="38"/>
  <c r="G39" i="38"/>
  <c r="I40" i="38"/>
  <c r="J24" i="38"/>
  <c r="F26" i="38"/>
  <c r="H27" i="38"/>
  <c r="J28" i="38"/>
  <c r="F30" i="38"/>
  <c r="H31" i="38"/>
  <c r="J32" i="38"/>
  <c r="F34" i="38"/>
  <c r="H35" i="38"/>
  <c r="J36" i="38"/>
  <c r="F38" i="38"/>
  <c r="H39" i="38"/>
  <c r="J40" i="38"/>
  <c r="E25" i="38"/>
  <c r="G26" i="38"/>
  <c r="I27" i="38"/>
  <c r="E29" i="38"/>
  <c r="G30" i="38"/>
  <c r="I31" i="38"/>
  <c r="E33" i="38"/>
  <c r="G34" i="38"/>
  <c r="I35" i="38"/>
  <c r="E37" i="38"/>
  <c r="I26" i="38"/>
  <c r="E32" i="38"/>
  <c r="G37" i="38"/>
  <c r="J26" i="38"/>
  <c r="F32" i="38"/>
  <c r="H37" i="38"/>
  <c r="E28" i="38"/>
  <c r="G33" i="38"/>
  <c r="G38" i="38"/>
  <c r="F28" i="38"/>
  <c r="H33" i="38"/>
  <c r="I38" i="38"/>
  <c r="E24" i="38"/>
  <c r="G29" i="38"/>
  <c r="I34" i="38"/>
  <c r="J38" i="38"/>
  <c r="F24" i="38"/>
  <c r="H29" i="38"/>
  <c r="J34" i="38"/>
  <c r="I39" i="38"/>
  <c r="G25" i="38"/>
  <c r="I30" i="38"/>
  <c r="E36" i="38"/>
  <c r="E40" i="38"/>
  <c r="H25" i="38"/>
  <c r="J30" i="38"/>
  <c r="F36" i="38"/>
  <c r="F40" i="38"/>
  <c r="Q12" i="38"/>
  <c r="P12" i="38"/>
  <c r="Q10" i="38"/>
  <c r="P10" i="38"/>
  <c r="P14" i="38"/>
  <c r="Q16" i="38"/>
  <c r="P16" i="38"/>
  <c r="Q20" i="38"/>
  <c r="P20" i="38"/>
  <c r="N17" i="38"/>
  <c r="N12" i="38"/>
  <c r="N15" i="38"/>
  <c r="O20" i="38"/>
  <c r="N20" i="38"/>
  <c r="O10" i="38"/>
  <c r="N10" i="38"/>
  <c r="O7" i="38"/>
  <c r="N7" i="38"/>
  <c r="D57" i="35"/>
  <c r="J47" i="35"/>
  <c r="J48" i="35"/>
  <c r="J49" i="35"/>
  <c r="J50" i="35"/>
  <c r="D47" i="35"/>
  <c r="L12" i="38"/>
  <c r="L10" i="38"/>
  <c r="L13" i="38"/>
  <c r="L20" i="38"/>
  <c r="K48" i="35"/>
  <c r="K47" i="35"/>
  <c r="C6" i="37"/>
  <c r="K50" i="35"/>
  <c r="J58" i="35"/>
  <c r="K49" i="35"/>
  <c r="J68" i="35"/>
  <c r="L7" i="38"/>
  <c r="Q7" i="38"/>
  <c r="L6" i="38"/>
  <c r="O21" i="38" l="1"/>
  <c r="P15" i="38"/>
  <c r="L15" i="38"/>
  <c r="P13" i="38"/>
  <c r="N13" i="38"/>
  <c r="N14" i="38"/>
  <c r="Q8" i="38"/>
  <c r="P19" i="38"/>
  <c r="P21" i="38"/>
  <c r="P11" i="38"/>
  <c r="L18" i="38"/>
  <c r="Q11" i="38"/>
  <c r="P9" i="38"/>
  <c r="P17" i="38"/>
  <c r="P18" i="38"/>
  <c r="N11" i="38"/>
  <c r="Q9" i="38"/>
  <c r="N9" i="38"/>
  <c r="P7" i="38"/>
  <c r="R7" i="38" s="1"/>
  <c r="R35" i="38"/>
  <c r="Q35" i="38"/>
  <c r="R40" i="38"/>
  <c r="Q40" i="38"/>
  <c r="R37" i="38"/>
  <c r="Q37" i="38"/>
  <c r="R36" i="38"/>
  <c r="Q36" i="38"/>
  <c r="R38" i="38"/>
  <c r="Q38" i="38"/>
  <c r="R39" i="38"/>
  <c r="Q39" i="38"/>
  <c r="R33" i="38"/>
  <c r="Q33" i="38"/>
  <c r="R34" i="38"/>
  <c r="Q34" i="38"/>
  <c r="R20" i="38"/>
  <c r="N18" i="38"/>
  <c r="O18" i="38"/>
  <c r="R18" i="38" s="1"/>
  <c r="O19" i="38"/>
  <c r="O14" i="38"/>
  <c r="N8" i="38"/>
  <c r="R8" i="38" s="1"/>
  <c r="N19" i="38"/>
  <c r="O17" i="38"/>
  <c r="N21" i="38"/>
  <c r="R14" i="38"/>
  <c r="O8" i="38"/>
  <c r="R13" i="38"/>
  <c r="O12" i="38"/>
  <c r="R16" i="38"/>
  <c r="O15" i="38"/>
  <c r="N6" i="38"/>
  <c r="N16" i="38"/>
  <c r="O6" i="38"/>
  <c r="O16" i="38"/>
  <c r="O13" i="38"/>
  <c r="O11" i="38"/>
  <c r="R11" i="38" s="1"/>
  <c r="R10" i="38"/>
  <c r="P35" i="38"/>
  <c r="O35" i="38"/>
  <c r="N35" i="38"/>
  <c r="P27" i="38"/>
  <c r="N27" i="38"/>
  <c r="P31" i="38"/>
  <c r="N31" i="38"/>
  <c r="N26" i="38"/>
  <c r="P26" i="38"/>
  <c r="N34" i="38"/>
  <c r="P34" i="38"/>
  <c r="P28" i="38"/>
  <c r="N28" i="38"/>
  <c r="N30" i="38"/>
  <c r="P30" i="38"/>
  <c r="P32" i="38"/>
  <c r="N32" i="38"/>
  <c r="O37" i="38"/>
  <c r="P37" i="38"/>
  <c r="N37" i="38"/>
  <c r="P29" i="38"/>
  <c r="N29" i="38"/>
  <c r="P36" i="38"/>
  <c r="O36" i="38"/>
  <c r="N36" i="38"/>
  <c r="P40" i="38"/>
  <c r="O40" i="38"/>
  <c r="N40" i="38"/>
  <c r="P33" i="38"/>
  <c r="N33" i="38"/>
  <c r="O39" i="38"/>
  <c r="N39" i="38"/>
  <c r="P39" i="38"/>
  <c r="N25" i="38"/>
  <c r="P25" i="38"/>
  <c r="P38" i="38"/>
  <c r="N38" i="38"/>
  <c r="O38" i="38"/>
  <c r="C25" i="37"/>
  <c r="C28" i="34"/>
  <c r="L19" i="38"/>
  <c r="L16" i="38"/>
  <c r="L39" i="38"/>
  <c r="L33" i="38"/>
  <c r="L21" i="38"/>
  <c r="L9" i="38"/>
  <c r="L40" i="38"/>
  <c r="L38" i="38"/>
  <c r="L36" i="38"/>
  <c r="L17" i="38"/>
  <c r="L14" i="38"/>
  <c r="L37" i="38"/>
  <c r="L8" i="38"/>
  <c r="L34" i="38"/>
  <c r="L35" i="38"/>
  <c r="E6" i="37" a="1"/>
  <c r="R32" i="38"/>
  <c r="J69" i="35"/>
  <c r="R25" i="38"/>
  <c r="L26" i="38"/>
  <c r="L29" i="38"/>
  <c r="L25" i="38"/>
  <c r="R31" i="38"/>
  <c r="R30" i="38"/>
  <c r="J59" i="35"/>
  <c r="L30" i="38"/>
  <c r="R26" i="38"/>
  <c r="R28" i="38"/>
  <c r="L31" i="38"/>
  <c r="Q6" i="38"/>
  <c r="R27" i="38"/>
  <c r="L32" i="38"/>
  <c r="R29" i="38"/>
  <c r="L28" i="38"/>
  <c r="E25" i="37" a="1"/>
  <c r="L27" i="38"/>
  <c r="R45" i="38" l="1"/>
  <c r="G7" i="37"/>
  <c r="E18" i="37"/>
  <c r="H11" i="37"/>
  <c r="F22" i="37"/>
  <c r="I15" i="37"/>
  <c r="F9" i="37"/>
  <c r="I14" i="37"/>
  <c r="F17" i="37"/>
  <c r="F19" i="37"/>
  <c r="I21" i="37"/>
  <c r="F8" i="37"/>
  <c r="E11" i="37"/>
  <c r="J13" i="37"/>
  <c r="I8" i="37"/>
  <c r="G19" i="37"/>
  <c r="J12" i="37"/>
  <c r="G6" i="37"/>
  <c r="E17" i="37"/>
  <c r="H10" i="37"/>
  <c r="H16" i="37"/>
  <c r="E19" i="37"/>
  <c r="H21" i="37"/>
  <c r="E8" i="37"/>
  <c r="J10" i="37"/>
  <c r="I13" i="37"/>
  <c r="G16" i="37"/>
  <c r="G22" i="37"/>
  <c r="E14" i="37"/>
  <c r="I11" i="37"/>
  <c r="H9" i="37"/>
  <c r="I17" i="37"/>
  <c r="I22" i="37"/>
  <c r="E10" i="37"/>
  <c r="I20" i="37"/>
  <c r="F14" i="37"/>
  <c r="I7" i="37"/>
  <c r="G18" i="37"/>
  <c r="J11" i="37"/>
  <c r="J18" i="37"/>
  <c r="G21" i="37"/>
  <c r="F7" i="37"/>
  <c r="I10" i="37"/>
  <c r="H13" i="37"/>
  <c r="F16" i="37"/>
  <c r="I18" i="37"/>
  <c r="I12" i="37"/>
  <c r="J16" i="37"/>
  <c r="H14" i="37"/>
  <c r="J6" i="37"/>
  <c r="H12" i="37"/>
  <c r="J17" i="37"/>
  <c r="J22" i="37"/>
  <c r="G11" i="37"/>
  <c r="E22" i="37"/>
  <c r="H15" i="37"/>
  <c r="E9" i="37"/>
  <c r="I19" i="37"/>
  <c r="F13" i="37"/>
  <c r="F21" i="37"/>
  <c r="E7" i="37"/>
  <c r="J9" i="37"/>
  <c r="G13" i="37"/>
  <c r="E16" i="37"/>
  <c r="H18" i="37"/>
  <c r="H20" i="37"/>
  <c r="F6" i="37"/>
  <c r="G10" i="37"/>
  <c r="E21" i="37"/>
  <c r="L21" i="37" s="1"/>
  <c r="I9" i="37"/>
  <c r="J15" i="37"/>
  <c r="G20" i="37"/>
  <c r="G12" i="37"/>
  <c r="G15" i="37"/>
  <c r="J8" i="37"/>
  <c r="H19" i="37"/>
  <c r="E13" i="37"/>
  <c r="H6" i="37"/>
  <c r="G9" i="37"/>
  <c r="F12" i="37"/>
  <c r="E15" i="37"/>
  <c r="H17" i="37"/>
  <c r="E20" i="37"/>
  <c r="H22" i="37"/>
  <c r="H8" i="37"/>
  <c r="E6" i="37"/>
  <c r="I16" i="37"/>
  <c r="F10" i="37"/>
  <c r="J20" i="37"/>
  <c r="G14" i="37"/>
  <c r="J7" i="37"/>
  <c r="E12" i="37"/>
  <c r="J14" i="37"/>
  <c r="G17" i="37"/>
  <c r="J19" i="37"/>
  <c r="J21" i="37"/>
  <c r="G8" i="37"/>
  <c r="F11" i="37"/>
  <c r="H7" i="37"/>
  <c r="F18" i="37"/>
  <c r="I6" i="37"/>
  <c r="F15" i="37"/>
  <c r="F20" i="37"/>
  <c r="F25" i="37"/>
  <c r="H26" i="37"/>
  <c r="J27" i="37"/>
  <c r="F29" i="37"/>
  <c r="H30" i="37"/>
  <c r="J31" i="37"/>
  <c r="F33" i="37"/>
  <c r="H34" i="37"/>
  <c r="J35" i="37"/>
  <c r="F37" i="37"/>
  <c r="H38" i="37"/>
  <c r="J39" i="37"/>
  <c r="F41" i="37"/>
  <c r="G25" i="37"/>
  <c r="I26" i="37"/>
  <c r="E28" i="37"/>
  <c r="G29" i="37"/>
  <c r="I30" i="37"/>
  <c r="E32" i="37"/>
  <c r="G33" i="37"/>
  <c r="I34" i="37"/>
  <c r="E36" i="37"/>
  <c r="G37" i="37"/>
  <c r="I38" i="37"/>
  <c r="E40" i="37"/>
  <c r="L40" i="37" s="1"/>
  <c r="G41" i="37"/>
  <c r="H25" i="37"/>
  <c r="J26" i="37"/>
  <c r="F28" i="37"/>
  <c r="H29" i="37"/>
  <c r="J30" i="37"/>
  <c r="F32" i="37"/>
  <c r="H33" i="37"/>
  <c r="J34" i="37"/>
  <c r="F36" i="37"/>
  <c r="H37" i="37"/>
  <c r="J38" i="37"/>
  <c r="F40" i="37"/>
  <c r="H41" i="37"/>
  <c r="F27" i="37"/>
  <c r="E29" i="37"/>
  <c r="G31" i="37"/>
  <c r="I33" i="37"/>
  <c r="H35" i="37"/>
  <c r="J37" i="37"/>
  <c r="I39" i="37"/>
  <c r="E25" i="37"/>
  <c r="G27" i="37"/>
  <c r="I29" i="37"/>
  <c r="H31" i="37"/>
  <c r="J33" i="37"/>
  <c r="I35" i="37"/>
  <c r="E38" i="37"/>
  <c r="L38" i="37" s="1"/>
  <c r="G40" i="37"/>
  <c r="I25" i="37"/>
  <c r="H27" i="37"/>
  <c r="J29" i="37"/>
  <c r="I31" i="37"/>
  <c r="E34" i="37"/>
  <c r="G36" i="37"/>
  <c r="F38" i="37"/>
  <c r="H40" i="37"/>
  <c r="J25" i="37"/>
  <c r="I27" i="37"/>
  <c r="E30" i="37"/>
  <c r="G32" i="37"/>
  <c r="F34" i="37"/>
  <c r="H36" i="37"/>
  <c r="G38" i="37"/>
  <c r="I40" i="37"/>
  <c r="E26" i="37"/>
  <c r="G28" i="37"/>
  <c r="F30" i="37"/>
  <c r="H32" i="37"/>
  <c r="G34" i="37"/>
  <c r="I36" i="37"/>
  <c r="E39" i="37"/>
  <c r="L39" i="37" s="1"/>
  <c r="J40" i="37"/>
  <c r="F26" i="37"/>
  <c r="H28" i="37"/>
  <c r="G30" i="37"/>
  <c r="I32" i="37"/>
  <c r="E35" i="37"/>
  <c r="J36" i="37"/>
  <c r="F39" i="37"/>
  <c r="E41" i="37"/>
  <c r="G26" i="37"/>
  <c r="I28" i="37"/>
  <c r="E31" i="37"/>
  <c r="J32" i="37"/>
  <c r="F35" i="37"/>
  <c r="E37" i="37"/>
  <c r="L37" i="37" s="1"/>
  <c r="G39" i="37"/>
  <c r="I41" i="37"/>
  <c r="E27" i="37"/>
  <c r="J28" i="37"/>
  <c r="F31" i="37"/>
  <c r="E33" i="37"/>
  <c r="G35" i="37"/>
  <c r="I37" i="37"/>
  <c r="H39" i="37"/>
  <c r="J41" i="37"/>
  <c r="P6" i="38"/>
  <c r="R6" i="38" s="1"/>
  <c r="R43" i="38" s="1"/>
  <c r="R9" i="38"/>
  <c r="R19" i="38"/>
  <c r="R17" i="38"/>
  <c r="R12" i="38"/>
  <c r="R15" i="38"/>
  <c r="R21" i="38"/>
  <c r="S36" i="38"/>
  <c r="O45" i="38"/>
  <c r="S37" i="38"/>
  <c r="S35" i="38"/>
  <c r="S39" i="38"/>
  <c r="S38" i="38"/>
  <c r="S40" i="38"/>
  <c r="L14" i="37"/>
  <c r="L15" i="37"/>
  <c r="L10" i="37"/>
  <c r="L18" i="37"/>
  <c r="L12" i="37"/>
  <c r="L32" i="37"/>
  <c r="L26" i="37"/>
  <c r="J70" i="35"/>
  <c r="L7" i="37"/>
  <c r="L8" i="37"/>
  <c r="L33" i="37"/>
  <c r="L27" i="37"/>
  <c r="J60" i="35"/>
  <c r="L31" i="37"/>
  <c r="L30" i="37"/>
  <c r="L28" i="37"/>
  <c r="L29" i="37"/>
  <c r="E64" i="4" l="1"/>
  <c r="E64" i="27"/>
  <c r="E64" i="28"/>
  <c r="L13" i="37"/>
  <c r="L17" i="37"/>
  <c r="L41" i="37"/>
  <c r="L16" i="37"/>
  <c r="L35" i="37"/>
  <c r="L34" i="37"/>
  <c r="L36" i="37"/>
  <c r="L11" i="37"/>
  <c r="L22" i="37"/>
  <c r="L19" i="37"/>
  <c r="L20" i="37"/>
  <c r="L9" i="37"/>
  <c r="C10" i="33"/>
  <c r="C11" i="34"/>
  <c r="O15" i="20" l="1"/>
  <c r="L15" i="20"/>
  <c r="I15" i="20"/>
  <c r="F15" i="20"/>
  <c r="I16" i="20"/>
  <c r="O16" i="20"/>
  <c r="F16" i="20"/>
  <c r="L16" i="20"/>
  <c r="P9" i="20" l="1"/>
  <c r="O13" i="20"/>
  <c r="M48" i="28"/>
  <c r="K48" i="28"/>
  <c r="M47" i="28"/>
  <c r="K47" i="28"/>
  <c r="M46" i="28"/>
  <c r="K46" i="28"/>
  <c r="M45" i="28"/>
  <c r="K45" i="28"/>
  <c r="M44" i="28"/>
  <c r="K44" i="28"/>
  <c r="M43" i="28"/>
  <c r="K43" i="28"/>
  <c r="M42" i="28"/>
  <c r="K42" i="28"/>
  <c r="M41" i="28"/>
  <c r="K41" i="28"/>
  <c r="M40" i="28"/>
  <c r="K40" i="28"/>
  <c r="M39" i="28"/>
  <c r="M38" i="28"/>
  <c r="M37" i="28"/>
  <c r="M36" i="28"/>
  <c r="M35" i="28"/>
  <c r="G21" i="28"/>
  <c r="M35" i="27"/>
  <c r="M36" i="27"/>
  <c r="M37" i="27"/>
  <c r="M38" i="27"/>
  <c r="M39" i="27"/>
  <c r="K40" i="27"/>
  <c r="M40" i="27"/>
  <c r="K41" i="27"/>
  <c r="M41" i="27"/>
  <c r="K42" i="27"/>
  <c r="M42" i="27"/>
  <c r="K43" i="27"/>
  <c r="M43" i="27"/>
  <c r="K44" i="27"/>
  <c r="M44" i="27"/>
  <c r="K45" i="27"/>
  <c r="M45" i="27"/>
  <c r="K46" i="27"/>
  <c r="M46" i="27"/>
  <c r="K47" i="27"/>
  <c r="M47" i="27"/>
  <c r="K48" i="27"/>
  <c r="M48" i="27"/>
  <c r="M39" i="4"/>
  <c r="K40" i="4"/>
  <c r="M40" i="4"/>
  <c r="K41" i="4"/>
  <c r="M41" i="4"/>
  <c r="K42" i="4"/>
  <c r="M42" i="4"/>
  <c r="K43" i="4"/>
  <c r="M43" i="4"/>
  <c r="K44" i="4"/>
  <c r="M44" i="4"/>
  <c r="K45" i="4"/>
  <c r="M45" i="4"/>
  <c r="K46" i="4"/>
  <c r="M46" i="4"/>
  <c r="K47" i="4"/>
  <c r="M47" i="4"/>
  <c r="K48" i="4"/>
  <c r="M48" i="4"/>
  <c r="K49" i="4"/>
  <c r="M49" i="4"/>
  <c r="K50" i="4"/>
  <c r="M50" i="4"/>
  <c r="K51" i="4"/>
  <c r="M51" i="4"/>
  <c r="K52" i="4"/>
  <c r="M52" i="4"/>
  <c r="F77" i="3"/>
  <c r="G74" i="3"/>
  <c r="G75" i="3" s="1"/>
  <c r="G76" i="3" s="1"/>
  <c r="G77" i="3" s="1"/>
  <c r="G78" i="3" s="1"/>
  <c r="G79" i="3" s="1"/>
  <c r="G80" i="3" s="1"/>
  <c r="G81" i="3" s="1"/>
  <c r="O17" i="20"/>
  <c r="L17" i="20"/>
  <c r="F17" i="20"/>
  <c r="I17" i="20"/>
  <c r="F13" i="20" l="1"/>
  <c r="G9" i="20"/>
  <c r="L18" i="20"/>
  <c r="F18" i="20"/>
  <c r="O18" i="20"/>
  <c r="I18" i="20"/>
  <c r="G21" i="27" l="1"/>
  <c r="F19" i="20"/>
  <c r="O19" i="20"/>
  <c r="I19" i="20"/>
  <c r="L19" i="20"/>
  <c r="C15" i="20" l="1"/>
  <c r="G21" i="4"/>
  <c r="F22" i="3"/>
  <c r="F20" i="2"/>
  <c r="I20" i="20"/>
  <c r="O20" i="20"/>
  <c r="L20" i="20"/>
  <c r="F20" i="20"/>
  <c r="C16" i="20"/>
  <c r="K39" i="4" l="1"/>
  <c r="F21" i="20"/>
  <c r="I21" i="20"/>
  <c r="C17" i="20"/>
  <c r="O21" i="20"/>
  <c r="L21" i="20"/>
  <c r="G6" i="24" l="1"/>
  <c r="F24" i="3" s="1"/>
  <c r="C18" i="20"/>
  <c r="I22" i="20"/>
  <c r="O22" i="20"/>
  <c r="F22" i="20"/>
  <c r="L22" i="20"/>
  <c r="G23" i="4" l="1"/>
  <c r="G23" i="28"/>
  <c r="G66" i="28"/>
  <c r="G23" i="27"/>
  <c r="G66" i="4"/>
  <c r="G66" i="27"/>
  <c r="F98" i="3"/>
  <c r="F23" i="2"/>
  <c r="F22" i="2"/>
  <c r="F25" i="3"/>
  <c r="O23" i="20"/>
  <c r="L23" i="20"/>
  <c r="F7" i="2"/>
  <c r="C19" i="20"/>
  <c r="F23" i="20"/>
  <c r="I23" i="20"/>
  <c r="F8" i="2" l="1"/>
  <c r="C20" i="20"/>
  <c r="L24" i="20"/>
  <c r="I24" i="20"/>
  <c r="O24" i="20"/>
  <c r="F24" i="20"/>
  <c r="F8" i="3"/>
  <c r="L13" i="20" l="1"/>
  <c r="I13" i="20"/>
  <c r="C13" i="20"/>
  <c r="M9" i="20"/>
  <c r="J9" i="20"/>
  <c r="C48" i="33"/>
  <c r="I5" i="35" a="1"/>
  <c r="I67" i="35" a="1"/>
  <c r="C47" i="35"/>
  <c r="C47" i="33"/>
  <c r="C67" i="35"/>
  <c r="F25" i="20"/>
  <c r="C21" i="20"/>
  <c r="O25" i="20"/>
  <c r="L25" i="20"/>
  <c r="C5" i="35"/>
  <c r="I25" i="20"/>
  <c r="I7" i="35" l="1"/>
  <c r="I8" i="35"/>
  <c r="I5" i="35"/>
  <c r="I6" i="35"/>
  <c r="I67" i="35"/>
  <c r="I68" i="35"/>
  <c r="I69" i="35"/>
  <c r="I70" i="35"/>
  <c r="O26" i="20"/>
  <c r="C22" i="20"/>
  <c r="L26" i="20"/>
  <c r="I26" i="20"/>
  <c r="F26" i="20"/>
  <c r="F9" i="3" l="1"/>
  <c r="F27" i="20"/>
  <c r="L27" i="20"/>
  <c r="I27" i="20"/>
  <c r="C23" i="20"/>
  <c r="O27" i="20"/>
  <c r="G7" i="27"/>
  <c r="G8" i="27" l="1"/>
  <c r="O28" i="20"/>
  <c r="L28" i="20"/>
  <c r="C24" i="20"/>
  <c r="G7" i="4"/>
  <c r="F28" i="20"/>
  <c r="I28" i="20"/>
  <c r="G8" i="4" l="1"/>
  <c r="C25" i="20"/>
  <c r="L29" i="20"/>
  <c r="F29" i="20"/>
  <c r="I29" i="20"/>
  <c r="O29" i="20"/>
  <c r="G7" i="28"/>
  <c r="G8" i="28" l="1"/>
  <c r="L30" i="20"/>
  <c r="F30" i="20"/>
  <c r="C26" i="20"/>
  <c r="I47" i="35" a="1"/>
  <c r="I30" i="20"/>
  <c r="O30" i="20"/>
  <c r="I50" i="35" l="1"/>
  <c r="I49" i="35"/>
  <c r="I48" i="35"/>
  <c r="I47" i="35"/>
  <c r="F31" i="20"/>
  <c r="O31" i="20"/>
  <c r="O32" i="20" s="1"/>
  <c r="F32" i="20"/>
  <c r="V46" i="38"/>
  <c r="C51" i="34"/>
  <c r="L31" i="20"/>
  <c r="V43" i="38"/>
  <c r="C50" i="34"/>
  <c r="C27" i="20"/>
  <c r="V44" i="38"/>
  <c r="C48" i="34"/>
  <c r="V45" i="38"/>
  <c r="I31" i="20"/>
  <c r="C49" i="34"/>
  <c r="C28" i="20" l="1"/>
  <c r="I32" i="20"/>
  <c r="O25" i="38" a="1"/>
  <c r="F33" i="20"/>
  <c r="F34" i="20" s="1"/>
  <c r="L32" i="20"/>
  <c r="O33" i="20"/>
  <c r="I33" i="20"/>
  <c r="C29" i="20"/>
  <c r="L33" i="20"/>
  <c r="F35" i="20"/>
  <c r="I34" i="20"/>
  <c r="L34" i="20"/>
  <c r="L35" i="20" s="1"/>
  <c r="I35" i="20"/>
  <c r="I36" i="20" s="1"/>
  <c r="I37" i="20"/>
  <c r="F36" i="20"/>
  <c r="L36" i="20"/>
  <c r="I38" i="20"/>
  <c r="I39" i="20" s="1"/>
  <c r="I40" i="20"/>
  <c r="F37" i="20"/>
  <c r="F38" i="20" s="1"/>
  <c r="F39" i="20" s="1"/>
  <c r="L37" i="20"/>
  <c r="L38" i="20" s="1"/>
  <c r="L39" i="20" s="1"/>
  <c r="L40" i="20" s="1"/>
  <c r="L41" i="20" s="1"/>
  <c r="F40" i="20"/>
  <c r="F41" i="20" s="1"/>
  <c r="F42" i="20" s="1"/>
  <c r="L42" i="20"/>
  <c r="L43" i="20" s="1"/>
  <c r="L44" i="20" s="1"/>
  <c r="L45" i="20" s="1"/>
  <c r="L46" i="20" s="1"/>
  <c r="L47" i="20" s="1"/>
  <c r="L48" i="20" s="1"/>
  <c r="L49" i="20" s="1"/>
  <c r="L50" i="20" s="1"/>
  <c r="L51" i="20"/>
  <c r="L52" i="20" s="1"/>
  <c r="L53" i="20" s="1"/>
  <c r="I41" i="20"/>
  <c r="I42" i="20" s="1"/>
  <c r="I43" i="20" s="1"/>
  <c r="I44" i="20" s="1"/>
  <c r="F43" i="20"/>
  <c r="F44" i="20" s="1"/>
  <c r="F45" i="20" s="1"/>
  <c r="F46" i="20" s="1"/>
  <c r="F47" i="20" s="1"/>
  <c r="F48" i="20" s="1"/>
  <c r="F49" i="20" s="1"/>
  <c r="F50" i="20" s="1"/>
  <c r="F51" i="20" s="1"/>
  <c r="F52" i="20" s="1"/>
  <c r="F53" i="20" s="1"/>
  <c r="F54" i="20" s="1"/>
  <c r="F55" i="20" s="1"/>
  <c r="F56" i="20" s="1"/>
  <c r="F57" i="20" s="1"/>
  <c r="F58" i="20" s="1"/>
  <c r="F59" i="20" s="1"/>
  <c r="F60" i="20" s="1"/>
  <c r="F61" i="20" s="1"/>
  <c r="F62" i="20" s="1"/>
  <c r="F63" i="20" s="1"/>
  <c r="F64" i="20" s="1"/>
  <c r="F65" i="20" s="1"/>
  <c r="F66" i="20" s="1"/>
  <c r="F67" i="20" s="1"/>
  <c r="F68" i="20" s="1"/>
  <c r="F69" i="20" s="1"/>
  <c r="F70" i="20" s="1"/>
  <c r="F71" i="20" s="1"/>
  <c r="F72" i="20" s="1"/>
  <c r="F73" i="20" s="1"/>
  <c r="F74" i="20" s="1"/>
  <c r="F75" i="20" s="1"/>
  <c r="F76" i="20" s="1"/>
  <c r="I45" i="20"/>
  <c r="I46" i="20" s="1"/>
  <c r="I47" i="20" s="1"/>
  <c r="I48" i="20" s="1"/>
  <c r="I49" i="20" s="1"/>
  <c r="I50" i="20" s="1"/>
  <c r="I51" i="20" s="1"/>
  <c r="I52" i="20" s="1"/>
  <c r="I53" i="20" s="1"/>
  <c r="I54" i="20" s="1"/>
  <c r="I55" i="20" s="1"/>
  <c r="I56" i="20" s="1"/>
  <c r="I57" i="20" s="1"/>
  <c r="I58" i="20" s="1"/>
  <c r="I59" i="20" s="1"/>
  <c r="I60" i="20" s="1"/>
  <c r="I61" i="20" s="1"/>
  <c r="I62" i="20" s="1"/>
  <c r="I63" i="20" s="1"/>
  <c r="I64" i="20" s="1"/>
  <c r="I65" i="20" s="1"/>
  <c r="I66" i="20" s="1"/>
  <c r="I67" i="20" s="1"/>
  <c r="I68" i="20" s="1"/>
  <c r="I69" i="20" s="1"/>
  <c r="I70" i="20" s="1"/>
  <c r="I71" i="20" s="1"/>
  <c r="I72" i="20" s="1"/>
  <c r="I73" i="20" s="1"/>
  <c r="I74" i="20" s="1"/>
  <c r="I75" i="20" s="1"/>
  <c r="I76" i="20" s="1"/>
  <c r="I77" i="20" s="1"/>
  <c r="I78" i="20" s="1"/>
  <c r="I79" i="20" s="1"/>
  <c r="F77" i="20"/>
  <c r="F78" i="20" s="1"/>
  <c r="F79" i="20" s="1"/>
  <c r="F80" i="20" s="1"/>
  <c r="F81" i="20" s="1"/>
  <c r="F82" i="20" s="1"/>
  <c r="F83" i="20" s="1"/>
  <c r="F84" i="20" s="1"/>
  <c r="F85" i="20" s="1"/>
  <c r="F86" i="20" s="1"/>
  <c r="F87" i="20" s="1"/>
  <c r="F88" i="20" s="1"/>
  <c r="F89" i="20" s="1"/>
  <c r="F90" i="20" s="1"/>
  <c r="F91" i="20" s="1"/>
  <c r="F92" i="20" s="1"/>
  <c r="F93" i="20" s="1"/>
  <c r="F94" i="20" s="1"/>
  <c r="F95" i="20" s="1"/>
  <c r="F96" i="20" s="1"/>
  <c r="F97" i="20" s="1"/>
  <c r="F98" i="20" s="1"/>
  <c r="F99" i="20" s="1"/>
  <c r="F100" i="20" s="1"/>
  <c r="F101" i="20" s="1"/>
  <c r="F102" i="20" s="1"/>
  <c r="F103" i="20" s="1"/>
  <c r="F104" i="20" s="1"/>
  <c r="F105" i="20" s="1"/>
  <c r="F106" i="20" s="1"/>
  <c r="F107" i="20" s="1"/>
  <c r="F108" i="20" s="1"/>
  <c r="F109" i="20" s="1"/>
  <c r="F110" i="20" s="1"/>
  <c r="F111" i="20" s="1"/>
  <c r="F112" i="20" s="1"/>
  <c r="F113" i="20" s="1"/>
  <c r="F114" i="20" s="1"/>
  <c r="F115" i="20" s="1"/>
  <c r="F116" i="20" s="1"/>
  <c r="F117" i="20" s="1"/>
  <c r="F118" i="20" s="1"/>
  <c r="F119" i="20" s="1"/>
  <c r="F120" i="20" s="1"/>
  <c r="F121" i="20" s="1"/>
  <c r="F122" i="20" s="1"/>
  <c r="F123" i="20" s="1"/>
  <c r="I80" i="20"/>
  <c r="I81" i="20" s="1"/>
  <c r="I82" i="20" s="1"/>
  <c r="I83" i="20" s="1"/>
  <c r="I84" i="20" s="1"/>
  <c r="I85" i="20" s="1"/>
  <c r="I86" i="20" s="1"/>
  <c r="I87" i="20" s="1"/>
  <c r="I88" i="20" s="1"/>
  <c r="I89" i="20" s="1"/>
  <c r="I90" i="20" s="1"/>
  <c r="I91" i="20" s="1"/>
  <c r="I92" i="20" s="1"/>
  <c r="I93" i="20" s="1"/>
  <c r="I94" i="20" s="1"/>
  <c r="I95" i="20" s="1"/>
  <c r="I96" i="20" s="1"/>
  <c r="I97" i="20" s="1"/>
  <c r="I98" i="20" s="1"/>
  <c r="I99" i="20" s="1"/>
  <c r="I100" i="20" s="1"/>
  <c r="I101" i="20" s="1"/>
  <c r="I102" i="20" s="1"/>
  <c r="I103" i="20" s="1"/>
  <c r="I104" i="20" s="1"/>
  <c r="I105" i="20" s="1"/>
  <c r="I106" i="20" s="1"/>
  <c r="I107" i="20" s="1"/>
  <c r="I108" i="20" s="1"/>
  <c r="I109" i="20" s="1"/>
  <c r="I110" i="20" s="1"/>
  <c r="I111" i="20"/>
  <c r="I112" i="20" s="1"/>
  <c r="I113" i="20" s="1"/>
  <c r="I114" i="20" s="1"/>
  <c r="I115" i="20" s="1"/>
  <c r="I116" i="20" s="1"/>
  <c r="I117" i="20" s="1"/>
  <c r="I118" i="20" s="1"/>
  <c r="I119" i="20" s="1"/>
  <c r="I120" i="20" s="1"/>
  <c r="I121" i="20" s="1"/>
  <c r="I122" i="20" s="1"/>
  <c r="I123" i="20" s="1"/>
  <c r="I124" i="20" s="1"/>
  <c r="I125" i="20" s="1"/>
  <c r="I126" i="20" s="1"/>
  <c r="I127" i="20" s="1"/>
  <c r="I128" i="20" s="1"/>
  <c r="I129" i="20" s="1"/>
  <c r="I130" i="20" s="1"/>
  <c r="I131" i="20" s="1"/>
  <c r="I132" i="20" s="1"/>
  <c r="I133" i="20" s="1"/>
  <c r="I134" i="20" s="1"/>
  <c r="I135" i="20" s="1"/>
  <c r="I136" i="20" s="1"/>
  <c r="I137" i="20" s="1"/>
  <c r="I138" i="20" s="1"/>
  <c r="I139" i="20" s="1"/>
  <c r="I140" i="20" s="1"/>
  <c r="I141" i="20" s="1"/>
  <c r="I142" i="20" s="1"/>
  <c r="I143" i="20" s="1"/>
  <c r="I144" i="20" s="1"/>
  <c r="I145" i="20" s="1"/>
  <c r="I146" i="20" s="1"/>
  <c r="I147" i="20" s="1"/>
  <c r="I148" i="20" s="1"/>
  <c r="I149" i="20" s="1"/>
  <c r="I150" i="20" s="1"/>
  <c r="I151" i="20" s="1"/>
  <c r="I152" i="20" s="1"/>
  <c r="I153" i="20" s="1"/>
  <c r="I154" i="20" s="1"/>
  <c r="I155" i="20" s="1"/>
  <c r="I156" i="20" s="1"/>
  <c r="L54" i="20"/>
  <c r="L55" i="20" s="1"/>
  <c r="L56" i="20" s="1"/>
  <c r="L57" i="20" s="1"/>
  <c r="L58" i="20" s="1"/>
  <c r="L59" i="20" s="1"/>
  <c r="L60" i="20" s="1"/>
  <c r="L61" i="20" s="1"/>
  <c r="L62" i="20" s="1"/>
  <c r="L63" i="20" s="1"/>
  <c r="L64" i="20" s="1"/>
  <c r="L65" i="20" s="1"/>
  <c r="L66" i="20" s="1"/>
  <c r="F124" i="20"/>
  <c r="F125" i="20" s="1"/>
  <c r="F126" i="20" s="1"/>
  <c r="F127" i="20" s="1"/>
  <c r="F128" i="20" s="1"/>
  <c r="F129" i="20" s="1"/>
  <c r="F130" i="20" s="1"/>
  <c r="F131" i="20" s="1"/>
  <c r="F132" i="20" s="1"/>
  <c r="F133" i="20" s="1"/>
  <c r="F134" i="20" s="1"/>
  <c r="F135" i="20" s="1"/>
  <c r="F136" i="20" s="1"/>
  <c r="F137" i="20" s="1"/>
  <c r="F138" i="20" s="1"/>
  <c r="F139" i="20" s="1"/>
  <c r="F140" i="20" s="1"/>
  <c r="F141" i="20" s="1"/>
  <c r="F142" i="20" s="1"/>
  <c r="F143" i="20" s="1"/>
  <c r="F144" i="20" s="1"/>
  <c r="F145" i="20" s="1"/>
  <c r="F146" i="20" s="1"/>
  <c r="F147" i="20" s="1"/>
  <c r="F148" i="20" s="1"/>
  <c r="F149" i="20" s="1"/>
  <c r="F150" i="20" s="1"/>
  <c r="F151" i="20" s="1"/>
  <c r="F152" i="20" s="1"/>
  <c r="F153" i="20" s="1"/>
  <c r="F154" i="20" s="1"/>
  <c r="F155" i="20" s="1"/>
  <c r="F156" i="20" s="1"/>
  <c r="F157" i="20" s="1"/>
  <c r="F158" i="20" s="1"/>
  <c r="F159" i="20" s="1"/>
  <c r="F160" i="20" s="1"/>
  <c r="F161" i="20" s="1"/>
  <c r="F162" i="20" s="1"/>
  <c r="F163" i="20" s="1"/>
  <c r="F164" i="20" s="1"/>
  <c r="F165" i="20" s="1"/>
  <c r="F166" i="20" s="1"/>
  <c r="F167" i="20" s="1"/>
  <c r="F168" i="20" s="1"/>
  <c r="F169" i="20" s="1"/>
  <c r="F170" i="20" s="1"/>
  <c r="F171" i="20" s="1"/>
  <c r="F172" i="20" s="1"/>
  <c r="F173" i="20" s="1"/>
  <c r="F174" i="20" s="1"/>
  <c r="F175" i="20" s="1"/>
  <c r="F176" i="20" s="1"/>
  <c r="F177" i="20" s="1"/>
  <c r="F178" i="20" s="1"/>
  <c r="F179" i="20" s="1"/>
  <c r="F180" i="20" s="1"/>
  <c r="F181" i="20" s="1"/>
  <c r="F182" i="20" s="1"/>
  <c r="F183" i="20" s="1"/>
  <c r="F184" i="20" s="1"/>
  <c r="F185" i="20" s="1"/>
  <c r="F186" i="20" s="1"/>
  <c r="F187" i="20" s="1"/>
  <c r="F188" i="20" s="1"/>
  <c r="F189" i="20" s="1"/>
  <c r="F190" i="20" s="1"/>
  <c r="F191" i="20" s="1"/>
  <c r="F192" i="20" s="1"/>
  <c r="F193" i="20" s="1"/>
  <c r="F194" i="20" s="1"/>
  <c r="F195" i="20" s="1"/>
  <c r="F196" i="20" s="1"/>
  <c r="F197" i="20" s="1"/>
  <c r="F198" i="20" s="1"/>
  <c r="F199" i="20" s="1"/>
  <c r="F200" i="20" s="1"/>
  <c r="F201" i="20" s="1"/>
  <c r="F202" i="20" s="1"/>
  <c r="F203" i="20" s="1"/>
  <c r="F204" i="20" s="1"/>
  <c r="L67" i="20"/>
  <c r="L68" i="20" s="1"/>
  <c r="L69" i="20" s="1"/>
  <c r="L70" i="20" s="1"/>
  <c r="L71" i="20" s="1"/>
  <c r="L72" i="20" s="1"/>
  <c r="L73" i="20" s="1"/>
  <c r="L74" i="20" s="1"/>
  <c r="L75" i="20" s="1"/>
  <c r="L76" i="20" s="1"/>
  <c r="L77" i="20" s="1"/>
  <c r="L78" i="20" s="1"/>
  <c r="L79" i="20" s="1"/>
  <c r="L80" i="20" s="1"/>
  <c r="L81" i="20" s="1"/>
  <c r="L82" i="20" s="1"/>
  <c r="L83" i="20" s="1"/>
  <c r="L84" i="20" s="1"/>
  <c r="L85" i="20" s="1"/>
  <c r="L86" i="20" s="1"/>
  <c r="L87" i="20" s="1"/>
  <c r="L88" i="20" s="1"/>
  <c r="L89" i="20" s="1"/>
  <c r="L90" i="20" s="1"/>
  <c r="L91" i="20" s="1"/>
  <c r="L92" i="20" s="1"/>
  <c r="L93" i="20" s="1"/>
  <c r="L94" i="20" s="1"/>
  <c r="L95" i="20" s="1"/>
  <c r="L96" i="20" s="1"/>
  <c r="I157" i="20"/>
  <c r="I158" i="20" s="1"/>
  <c r="I159" i="20" s="1"/>
  <c r="I160" i="20" s="1"/>
  <c r="I161" i="20" s="1"/>
  <c r="I162" i="20" s="1"/>
  <c r="I163" i="20" s="1"/>
  <c r="I164" i="20" s="1"/>
  <c r="I165" i="20" s="1"/>
  <c r="I166" i="20" s="1"/>
  <c r="I167" i="20" s="1"/>
  <c r="I168" i="20" s="1"/>
  <c r="I169" i="20" s="1"/>
  <c r="I170" i="20" s="1"/>
  <c r="I171" i="20" s="1"/>
  <c r="I172" i="20" s="1"/>
  <c r="I173" i="20" s="1"/>
  <c r="I174" i="20" s="1"/>
  <c r="I175" i="20" s="1"/>
  <c r="I176" i="20" s="1"/>
  <c r="I177" i="20" s="1"/>
  <c r="L97" i="20"/>
  <c r="L98" i="20" s="1"/>
  <c r="L99" i="20" s="1"/>
  <c r="L100" i="20" s="1"/>
  <c r="L101" i="20" s="1"/>
  <c r="L102" i="20" s="1"/>
  <c r="L103" i="20" s="1"/>
  <c r="L104" i="20" s="1"/>
  <c r="L105" i="20" s="1"/>
  <c r="L106" i="20" s="1"/>
  <c r="L107" i="20" s="1"/>
  <c r="L108" i="20" s="1"/>
  <c r="L109" i="20" s="1"/>
  <c r="L110" i="20" s="1"/>
  <c r="L111" i="20" s="1"/>
  <c r="L112" i="20" s="1"/>
  <c r="L113" i="20" s="1"/>
  <c r="L114" i="20"/>
  <c r="L115" i="20" s="1"/>
  <c r="L116" i="20" s="1"/>
  <c r="L117" i="20" s="1"/>
  <c r="L118" i="20" s="1"/>
  <c r="L119" i="20" s="1"/>
  <c r="L120" i="20" s="1"/>
  <c r="L121" i="20" s="1"/>
  <c r="L122" i="20" s="1"/>
  <c r="L123" i="20" s="1"/>
  <c r="L124" i="20"/>
  <c r="L125" i="20" s="1"/>
  <c r="L126" i="20" s="1"/>
  <c r="L127" i="20" s="1"/>
  <c r="L128" i="20" s="1"/>
  <c r="L129" i="20" s="1"/>
  <c r="L130" i="20" s="1"/>
  <c r="L131" i="20" s="1"/>
  <c r="L132" i="20" s="1"/>
  <c r="L133" i="20" s="1"/>
  <c r="L134" i="20" s="1"/>
  <c r="L135" i="20" s="1"/>
  <c r="L136" i="20" s="1"/>
  <c r="L137" i="20" s="1"/>
  <c r="L138" i="20" s="1"/>
  <c r="L139" i="20" s="1"/>
  <c r="L140" i="20" s="1"/>
  <c r="L141" i="20" s="1"/>
  <c r="L142" i="20" s="1"/>
  <c r="L143" i="20" s="1"/>
  <c r="L144" i="20" s="1"/>
  <c r="L145" i="20" s="1"/>
  <c r="L146" i="20" s="1"/>
  <c r="L147" i="20" s="1"/>
  <c r="L148" i="20" s="1"/>
  <c r="L149" i="20" s="1"/>
  <c r="L150" i="20" s="1"/>
  <c r="L151" i="20" s="1"/>
  <c r="L152" i="20" s="1"/>
  <c r="L153" i="20" s="1"/>
  <c r="L154" i="20" s="1"/>
  <c r="L155" i="20" s="1"/>
  <c r="L156" i="20" s="1"/>
  <c r="L157" i="20" s="1"/>
  <c r="L158" i="20" s="1"/>
  <c r="L159" i="20" s="1"/>
  <c r="L160" i="20" s="1"/>
  <c r="L161" i="20" s="1"/>
  <c r="L162" i="20" s="1"/>
  <c r="L163" i="20" s="1"/>
  <c r="L164" i="20" s="1"/>
  <c r="L165" i="20" s="1"/>
  <c r="L166" i="20" s="1"/>
  <c r="L167" i="20" s="1"/>
  <c r="L168" i="20" s="1"/>
  <c r="L169" i="20" s="1"/>
  <c r="L170" i="20" s="1"/>
  <c r="L171" i="20" s="1"/>
  <c r="L172" i="20" s="1"/>
  <c r="L173" i="20" s="1"/>
  <c r="L174" i="20" s="1"/>
  <c r="L175" i="20" s="1"/>
  <c r="L176" i="20" s="1"/>
  <c r="L177" i="20" s="1"/>
  <c r="L178" i="20" s="1"/>
  <c r="L179" i="20" s="1"/>
  <c r="L180" i="20" s="1"/>
  <c r="L181" i="20" s="1"/>
  <c r="L182" i="20" s="1"/>
  <c r="L183" i="20" s="1"/>
  <c r="L184" i="20" s="1"/>
  <c r="L185" i="20" s="1"/>
  <c r="L186" i="20" s="1"/>
  <c r="L187" i="20" s="1"/>
  <c r="L188" i="20" s="1"/>
  <c r="L189" i="20" s="1"/>
  <c r="L190" i="20" s="1"/>
  <c r="L191" i="20" s="1"/>
  <c r="L192" i="20" s="1"/>
  <c r="L193" i="20" s="1"/>
  <c r="L194" i="20" s="1"/>
  <c r="L195" i="20" s="1"/>
  <c r="L196" i="20" s="1"/>
  <c r="L197" i="20" s="1"/>
  <c r="L198" i="20" s="1"/>
  <c r="L199" i="20" s="1"/>
  <c r="L200" i="20" s="1"/>
  <c r="L201" i="20" s="1"/>
  <c r="L202" i="20" s="1"/>
  <c r="L203" i="20" s="1"/>
  <c r="L204" i="20" s="1"/>
  <c r="L205" i="20" s="1"/>
  <c r="L206" i="20" s="1"/>
  <c r="L207" i="20" s="1"/>
  <c r="L208" i="20" s="1"/>
  <c r="L209" i="20" s="1"/>
  <c r="L210" i="20" s="1"/>
  <c r="L211" i="20" s="1"/>
  <c r="L212" i="20" s="1"/>
  <c r="L213" i="20" s="1"/>
  <c r="L214" i="20" s="1"/>
  <c r="L215" i="20" s="1"/>
  <c r="L216" i="20" s="1"/>
  <c r="L217" i="20" s="1"/>
  <c r="L218" i="20" s="1"/>
  <c r="L219" i="20" s="1"/>
  <c r="L220" i="20" s="1"/>
  <c r="L221" i="20" s="1"/>
  <c r="L222" i="20" s="1"/>
  <c r="L223" i="20" s="1"/>
  <c r="L224" i="20" s="1"/>
  <c r="L225" i="20" s="1"/>
  <c r="L226" i="20" s="1"/>
  <c r="L227" i="20" s="1"/>
  <c r="L228" i="20" s="1"/>
  <c r="L229" i="20" s="1"/>
  <c r="L230" i="20" s="1"/>
  <c r="I178" i="20"/>
  <c r="I179" i="20" s="1"/>
  <c r="I180" i="20" s="1"/>
  <c r="I181" i="20" s="1"/>
  <c r="I182" i="20" s="1"/>
  <c r="I183" i="20" s="1"/>
  <c r="I184" i="20" s="1"/>
  <c r="I185" i="20" s="1"/>
  <c r="I186" i="20" s="1"/>
  <c r="I187" i="20" s="1"/>
  <c r="I188" i="20" s="1"/>
  <c r="I189" i="20" s="1"/>
  <c r="I190" i="20" s="1"/>
  <c r="F205" i="20"/>
  <c r="F206" i="20" s="1"/>
  <c r="F207" i="20" s="1"/>
  <c r="F208" i="20" s="1"/>
  <c r="F209" i="20" s="1"/>
  <c r="F210" i="20" s="1"/>
  <c r="F211" i="20" s="1"/>
  <c r="F212" i="20" s="1"/>
  <c r="F213" i="20" s="1"/>
  <c r="F214" i="20" s="1"/>
  <c r="F215" i="20" s="1"/>
  <c r="F216" i="20" s="1"/>
  <c r="F217" i="20" s="1"/>
  <c r="F218" i="20" s="1"/>
  <c r="F219" i="20" s="1"/>
  <c r="F220" i="20" s="1"/>
  <c r="F221" i="20" s="1"/>
  <c r="F222" i="20" s="1"/>
  <c r="F223" i="20" s="1"/>
  <c r="F224" i="20" s="1"/>
  <c r="F225" i="20" s="1"/>
  <c r="F226" i="20" s="1"/>
  <c r="F227" i="20" s="1"/>
  <c r="F228" i="20" s="1"/>
  <c r="F229" i="20" s="1"/>
  <c r="F230" i="20" s="1"/>
  <c r="F231" i="20" s="1"/>
  <c r="F232" i="20" s="1"/>
  <c r="F233" i="20" s="1"/>
  <c r="F234" i="20" s="1"/>
  <c r="F235" i="20" s="1"/>
  <c r="F236" i="20" s="1"/>
  <c r="F237" i="20" s="1"/>
  <c r="F238" i="20" s="1"/>
  <c r="F239" i="20" s="1"/>
  <c r="F240" i="20" s="1"/>
  <c r="F241" i="20" s="1"/>
  <c r="F242" i="20" s="1"/>
  <c r="F243" i="20" s="1"/>
  <c r="F244" i="20" s="1"/>
  <c r="F245" i="20" s="1"/>
  <c r="F246" i="20" s="1"/>
  <c r="F247" i="20" s="1"/>
  <c r="F248" i="20" s="1"/>
  <c r="F249" i="20" s="1"/>
  <c r="F250" i="20" s="1"/>
  <c r="F251" i="20" s="1"/>
  <c r="F252" i="20" s="1"/>
  <c r="F253" i="20" s="1"/>
  <c r="F254" i="20" s="1"/>
  <c r="F255" i="20" s="1"/>
  <c r="F256" i="20" s="1"/>
  <c r="F257" i="20" s="1"/>
  <c r="F258" i="20" s="1"/>
  <c r="F259" i="20" s="1"/>
  <c r="F260" i="20" s="1"/>
  <c r="F261" i="20" s="1"/>
  <c r="F262" i="20" s="1"/>
  <c r="F263" i="20" s="1"/>
  <c r="F264" i="20" s="1"/>
  <c r="F265" i="20" s="1"/>
  <c r="F266" i="20" s="1"/>
  <c r="F267" i="20" s="1"/>
  <c r="F268" i="20" s="1"/>
  <c r="F269" i="20" s="1"/>
  <c r="F270" i="20" s="1"/>
  <c r="F271" i="20" s="1"/>
  <c r="F272" i="20" s="1"/>
  <c r="F273" i="20" s="1"/>
  <c r="F274" i="20" s="1"/>
  <c r="F275" i="20" s="1"/>
  <c r="F276" i="20" s="1"/>
  <c r="F277" i="20" s="1"/>
  <c r="F278" i="20" s="1"/>
  <c r="F279" i="20" s="1"/>
  <c r="F280" i="20" s="1"/>
  <c r="F281" i="20" s="1"/>
  <c r="F282" i="20" s="1"/>
  <c r="F283" i="20" s="1"/>
  <c r="F284" i="20" s="1"/>
  <c r="F285" i="20" s="1"/>
  <c r="F286" i="20" s="1"/>
  <c r="F287" i="20" s="1"/>
  <c r="F288" i="20" s="1"/>
  <c r="F289" i="20" s="1"/>
  <c r="F290" i="20" s="1"/>
  <c r="F291" i="20" s="1"/>
  <c r="F292" i="20" s="1"/>
  <c r="F293" i="20" s="1"/>
  <c r="F294" i="20" s="1"/>
  <c r="F295" i="20" s="1"/>
  <c r="F296" i="20" s="1"/>
  <c r="F297" i="20" s="1"/>
  <c r="F298" i="20" s="1"/>
  <c r="F299" i="20" s="1"/>
  <c r="F300" i="20" s="1"/>
  <c r="F301" i="20" s="1"/>
  <c r="F302" i="20" s="1"/>
  <c r="F303" i="20" s="1"/>
  <c r="F304" i="20" s="1"/>
  <c r="F305" i="20" s="1"/>
  <c r="F306" i="20" s="1"/>
  <c r="F307" i="20" s="1"/>
  <c r="F308" i="20" s="1"/>
  <c r="F309" i="20" s="1"/>
  <c r="F310" i="20" s="1"/>
  <c r="F311" i="20" s="1"/>
  <c r="F312" i="20" s="1"/>
  <c r="F313" i="20" s="1"/>
  <c r="F314" i="20" s="1"/>
  <c r="F315" i="20" s="1"/>
  <c r="F316" i="20" s="1"/>
  <c r="F317" i="20" s="1"/>
  <c r="F318" i="20" s="1"/>
  <c r="F319" i="20" s="1"/>
  <c r="F320" i="20" s="1"/>
  <c r="F321" i="20" s="1"/>
  <c r="F322" i="20" s="1"/>
  <c r="F323" i="20" s="1"/>
  <c r="F324" i="20" s="1"/>
  <c r="F325" i="20" s="1"/>
  <c r="F326" i="20" s="1"/>
  <c r="F327" i="20" s="1"/>
  <c r="F328" i="20" s="1"/>
  <c r="F329" i="20" s="1"/>
  <c r="F330" i="20" s="1"/>
  <c r="F331" i="20" s="1"/>
  <c r="F332" i="20" s="1"/>
  <c r="F333" i="20" s="1"/>
  <c r="F334" i="20" s="1"/>
  <c r="F335" i="20" s="1"/>
  <c r="F336" i="20" s="1"/>
  <c r="F337" i="20" s="1"/>
  <c r="F338" i="20" s="1"/>
  <c r="F339" i="20" s="1"/>
  <c r="F340" i="20" s="1"/>
  <c r="F341" i="20" s="1"/>
  <c r="F342" i="20" s="1"/>
  <c r="F343" i="20" s="1"/>
  <c r="F344" i="20" s="1"/>
  <c r="F345" i="20" s="1"/>
  <c r="F346" i="20" s="1"/>
  <c r="F347" i="20" s="1"/>
  <c r="F348" i="20" s="1"/>
  <c r="F349" i="20" s="1"/>
  <c r="F350" i="20" s="1"/>
  <c r="F351" i="20" s="1"/>
  <c r="F352" i="20" s="1"/>
  <c r="I191" i="20"/>
  <c r="I192" i="20" s="1"/>
  <c r="I193" i="20" s="1"/>
  <c r="I194" i="20" s="1"/>
  <c r="I195" i="20" s="1"/>
  <c r="I196" i="20" s="1"/>
  <c r="I197" i="20" s="1"/>
  <c r="I198" i="20" s="1"/>
  <c r="I199" i="20" s="1"/>
  <c r="I200" i="20" s="1"/>
  <c r="I201" i="20" s="1"/>
  <c r="I202" i="20" s="1"/>
  <c r="I203" i="20" s="1"/>
  <c r="I204" i="20" s="1"/>
  <c r="I205" i="20" s="1"/>
  <c r="I206" i="20" s="1"/>
  <c r="I207" i="20" s="1"/>
  <c r="I208" i="20" s="1"/>
  <c r="I209" i="20" s="1"/>
  <c r="I210" i="20" s="1"/>
  <c r="I211" i="20" s="1"/>
  <c r="I212" i="20" s="1"/>
  <c r="I213" i="20" s="1"/>
  <c r="I214" i="20" s="1"/>
  <c r="I215" i="20" s="1"/>
  <c r="I216" i="20" s="1"/>
  <c r="I217" i="20" s="1"/>
  <c r="I218" i="20" s="1"/>
  <c r="I219" i="20" s="1"/>
  <c r="I220" i="20" s="1"/>
  <c r="I221" i="20" s="1"/>
  <c r="I222" i="20" s="1"/>
  <c r="I223" i="20" s="1"/>
  <c r="I224" i="20" s="1"/>
  <c r="I225" i="20" s="1"/>
  <c r="I226" i="20" s="1"/>
  <c r="I227" i="20" s="1"/>
  <c r="I228" i="20" s="1"/>
  <c r="I229" i="20" s="1"/>
  <c r="I230" i="20" s="1"/>
  <c r="I231" i="20" s="1"/>
  <c r="I232" i="20" s="1"/>
  <c r="I233" i="20" s="1"/>
  <c r="I234" i="20" s="1"/>
  <c r="I235" i="20" s="1"/>
  <c r="I236" i="20" s="1"/>
  <c r="I237" i="20" s="1"/>
  <c r="I238" i="20" s="1"/>
  <c r="I239" i="20" s="1"/>
  <c r="I240" i="20" s="1"/>
  <c r="I241" i="20" s="1"/>
  <c r="I242" i="20" s="1"/>
  <c r="I243" i="20" s="1"/>
  <c r="I244" i="20" s="1"/>
  <c r="I245" i="20" s="1"/>
  <c r="I246" i="20" s="1"/>
  <c r="I247" i="20" s="1"/>
  <c r="I248" i="20" s="1"/>
  <c r="I249" i="20" s="1"/>
  <c r="I250" i="20" s="1"/>
  <c r="I251" i="20" s="1"/>
  <c r="I252" i="20" s="1"/>
  <c r="I253" i="20" s="1"/>
  <c r="I254" i="20" s="1"/>
  <c r="I255" i="20" s="1"/>
  <c r="I256" i="20" s="1"/>
  <c r="I257" i="20" s="1"/>
  <c r="I258" i="20" s="1"/>
  <c r="I259" i="20" s="1"/>
  <c r="I260" i="20" s="1"/>
  <c r="I261" i="20" s="1"/>
  <c r="I262" i="20" s="1"/>
  <c r="I263" i="20" s="1"/>
  <c r="I264" i="20" s="1"/>
  <c r="I265" i="20" s="1"/>
  <c r="I266" i="20" s="1"/>
  <c r="I267" i="20" s="1"/>
  <c r="I268" i="20" s="1"/>
  <c r="I269" i="20" s="1"/>
  <c r="I270" i="20" s="1"/>
  <c r="I271" i="20" s="1"/>
  <c r="I272" i="20" s="1"/>
  <c r="I273" i="20" s="1"/>
  <c r="I274" i="20" s="1"/>
  <c r="I275" i="20" s="1"/>
  <c r="I276" i="20" s="1"/>
  <c r="I277" i="20" s="1"/>
  <c r="I278" i="20" s="1"/>
  <c r="I279" i="20" s="1"/>
  <c r="I280" i="20" s="1"/>
  <c r="I281" i="20" s="1"/>
  <c r="I282" i="20" s="1"/>
  <c r="I283" i="20" s="1"/>
  <c r="I284" i="20" s="1"/>
  <c r="I285" i="20" s="1"/>
  <c r="I286" i="20" s="1"/>
  <c r="I287" i="20" s="1"/>
  <c r="I288" i="20" s="1"/>
  <c r="I289" i="20" s="1"/>
  <c r="I290" i="20" s="1"/>
  <c r="I291" i="20" s="1"/>
  <c r="I292" i="20" s="1"/>
  <c r="I293" i="20" s="1"/>
  <c r="I294" i="20" s="1"/>
  <c r="I295" i="20" s="1"/>
  <c r="I296" i="20" s="1"/>
  <c r="I297" i="20" s="1"/>
  <c r="I298" i="20" s="1"/>
  <c r="I299" i="20" s="1"/>
  <c r="I300" i="20" s="1"/>
  <c r="I301" i="20" s="1"/>
  <c r="I302" i="20" s="1"/>
  <c r="I303" i="20" s="1"/>
  <c r="I304" i="20" s="1"/>
  <c r="I305" i="20" s="1"/>
  <c r="I306" i="20" s="1"/>
  <c r="I307" i="20" s="1"/>
  <c r="I308" i="20" s="1"/>
  <c r="I309" i="20" s="1"/>
  <c r="L231" i="20"/>
  <c r="L232" i="20" s="1"/>
  <c r="L233" i="20" s="1"/>
  <c r="L234" i="20" s="1"/>
  <c r="L235" i="20" s="1"/>
  <c r="L236" i="20" s="1"/>
  <c r="L237" i="20" s="1"/>
  <c r="L238" i="20" s="1"/>
  <c r="L239" i="20" s="1"/>
  <c r="L240" i="20" s="1"/>
  <c r="L241" i="20" s="1"/>
  <c r="L242" i="20"/>
  <c r="L243" i="20" s="1"/>
  <c r="L244" i="20" s="1"/>
  <c r="L245" i="20" s="1"/>
  <c r="L246" i="20" s="1"/>
  <c r="L247" i="20" s="1"/>
  <c r="L248" i="20" s="1"/>
  <c r="L249" i="20" s="1"/>
  <c r="L250" i="20" s="1"/>
  <c r="L251" i="20" s="1"/>
  <c r="L252" i="20" s="1"/>
  <c r="L253" i="20" s="1"/>
  <c r="L254" i="20" s="1"/>
  <c r="L255" i="20" s="1"/>
  <c r="L256" i="20" s="1"/>
  <c r="L257" i="20" s="1"/>
  <c r="L258" i="20" s="1"/>
  <c r="L259" i="20" s="1"/>
  <c r="L260" i="20" s="1"/>
  <c r="L261" i="20" s="1"/>
  <c r="L262" i="20" s="1"/>
  <c r="L263" i="20" s="1"/>
  <c r="L264" i="20" s="1"/>
  <c r="L265" i="20" s="1"/>
  <c r="L266" i="20" s="1"/>
  <c r="L267" i="20" s="1"/>
  <c r="L268" i="20" s="1"/>
  <c r="L269" i="20" s="1"/>
  <c r="L270" i="20" s="1"/>
  <c r="L271" i="20" s="1"/>
  <c r="L272" i="20" s="1"/>
  <c r="L273" i="20" s="1"/>
  <c r="L274" i="20" s="1"/>
  <c r="L275" i="20" s="1"/>
  <c r="L276" i="20" s="1"/>
  <c r="L277" i="20" s="1"/>
  <c r="L278" i="20" s="1"/>
  <c r="L279" i="20" s="1"/>
  <c r="L280" i="20" s="1"/>
  <c r="L281" i="20" s="1"/>
  <c r="L282" i="20" s="1"/>
  <c r="L283" i="20" s="1"/>
  <c r="L284" i="20" s="1"/>
  <c r="L285" i="20" s="1"/>
  <c r="L286" i="20" s="1"/>
  <c r="L287" i="20" s="1"/>
  <c r="L288" i="20" s="1"/>
  <c r="L289" i="20" s="1"/>
  <c r="L290" i="20" s="1"/>
  <c r="L291" i="20" s="1"/>
  <c r="L292" i="20" s="1"/>
  <c r="L293" i="20" s="1"/>
  <c r="L294" i="20" s="1"/>
  <c r="L295" i="20" s="1"/>
  <c r="L296" i="20" s="1"/>
  <c r="L297" i="20" s="1"/>
  <c r="L298" i="20" s="1"/>
  <c r="L299" i="20" s="1"/>
  <c r="L300" i="20" s="1"/>
  <c r="L301" i="20" s="1"/>
  <c r="L302" i="20" s="1"/>
  <c r="L303" i="20" s="1"/>
  <c r="L304" i="20" s="1"/>
  <c r="L305" i="20" s="1"/>
  <c r="L306" i="20" s="1"/>
  <c r="L307" i="20" s="1"/>
  <c r="L308" i="20" s="1"/>
  <c r="L309" i="20" s="1"/>
  <c r="L310" i="20" s="1"/>
  <c r="L311" i="20" s="1"/>
  <c r="L312" i="20" s="1"/>
  <c r="L313" i="20" s="1"/>
  <c r="L314" i="20" s="1"/>
  <c r="L315" i="20" s="1"/>
  <c r="L316" i="20" s="1"/>
  <c r="L317" i="20" s="1"/>
  <c r="L318" i="20" s="1"/>
  <c r="L319" i="20" s="1"/>
  <c r="L320" i="20" s="1"/>
  <c r="L321" i="20" s="1"/>
  <c r="L322" i="20" s="1"/>
  <c r="L323" i="20" s="1"/>
  <c r="L324" i="20" s="1"/>
  <c r="L325" i="20" s="1"/>
  <c r="L326" i="20"/>
  <c r="L327" i="20" s="1"/>
  <c r="L328" i="20" s="1"/>
  <c r="L329" i="20" s="1"/>
  <c r="L330" i="20" s="1"/>
  <c r="L331" i="20" s="1"/>
  <c r="L332" i="20" s="1"/>
  <c r="L333" i="20" s="1"/>
  <c r="L334" i="20" s="1"/>
  <c r="L335" i="20" s="1"/>
  <c r="L336" i="20" s="1"/>
  <c r="L337" i="20" s="1"/>
  <c r="L338" i="20" s="1"/>
  <c r="L339" i="20" s="1"/>
  <c r="L340" i="20" s="1"/>
  <c r="L341" i="20" s="1"/>
  <c r="L342" i="20" s="1"/>
  <c r="L343" i="20" s="1"/>
  <c r="L344" i="20" s="1"/>
  <c r="L345" i="20" s="1"/>
  <c r="L346" i="20" s="1"/>
  <c r="L347" i="20" s="1"/>
  <c r="L348" i="20" s="1"/>
  <c r="L349" i="20" s="1"/>
  <c r="L350" i="20" s="1"/>
  <c r="L351" i="20" s="1"/>
  <c r="L352" i="20" s="1"/>
  <c r="L353" i="20" s="1"/>
  <c r="L354" i="20" s="1"/>
  <c r="L355" i="20" s="1"/>
  <c r="L356" i="20" s="1"/>
  <c r="L357" i="20" s="1"/>
  <c r="L358" i="20" s="1"/>
  <c r="L359" i="20" s="1"/>
  <c r="L360" i="20" s="1"/>
  <c r="L361" i="20" s="1"/>
  <c r="L362" i="20" s="1"/>
  <c r="L363" i="20" s="1"/>
  <c r="L364" i="20" s="1"/>
  <c r="L365" i="20" s="1"/>
  <c r="L366" i="20" s="1"/>
  <c r="L367" i="20" s="1"/>
  <c r="L368" i="20" s="1"/>
  <c r="L369" i="20" s="1"/>
  <c r="L370" i="20" s="1"/>
  <c r="L371" i="20" s="1"/>
  <c r="L372" i="20" s="1"/>
  <c r="L373" i="20" s="1"/>
  <c r="L374" i="20" s="1"/>
  <c r="L375" i="20" s="1"/>
  <c r="L376" i="20" s="1"/>
  <c r="L377" i="20" s="1"/>
  <c r="L378" i="20" s="1"/>
  <c r="L379" i="20" s="1"/>
  <c r="L380" i="20" s="1"/>
  <c r="L381" i="20" s="1"/>
  <c r="L382" i="20" s="1"/>
  <c r="L383" i="20" s="1"/>
  <c r="L384" i="20" s="1"/>
  <c r="L385" i="20" s="1"/>
  <c r="L386" i="20" s="1"/>
  <c r="L387" i="20" s="1"/>
  <c r="L388" i="20" s="1"/>
  <c r="L389" i="20" s="1"/>
  <c r="L390" i="20" s="1"/>
  <c r="L391" i="20" s="1"/>
  <c r="L392" i="20" s="1"/>
  <c r="L393" i="20" s="1"/>
  <c r="L394" i="20" s="1"/>
  <c r="L395" i="20" s="1"/>
  <c r="L396" i="20" s="1"/>
  <c r="L397" i="20" s="1"/>
  <c r="L398" i="20" s="1"/>
  <c r="L399" i="20" s="1"/>
  <c r="L400" i="20" s="1"/>
  <c r="L401" i="20" s="1"/>
  <c r="L402" i="20" s="1"/>
  <c r="L403" i="20" s="1"/>
  <c r="L404" i="20" s="1"/>
  <c r="L405" i="20" s="1"/>
  <c r="L406" i="20" s="1"/>
  <c r="L407" i="20" s="1"/>
  <c r="L408" i="20" s="1"/>
  <c r="L409" i="20" s="1"/>
  <c r="L410" i="20" s="1"/>
  <c r="L411" i="20" s="1"/>
  <c r="L412" i="20" s="1"/>
  <c r="L413" i="20" s="1"/>
  <c r="L414" i="20" s="1"/>
  <c r="L415" i="20" s="1"/>
  <c r="L416" i="20" s="1"/>
  <c r="L417" i="20" s="1"/>
  <c r="L418" i="20" s="1"/>
  <c r="L419" i="20" s="1"/>
  <c r="L420" i="20" s="1"/>
  <c r="L421" i="20" s="1"/>
  <c r="L422" i="20" s="1"/>
  <c r="L423" i="20" s="1"/>
  <c r="L424" i="20" s="1"/>
  <c r="L425" i="20" s="1"/>
  <c r="L426" i="20" s="1"/>
  <c r="L427" i="20" s="1"/>
  <c r="L428" i="20" s="1"/>
  <c r="I310" i="20"/>
  <c r="I311" i="20" s="1"/>
  <c r="I312" i="20" s="1"/>
  <c r="I313" i="20" s="1"/>
  <c r="I314" i="20" s="1"/>
  <c r="I315" i="20" s="1"/>
  <c r="I316" i="20" s="1"/>
  <c r="I317" i="20" s="1"/>
  <c r="I318" i="20" s="1"/>
  <c r="I319" i="20" s="1"/>
  <c r="I320" i="20" s="1"/>
  <c r="I321" i="20" s="1"/>
  <c r="I322" i="20" s="1"/>
  <c r="I323" i="20" s="1"/>
  <c r="I324" i="20" s="1"/>
  <c r="I325" i="20" s="1"/>
  <c r="I326" i="20" s="1"/>
  <c r="I327" i="20" s="1"/>
  <c r="I328" i="20" s="1"/>
  <c r="I329" i="20" s="1"/>
  <c r="I330" i="20" s="1"/>
  <c r="I331" i="20" s="1"/>
  <c r="I332" i="20" s="1"/>
  <c r="I333" i="20" s="1"/>
  <c r="I334" i="20" s="1"/>
  <c r="I335" i="20" s="1"/>
  <c r="I336" i="20" s="1"/>
  <c r="I337" i="20" s="1"/>
  <c r="I338" i="20" s="1"/>
  <c r="I339" i="20" s="1"/>
  <c r="I340" i="20" s="1"/>
  <c r="I341" i="20" s="1"/>
  <c r="I342" i="20" s="1"/>
  <c r="I343" i="20" s="1"/>
  <c r="I344" i="20" s="1"/>
  <c r="I345" i="20" s="1"/>
  <c r="I346" i="20" s="1"/>
  <c r="I347" i="20" s="1"/>
  <c r="I348" i="20" s="1"/>
  <c r="I349" i="20" s="1"/>
  <c r="I350" i="20" s="1"/>
  <c r="I351" i="20" s="1"/>
  <c r="I352" i="20" s="1"/>
  <c r="I353" i="20" s="1"/>
  <c r="I354" i="20" s="1"/>
  <c r="I355" i="20" s="1"/>
  <c r="I356" i="20" s="1"/>
  <c r="I357" i="20" s="1"/>
  <c r="I358" i="20" s="1"/>
  <c r="I359" i="20" s="1"/>
  <c r="I360" i="20" s="1"/>
  <c r="I361" i="20" s="1"/>
  <c r="I362" i="20" s="1"/>
  <c r="F353" i="20"/>
  <c r="F354" i="20" s="1"/>
  <c r="F355" i="20" s="1"/>
  <c r="F356" i="20" s="1"/>
  <c r="F357" i="20" s="1"/>
  <c r="F358" i="20" s="1"/>
  <c r="F359" i="20" s="1"/>
  <c r="F360" i="20" s="1"/>
  <c r="F361" i="20" s="1"/>
  <c r="F362" i="20" s="1"/>
  <c r="F363" i="20" s="1"/>
  <c r="F364" i="20" s="1"/>
  <c r="F365" i="20" s="1"/>
  <c r="F366" i="20" s="1"/>
  <c r="F367" i="20" s="1"/>
  <c r="F368" i="20" s="1"/>
  <c r="F369" i="20" s="1"/>
  <c r="F370" i="20" s="1"/>
  <c r="F371" i="20" s="1"/>
  <c r="F372" i="20" s="1"/>
  <c r="F373" i="20" s="1"/>
  <c r="F374" i="20" s="1"/>
  <c r="F375" i="20" s="1"/>
  <c r="F376" i="20" s="1"/>
  <c r="F377" i="20" s="1"/>
  <c r="F378" i="20" s="1"/>
  <c r="F379" i="20" s="1"/>
  <c r="F380" i="20" s="1"/>
  <c r="F381" i="20" s="1"/>
  <c r="F382" i="20" s="1"/>
  <c r="F383" i="20" s="1"/>
  <c r="F384" i="20" s="1"/>
  <c r="F385" i="20" s="1"/>
  <c r="F386" i="20" s="1"/>
  <c r="F387" i="20" s="1"/>
  <c r="F388" i="20" s="1"/>
  <c r="F389" i="20" s="1"/>
  <c r="F390" i="20" s="1"/>
  <c r="F391" i="20" s="1"/>
  <c r="F392" i="20" s="1"/>
  <c r="F393" i="20" s="1"/>
  <c r="F394" i="20" s="1"/>
  <c r="F395" i="20" s="1"/>
  <c r="F396" i="20" s="1"/>
  <c r="F397" i="20" s="1"/>
  <c r="F398" i="20" s="1"/>
  <c r="F399" i="20" s="1"/>
  <c r="F400" i="20" s="1"/>
  <c r="F401" i="20" s="1"/>
  <c r="F402" i="20" s="1"/>
  <c r="F403" i="20" s="1"/>
  <c r="F404" i="20" s="1"/>
  <c r="F405" i="20" s="1"/>
  <c r="F406" i="20" s="1"/>
  <c r="F407" i="20" s="1"/>
  <c r="F408" i="20" s="1"/>
  <c r="F409" i="20" s="1"/>
  <c r="F410" i="20" s="1"/>
  <c r="F411" i="20" s="1"/>
  <c r="F412" i="20" s="1"/>
  <c r="F413" i="20" s="1"/>
  <c r="F414" i="20" s="1"/>
  <c r="F415" i="20" s="1"/>
  <c r="F416" i="20" s="1"/>
  <c r="F417" i="20" s="1"/>
  <c r="F418" i="20" s="1"/>
  <c r="F419" i="20" s="1"/>
  <c r="F420" i="20" s="1"/>
  <c r="F421" i="20" s="1"/>
  <c r="F422" i="20" s="1"/>
  <c r="F423" i="20" s="1"/>
  <c r="F424" i="20" s="1"/>
  <c r="F425" i="20" s="1"/>
  <c r="F426" i="20" s="1"/>
  <c r="F427" i="20" s="1"/>
  <c r="F428" i="20" s="1"/>
  <c r="F429" i="20" s="1"/>
  <c r="F430" i="20" s="1"/>
  <c r="F431" i="20" s="1"/>
  <c r="F432" i="20" s="1"/>
  <c r="F433" i="20" s="1"/>
  <c r="F434" i="20" s="1"/>
  <c r="F435" i="20" s="1"/>
  <c r="F436" i="20" s="1"/>
  <c r="F437" i="20" s="1"/>
  <c r="F438" i="20" s="1"/>
  <c r="F439" i="20" s="1"/>
  <c r="F440" i="20" s="1"/>
  <c r="F441" i="20" s="1"/>
  <c r="F442" i="20" s="1"/>
  <c r="F443" i="20" s="1"/>
  <c r="F444" i="20" s="1"/>
  <c r="F445" i="20" s="1"/>
  <c r="F446" i="20" s="1"/>
  <c r="F447" i="20" s="1"/>
  <c r="F448" i="20" s="1"/>
  <c r="F449" i="20" s="1"/>
  <c r="F450" i="20" s="1"/>
  <c r="F451" i="20" s="1"/>
  <c r="F452" i="20" s="1"/>
  <c r="F453" i="20" s="1"/>
  <c r="F454" i="20" s="1"/>
  <c r="F455" i="20" s="1"/>
  <c r="F456" i="20" s="1"/>
  <c r="F457" i="20" s="1"/>
  <c r="F458" i="20" s="1"/>
  <c r="F459" i="20" s="1"/>
  <c r="F460" i="20" s="1"/>
  <c r="F461" i="20" s="1"/>
  <c r="F462" i="20" s="1"/>
  <c r="F463" i="20" s="1"/>
  <c r="F464" i="20" s="1"/>
  <c r="F465" i="20" s="1"/>
  <c r="F466" i="20" s="1"/>
  <c r="F467" i="20" s="1"/>
  <c r="F468" i="20" s="1"/>
  <c r="F469" i="20" s="1"/>
  <c r="F470" i="20" s="1"/>
  <c r="F471" i="20" s="1"/>
  <c r="F472" i="20" s="1"/>
  <c r="F473" i="20" s="1"/>
  <c r="F474" i="20" s="1"/>
  <c r="F475" i="20" s="1"/>
  <c r="F476" i="20" s="1"/>
  <c r="F477" i="20" s="1"/>
  <c r="F478" i="20" s="1"/>
  <c r="F479" i="20" s="1"/>
  <c r="F480" i="20" s="1"/>
  <c r="F481" i="20" s="1"/>
  <c r="F482" i="20" s="1"/>
  <c r="F483" i="20" s="1"/>
  <c r="F484" i="20" s="1"/>
  <c r="F485" i="20" s="1"/>
  <c r="F486" i="20" s="1"/>
  <c r="F487" i="20" s="1"/>
  <c r="F488" i="20" s="1"/>
  <c r="F489" i="20" s="1"/>
  <c r="F490" i="20" s="1"/>
  <c r="F491" i="20" s="1"/>
  <c r="F492" i="20" s="1"/>
  <c r="F493" i="20" s="1"/>
  <c r="F494" i="20" s="1"/>
  <c r="F495" i="20" s="1"/>
  <c r="F496" i="20" s="1"/>
  <c r="F497" i="20" s="1"/>
  <c r="F498" i="20" s="1"/>
  <c r="F499" i="20" s="1"/>
  <c r="F500" i="20" s="1"/>
  <c r="F501" i="20" s="1"/>
  <c r="F502" i="20" s="1"/>
  <c r="F503" i="20" s="1"/>
  <c r="F504" i="20" s="1"/>
  <c r="F505" i="20" s="1"/>
  <c r="F506" i="20" s="1"/>
  <c r="F507" i="20" s="1"/>
  <c r="F508" i="20" s="1"/>
  <c r="F509" i="20" s="1"/>
  <c r="F510" i="20" s="1"/>
  <c r="F511" i="20" s="1"/>
  <c r="F512" i="20" s="1"/>
  <c r="F513" i="20" s="1"/>
  <c r="F514" i="20" s="1"/>
  <c r="F515" i="20" s="1"/>
  <c r="F516" i="20" s="1"/>
  <c r="F517" i="20" s="1"/>
  <c r="F518" i="20" s="1"/>
  <c r="F519" i="20" s="1"/>
  <c r="F520" i="20" s="1"/>
  <c r="F521" i="20" s="1"/>
  <c r="F522" i="20" s="1"/>
  <c r="F523" i="20" s="1"/>
  <c r="F524" i="20" s="1"/>
  <c r="F525" i="20" s="1"/>
  <c r="F526" i="20" s="1"/>
  <c r="F527" i="20" s="1"/>
  <c r="F528" i="20" s="1"/>
  <c r="F529" i="20" s="1"/>
  <c r="F530" i="20" s="1"/>
  <c r="F531" i="20" s="1"/>
  <c r="F532" i="20" s="1"/>
  <c r="F533" i="20" s="1"/>
  <c r="F534" i="20" s="1"/>
  <c r="F535" i="20" s="1"/>
  <c r="F536" i="20" s="1"/>
  <c r="F537" i="20" s="1"/>
  <c r="F538" i="20" s="1"/>
  <c r="F539" i="20" s="1"/>
  <c r="F540" i="20" s="1"/>
  <c r="F541" i="20" s="1"/>
  <c r="F542" i="20" s="1"/>
  <c r="F543" i="20" s="1"/>
  <c r="F544" i="20" s="1"/>
  <c r="F545" i="20" s="1"/>
  <c r="F546" i="20" s="1"/>
  <c r="F547" i="20" s="1"/>
  <c r="F548" i="20" s="1"/>
  <c r="F549" i="20" s="1"/>
  <c r="F550" i="20" s="1"/>
  <c r="F551" i="20" s="1"/>
  <c r="F552" i="20" s="1"/>
  <c r="F553" i="20" s="1"/>
  <c r="F554" i="20" s="1"/>
  <c r="F555" i="20" s="1"/>
  <c r="F556" i="20" s="1"/>
  <c r="F557" i="20" s="1"/>
  <c r="F558" i="20" s="1"/>
  <c r="F559" i="20" s="1"/>
  <c r="F560" i="20" s="1"/>
  <c r="F561" i="20" s="1"/>
  <c r="F562" i="20" s="1"/>
  <c r="F563" i="20" s="1"/>
  <c r="F564" i="20" s="1"/>
  <c r="F565" i="20" s="1"/>
  <c r="F566" i="20" s="1"/>
  <c r="F567" i="20" s="1"/>
  <c r="F568" i="20" s="1"/>
  <c r="F569" i="20" s="1"/>
  <c r="F570" i="20" s="1"/>
  <c r="F571" i="20" s="1"/>
  <c r="F572" i="20" s="1"/>
  <c r="F573" i="20" s="1"/>
  <c r="F574" i="20" s="1"/>
  <c r="F575" i="20" s="1"/>
  <c r="F576" i="20" s="1"/>
  <c r="F577" i="20" s="1"/>
  <c r="F578" i="20" s="1"/>
  <c r="F579" i="20" s="1"/>
  <c r="F580" i="20" s="1"/>
  <c r="F581" i="20" s="1"/>
  <c r="F582" i="20" s="1"/>
  <c r="F583" i="20" s="1"/>
  <c r="F584" i="20" s="1"/>
  <c r="F585" i="20" s="1"/>
  <c r="F586" i="20" s="1"/>
  <c r="F587" i="20" s="1"/>
  <c r="F588" i="20" s="1"/>
  <c r="F589" i="20" s="1"/>
  <c r="F590" i="20" s="1"/>
  <c r="F591" i="20" s="1"/>
  <c r="F592" i="20" s="1"/>
  <c r="F593" i="20" s="1"/>
  <c r="F594" i="20" s="1"/>
  <c r="F595" i="20" s="1"/>
  <c r="F596" i="20" s="1"/>
  <c r="F597" i="20" s="1"/>
  <c r="F598" i="20" s="1"/>
  <c r="F599" i="20" s="1"/>
  <c r="F600" i="20" s="1"/>
  <c r="F601" i="20" s="1"/>
  <c r="F602" i="20" s="1"/>
  <c r="F603" i="20" s="1"/>
  <c r="F604" i="20" s="1"/>
  <c r="F605" i="20" s="1"/>
  <c r="F606" i="20" s="1"/>
  <c r="F607" i="20" s="1"/>
  <c r="F608" i="20" s="1"/>
  <c r="F609" i="20" s="1"/>
  <c r="F610" i="20" s="1"/>
  <c r="F611" i="20" s="1"/>
  <c r="F612" i="20" s="1"/>
  <c r="F613" i="20" s="1"/>
  <c r="F614" i="20" s="1"/>
  <c r="F615" i="20" s="1"/>
  <c r="F616" i="20" s="1"/>
  <c r="F617" i="20" s="1"/>
  <c r="F618" i="20" s="1"/>
  <c r="F619" i="20" s="1"/>
  <c r="F620" i="20" s="1"/>
  <c r="F621" i="20" s="1"/>
  <c r="F622" i="20" s="1"/>
  <c r="F623" i="20" s="1"/>
  <c r="F624" i="20" s="1"/>
  <c r="F625" i="20" s="1"/>
  <c r="F626" i="20" s="1"/>
  <c r="F627" i="20" s="1"/>
  <c r="F628" i="20" s="1"/>
  <c r="F629" i="20" s="1"/>
  <c r="F630" i="20" s="1"/>
  <c r="I363" i="20"/>
  <c r="I364" i="20" s="1"/>
  <c r="I365" i="20" s="1"/>
  <c r="I366" i="20" s="1"/>
  <c r="I367" i="20" s="1"/>
  <c r="I368" i="20" s="1"/>
  <c r="I369" i="20" s="1"/>
  <c r="I370" i="20" s="1"/>
  <c r="I371" i="20" s="1"/>
  <c r="I372" i="20" s="1"/>
  <c r="I373" i="20" s="1"/>
  <c r="I374" i="20" s="1"/>
  <c r="I375" i="20" s="1"/>
  <c r="I376" i="20" s="1"/>
  <c r="I377" i="20" s="1"/>
  <c r="I378" i="20" s="1"/>
  <c r="I379" i="20" s="1"/>
  <c r="I380" i="20" s="1"/>
  <c r="I381" i="20" s="1"/>
  <c r="I382" i="20" s="1"/>
  <c r="I383" i="20" s="1"/>
  <c r="I384" i="20" s="1"/>
  <c r="I385" i="20" s="1"/>
  <c r="I386" i="20" s="1"/>
  <c r="I387" i="20" s="1"/>
  <c r="I388" i="20" s="1"/>
  <c r="I389" i="20" s="1"/>
  <c r="I390" i="20" s="1"/>
  <c r="I391" i="20" s="1"/>
  <c r="I392" i="20" s="1"/>
  <c r="I393" i="20" s="1"/>
  <c r="I394" i="20" s="1"/>
  <c r="I395" i="20" s="1"/>
  <c r="I396" i="20" s="1"/>
  <c r="I397" i="20" s="1"/>
  <c r="I398" i="20" s="1"/>
  <c r="I399" i="20" s="1"/>
  <c r="I400" i="20" s="1"/>
  <c r="I401" i="20" s="1"/>
  <c r="I402" i="20" s="1"/>
  <c r="I403" i="20" s="1"/>
  <c r="I404" i="20" s="1"/>
  <c r="I405" i="20" s="1"/>
  <c r="I406" i="20" s="1"/>
  <c r="I407" i="20" s="1"/>
  <c r="I408" i="20" s="1"/>
  <c r="I409" i="20" s="1"/>
  <c r="I410" i="20" s="1"/>
  <c r="I411" i="20" s="1"/>
  <c r="I412" i="20" s="1"/>
  <c r="I413" i="20" s="1"/>
  <c r="I414" i="20" s="1"/>
  <c r="I415" i="20" s="1"/>
  <c r="I416" i="20" s="1"/>
  <c r="I417" i="20" s="1"/>
  <c r="I418" i="20" s="1"/>
  <c r="I419" i="20" s="1"/>
  <c r="I420" i="20" s="1"/>
  <c r="I421" i="20" s="1"/>
  <c r="I422" i="20" s="1"/>
  <c r="I423" i="20" s="1"/>
  <c r="I424" i="20" s="1"/>
  <c r="I425" i="20" s="1"/>
  <c r="I426" i="20" s="1"/>
  <c r="I427" i="20" s="1"/>
  <c r="I428" i="20" s="1"/>
  <c r="I429" i="20" s="1"/>
  <c r="I430" i="20" s="1"/>
  <c r="I431" i="20" s="1"/>
  <c r="I432" i="20" s="1"/>
  <c r="I433" i="20" s="1"/>
  <c r="I434" i="20" s="1"/>
  <c r="F631" i="20"/>
  <c r="F632" i="20" s="1"/>
  <c r="F633" i="20" s="1"/>
  <c r="F634" i="20" s="1"/>
  <c r="F635" i="20" s="1"/>
  <c r="F636" i="20" s="1"/>
  <c r="F637" i="20" s="1"/>
  <c r="F638" i="20" s="1"/>
  <c r="F639" i="20" s="1"/>
  <c r="F640" i="20" s="1"/>
  <c r="F641" i="20" s="1"/>
  <c r="F642" i="20" s="1"/>
  <c r="L429" i="20"/>
  <c r="L430" i="20" s="1"/>
  <c r="L431" i="20" s="1"/>
  <c r="L432" i="20" s="1"/>
  <c r="L433" i="20" s="1"/>
  <c r="L434" i="20" s="1"/>
  <c r="L435" i="20" s="1"/>
  <c r="L436" i="20" s="1"/>
  <c r="L437" i="20" s="1"/>
  <c r="L438" i="20" s="1"/>
  <c r="L439" i="20" s="1"/>
  <c r="L440" i="20" s="1"/>
  <c r="L441" i="20" s="1"/>
  <c r="L442" i="20" s="1"/>
  <c r="L443" i="20" s="1"/>
  <c r="L444" i="20" s="1"/>
  <c r="L445" i="20" s="1"/>
  <c r="L446" i="20" s="1"/>
  <c r="L447" i="20" s="1"/>
  <c r="L448" i="20" s="1"/>
  <c r="L449" i="20" s="1"/>
  <c r="L450" i="20" s="1"/>
  <c r="L451" i="20" s="1"/>
  <c r="L452" i="20" s="1"/>
  <c r="L453" i="20" s="1"/>
  <c r="L454" i="20" s="1"/>
  <c r="L455" i="20" s="1"/>
  <c r="L456" i="20" s="1"/>
  <c r="L457" i="20" s="1"/>
  <c r="L458" i="20" s="1"/>
  <c r="L459" i="20" s="1"/>
  <c r="L460" i="20" s="1"/>
  <c r="L461" i="20" s="1"/>
  <c r="L462" i="20" s="1"/>
  <c r="L463" i="20" s="1"/>
  <c r="L464" i="20" s="1"/>
  <c r="L465" i="20" s="1"/>
  <c r="L466" i="20" s="1"/>
  <c r="L467" i="20" s="1"/>
  <c r="L468" i="20" s="1"/>
  <c r="L469" i="20" s="1"/>
  <c r="L470" i="20" s="1"/>
  <c r="L471" i="20" s="1"/>
  <c r="L472" i="20" s="1"/>
  <c r="L473" i="20" s="1"/>
  <c r="L474" i="20" s="1"/>
  <c r="L475" i="20" s="1"/>
  <c r="L476" i="20" s="1"/>
  <c r="L477" i="20" s="1"/>
  <c r="L478" i="20" s="1"/>
  <c r="L479" i="20" s="1"/>
  <c r="L480" i="20" s="1"/>
  <c r="L481" i="20" s="1"/>
  <c r="L482" i="20" s="1"/>
  <c r="L483" i="20" s="1"/>
  <c r="L484" i="20" s="1"/>
  <c r="L485" i="20" s="1"/>
  <c r="L486" i="20" s="1"/>
  <c r="L487" i="20" s="1"/>
  <c r="L488" i="20" s="1"/>
  <c r="L489" i="20" s="1"/>
  <c r="L490" i="20" s="1"/>
  <c r="F643" i="20"/>
  <c r="F644" i="20" s="1"/>
  <c r="F645" i="20" s="1"/>
  <c r="F646" i="20" s="1"/>
  <c r="F647" i="20" s="1"/>
  <c r="F648" i="20" s="1"/>
  <c r="F649" i="20" s="1"/>
  <c r="F650" i="20" s="1"/>
  <c r="F651" i="20" s="1"/>
  <c r="F652" i="20" s="1"/>
  <c r="F653" i="20" s="1"/>
  <c r="F654" i="20" s="1"/>
  <c r="F655" i="20" s="1"/>
  <c r="F656" i="20" s="1"/>
  <c r="F657" i="20" s="1"/>
  <c r="F658" i="20" s="1"/>
  <c r="F659" i="20" s="1"/>
  <c r="F660" i="20" s="1"/>
  <c r="F661" i="20" s="1"/>
  <c r="F662" i="20" s="1"/>
  <c r="F663" i="20" s="1"/>
  <c r="F664" i="20" s="1"/>
  <c r="F665" i="20" s="1"/>
  <c r="F666" i="20" s="1"/>
  <c r="F667" i="20" s="1"/>
  <c r="F668" i="20" s="1"/>
  <c r="F669" i="20" s="1"/>
  <c r="F670" i="20" s="1"/>
  <c r="F671" i="20" s="1"/>
  <c r="F672" i="20" s="1"/>
  <c r="F673" i="20" s="1"/>
  <c r="F674" i="20" s="1"/>
  <c r="F675" i="20" s="1"/>
  <c r="F676" i="20" s="1"/>
  <c r="F677" i="20" s="1"/>
  <c r="F678" i="20" s="1"/>
  <c r="F679" i="20" s="1"/>
  <c r="F680" i="20" s="1"/>
  <c r="F681" i="20" s="1"/>
  <c r="F682" i="20" s="1"/>
  <c r="F683" i="20" s="1"/>
  <c r="F684" i="20" s="1"/>
  <c r="F685" i="20" s="1"/>
  <c r="F686" i="20" s="1"/>
  <c r="F687" i="20" s="1"/>
  <c r="F688" i="20" s="1"/>
  <c r="F689" i="20" s="1"/>
  <c r="F690" i="20" s="1"/>
  <c r="F691" i="20" s="1"/>
  <c r="F692" i="20" s="1"/>
  <c r="F693" i="20" s="1"/>
  <c r="F694" i="20" s="1"/>
  <c r="F695" i="20" s="1"/>
  <c r="F696" i="20" s="1"/>
  <c r="F697" i="20" s="1"/>
  <c r="F698" i="20" s="1"/>
  <c r="F699" i="20" s="1"/>
  <c r="F700" i="20" s="1"/>
  <c r="F701" i="20" s="1"/>
  <c r="F702" i="20" s="1"/>
  <c r="F703" i="20" s="1"/>
  <c r="F704" i="20" s="1"/>
  <c r="F705" i="20" s="1"/>
  <c r="F706" i="20" s="1"/>
  <c r="F707" i="20" s="1"/>
  <c r="F708" i="20" s="1"/>
  <c r="F709" i="20" s="1"/>
  <c r="F710" i="20" s="1"/>
  <c r="F711" i="20" s="1"/>
  <c r="F712" i="20" s="1"/>
  <c r="F713" i="20" s="1"/>
  <c r="F714" i="20" s="1"/>
  <c r="F715" i="20" s="1"/>
  <c r="F716" i="20" s="1"/>
  <c r="F717" i="20" s="1"/>
  <c r="F718" i="20" s="1"/>
  <c r="F719" i="20" s="1"/>
  <c r="F720" i="20" s="1"/>
  <c r="F721" i="20" s="1"/>
  <c r="F722" i="20" s="1"/>
  <c r="F723" i="20" s="1"/>
  <c r="F724" i="20" s="1"/>
  <c r="F725" i="20" s="1"/>
  <c r="F726" i="20" s="1"/>
  <c r="F727" i="20" s="1"/>
  <c r="F728" i="20" s="1"/>
  <c r="F729" i="20" s="1"/>
  <c r="F730" i="20" s="1"/>
  <c r="I435" i="20"/>
  <c r="I436" i="20" s="1"/>
  <c r="I437" i="20" s="1"/>
  <c r="I438" i="20" s="1"/>
  <c r="I439" i="20" s="1"/>
  <c r="I440" i="20" s="1"/>
  <c r="I441" i="20" s="1"/>
  <c r="I442" i="20" s="1"/>
  <c r="I443" i="20" s="1"/>
  <c r="I444" i="20" s="1"/>
  <c r="I445" i="20" s="1"/>
  <c r="I446" i="20" s="1"/>
  <c r="I447" i="20" s="1"/>
  <c r="I448" i="20" s="1"/>
  <c r="I449" i="20" s="1"/>
  <c r="I450" i="20" s="1"/>
  <c r="I451" i="20" s="1"/>
  <c r="I452" i="20" s="1"/>
  <c r="I453" i="20" s="1"/>
  <c r="I454" i="20" s="1"/>
  <c r="I455" i="20" s="1"/>
  <c r="I456" i="20" s="1"/>
  <c r="I457" i="20" s="1"/>
  <c r="I458" i="20" s="1"/>
  <c r="I459" i="20" s="1"/>
  <c r="I460" i="20" s="1"/>
  <c r="I461" i="20" s="1"/>
  <c r="I462" i="20" s="1"/>
  <c r="I463" i="20" s="1"/>
  <c r="I464" i="20" s="1"/>
  <c r="I465" i="20" s="1"/>
  <c r="I466" i="20" s="1"/>
  <c r="I467" i="20" s="1"/>
  <c r="I468" i="20" s="1"/>
  <c r="I469" i="20" s="1"/>
  <c r="I470" i="20" s="1"/>
  <c r="I471" i="20" s="1"/>
  <c r="I472" i="20" s="1"/>
  <c r="I473" i="20" s="1"/>
  <c r="I474" i="20" s="1"/>
  <c r="I475" i="20" s="1"/>
  <c r="I476" i="20" s="1"/>
  <c r="I477" i="20" s="1"/>
  <c r="I478" i="20" s="1"/>
  <c r="I479" i="20" s="1"/>
  <c r="I480" i="20" s="1"/>
  <c r="I481" i="20" s="1"/>
  <c r="I482" i="20" s="1"/>
  <c r="I483" i="20" s="1"/>
  <c r="I484" i="20" s="1"/>
  <c r="I485" i="20" s="1"/>
  <c r="I486" i="20" s="1"/>
  <c r="I487" i="20" s="1"/>
  <c r="I488" i="20" s="1"/>
  <c r="I489" i="20" s="1"/>
  <c r="I490" i="20" s="1"/>
  <c r="I491" i="20" s="1"/>
  <c r="I492" i="20" s="1"/>
  <c r="I493" i="20" s="1"/>
  <c r="I494" i="20" s="1"/>
  <c r="I495" i="20" s="1"/>
  <c r="I496" i="20" s="1"/>
  <c r="I497" i="20" s="1"/>
  <c r="L491" i="20"/>
  <c r="L492" i="20" s="1"/>
  <c r="L493" i="20" s="1"/>
  <c r="L494" i="20" s="1"/>
  <c r="L495" i="20" s="1"/>
  <c r="L496" i="20" s="1"/>
  <c r="L497" i="20" s="1"/>
  <c r="L498" i="20" s="1"/>
  <c r="L499" i="20" s="1"/>
  <c r="L500" i="20" s="1"/>
  <c r="L501" i="20" s="1"/>
  <c r="L502" i="20" s="1"/>
  <c r="L503" i="20" s="1"/>
  <c r="L504" i="20" s="1"/>
  <c r="L505" i="20" s="1"/>
  <c r="L506" i="20" s="1"/>
  <c r="L507" i="20" s="1"/>
  <c r="L508" i="20" s="1"/>
  <c r="L509" i="20" s="1"/>
  <c r="L510" i="20" s="1"/>
  <c r="L511" i="20" s="1"/>
  <c r="L512" i="20" s="1"/>
  <c r="L513" i="20" s="1"/>
  <c r="L514" i="20" s="1"/>
  <c r="L515" i="20" s="1"/>
  <c r="L516" i="20" s="1"/>
  <c r="L517" i="20" s="1"/>
  <c r="L518" i="20" s="1"/>
  <c r="L519" i="20" s="1"/>
  <c r="L520" i="20" s="1"/>
  <c r="L521" i="20" s="1"/>
  <c r="L522" i="20" s="1"/>
  <c r="L523" i="20" s="1"/>
  <c r="L524" i="20" s="1"/>
  <c r="L525" i="20" s="1"/>
  <c r="L526" i="20" s="1"/>
  <c r="L527" i="20" s="1"/>
  <c r="L528" i="20" s="1"/>
  <c r="L529" i="20" s="1"/>
  <c r="L530" i="20" s="1"/>
  <c r="L531" i="20" s="1"/>
  <c r="L532" i="20" s="1"/>
  <c r="L533" i="20" s="1"/>
  <c r="L534" i="20" s="1"/>
  <c r="L535" i="20" s="1"/>
  <c r="L536" i="20" s="1"/>
  <c r="L537" i="20" s="1"/>
  <c r="L538" i="20" s="1"/>
  <c r="L539" i="20" s="1"/>
  <c r="L540" i="20" s="1"/>
  <c r="L541" i="20" s="1"/>
  <c r="L542" i="20" s="1"/>
  <c r="L543" i="20" s="1"/>
  <c r="L544" i="20" s="1"/>
  <c r="L545" i="20" s="1"/>
  <c r="L546" i="20" s="1"/>
  <c r="L547" i="20" s="1"/>
  <c r="L548" i="20" s="1"/>
  <c r="L549" i="20" s="1"/>
  <c r="L550" i="20" s="1"/>
  <c r="L551" i="20" s="1"/>
  <c r="L552" i="20" s="1"/>
  <c r="L553" i="20" s="1"/>
  <c r="L554" i="20" s="1"/>
  <c r="L555" i="20" s="1"/>
  <c r="L556" i="20" s="1"/>
  <c r="L557" i="20" s="1"/>
  <c r="L558" i="20" s="1"/>
  <c r="L559" i="20" s="1"/>
  <c r="L560" i="20" s="1"/>
  <c r="L561" i="20" s="1"/>
  <c r="L562" i="20" s="1"/>
  <c r="L563" i="20" s="1"/>
  <c r="L564" i="20" s="1"/>
  <c r="L565" i="20" s="1"/>
  <c r="I498" i="20"/>
  <c r="I499" i="20" s="1"/>
  <c r="I500" i="20" s="1"/>
  <c r="I501" i="20" s="1"/>
  <c r="I502" i="20" s="1"/>
  <c r="I503" i="20" s="1"/>
  <c r="I504" i="20" s="1"/>
  <c r="I505" i="20" s="1"/>
  <c r="I506" i="20" s="1"/>
  <c r="I507" i="20" s="1"/>
  <c r="I508" i="20" s="1"/>
  <c r="I509" i="20" s="1"/>
  <c r="I510" i="20" s="1"/>
  <c r="I511" i="20" s="1"/>
  <c r="I512" i="20" s="1"/>
  <c r="I513" i="20" s="1"/>
  <c r="I514" i="20" s="1"/>
  <c r="I515" i="20" s="1"/>
  <c r="I516" i="20" s="1"/>
  <c r="I517" i="20" s="1"/>
  <c r="I518" i="20" s="1"/>
  <c r="I519" i="20" s="1"/>
  <c r="I520" i="20" s="1"/>
  <c r="I521" i="20" s="1"/>
  <c r="I522" i="20" s="1"/>
  <c r="I523" i="20" s="1"/>
  <c r="I524" i="20" s="1"/>
  <c r="I525" i="20" s="1"/>
  <c r="I526" i="20" s="1"/>
  <c r="I527" i="20" s="1"/>
  <c r="I528" i="20" s="1"/>
  <c r="I529" i="20" s="1"/>
  <c r="I530" i="20" s="1"/>
  <c r="I531" i="20" s="1"/>
  <c r="I532" i="20" s="1"/>
  <c r="I533" i="20" s="1"/>
  <c r="I534" i="20" s="1"/>
  <c r="I535" i="20" s="1"/>
  <c r="I536" i="20" s="1"/>
  <c r="I537" i="20" s="1"/>
  <c r="I538" i="20" s="1"/>
  <c r="I539" i="20" s="1"/>
  <c r="I540" i="20" s="1"/>
  <c r="I541" i="20" s="1"/>
  <c r="I542" i="20" s="1"/>
  <c r="I543" i="20" s="1"/>
  <c r="I544" i="20" s="1"/>
  <c r="I545" i="20" s="1"/>
  <c r="I546" i="20" s="1"/>
  <c r="I547" i="20" s="1"/>
  <c r="I548" i="20" s="1"/>
  <c r="I549" i="20" s="1"/>
  <c r="I550" i="20" s="1"/>
  <c r="I551" i="20" s="1"/>
  <c r="I552" i="20" s="1"/>
  <c r="I553" i="20" s="1"/>
  <c r="I554" i="20" s="1"/>
  <c r="I555" i="20" s="1"/>
  <c r="I556" i="20" s="1"/>
  <c r="I557" i="20" s="1"/>
  <c r="I558" i="20" s="1"/>
  <c r="I559" i="20" s="1"/>
  <c r="I560" i="20" s="1"/>
  <c r="I561" i="20" s="1"/>
  <c r="I562" i="20" s="1"/>
  <c r="I563" i="20" s="1"/>
  <c r="I564" i="20" s="1"/>
  <c r="I565" i="20" s="1"/>
  <c r="I566" i="20" s="1"/>
  <c r="I567" i="20" s="1"/>
  <c r="I568" i="20" s="1"/>
  <c r="I569" i="20" s="1"/>
  <c r="I570" i="20" s="1"/>
  <c r="I571" i="20" s="1"/>
  <c r="I572" i="20" s="1"/>
  <c r="I573" i="20" s="1"/>
  <c r="I574" i="20" s="1"/>
  <c r="I575" i="20" s="1"/>
  <c r="I576" i="20" s="1"/>
  <c r="I577" i="20" s="1"/>
  <c r="I578" i="20" s="1"/>
  <c r="I579" i="20" s="1"/>
  <c r="F731" i="20"/>
  <c r="F732" i="20" s="1"/>
  <c r="F733" i="20" s="1"/>
  <c r="F734" i="20" s="1"/>
  <c r="F735" i="20" s="1"/>
  <c r="F736" i="20" s="1"/>
  <c r="F737" i="20"/>
  <c r="F738" i="20" s="1"/>
  <c r="F739" i="20" s="1"/>
  <c r="F740" i="20" s="1"/>
  <c r="F741" i="20" s="1"/>
  <c r="F742" i="20" s="1"/>
  <c r="F743" i="20" s="1"/>
  <c r="F744" i="20" s="1"/>
  <c r="F745" i="20" s="1"/>
  <c r="F746" i="20" s="1"/>
  <c r="F747" i="20" s="1"/>
  <c r="F748" i="20" s="1"/>
  <c r="F749" i="20" s="1"/>
  <c r="F750" i="20" s="1"/>
  <c r="F751" i="20" s="1"/>
  <c r="F752" i="20" s="1"/>
  <c r="F753" i="20" s="1"/>
  <c r="F754" i="20" s="1"/>
  <c r="F755" i="20" s="1"/>
  <c r="F756" i="20" s="1"/>
  <c r="F757" i="20" s="1"/>
  <c r="F758" i="20" s="1"/>
  <c r="F759" i="20" s="1"/>
  <c r="F760" i="20" s="1"/>
  <c r="F761" i="20" s="1"/>
  <c r="F762" i="20" s="1"/>
  <c r="F763" i="20" s="1"/>
  <c r="F764" i="20" s="1"/>
  <c r="F765" i="20" s="1"/>
  <c r="F766" i="20" s="1"/>
  <c r="F767" i="20" s="1"/>
  <c r="F768" i="20" s="1"/>
  <c r="F769" i="20" s="1"/>
  <c r="F770" i="20" s="1"/>
  <c r="F771" i="20" s="1"/>
  <c r="F772" i="20" s="1"/>
  <c r="F773" i="20" s="1"/>
  <c r="F774" i="20" s="1"/>
  <c r="F775" i="20" s="1"/>
  <c r="F776" i="20" s="1"/>
  <c r="F777" i="20" s="1"/>
  <c r="F778" i="20" s="1"/>
  <c r="F779" i="20" s="1"/>
  <c r="F780" i="20" s="1"/>
  <c r="F781" i="20" s="1"/>
  <c r="F782" i="20" s="1"/>
  <c r="F783" i="20" s="1"/>
  <c r="F784" i="20" s="1"/>
  <c r="F785" i="20" s="1"/>
  <c r="F786" i="20" s="1"/>
  <c r="F787" i="20" s="1"/>
  <c r="F788" i="20" s="1"/>
  <c r="F789" i="20" s="1"/>
  <c r="F790" i="20" s="1"/>
  <c r="F791" i="20" s="1"/>
  <c r="F792" i="20" s="1"/>
  <c r="F793" i="20" s="1"/>
  <c r="F794" i="20" s="1"/>
  <c r="F795" i="20" s="1"/>
  <c r="F796" i="20" s="1"/>
  <c r="F797" i="20" s="1"/>
  <c r="F798" i="20" s="1"/>
  <c r="F799" i="20" s="1"/>
  <c r="F800" i="20" s="1"/>
  <c r="L566" i="20"/>
  <c r="L567" i="20" s="1"/>
  <c r="L568" i="20" s="1"/>
  <c r="L569" i="20" s="1"/>
  <c r="L570" i="20" s="1"/>
  <c r="L571" i="20" s="1"/>
  <c r="L572" i="20" s="1"/>
  <c r="L573" i="20" s="1"/>
  <c r="L574" i="20" s="1"/>
  <c r="L575" i="20" s="1"/>
  <c r="L576" i="20" s="1"/>
  <c r="L577" i="20" s="1"/>
  <c r="L578" i="20" s="1"/>
  <c r="L579" i="20" s="1"/>
  <c r="L580" i="20" s="1"/>
  <c r="L581" i="20" s="1"/>
  <c r="L582" i="20" s="1"/>
  <c r="L583" i="20" s="1"/>
  <c r="L584" i="20" s="1"/>
  <c r="L585" i="20" s="1"/>
  <c r="L586" i="20" s="1"/>
  <c r="L587" i="20" s="1"/>
  <c r="L588" i="20" s="1"/>
  <c r="L589" i="20" s="1"/>
  <c r="L590" i="20" s="1"/>
  <c r="L591" i="20" s="1"/>
  <c r="L592" i="20" s="1"/>
  <c r="L593" i="20" s="1"/>
  <c r="L594" i="20" s="1"/>
  <c r="L595" i="20" s="1"/>
  <c r="L596" i="20" s="1"/>
  <c r="L597" i="20" s="1"/>
  <c r="L598" i="20" s="1"/>
  <c r="L599" i="20" s="1"/>
  <c r="L600" i="20" s="1"/>
  <c r="L601" i="20" s="1"/>
  <c r="L602" i="20" s="1"/>
  <c r="L603" i="20" s="1"/>
  <c r="L604" i="20" s="1"/>
  <c r="L605" i="20" s="1"/>
  <c r="L606" i="20" s="1"/>
  <c r="L607" i="20" s="1"/>
  <c r="L608" i="20" s="1"/>
  <c r="L609" i="20" s="1"/>
  <c r="L610" i="20" s="1"/>
  <c r="L611" i="20" s="1"/>
  <c r="L612" i="20" s="1"/>
  <c r="L613" i="20" s="1"/>
  <c r="L614" i="20" s="1"/>
  <c r="L615" i="20" s="1"/>
  <c r="L616" i="20" s="1"/>
  <c r="L617" i="20" s="1"/>
  <c r="L618" i="20" s="1"/>
  <c r="L619" i="20" s="1"/>
  <c r="L620" i="20" s="1"/>
  <c r="L621" i="20" s="1"/>
  <c r="L622" i="20" s="1"/>
  <c r="L623" i="20" s="1"/>
  <c r="L624" i="20" s="1"/>
  <c r="L625" i="20" s="1"/>
  <c r="L626" i="20" s="1"/>
  <c r="L627" i="20" s="1"/>
  <c r="L628" i="20" s="1"/>
  <c r="L629" i="20" s="1"/>
  <c r="L630" i="20" s="1"/>
  <c r="L631" i="20" s="1"/>
  <c r="L632" i="20" s="1"/>
  <c r="L633" i="20" s="1"/>
  <c r="L634" i="20" s="1"/>
  <c r="L635" i="20" s="1"/>
  <c r="L636" i="20" s="1"/>
  <c r="L637" i="20" s="1"/>
  <c r="L638" i="20" s="1"/>
  <c r="L639" i="20" s="1"/>
  <c r="L640" i="20" s="1"/>
  <c r="L641" i="20" s="1"/>
  <c r="L642" i="20" s="1"/>
  <c r="L643" i="20" s="1"/>
  <c r="L644" i="20" s="1"/>
  <c r="L645" i="20" s="1"/>
  <c r="L646" i="20" s="1"/>
  <c r="L647" i="20" s="1"/>
  <c r="L648" i="20" s="1"/>
  <c r="L649" i="20" s="1"/>
  <c r="L650" i="20" s="1"/>
  <c r="L651" i="20" s="1"/>
  <c r="L652" i="20" s="1"/>
  <c r="L653" i="20" s="1"/>
  <c r="L654" i="20" s="1"/>
  <c r="L655" i="20" s="1"/>
  <c r="L656" i="20" s="1"/>
  <c r="L657" i="20" s="1"/>
  <c r="L658" i="20" s="1"/>
  <c r="L659" i="20" s="1"/>
  <c r="L660" i="20" s="1"/>
  <c r="L661" i="20" s="1"/>
  <c r="L662" i="20" s="1"/>
  <c r="L663" i="20" s="1"/>
  <c r="L664" i="20" s="1"/>
  <c r="L665" i="20" s="1"/>
  <c r="L666" i="20" s="1"/>
  <c r="L667" i="20" s="1"/>
  <c r="L668" i="20" s="1"/>
  <c r="L669" i="20" s="1"/>
  <c r="L670" i="20" s="1"/>
  <c r="L671" i="20" s="1"/>
  <c r="L672" i="20" s="1"/>
  <c r="L673" i="20" s="1"/>
  <c r="L674" i="20" s="1"/>
  <c r="L675" i="20" s="1"/>
  <c r="L676" i="20" s="1"/>
  <c r="L677" i="20" s="1"/>
  <c r="L678" i="20" s="1"/>
  <c r="L679" i="20" s="1"/>
  <c r="L680" i="20" s="1"/>
  <c r="L681" i="20" s="1"/>
  <c r="L682" i="20" s="1"/>
  <c r="L683" i="20" s="1"/>
  <c r="L684" i="20" s="1"/>
  <c r="L685" i="20" s="1"/>
  <c r="L686" i="20" s="1"/>
  <c r="L687" i="20" s="1"/>
  <c r="L688" i="20" s="1"/>
  <c r="L689" i="20" s="1"/>
  <c r="L690" i="20" s="1"/>
  <c r="L691" i="20" s="1"/>
  <c r="L692" i="20" s="1"/>
  <c r="L693" i="20" s="1"/>
  <c r="L694" i="20" s="1"/>
  <c r="L695" i="20" s="1"/>
  <c r="L696" i="20" s="1"/>
  <c r="L697" i="20" s="1"/>
  <c r="L698" i="20" s="1"/>
  <c r="L699" i="20" s="1"/>
  <c r="L700" i="20" s="1"/>
  <c r="F801" i="20"/>
  <c r="F802" i="20" s="1"/>
  <c r="F803" i="20" s="1"/>
  <c r="F804" i="20" s="1"/>
  <c r="F805" i="20" s="1"/>
  <c r="F806" i="20" s="1"/>
  <c r="F807" i="20" s="1"/>
  <c r="F808" i="20" s="1"/>
  <c r="F809" i="20" s="1"/>
  <c r="F810" i="20" s="1"/>
  <c r="F811" i="20" s="1"/>
  <c r="F812" i="20" s="1"/>
  <c r="F813" i="20" s="1"/>
  <c r="F814" i="20" s="1"/>
  <c r="F815" i="20" s="1"/>
  <c r="F816" i="20" s="1"/>
  <c r="F817" i="20" s="1"/>
  <c r="F818" i="20" s="1"/>
  <c r="F819" i="20" s="1"/>
  <c r="F820" i="20" s="1"/>
  <c r="F821" i="20" s="1"/>
  <c r="F822" i="20" s="1"/>
  <c r="F823" i="20" s="1"/>
  <c r="F824" i="20" s="1"/>
  <c r="F825" i="20" s="1"/>
  <c r="F826" i="20" s="1"/>
  <c r="F827" i="20" s="1"/>
  <c r="F828" i="20" s="1"/>
  <c r="F829" i="20" s="1"/>
  <c r="F830" i="20" s="1"/>
  <c r="F831" i="20" s="1"/>
  <c r="F832" i="20" s="1"/>
  <c r="F833" i="20" s="1"/>
  <c r="F834" i="20" s="1"/>
  <c r="F835" i="20" s="1"/>
  <c r="F836" i="20" s="1"/>
  <c r="F837" i="20" s="1"/>
  <c r="F838" i="20" s="1"/>
  <c r="F839" i="20" s="1"/>
  <c r="F840" i="20" s="1"/>
  <c r="F841" i="20" s="1"/>
  <c r="F842" i="20" s="1"/>
  <c r="I580" i="20"/>
  <c r="I581" i="20" s="1"/>
  <c r="I582" i="20" s="1"/>
  <c r="I583" i="20" s="1"/>
  <c r="I584" i="20" s="1"/>
  <c r="I585" i="20" s="1"/>
  <c r="I586" i="20" s="1"/>
  <c r="I587" i="20" s="1"/>
  <c r="I588" i="20" s="1"/>
  <c r="I589" i="20" s="1"/>
  <c r="I590" i="20" s="1"/>
  <c r="I591" i="20" s="1"/>
  <c r="I592" i="20" s="1"/>
  <c r="I593" i="20" s="1"/>
  <c r="I594" i="20" s="1"/>
  <c r="I595" i="20" s="1"/>
  <c r="I596" i="20" s="1"/>
  <c r="I597" i="20" s="1"/>
  <c r="I598" i="20" s="1"/>
  <c r="I599" i="20" s="1"/>
  <c r="I600" i="20" s="1"/>
  <c r="I601" i="20" s="1"/>
  <c r="I602" i="20" s="1"/>
  <c r="F843" i="20"/>
  <c r="F844" i="20" s="1"/>
  <c r="F845" i="20" s="1"/>
  <c r="F846" i="20" s="1"/>
  <c r="F847" i="20" s="1"/>
  <c r="F848" i="20" s="1"/>
  <c r="F849" i="20" s="1"/>
  <c r="F850" i="20" s="1"/>
  <c r="F851" i="20" s="1"/>
  <c r="F852" i="20" s="1"/>
  <c r="F853" i="20" s="1"/>
  <c r="F854" i="20" s="1"/>
  <c r="F855" i="20" s="1"/>
  <c r="F856" i="20" s="1"/>
  <c r="F857" i="20" s="1"/>
  <c r="F858" i="20" s="1"/>
  <c r="F859" i="20" s="1"/>
  <c r="F860" i="20" s="1"/>
  <c r="F861" i="20" s="1"/>
  <c r="F862" i="20" s="1"/>
  <c r="F863" i="20" s="1"/>
  <c r="F864" i="20" s="1"/>
  <c r="F865" i="20" s="1"/>
  <c r="F866" i="20" s="1"/>
  <c r="F867" i="20" s="1"/>
  <c r="F868" i="20" s="1"/>
  <c r="F869" i="20" s="1"/>
  <c r="F870" i="20" s="1"/>
  <c r="F871" i="20" s="1"/>
  <c r="F872" i="20" s="1"/>
  <c r="F873" i="20" s="1"/>
  <c r="F874" i="20" s="1"/>
  <c r="F875" i="20" s="1"/>
  <c r="F876" i="20" s="1"/>
  <c r="F877" i="20" s="1"/>
  <c r="F878" i="20" s="1"/>
  <c r="F879" i="20" s="1"/>
  <c r="F880" i="20" s="1"/>
  <c r="F881" i="20" s="1"/>
  <c r="F882" i="20" s="1"/>
  <c r="F883" i="20" s="1"/>
  <c r="F884" i="20" s="1"/>
  <c r="F885" i="20" s="1"/>
  <c r="F886" i="20" s="1"/>
  <c r="F887" i="20" s="1"/>
  <c r="F888" i="20" s="1"/>
  <c r="F889" i="20" s="1"/>
  <c r="F890" i="20" s="1"/>
  <c r="F891" i="20" s="1"/>
  <c r="F892" i="20" s="1"/>
  <c r="F893" i="20" s="1"/>
  <c r="F894" i="20" s="1"/>
  <c r="F895" i="20" s="1"/>
  <c r="F896" i="20" s="1"/>
  <c r="F897" i="20" s="1"/>
  <c r="F898" i="20" s="1"/>
  <c r="F899" i="20" s="1"/>
  <c r="F900" i="20" s="1"/>
  <c r="F901" i="20" s="1"/>
  <c r="F902" i="20" s="1"/>
  <c r="F903" i="20" s="1"/>
  <c r="F904" i="20" s="1"/>
  <c r="F905" i="20" s="1"/>
  <c r="F906" i="20"/>
  <c r="F907" i="20" s="1"/>
  <c r="I603" i="20"/>
  <c r="I604" i="20" s="1"/>
  <c r="I605" i="20" s="1"/>
  <c r="I606" i="20" s="1"/>
  <c r="I607" i="20" s="1"/>
  <c r="I608" i="20" s="1"/>
  <c r="I609" i="20" s="1"/>
  <c r="I610" i="20" s="1"/>
  <c r="I611" i="20" s="1"/>
  <c r="I612" i="20" s="1"/>
  <c r="I613" i="20" s="1"/>
  <c r="I614" i="20" s="1"/>
  <c r="I615" i="20" s="1"/>
  <c r="I616" i="20" s="1"/>
  <c r="I617" i="20" s="1"/>
  <c r="I618" i="20" s="1"/>
  <c r="I619" i="20" s="1"/>
  <c r="I620" i="20" s="1"/>
  <c r="I621" i="20" s="1"/>
  <c r="I622" i="20" s="1"/>
  <c r="I623" i="20" s="1"/>
  <c r="I624" i="20" s="1"/>
  <c r="I625" i="20" s="1"/>
  <c r="I626" i="20" s="1"/>
  <c r="I627" i="20" s="1"/>
  <c r="I628" i="20" s="1"/>
  <c r="I629" i="20" s="1"/>
  <c r="I630" i="20" s="1"/>
  <c r="I631" i="20" s="1"/>
  <c r="I632" i="20" s="1"/>
  <c r="I633" i="20" s="1"/>
  <c r="I634" i="20" s="1"/>
  <c r="I635" i="20" s="1"/>
  <c r="I636" i="20" s="1"/>
  <c r="I637" i="20" s="1"/>
  <c r="I638" i="20" s="1"/>
  <c r="I639" i="20" s="1"/>
  <c r="I640" i="20" s="1"/>
  <c r="I641" i="20" s="1"/>
  <c r="I642" i="20" s="1"/>
  <c r="I643" i="20" s="1"/>
  <c r="I644" i="20" s="1"/>
  <c r="I645" i="20" s="1"/>
  <c r="I646" i="20" s="1"/>
  <c r="I647" i="20" s="1"/>
  <c r="I648" i="20" s="1"/>
  <c r="I649" i="20" s="1"/>
  <c r="I650" i="20" s="1"/>
  <c r="I651" i="20" s="1"/>
  <c r="I652" i="20" s="1"/>
  <c r="I653" i="20" s="1"/>
  <c r="I654" i="20" s="1"/>
  <c r="I655" i="20" s="1"/>
  <c r="I656" i="20" s="1"/>
  <c r="I657" i="20" s="1"/>
  <c r="I658" i="20" s="1"/>
  <c r="I659" i="20" s="1"/>
  <c r="I660" i="20" s="1"/>
  <c r="I661" i="20" s="1"/>
  <c r="I662" i="20" s="1"/>
  <c r="I663" i="20" s="1"/>
  <c r="I664" i="20" s="1"/>
  <c r="I665" i="20" s="1"/>
  <c r="I666" i="20" s="1"/>
  <c r="I667" i="20" s="1"/>
  <c r="I668" i="20" s="1"/>
  <c r="I669" i="20" s="1"/>
  <c r="I670" i="20" s="1"/>
  <c r="I671" i="20" s="1"/>
  <c r="I672" i="20" s="1"/>
  <c r="I673" i="20" s="1"/>
  <c r="I674" i="20" s="1"/>
  <c r="I675" i="20" s="1"/>
  <c r="I676" i="20" s="1"/>
  <c r="I677" i="20" s="1"/>
  <c r="I678" i="20" s="1"/>
  <c r="I679" i="20" s="1"/>
  <c r="I680" i="20" s="1"/>
  <c r="I681" i="20" s="1"/>
  <c r="I682" i="20" s="1"/>
  <c r="I683" i="20" s="1"/>
  <c r="I684" i="20" s="1"/>
  <c r="I685" i="20" s="1"/>
  <c r="I686" i="20" s="1"/>
  <c r="I687" i="20" s="1"/>
  <c r="I688" i="20" s="1"/>
  <c r="I689" i="20" s="1"/>
  <c r="I690" i="20" s="1"/>
  <c r="I691" i="20" s="1"/>
  <c r="I692" i="20" s="1"/>
  <c r="I693" i="20" s="1"/>
  <c r="I694" i="20" s="1"/>
  <c r="I695" i="20" s="1"/>
  <c r="I696" i="20" s="1"/>
  <c r="I697" i="20" s="1"/>
  <c r="I698" i="20" s="1"/>
  <c r="I699" i="20" s="1"/>
  <c r="I700" i="20" s="1"/>
  <c r="I701" i="20" s="1"/>
  <c r="I702" i="20" s="1"/>
  <c r="I703" i="20" s="1"/>
  <c r="I704" i="20" s="1"/>
  <c r="I705" i="20" s="1"/>
  <c r="I706" i="20" s="1"/>
  <c r="I707" i="20" s="1"/>
  <c r="I708" i="20" s="1"/>
  <c r="I709" i="20" s="1"/>
  <c r="I710" i="20" s="1"/>
  <c r="I711" i="20" s="1"/>
  <c r="I712" i="20" s="1"/>
  <c r="I713" i="20" s="1"/>
  <c r="I714" i="20" s="1"/>
  <c r="I715" i="20" s="1"/>
  <c r="I716" i="20" s="1"/>
  <c r="I717" i="20" s="1"/>
  <c r="I718" i="20" s="1"/>
  <c r="I719" i="20" s="1"/>
  <c r="I720" i="20" s="1"/>
  <c r="I721" i="20" s="1"/>
  <c r="I722" i="20" s="1"/>
  <c r="I723" i="20" s="1"/>
  <c r="I724" i="20" s="1"/>
  <c r="I725" i="20" s="1"/>
  <c r="I726" i="20" s="1"/>
  <c r="I727" i="20" s="1"/>
  <c r="I728" i="20" s="1"/>
  <c r="I729" i="20" s="1"/>
  <c r="I730" i="20" s="1"/>
  <c r="I731" i="20" s="1"/>
  <c r="I732" i="20" s="1"/>
  <c r="I733" i="20" s="1"/>
  <c r="I734" i="20" s="1"/>
  <c r="I735" i="20" s="1"/>
  <c r="I736" i="20" s="1"/>
  <c r="I737" i="20" s="1"/>
  <c r="I738" i="20" s="1"/>
  <c r="I739" i="20" s="1"/>
  <c r="I740" i="20" s="1"/>
  <c r="I741" i="20" s="1"/>
  <c r="I742" i="20" s="1"/>
  <c r="I743" i="20" s="1"/>
  <c r="I744" i="20" s="1"/>
  <c r="I745" i="20" s="1"/>
  <c r="I746" i="20" s="1"/>
  <c r="I747" i="20" s="1"/>
  <c r="I748" i="20" s="1"/>
  <c r="I749" i="20" s="1"/>
  <c r="I750" i="20" s="1"/>
  <c r="I751" i="20" s="1"/>
  <c r="I752" i="20" s="1"/>
  <c r="I753" i="20" s="1"/>
  <c r="I754" i="20" s="1"/>
  <c r="I755" i="20" s="1"/>
  <c r="I756" i="20" s="1"/>
  <c r="I757" i="20" s="1"/>
  <c r="I758" i="20" s="1"/>
  <c r="I759" i="20" s="1"/>
  <c r="I760" i="20" s="1"/>
  <c r="I761" i="20" s="1"/>
  <c r="I762" i="20" s="1"/>
  <c r="I763" i="20" s="1"/>
  <c r="I764" i="20" s="1"/>
  <c r="I765" i="20" s="1"/>
  <c r="I766" i="20" s="1"/>
  <c r="I767" i="20" s="1"/>
  <c r="I768" i="20" s="1"/>
  <c r="I769" i="20" s="1"/>
  <c r="I770" i="20" s="1"/>
  <c r="I771" i="20" s="1"/>
  <c r="I772" i="20" s="1"/>
  <c r="I773" i="20" s="1"/>
  <c r="I774" i="20" s="1"/>
  <c r="I775" i="20" s="1"/>
  <c r="I776" i="20" s="1"/>
  <c r="I777" i="20" s="1"/>
  <c r="I778" i="20" s="1"/>
  <c r="I779" i="20" s="1"/>
  <c r="I780" i="20" s="1"/>
  <c r="I781" i="20" s="1"/>
  <c r="I782" i="20" s="1"/>
  <c r="I783" i="20" s="1"/>
  <c r="I784" i="20" s="1"/>
  <c r="I785" i="20" s="1"/>
  <c r="I786" i="20" s="1"/>
  <c r="I787" i="20" s="1"/>
  <c r="I788" i="20" s="1"/>
  <c r="I789" i="20" s="1"/>
  <c r="I790" i="20" s="1"/>
  <c r="I791" i="20" s="1"/>
  <c r="I792" i="20" s="1"/>
  <c r="I793" i="20" s="1"/>
  <c r="I794" i="20" s="1"/>
  <c r="I795" i="20" s="1"/>
  <c r="I796" i="20" s="1"/>
  <c r="I797" i="20" s="1"/>
  <c r="I798" i="20" s="1"/>
  <c r="I799" i="20" s="1"/>
  <c r="I800" i="20" s="1"/>
  <c r="I801" i="20" s="1"/>
  <c r="I802" i="20" s="1"/>
  <c r="I803" i="20" s="1"/>
  <c r="I804" i="20" s="1"/>
  <c r="I805" i="20" s="1"/>
  <c r="I806" i="20" s="1"/>
  <c r="I807" i="20" s="1"/>
  <c r="I808" i="20" s="1"/>
  <c r="I809" i="20" s="1"/>
  <c r="I810" i="20"/>
  <c r="I811" i="20" s="1"/>
  <c r="I812" i="20" s="1"/>
  <c r="I813" i="20" s="1"/>
  <c r="I814" i="20" s="1"/>
  <c r="I815" i="20" s="1"/>
  <c r="I816" i="20" s="1"/>
  <c r="I817" i="20" s="1"/>
  <c r="I818" i="20" s="1"/>
  <c r="I819" i="20" s="1"/>
  <c r="I820" i="20" s="1"/>
  <c r="I821" i="20" s="1"/>
  <c r="I822" i="20" s="1"/>
  <c r="I823" i="20" s="1"/>
  <c r="I824" i="20" s="1"/>
  <c r="I825" i="20" s="1"/>
  <c r="I826" i="20" s="1"/>
  <c r="I827" i="20" s="1"/>
  <c r="I828" i="20" s="1"/>
  <c r="I829" i="20" s="1"/>
  <c r="I830" i="20" s="1"/>
  <c r="I831" i="20" s="1"/>
  <c r="I832" i="20" s="1"/>
  <c r="I833" i="20" s="1"/>
  <c r="I834" i="20" s="1"/>
  <c r="I835" i="20" s="1"/>
  <c r="I836" i="20" s="1"/>
  <c r="I837" i="20" s="1"/>
  <c r="I838" i="20" s="1"/>
  <c r="I839" i="20" s="1"/>
  <c r="I840" i="20" s="1"/>
  <c r="I841" i="20" s="1"/>
  <c r="I842" i="20" s="1"/>
  <c r="I843" i="20" s="1"/>
  <c r="I844" i="20" s="1"/>
  <c r="I845" i="20" s="1"/>
  <c r="I846" i="20" s="1"/>
  <c r="I847" i="20" s="1"/>
  <c r="I848" i="20" s="1"/>
  <c r="I849" i="20" s="1"/>
  <c r="I850" i="20" s="1"/>
  <c r="I851" i="20" s="1"/>
  <c r="I852" i="20" s="1"/>
  <c r="I853" i="20" s="1"/>
  <c r="I854" i="20" s="1"/>
  <c r="I855" i="20" s="1"/>
  <c r="I856" i="20" s="1"/>
  <c r="I857" i="20" s="1"/>
  <c r="I858" i="20" s="1"/>
  <c r="I859" i="20" s="1"/>
  <c r="I860" i="20" s="1"/>
  <c r="I861" i="20" s="1"/>
  <c r="I862" i="20" s="1"/>
  <c r="I863" i="20" s="1"/>
  <c r="I864" i="20" s="1"/>
  <c r="I865" i="20" s="1"/>
  <c r="I866" i="20" s="1"/>
  <c r="I867" i="20" s="1"/>
  <c r="I868" i="20" s="1"/>
  <c r="I869" i="20" s="1"/>
  <c r="I870" i="20" s="1"/>
  <c r="I871" i="20" s="1"/>
  <c r="I872" i="20" s="1"/>
  <c r="I873" i="20" s="1"/>
  <c r="I874" i="20" s="1"/>
  <c r="I875" i="20" s="1"/>
  <c r="I876" i="20" s="1"/>
  <c r="I877" i="20" s="1"/>
  <c r="I878" i="20" s="1"/>
  <c r="I879" i="20" s="1"/>
  <c r="I880" i="20" s="1"/>
  <c r="I881" i="20" s="1"/>
  <c r="I882" i="20" s="1"/>
  <c r="I883" i="20" s="1"/>
  <c r="I884" i="20" s="1"/>
  <c r="I885" i="20" s="1"/>
  <c r="I886" i="20" s="1"/>
  <c r="I887" i="20" s="1"/>
  <c r="I888" i="20" s="1"/>
  <c r="I889" i="20" s="1"/>
  <c r="I890" i="20" s="1"/>
  <c r="I891" i="20" s="1"/>
  <c r="I892" i="20" s="1"/>
  <c r="I893" i="20" s="1"/>
  <c r="I894" i="20" s="1"/>
  <c r="I895" i="20" s="1"/>
  <c r="I896" i="20" s="1"/>
  <c r="I897" i="20" s="1"/>
  <c r="I898" i="20" s="1"/>
  <c r="I899" i="20" s="1"/>
  <c r="I900" i="20" s="1"/>
  <c r="I901" i="20" s="1"/>
  <c r="I902" i="20" s="1"/>
  <c r="I903" i="20" s="1"/>
  <c r="I904" i="20" s="1"/>
  <c r="I905" i="20" s="1"/>
  <c r="I906" i="20" s="1"/>
  <c r="I907" i="20" s="1"/>
  <c r="I908" i="20" s="1"/>
  <c r="I909" i="20" s="1"/>
  <c r="I910" i="20" s="1"/>
  <c r="I911" i="20" s="1"/>
  <c r="I912" i="20" s="1"/>
  <c r="I913" i="20" s="1"/>
  <c r="I914" i="20" s="1"/>
  <c r="I915" i="20" s="1"/>
  <c r="I916" i="20" s="1"/>
  <c r="I917" i="20" s="1"/>
  <c r="I918" i="20" s="1"/>
  <c r="I919" i="20" s="1"/>
  <c r="I920" i="20" s="1"/>
  <c r="I921" i="20" s="1"/>
  <c r="I922" i="20" s="1"/>
  <c r="I923" i="20" s="1"/>
  <c r="I924" i="20" s="1"/>
  <c r="I925" i="20" s="1"/>
  <c r="I926" i="20" s="1"/>
  <c r="I927" i="20" s="1"/>
  <c r="I928" i="20" s="1"/>
  <c r="I929" i="20" s="1"/>
  <c r="I930" i="20" s="1"/>
  <c r="I931" i="20" s="1"/>
  <c r="I932" i="20" s="1"/>
  <c r="I933" i="20" s="1"/>
  <c r="I934" i="20" s="1"/>
  <c r="I935" i="20" s="1"/>
  <c r="I936" i="20" s="1"/>
  <c r="I937" i="20" s="1"/>
  <c r="I938" i="20" s="1"/>
  <c r="I939" i="20" s="1"/>
  <c r="I940" i="20" s="1"/>
  <c r="I941" i="20" s="1"/>
  <c r="I942" i="20" s="1"/>
  <c r="I943" i="20" s="1"/>
  <c r="I944" i="20" s="1"/>
  <c r="I945" i="20" s="1"/>
  <c r="I946" i="20" s="1"/>
  <c r="I947" i="20" s="1"/>
  <c r="I948" i="20" s="1"/>
  <c r="I949" i="20" s="1"/>
  <c r="I950" i="20" s="1"/>
  <c r="I951" i="20" s="1"/>
  <c r="I952" i="20" s="1"/>
  <c r="I953" i="20" s="1"/>
  <c r="I954" i="20" s="1"/>
  <c r="I955" i="20" s="1"/>
  <c r="I956" i="20" s="1"/>
  <c r="I957" i="20" s="1"/>
  <c r="I958" i="20" s="1"/>
  <c r="I959" i="20" s="1"/>
  <c r="I960" i="20" s="1"/>
  <c r="I961" i="20" s="1"/>
  <c r="I962" i="20" s="1"/>
  <c r="I963" i="20" s="1"/>
  <c r="I964" i="20" s="1"/>
  <c r="I965" i="20" s="1"/>
  <c r="I966" i="20" s="1"/>
  <c r="I967" i="20" s="1"/>
  <c r="I968" i="20" s="1"/>
  <c r="I969" i="20" s="1"/>
  <c r="I970" i="20" s="1"/>
  <c r="I971" i="20" s="1"/>
  <c r="I972" i="20" s="1"/>
  <c r="I973" i="20" s="1"/>
  <c r="I974" i="20" s="1"/>
  <c r="I975" i="20" s="1"/>
  <c r="I976" i="20" s="1"/>
  <c r="I977" i="20" s="1"/>
  <c r="I978" i="20" s="1"/>
  <c r="I979" i="20" s="1"/>
  <c r="I980" i="20" s="1"/>
  <c r="I981" i="20" s="1"/>
  <c r="I982" i="20" s="1"/>
  <c r="I983" i="20" s="1"/>
  <c r="I984" i="20" s="1"/>
  <c r="I985" i="20" s="1"/>
  <c r="I986" i="20" s="1"/>
  <c r="I987" i="20" s="1"/>
  <c r="I988" i="20" s="1"/>
  <c r="I989" i="20" s="1"/>
  <c r="I990" i="20" s="1"/>
  <c r="I991" i="20" s="1"/>
  <c r="I992" i="20" s="1"/>
  <c r="I993" i="20" s="1"/>
  <c r="I994" i="20" s="1"/>
  <c r="I995" i="20" s="1"/>
  <c r="F908" i="20"/>
  <c r="F909" i="20" s="1"/>
  <c r="F910" i="20" s="1"/>
  <c r="F911" i="20" s="1"/>
  <c r="F912" i="20" s="1"/>
  <c r="F913" i="20" s="1"/>
  <c r="F914" i="20" s="1"/>
  <c r="F915" i="20" s="1"/>
  <c r="F916" i="20" s="1"/>
  <c r="F917" i="20" s="1"/>
  <c r="F918" i="20" s="1"/>
  <c r="F919" i="20" s="1"/>
  <c r="F920" i="20" s="1"/>
  <c r="F921" i="20" s="1"/>
  <c r="F922" i="20" s="1"/>
  <c r="F923" i="20" s="1"/>
  <c r="F924" i="20"/>
  <c r="F925" i="20" s="1"/>
  <c r="F926" i="20" s="1"/>
  <c r="F927" i="20" s="1"/>
  <c r="F928" i="20" s="1"/>
  <c r="F929" i="20" s="1"/>
  <c r="F930" i="20" s="1"/>
  <c r="F931" i="20" s="1"/>
  <c r="F932" i="20" s="1"/>
  <c r="F933" i="20" s="1"/>
  <c r="F934" i="20" s="1"/>
  <c r="F935" i="20" s="1"/>
  <c r="F936" i="20" s="1"/>
  <c r="F937" i="20" s="1"/>
  <c r="F938" i="20"/>
  <c r="F939" i="20" s="1"/>
  <c r="F940" i="20" s="1"/>
  <c r="F941" i="20" s="1"/>
  <c r="F942" i="20" s="1"/>
  <c r="F943" i="20" s="1"/>
  <c r="F944" i="20" s="1"/>
  <c r="F945" i="20" s="1"/>
  <c r="F946" i="20" s="1"/>
  <c r="F947" i="20" s="1"/>
  <c r="F948" i="20" s="1"/>
  <c r="F949" i="20" s="1"/>
  <c r="F950" i="20" s="1"/>
  <c r="F951" i="20"/>
  <c r="F952" i="20" s="1"/>
  <c r="F953" i="20" s="1"/>
  <c r="F954" i="20" s="1"/>
  <c r="F955" i="20" s="1"/>
  <c r="F956" i="20" s="1"/>
  <c r="F957" i="20" s="1"/>
  <c r="F958" i="20" s="1"/>
  <c r="F959" i="20" s="1"/>
  <c r="F960" i="20" s="1"/>
  <c r="F961" i="20" s="1"/>
  <c r="F962" i="20" s="1"/>
  <c r="F963" i="20" s="1"/>
  <c r="F964" i="20" s="1"/>
  <c r="F965" i="20" s="1"/>
  <c r="F966" i="20" s="1"/>
  <c r="F967" i="20" s="1"/>
  <c r="F968" i="20" s="1"/>
  <c r="F969" i="20" s="1"/>
  <c r="F970" i="20" s="1"/>
  <c r="F971" i="20" s="1"/>
  <c r="F972" i="20" s="1"/>
  <c r="F973" i="20" s="1"/>
  <c r="F974" i="20" s="1"/>
  <c r="F975" i="20" s="1"/>
  <c r="F976" i="20" s="1"/>
  <c r="F977" i="20" s="1"/>
  <c r="F978" i="20" s="1"/>
  <c r="F979" i="20" s="1"/>
  <c r="F980" i="20" s="1"/>
  <c r="F981" i="20" s="1"/>
  <c r="F982" i="20" s="1"/>
  <c r="F983" i="20" s="1"/>
  <c r="F984" i="20" s="1"/>
  <c r="F985" i="20" s="1"/>
  <c r="F986" i="20" s="1"/>
  <c r="F987" i="20" s="1"/>
  <c r="F988" i="20" s="1"/>
  <c r="F989" i="20" s="1"/>
  <c r="F990" i="20" s="1"/>
  <c r="F991" i="20" s="1"/>
  <c r="F992" i="20" s="1"/>
  <c r="F993" i="20" s="1"/>
  <c r="F994" i="20" s="1"/>
  <c r="F995" i="20" s="1"/>
  <c r="F996" i="20" s="1"/>
  <c r="F997" i="20"/>
  <c r="F998" i="20" s="1"/>
  <c r="F999" i="20" s="1"/>
  <c r="F1000" i="20" s="1"/>
  <c r="F1001" i="20" s="1"/>
  <c r="F1002" i="20" s="1"/>
  <c r="F1003" i="20" s="1"/>
  <c r="F1004" i="20" s="1"/>
  <c r="F1005" i="20" s="1"/>
  <c r="F1006" i="20" s="1"/>
  <c r="F1007" i="20" s="1"/>
  <c r="F1008" i="20" s="1"/>
  <c r="F1009" i="20" s="1"/>
  <c r="F1010" i="20" s="1"/>
  <c r="F1011" i="20" s="1"/>
  <c r="F1012" i="20" s="1"/>
  <c r="F1013" i="20" s="1"/>
  <c r="F1014" i="20" s="1"/>
  <c r="F1015" i="20" s="1"/>
  <c r="F1016" i="20" s="1"/>
  <c r="F1017" i="20" s="1"/>
  <c r="F1018" i="20" s="1"/>
  <c r="F1019" i="20" s="1"/>
  <c r="F1020" i="20"/>
  <c r="F1021" i="20" s="1"/>
  <c r="F1022" i="20" s="1"/>
  <c r="F1023" i="20" s="1"/>
  <c r="F1024" i="20" s="1"/>
  <c r="F1025" i="20" s="1"/>
  <c r="F1026" i="20" s="1"/>
  <c r="F1027" i="20" s="1"/>
  <c r="F1028" i="20" s="1"/>
  <c r="F1029" i="20" s="1"/>
  <c r="F1030" i="20" s="1"/>
  <c r="F1031" i="20" s="1"/>
  <c r="F1032" i="20" s="1"/>
  <c r="F1033" i="20" s="1"/>
  <c r="F1034" i="20" s="1"/>
  <c r="F1035" i="20" s="1"/>
  <c r="F1036" i="20" s="1"/>
  <c r="F1037" i="20" s="1"/>
  <c r="F1038" i="20" s="1"/>
  <c r="F1039" i="20" s="1"/>
  <c r="F1040" i="20" s="1"/>
  <c r="F1041" i="20" s="1"/>
  <c r="F1042" i="20"/>
  <c r="F1043" i="20" s="1"/>
  <c r="F1044" i="20" s="1"/>
  <c r="F1045" i="20" s="1"/>
  <c r="F1046" i="20" s="1"/>
  <c r="F1047" i="20" s="1"/>
  <c r="F1048" i="20" s="1"/>
  <c r="F1049" i="20" s="1"/>
  <c r="F1050" i="20" s="1"/>
  <c r="F1051" i="20" s="1"/>
  <c r="F1052" i="20" s="1"/>
  <c r="F1053" i="20" s="1"/>
  <c r="F1054" i="20" s="1"/>
  <c r="F1055" i="20" s="1"/>
  <c r="L701" i="20"/>
  <c r="L702" i="20" s="1"/>
  <c r="L703" i="20" s="1"/>
  <c r="L704" i="20" s="1"/>
  <c r="L705" i="20" s="1"/>
  <c r="L706" i="20" s="1"/>
  <c r="L707" i="20" s="1"/>
  <c r="L708" i="20" s="1"/>
  <c r="L709" i="20" s="1"/>
  <c r="L710" i="20" s="1"/>
  <c r="L711" i="20" s="1"/>
  <c r="L712" i="20" s="1"/>
  <c r="L713" i="20" s="1"/>
  <c r="L714" i="20" s="1"/>
  <c r="L715" i="20" s="1"/>
  <c r="L716" i="20" s="1"/>
  <c r="L717" i="20" s="1"/>
  <c r="L718" i="20" s="1"/>
  <c r="L719" i="20" s="1"/>
  <c r="L720" i="20" s="1"/>
  <c r="L721" i="20" s="1"/>
  <c r="L722" i="20" s="1"/>
  <c r="L723" i="20" s="1"/>
  <c r="L724" i="20" s="1"/>
  <c r="L725" i="20" s="1"/>
  <c r="L726" i="20" s="1"/>
  <c r="L727" i="20" s="1"/>
  <c r="L728" i="20" s="1"/>
  <c r="L729" i="20" s="1"/>
  <c r="L730" i="20" s="1"/>
  <c r="L731" i="20" s="1"/>
  <c r="L732" i="20" s="1"/>
  <c r="L733" i="20" s="1"/>
  <c r="L734" i="20" s="1"/>
  <c r="L735" i="20" s="1"/>
  <c r="L736" i="20" s="1"/>
  <c r="L737" i="20" s="1"/>
  <c r="L738" i="20" s="1"/>
  <c r="L739" i="20" s="1"/>
  <c r="L740" i="20" s="1"/>
  <c r="L741" i="20" s="1"/>
  <c r="L742" i="20" s="1"/>
  <c r="L743" i="20" s="1"/>
  <c r="L744" i="20" s="1"/>
  <c r="L745" i="20" s="1"/>
  <c r="L746" i="20" s="1"/>
  <c r="L747" i="20" s="1"/>
  <c r="L748" i="20" s="1"/>
  <c r="L749" i="20" s="1"/>
  <c r="L750" i="20" s="1"/>
  <c r="L751" i="20" s="1"/>
  <c r="L752" i="20" s="1"/>
  <c r="L753" i="20" s="1"/>
  <c r="L754" i="20" s="1"/>
  <c r="L755" i="20" s="1"/>
  <c r="L756" i="20" s="1"/>
  <c r="L757" i="20" s="1"/>
  <c r="L758" i="20" s="1"/>
  <c r="L759" i="20" s="1"/>
  <c r="L760" i="20" s="1"/>
  <c r="L761" i="20" s="1"/>
  <c r="L762" i="20" s="1"/>
  <c r="L763" i="20" s="1"/>
  <c r="L764" i="20" s="1"/>
  <c r="L765" i="20" s="1"/>
  <c r="L766" i="20" s="1"/>
  <c r="L767" i="20" s="1"/>
  <c r="L768" i="20" s="1"/>
  <c r="L769" i="20" s="1"/>
  <c r="L770" i="20" s="1"/>
  <c r="L771" i="20" s="1"/>
  <c r="L772" i="20" s="1"/>
  <c r="L773" i="20" s="1"/>
  <c r="L774" i="20" s="1"/>
  <c r="L775" i="20" s="1"/>
  <c r="L776" i="20" s="1"/>
  <c r="L777" i="20" s="1"/>
  <c r="L778" i="20" s="1"/>
  <c r="L779" i="20" s="1"/>
  <c r="L780" i="20" s="1"/>
  <c r="L781" i="20" s="1"/>
  <c r="L782" i="20" s="1"/>
  <c r="L783" i="20" s="1"/>
  <c r="L784" i="20" s="1"/>
  <c r="L785" i="20" s="1"/>
  <c r="L786" i="20" s="1"/>
  <c r="L787" i="20" s="1"/>
  <c r="L788" i="20" s="1"/>
  <c r="L789" i="20" s="1"/>
  <c r="L790" i="20" s="1"/>
  <c r="L791" i="20" s="1"/>
  <c r="L792" i="20" s="1"/>
  <c r="L793" i="20" s="1"/>
  <c r="L794" i="20" s="1"/>
  <c r="L795" i="20" s="1"/>
  <c r="L796" i="20" s="1"/>
  <c r="L797" i="20" s="1"/>
  <c r="L798" i="20" s="1"/>
  <c r="L799" i="20" s="1"/>
  <c r="L800" i="20" s="1"/>
  <c r="L801" i="20" s="1"/>
  <c r="L802" i="20" s="1"/>
  <c r="L803" i="20" s="1"/>
  <c r="L804" i="20" s="1"/>
  <c r="L805" i="20" s="1"/>
  <c r="L806" i="20" s="1"/>
  <c r="L807" i="20" s="1"/>
  <c r="L808" i="20" s="1"/>
  <c r="L809" i="20" s="1"/>
  <c r="L810" i="20" s="1"/>
  <c r="L811" i="20" s="1"/>
  <c r="L812" i="20" s="1"/>
  <c r="L813" i="20" s="1"/>
  <c r="L814" i="20" s="1"/>
  <c r="L815" i="20" s="1"/>
  <c r="L816" i="20" s="1"/>
  <c r="L817" i="20" s="1"/>
  <c r="L818" i="20" s="1"/>
  <c r="L819" i="20" s="1"/>
  <c r="L820" i="20" s="1"/>
  <c r="L821" i="20" s="1"/>
  <c r="L822" i="20" s="1"/>
  <c r="L823" i="20" s="1"/>
  <c r="L824" i="20" s="1"/>
  <c r="L825" i="20" s="1"/>
  <c r="L826" i="20" s="1"/>
  <c r="L827" i="20" s="1"/>
  <c r="L828" i="20" s="1"/>
  <c r="L829" i="20" s="1"/>
  <c r="L830" i="20" s="1"/>
  <c r="L831" i="20" s="1"/>
  <c r="L832" i="20" s="1"/>
  <c r="L833" i="20" s="1"/>
  <c r="L834" i="20" s="1"/>
  <c r="L835" i="20" s="1"/>
  <c r="L836" i="20" s="1"/>
  <c r="L837" i="20" s="1"/>
  <c r="L838" i="20" s="1"/>
  <c r="L839" i="20" s="1"/>
  <c r="L840" i="20" s="1"/>
  <c r="L841" i="20" s="1"/>
  <c r="L842" i="20" s="1"/>
  <c r="L843" i="20" s="1"/>
  <c r="L844" i="20" s="1"/>
  <c r="L845" i="20" s="1"/>
  <c r="L846" i="20" s="1"/>
  <c r="L847" i="20" s="1"/>
  <c r="L848" i="20" s="1"/>
  <c r="L849" i="20" s="1"/>
  <c r="L850" i="20" s="1"/>
  <c r="L851" i="20" s="1"/>
  <c r="L852" i="20" s="1"/>
  <c r="L853" i="20" s="1"/>
  <c r="L854" i="20" s="1"/>
  <c r="L855" i="20" s="1"/>
  <c r="L856" i="20" s="1"/>
  <c r="L857" i="20" s="1"/>
  <c r="L858" i="20" s="1"/>
  <c r="L859" i="20" s="1"/>
  <c r="L860" i="20" s="1"/>
  <c r="L861" i="20" s="1"/>
  <c r="L862" i="20" s="1"/>
  <c r="L863" i="20" s="1"/>
  <c r="L864" i="20" s="1"/>
  <c r="L865" i="20" s="1"/>
  <c r="L866" i="20" s="1"/>
  <c r="L867" i="20" s="1"/>
  <c r="L868" i="20" s="1"/>
  <c r="L869" i="20" s="1"/>
  <c r="L870" i="20" s="1"/>
  <c r="L871" i="20" s="1"/>
  <c r="L872" i="20" s="1"/>
  <c r="L873" i="20" s="1"/>
  <c r="L874" i="20" s="1"/>
  <c r="L875" i="20" s="1"/>
  <c r="L876" i="20" s="1"/>
  <c r="L877" i="20" s="1"/>
  <c r="L878" i="20" s="1"/>
  <c r="L879" i="20" s="1"/>
  <c r="L880" i="20" s="1"/>
  <c r="L881" i="20" s="1"/>
  <c r="L882" i="20" s="1"/>
  <c r="L883" i="20" s="1"/>
  <c r="L884" i="20" s="1"/>
  <c r="L885" i="20" s="1"/>
  <c r="L886" i="20" s="1"/>
  <c r="L887" i="20" s="1"/>
  <c r="L888" i="20" s="1"/>
  <c r="L889" i="20" s="1"/>
  <c r="L890" i="20" s="1"/>
  <c r="L891" i="20" s="1"/>
  <c r="L892" i="20" s="1"/>
  <c r="L893" i="20" s="1"/>
  <c r="L894" i="20" s="1"/>
  <c r="L895" i="20" s="1"/>
  <c r="L896" i="20" s="1"/>
  <c r="L897" i="20" s="1"/>
  <c r="L898" i="20" s="1"/>
  <c r="L899" i="20" s="1"/>
  <c r="L900" i="20" s="1"/>
  <c r="L901" i="20" s="1"/>
  <c r="L902" i="20" s="1"/>
  <c r="L903" i="20" s="1"/>
  <c r="L904" i="20" s="1"/>
  <c r="L905" i="20" s="1"/>
  <c r="L906" i="20" s="1"/>
  <c r="L907" i="20" s="1"/>
  <c r="L908" i="20" s="1"/>
  <c r="L909" i="20" s="1"/>
  <c r="L910" i="20" s="1"/>
  <c r="L911" i="20" s="1"/>
  <c r="L912" i="20" s="1"/>
  <c r="L913" i="20" s="1"/>
  <c r="L914" i="20" s="1"/>
  <c r="L915" i="20" s="1"/>
  <c r="L916" i="20" s="1"/>
  <c r="L917" i="20" s="1"/>
  <c r="L918" i="20" s="1"/>
  <c r="L919" i="20" s="1"/>
  <c r="L920" i="20" s="1"/>
  <c r="L921" i="20" s="1"/>
  <c r="L922" i="20" s="1"/>
  <c r="L923" i="20" s="1"/>
  <c r="L924" i="20" s="1"/>
  <c r="L925" i="20" s="1"/>
  <c r="L926" i="20" s="1"/>
  <c r="L927" i="20" s="1"/>
  <c r="L928" i="20" s="1"/>
  <c r="L929" i="20" s="1"/>
  <c r="L930" i="20" s="1"/>
  <c r="L931" i="20" s="1"/>
  <c r="L932" i="20" s="1"/>
  <c r="L933" i="20" s="1"/>
  <c r="L934" i="20" s="1"/>
  <c r="L935" i="20" s="1"/>
  <c r="L936" i="20" s="1"/>
  <c r="L937" i="20" s="1"/>
  <c r="L938" i="20" s="1"/>
  <c r="L939" i="20" s="1"/>
  <c r="L940" i="20" s="1"/>
  <c r="L941" i="20" s="1"/>
  <c r="L942" i="20" s="1"/>
  <c r="L943" i="20" s="1"/>
  <c r="L944" i="20" s="1"/>
  <c r="L945" i="20" s="1"/>
  <c r="L946" i="20" s="1"/>
  <c r="L947" i="20" s="1"/>
  <c r="L948" i="20" s="1"/>
  <c r="L949" i="20" s="1"/>
  <c r="L950" i="20" s="1"/>
  <c r="L951" i="20" s="1"/>
  <c r="L952" i="20" s="1"/>
  <c r="L953" i="20" s="1"/>
  <c r="L954" i="20" s="1"/>
  <c r="L955" i="20" s="1"/>
  <c r="L956" i="20" s="1"/>
  <c r="L957" i="20" s="1"/>
  <c r="L958" i="20" s="1"/>
  <c r="L959" i="20" s="1"/>
  <c r="L960" i="20" s="1"/>
  <c r="L961" i="20" s="1"/>
  <c r="L962" i="20" s="1"/>
  <c r="L963" i="20" s="1"/>
  <c r="L964" i="20" s="1"/>
  <c r="L965" i="20" s="1"/>
  <c r="L966" i="20" s="1"/>
  <c r="L967" i="20" s="1"/>
  <c r="L968" i="20" s="1"/>
  <c r="L969" i="20" s="1"/>
  <c r="L970" i="20" s="1"/>
  <c r="L971" i="20" s="1"/>
  <c r="L972" i="20" s="1"/>
  <c r="L973" i="20" s="1"/>
  <c r="L974" i="20" s="1"/>
  <c r="L975" i="20" s="1"/>
  <c r="L976" i="20" s="1"/>
  <c r="L977" i="20" s="1"/>
  <c r="L978" i="20" s="1"/>
  <c r="L979" i="20" s="1"/>
  <c r="L980" i="20" s="1"/>
  <c r="L981" i="20" s="1"/>
  <c r="L982" i="20" s="1"/>
  <c r="L983" i="20" s="1"/>
  <c r="L984" i="20" s="1"/>
  <c r="L985" i="20" s="1"/>
  <c r="L986" i="20" s="1"/>
  <c r="L987" i="20" s="1"/>
  <c r="L988" i="20" s="1"/>
  <c r="L989" i="20" s="1"/>
  <c r="L990" i="20" s="1"/>
  <c r="L991" i="20" s="1"/>
  <c r="L992" i="20" s="1"/>
  <c r="L993" i="20" s="1"/>
  <c r="L994" i="20" s="1"/>
  <c r="L995" i="20" s="1"/>
  <c r="L996" i="20" s="1"/>
  <c r="L997" i="20" s="1"/>
  <c r="L998" i="20" s="1"/>
  <c r="L999" i="20" s="1"/>
  <c r="L1000" i="20" s="1"/>
  <c r="L1001" i="20" s="1"/>
  <c r="L1002" i="20" s="1"/>
  <c r="L1003" i="20" s="1"/>
  <c r="L1004" i="20" s="1"/>
  <c r="L1005" i="20" s="1"/>
  <c r="L1006" i="20" s="1"/>
  <c r="L1007" i="20" s="1"/>
  <c r="L1008" i="20" s="1"/>
  <c r="L1009" i="20" s="1"/>
  <c r="L1010" i="20" s="1"/>
  <c r="L1011" i="20" s="1"/>
  <c r="L1012" i="20" s="1"/>
  <c r="L1013" i="20" s="1"/>
  <c r="L1014" i="20" s="1"/>
  <c r="L1015" i="20" s="1"/>
  <c r="L1016" i="20" s="1"/>
  <c r="L1017" i="20" s="1"/>
  <c r="L1018" i="20" s="1"/>
  <c r="L1019" i="20" s="1"/>
  <c r="L1020" i="20" s="1"/>
  <c r="L1021" i="20" s="1"/>
  <c r="L1022" i="20" s="1"/>
  <c r="L1023" i="20" s="1"/>
  <c r="L1024" i="20" s="1"/>
  <c r="L1025" i="20" s="1"/>
  <c r="L1026" i="20" s="1"/>
  <c r="L1027" i="20" s="1"/>
  <c r="L1028" i="20" s="1"/>
  <c r="L1029" i="20" s="1"/>
  <c r="L1030" i="20" s="1"/>
  <c r="L1031" i="20" s="1"/>
  <c r="L1032" i="20" s="1"/>
  <c r="L1033" i="20" s="1"/>
  <c r="L1034" i="20" s="1"/>
  <c r="L1035" i="20" s="1"/>
  <c r="L1036" i="20" s="1"/>
  <c r="L1037" i="20" s="1"/>
  <c r="L1038" i="20" s="1"/>
  <c r="L1039" i="20" s="1"/>
  <c r="L1040" i="20" s="1"/>
  <c r="L1041" i="20" s="1"/>
  <c r="L1042" i="20" s="1"/>
  <c r="L1043" i="20" s="1"/>
  <c r="L1044" i="20" s="1"/>
  <c r="L1045" i="20" s="1"/>
  <c r="L1046" i="20" s="1"/>
  <c r="L1047" i="20" s="1"/>
  <c r="L1048" i="20" s="1"/>
  <c r="L1049" i="20" s="1"/>
  <c r="L1050" i="20" s="1"/>
  <c r="L1051" i="20" s="1"/>
  <c r="L1052" i="20" s="1"/>
  <c r="L1053" i="20" s="1"/>
  <c r="L1054" i="20" s="1"/>
  <c r="L1055" i="20" s="1"/>
  <c r="L1056" i="20" s="1"/>
  <c r="L1057" i="20" s="1"/>
  <c r="L1058" i="20" s="1"/>
  <c r="L1059" i="20" s="1"/>
  <c r="L1060" i="20" s="1"/>
  <c r="L1061" i="20" s="1"/>
  <c r="L1062" i="20" s="1"/>
  <c r="L1063" i="20" s="1"/>
  <c r="L1064" i="20" s="1"/>
  <c r="L1065" i="20" s="1"/>
  <c r="L1066" i="20" s="1"/>
  <c r="L1067" i="20" s="1"/>
  <c r="L1068" i="20" s="1"/>
  <c r="L1069" i="20" s="1"/>
  <c r="L1070" i="20" s="1"/>
  <c r="L1071" i="20" s="1"/>
  <c r="L1072" i="20" s="1"/>
  <c r="L1073" i="20" s="1"/>
  <c r="L1074" i="20" s="1"/>
  <c r="L1075" i="20" s="1"/>
  <c r="L1076" i="20" s="1"/>
  <c r="L1077" i="20" s="1"/>
  <c r="L1078" i="20" s="1"/>
  <c r="L1079" i="20" s="1"/>
  <c r="L1080" i="20" s="1"/>
  <c r="L1081" i="20" s="1"/>
  <c r="L1082" i="20" s="1"/>
  <c r="L1083" i="20" s="1"/>
  <c r="L1084" i="20" s="1"/>
  <c r="L1085" i="20" s="1"/>
  <c r="L1086" i="20" s="1"/>
  <c r="L1087" i="20" s="1"/>
  <c r="L1088" i="20" s="1"/>
  <c r="L1089" i="20" s="1"/>
  <c r="L1090" i="20" s="1"/>
  <c r="L1091" i="20" s="1"/>
  <c r="L1092" i="20" s="1"/>
  <c r="L1093" i="20" s="1"/>
  <c r="L1094" i="20" s="1"/>
  <c r="L1095" i="20" s="1"/>
  <c r="L1096" i="20" s="1"/>
  <c r="L1097" i="20" s="1"/>
  <c r="L1098" i="20" s="1"/>
  <c r="L1099" i="20" s="1"/>
  <c r="L1100" i="20" s="1"/>
  <c r="L1101" i="20" s="1"/>
  <c r="L1102" i="20" s="1"/>
  <c r="I996" i="20"/>
  <c r="I997" i="20" s="1"/>
  <c r="I998" i="20" s="1"/>
  <c r="I999" i="20" s="1"/>
  <c r="I1000" i="20" s="1"/>
  <c r="I1001" i="20" s="1"/>
  <c r="I1002" i="20" s="1"/>
  <c r="I1003" i="20" s="1"/>
  <c r="I1004" i="20" s="1"/>
  <c r="I1005" i="20" s="1"/>
  <c r="I1006" i="20" s="1"/>
  <c r="I1007" i="20" s="1"/>
  <c r="I1008" i="20" s="1"/>
  <c r="I1009" i="20" s="1"/>
  <c r="I1010" i="20" s="1"/>
  <c r="I1011" i="20" s="1"/>
  <c r="I1012" i="20" s="1"/>
  <c r="I1013" i="20" s="1"/>
  <c r="I1014" i="20" s="1"/>
  <c r="I1015" i="20" s="1"/>
  <c r="I1016" i="20" s="1"/>
  <c r="I1017" i="20" s="1"/>
  <c r="I1018" i="20" s="1"/>
  <c r="I1019" i="20" s="1"/>
  <c r="I1020" i="20" s="1"/>
  <c r="I1021" i="20" s="1"/>
  <c r="I1022" i="20" s="1"/>
  <c r="I1023" i="20" s="1"/>
  <c r="I1024" i="20" s="1"/>
  <c r="I1025" i="20" s="1"/>
  <c r="I1026" i="20" s="1"/>
  <c r="I1027" i="20" s="1"/>
  <c r="I1028" i="20" s="1"/>
  <c r="I1029" i="20" s="1"/>
  <c r="I1030" i="20" s="1"/>
  <c r="I1031" i="20" s="1"/>
  <c r="I1032" i="20" s="1"/>
  <c r="I1033" i="20" s="1"/>
  <c r="I1034" i="20" s="1"/>
  <c r="I1035" i="20" s="1"/>
  <c r="I1036" i="20" s="1"/>
  <c r="I1037" i="20" s="1"/>
  <c r="I1038" i="20" s="1"/>
  <c r="I1039" i="20" s="1"/>
  <c r="I1040" i="20" s="1"/>
  <c r="I1041" i="20" s="1"/>
  <c r="I1042" i="20" s="1"/>
  <c r="I1043" i="20" s="1"/>
  <c r="I1044" i="20" s="1"/>
  <c r="I1045" i="20" s="1"/>
  <c r="I1046" i="20" s="1"/>
  <c r="I1047" i="20" s="1"/>
  <c r="I1048" i="20" s="1"/>
  <c r="I1049" i="20" s="1"/>
  <c r="I1050" i="20" s="1"/>
  <c r="I1051" i="20" s="1"/>
  <c r="I1052" i="20" s="1"/>
  <c r="I1053" i="20" s="1"/>
  <c r="I1054" i="20" s="1"/>
  <c r="I1055" i="20" s="1"/>
  <c r="I1056" i="20" s="1"/>
  <c r="I1057" i="20" s="1"/>
  <c r="I1058" i="20" s="1"/>
  <c r="I1059" i="20" s="1"/>
  <c r="I1060" i="20" s="1"/>
  <c r="I1061" i="20" s="1"/>
  <c r="I1062" i="20" s="1"/>
  <c r="I1063" i="20" s="1"/>
  <c r="I1064" i="20" s="1"/>
  <c r="I1065" i="20" s="1"/>
  <c r="I1066" i="20" s="1"/>
  <c r="I1067" i="20" s="1"/>
  <c r="I1068" i="20" s="1"/>
  <c r="I1069" i="20" s="1"/>
  <c r="I1070" i="20" s="1"/>
  <c r="I1071" i="20" s="1"/>
  <c r="I1072" i="20" s="1"/>
  <c r="I1073" i="20" s="1"/>
  <c r="I1074" i="20" s="1"/>
  <c r="I1075" i="20" s="1"/>
  <c r="I1076" i="20" s="1"/>
  <c r="I1077" i="20" s="1"/>
  <c r="I1078" i="20" s="1"/>
  <c r="I1079" i="20" s="1"/>
  <c r="I1080" i="20" s="1"/>
  <c r="I1081" i="20" s="1"/>
  <c r="I1082" i="20" s="1"/>
  <c r="I1083" i="20" s="1"/>
  <c r="I1084" i="20" s="1"/>
  <c r="I1085" i="20" s="1"/>
  <c r="I1086" i="20" s="1"/>
  <c r="I1087" i="20" s="1"/>
  <c r="I1088" i="20" s="1"/>
  <c r="I1089" i="20" s="1"/>
  <c r="I1090" i="20" s="1"/>
  <c r="I1091" i="20" s="1"/>
  <c r="I1092" i="20" s="1"/>
  <c r="I1093" i="20" s="1"/>
  <c r="I1094" i="20" s="1"/>
  <c r="I1095" i="20" s="1"/>
  <c r="I1096" i="20" s="1"/>
  <c r="I1097" i="20" s="1"/>
  <c r="I1098" i="20" s="1"/>
  <c r="I1099" i="20" s="1"/>
  <c r="I1100" i="20" s="1"/>
  <c r="I1101" i="20" s="1"/>
  <c r="I1102" i="20" s="1"/>
  <c r="I1103" i="20" s="1"/>
  <c r="I1104" i="20" s="1"/>
  <c r="I1105" i="20" s="1"/>
  <c r="I1106" i="20" s="1"/>
  <c r="I1107" i="20" s="1"/>
  <c r="I1108" i="20" s="1"/>
  <c r="I1109" i="20" s="1"/>
  <c r="I1110" i="20" s="1"/>
  <c r="I1111" i="20" s="1"/>
  <c r="I1112" i="20" s="1"/>
  <c r="I1113" i="20" s="1"/>
  <c r="I1114" i="20" s="1"/>
  <c r="I1115" i="20" s="1"/>
  <c r="I1116" i="20" s="1"/>
  <c r="I1117" i="20" s="1"/>
  <c r="I1118" i="20" s="1"/>
  <c r="I1119" i="20" s="1"/>
  <c r="I1120" i="20" s="1"/>
  <c r="I1121" i="20" s="1"/>
  <c r="I1122" i="20" s="1"/>
  <c r="I1123" i="20" s="1"/>
  <c r="I1124" i="20" s="1"/>
  <c r="I1125" i="20" s="1"/>
  <c r="I1126" i="20" s="1"/>
  <c r="I1127" i="20" s="1"/>
  <c r="I1128" i="20" s="1"/>
  <c r="I1129" i="20" s="1"/>
  <c r="I1130" i="20" s="1"/>
  <c r="I1131" i="20" s="1"/>
  <c r="I1132" i="20" s="1"/>
  <c r="I1133" i="20" s="1"/>
  <c r="I1134" i="20" s="1"/>
  <c r="I1135" i="20" s="1"/>
  <c r="I1136" i="20" s="1"/>
  <c r="I1137" i="20" s="1"/>
  <c r="I1138" i="20" s="1"/>
  <c r="I1139" i="20" s="1"/>
  <c r="I1140" i="20" s="1"/>
  <c r="I1141" i="20" s="1"/>
  <c r="I1142" i="20" s="1"/>
  <c r="I1143" i="20" s="1"/>
  <c r="I1144" i="20" s="1"/>
  <c r="I1145" i="20" s="1"/>
  <c r="I1146" i="20" s="1"/>
  <c r="I1147" i="20" s="1"/>
  <c r="I1148" i="20" s="1"/>
  <c r="I1149" i="20" s="1"/>
  <c r="I1150" i="20" s="1"/>
  <c r="I1151" i="20" s="1"/>
  <c r="I1152" i="20" s="1"/>
  <c r="I1153" i="20" s="1"/>
  <c r="I1154" i="20" s="1"/>
  <c r="I1155" i="20" s="1"/>
  <c r="I1156" i="20" s="1"/>
  <c r="I1157" i="20" s="1"/>
  <c r="I1158" i="20" s="1"/>
  <c r="I1159" i="20" s="1"/>
  <c r="I1160" i="20" s="1"/>
  <c r="I1161" i="20" s="1"/>
  <c r="I1162" i="20" s="1"/>
  <c r="I1163" i="20" s="1"/>
  <c r="I1164" i="20" s="1"/>
  <c r="I1165" i="20" s="1"/>
  <c r="I1166" i="20" s="1"/>
  <c r="I1167" i="20" s="1"/>
  <c r="I1168" i="20" s="1"/>
  <c r="I1169" i="20" s="1"/>
  <c r="I1170" i="20" s="1"/>
  <c r="I1171" i="20" s="1"/>
  <c r="I1172" i="20" s="1"/>
  <c r="I1173" i="20" s="1"/>
  <c r="I1174" i="20" s="1"/>
  <c r="I1175" i="20" s="1"/>
  <c r="I1176" i="20" s="1"/>
  <c r="I1177" i="20" s="1"/>
  <c r="I1178" i="20" s="1"/>
  <c r="I1179" i="20" s="1"/>
  <c r="I1180" i="20" s="1"/>
  <c r="I1181" i="20" s="1"/>
  <c r="I1182" i="20" s="1"/>
  <c r="I1183" i="20" s="1"/>
  <c r="I1184" i="20" s="1"/>
  <c r="I1185" i="20" s="1"/>
  <c r="I1186" i="20" s="1"/>
  <c r="I1187" i="20" s="1"/>
  <c r="I1188" i="20" s="1"/>
  <c r="I1189" i="20" s="1"/>
  <c r="I1190" i="20" s="1"/>
  <c r="I1191" i="20" s="1"/>
  <c r="I1192" i="20" s="1"/>
  <c r="I1193" i="20" s="1"/>
  <c r="I1194" i="20" s="1"/>
  <c r="I1195" i="20" s="1"/>
  <c r="I1196" i="20" s="1"/>
  <c r="I1197" i="20" s="1"/>
  <c r="I1198" i="20" s="1"/>
  <c r="I1199" i="20" s="1"/>
  <c r="I1200" i="20" s="1"/>
  <c r="I1201" i="20" s="1"/>
  <c r="I1202" i="20" s="1"/>
  <c r="I1203" i="20" s="1"/>
  <c r="I1204" i="20" s="1"/>
  <c r="I1205" i="20" s="1"/>
  <c r="I1206" i="20" s="1"/>
  <c r="I1207" i="20" s="1"/>
  <c r="I1208" i="20" s="1"/>
  <c r="I1209" i="20" s="1"/>
  <c r="I1210" i="20" s="1"/>
  <c r="I1211" i="20" s="1"/>
  <c r="I1212" i="20" s="1"/>
  <c r="I1213" i="20" s="1"/>
  <c r="I1214" i="20" s="1"/>
  <c r="I1215" i="20" s="1"/>
  <c r="I1216" i="20" s="1"/>
  <c r="I1217" i="20" s="1"/>
  <c r="I1218" i="20" s="1"/>
  <c r="I1219" i="20" s="1"/>
  <c r="I1220" i="20" s="1"/>
  <c r="I1221" i="20" s="1"/>
  <c r="I1222" i="20" s="1"/>
  <c r="I1223" i="20" s="1"/>
  <c r="I1224" i="20" s="1"/>
  <c r="I1225" i="20" s="1"/>
  <c r="I1226" i="20" s="1"/>
  <c r="I1227" i="20" s="1"/>
  <c r="I1228" i="20" s="1"/>
  <c r="I1229" i="20" s="1"/>
  <c r="I1230" i="20" s="1"/>
  <c r="I1231" i="20" s="1"/>
  <c r="I1232" i="20" s="1"/>
  <c r="I1233" i="20" s="1"/>
  <c r="I1234" i="20" s="1"/>
  <c r="I1235" i="20" s="1"/>
  <c r="I1236" i="20" s="1"/>
  <c r="I1237" i="20" s="1"/>
  <c r="I1238" i="20" s="1"/>
  <c r="I1239" i="20" s="1"/>
  <c r="I1240" i="20" s="1"/>
  <c r="I1241" i="20" s="1"/>
  <c r="I1242" i="20" s="1"/>
  <c r="I1243" i="20" s="1"/>
  <c r="I1244" i="20" s="1"/>
  <c r="I1245" i="20" s="1"/>
  <c r="I1246" i="20" s="1"/>
  <c r="I1247" i="20" s="1"/>
  <c r="I1248" i="20" s="1"/>
  <c r="I1249" i="20" s="1"/>
  <c r="I1250" i="20" s="1"/>
  <c r="F1056" i="20"/>
  <c r="F1057" i="20" s="1"/>
  <c r="F1058" i="20" s="1"/>
  <c r="F1059" i="20" s="1"/>
  <c r="F1060" i="20" s="1"/>
  <c r="F1061" i="20" s="1"/>
  <c r="F1062" i="20" s="1"/>
  <c r="F1063" i="20" s="1"/>
  <c r="F1064" i="20" s="1"/>
  <c r="F1065" i="20" s="1"/>
  <c r="F1066" i="20" s="1"/>
  <c r="F1067" i="20" s="1"/>
  <c r="F1068" i="20" s="1"/>
  <c r="F1069" i="20" s="1"/>
  <c r="F1070" i="20" s="1"/>
  <c r="F1071" i="20" s="1"/>
  <c r="F1072" i="20" s="1"/>
  <c r="F1073" i="20" s="1"/>
  <c r="F1074" i="20" s="1"/>
  <c r="F1075" i="20" s="1"/>
  <c r="F1076" i="20" s="1"/>
  <c r="F1077" i="20" s="1"/>
  <c r="F1078" i="20" s="1"/>
  <c r="F1079" i="20" s="1"/>
  <c r="F1080" i="20" s="1"/>
  <c r="F1081" i="20" s="1"/>
  <c r="F1082" i="20" s="1"/>
  <c r="F1083" i="20" s="1"/>
  <c r="F1084" i="20" s="1"/>
  <c r="F1085" i="20" s="1"/>
  <c r="F1086" i="20" s="1"/>
  <c r="F1087" i="20" s="1"/>
  <c r="F1088" i="20" s="1"/>
  <c r="F1089" i="20" s="1"/>
  <c r="F1090" i="20" s="1"/>
  <c r="F1091" i="20" s="1"/>
  <c r="F1092" i="20" s="1"/>
  <c r="F1093" i="20" s="1"/>
  <c r="F1094" i="20" s="1"/>
  <c r="F1095" i="20" s="1"/>
  <c r="F1096" i="20" s="1"/>
  <c r="F1097" i="20" s="1"/>
  <c r="F1098" i="20" s="1"/>
  <c r="F1099" i="20" s="1"/>
  <c r="F1100" i="20" s="1"/>
  <c r="F1101" i="20" s="1"/>
  <c r="F1102" i="20" s="1"/>
  <c r="F1103" i="20" s="1"/>
  <c r="F1104" i="20" s="1"/>
  <c r="F1105" i="20" s="1"/>
  <c r="F1106" i="20" s="1"/>
  <c r="F1107" i="20" s="1"/>
  <c r="F1108" i="20" s="1"/>
  <c r="F1109" i="20" s="1"/>
  <c r="F1110" i="20" s="1"/>
  <c r="F1111" i="20" s="1"/>
  <c r="F1112" i="20" s="1"/>
  <c r="F1113" i="20" s="1"/>
  <c r="F1114" i="20" s="1"/>
  <c r="F1115" i="20" s="1"/>
  <c r="F1116" i="20" s="1"/>
  <c r="F1117" i="20" s="1"/>
  <c r="F1118" i="20" s="1"/>
  <c r="F1119" i="20" s="1"/>
  <c r="F1120" i="20" s="1"/>
  <c r="F1121" i="20" s="1"/>
  <c r="F1122" i="20" s="1"/>
  <c r="F1123" i="20" s="1"/>
  <c r="F1124" i="20" s="1"/>
  <c r="F1125" i="20" s="1"/>
  <c r="F1126" i="20" s="1"/>
  <c r="F1127" i="20" s="1"/>
  <c r="F1128" i="20" s="1"/>
  <c r="F1129" i="20" s="1"/>
  <c r="F1130" i="20" s="1"/>
  <c r="F1131" i="20" s="1"/>
  <c r="F1132" i="20" s="1"/>
  <c r="F1133" i="20" s="1"/>
  <c r="F1134" i="20" s="1"/>
  <c r="F1135" i="20" s="1"/>
  <c r="F1136" i="20" s="1"/>
  <c r="F1137" i="20" s="1"/>
  <c r="F1138" i="20" s="1"/>
  <c r="F1139" i="20" s="1"/>
  <c r="F1140" i="20" s="1"/>
  <c r="F1141" i="20" s="1"/>
  <c r="F1142" i="20" s="1"/>
  <c r="F1143" i="20" s="1"/>
  <c r="F1144" i="20" s="1"/>
  <c r="F1145" i="20" s="1"/>
  <c r="F1146" i="20" s="1"/>
  <c r="F1147" i="20" s="1"/>
  <c r="F1148" i="20" s="1"/>
  <c r="F1149" i="20" s="1"/>
  <c r="F1150" i="20" s="1"/>
  <c r="F1151" i="20" s="1"/>
  <c r="F1152" i="20" s="1"/>
  <c r="F1153" i="20" s="1"/>
  <c r="F1154" i="20" s="1"/>
  <c r="F1155" i="20" s="1"/>
  <c r="F1156" i="20" s="1"/>
  <c r="F1157" i="20" s="1"/>
  <c r="F1158" i="20" s="1"/>
  <c r="F1159" i="20" s="1"/>
  <c r="F1160" i="20" s="1"/>
  <c r="F1161" i="20" s="1"/>
  <c r="F1162" i="20" s="1"/>
  <c r="F1163" i="20" s="1"/>
  <c r="F1164" i="20" s="1"/>
  <c r="F1165" i="20" s="1"/>
  <c r="F1166" i="20" s="1"/>
  <c r="L1103" i="20"/>
  <c r="L1104" i="20" s="1"/>
  <c r="L1105" i="20" s="1"/>
  <c r="L1106" i="20" s="1"/>
  <c r="L1107" i="20" s="1"/>
  <c r="L1108" i="20" s="1"/>
  <c r="L1109" i="20" s="1"/>
  <c r="L1110" i="20" s="1"/>
  <c r="L1111" i="20" s="1"/>
  <c r="L1112" i="20" s="1"/>
  <c r="L1113" i="20" s="1"/>
  <c r="L1114" i="20" s="1"/>
  <c r="L1115" i="20" s="1"/>
  <c r="L1116" i="20" s="1"/>
  <c r="L1117" i="20" s="1"/>
  <c r="L1118" i="20" s="1"/>
  <c r="L1119" i="20" s="1"/>
  <c r="L1120" i="20" s="1"/>
  <c r="L1121" i="20" s="1"/>
  <c r="L1122" i="20" s="1"/>
  <c r="L1123" i="20" s="1"/>
  <c r="L1124" i="20" s="1"/>
  <c r="L1125" i="20" s="1"/>
  <c r="L1126" i="20" s="1"/>
  <c r="L1127" i="20" s="1"/>
  <c r="L1128" i="20" s="1"/>
  <c r="L1129" i="20" s="1"/>
  <c r="L1130" i="20" s="1"/>
  <c r="L1131" i="20" s="1"/>
  <c r="L1132" i="20" s="1"/>
  <c r="L1133" i="20" s="1"/>
  <c r="L1134" i="20" s="1"/>
  <c r="L1135" i="20" s="1"/>
  <c r="L1136" i="20" s="1"/>
  <c r="L1137" i="20" s="1"/>
  <c r="L1138" i="20" s="1"/>
  <c r="L1139" i="20" s="1"/>
  <c r="L1140" i="20" s="1"/>
  <c r="L1141" i="20" s="1"/>
  <c r="L1142" i="20" s="1"/>
  <c r="L1143" i="20" s="1"/>
  <c r="L1144" i="20" s="1"/>
  <c r="L1145" i="20" s="1"/>
  <c r="L1146" i="20" s="1"/>
  <c r="L1147" i="20" s="1"/>
  <c r="L1148" i="20" s="1"/>
  <c r="L1149" i="20" s="1"/>
  <c r="L1150" i="20" s="1"/>
  <c r="L1151" i="20" s="1"/>
  <c r="L1152" i="20" s="1"/>
  <c r="L1153" i="20" s="1"/>
  <c r="L1154" i="20" s="1"/>
  <c r="L1155" i="20" s="1"/>
  <c r="L1156" i="20"/>
  <c r="L1157" i="20" s="1"/>
  <c r="L1158" i="20" s="1"/>
  <c r="L1159" i="20" s="1"/>
  <c r="L1160" i="20" s="1"/>
  <c r="L1161" i="20" s="1"/>
  <c r="L1162" i="20" s="1"/>
  <c r="L1163" i="20" s="1"/>
  <c r="L1164" i="20" s="1"/>
  <c r="L1165" i="20" s="1"/>
  <c r="L1166" i="20" s="1"/>
  <c r="L1167" i="20" s="1"/>
  <c r="L1168" i="20" s="1"/>
  <c r="L1169" i="20" s="1"/>
  <c r="L1170" i="20" s="1"/>
  <c r="L1171" i="20" s="1"/>
  <c r="L1172" i="20" s="1"/>
  <c r="L1173" i="20" s="1"/>
  <c r="L1174" i="20" s="1"/>
  <c r="L1175" i="20" s="1"/>
  <c r="L1176" i="20" s="1"/>
  <c r="L1177" i="20" s="1"/>
  <c r="L1178" i="20" s="1"/>
  <c r="L1179" i="20" s="1"/>
  <c r="L1180" i="20" s="1"/>
  <c r="L1181" i="20" s="1"/>
  <c r="L1182" i="20" s="1"/>
  <c r="L1183" i="20" s="1"/>
  <c r="L1184" i="20" s="1"/>
  <c r="L1185" i="20" s="1"/>
  <c r="L1186" i="20" s="1"/>
  <c r="L1187" i="20" s="1"/>
  <c r="L1188" i="20" s="1"/>
  <c r="L1189" i="20" s="1"/>
  <c r="L1190" i="20" s="1"/>
  <c r="F1167" i="20"/>
  <c r="F1168" i="20" s="1"/>
  <c r="F1169" i="20" s="1"/>
  <c r="F1170" i="20" s="1"/>
  <c r="F1171" i="20" s="1"/>
  <c r="F1172" i="20" s="1"/>
  <c r="F1173" i="20" s="1"/>
  <c r="F1174" i="20" s="1"/>
  <c r="F1175" i="20" s="1"/>
  <c r="F1176" i="20" s="1"/>
  <c r="F1177" i="20" s="1"/>
  <c r="F1178" i="20" s="1"/>
  <c r="F1179" i="20" s="1"/>
  <c r="F1180" i="20" s="1"/>
  <c r="F1181" i="20" s="1"/>
  <c r="F1182" i="20" s="1"/>
  <c r="F1183" i="20" s="1"/>
  <c r="F1184" i="20" s="1"/>
  <c r="F1185" i="20" s="1"/>
  <c r="F1186" i="20" s="1"/>
  <c r="F1187" i="20" s="1"/>
  <c r="F1188" i="20" s="1"/>
  <c r="F1189" i="20" s="1"/>
  <c r="F1190" i="20" s="1"/>
  <c r="F1191" i="20" s="1"/>
  <c r="F1192" i="20" s="1"/>
  <c r="F1193" i="20" s="1"/>
  <c r="F1194" i="20" s="1"/>
  <c r="F1195" i="20" s="1"/>
  <c r="F1196" i="20" s="1"/>
  <c r="F1197" i="20" s="1"/>
  <c r="F1198" i="20" s="1"/>
  <c r="F1199" i="20" s="1"/>
  <c r="F1200" i="20" s="1"/>
  <c r="F1201" i="20" s="1"/>
  <c r="F1202" i="20" s="1"/>
  <c r="F1203" i="20" s="1"/>
  <c r="F1204" i="20" s="1"/>
  <c r="F1205" i="20" s="1"/>
  <c r="F1206" i="20" s="1"/>
  <c r="F1207" i="20" s="1"/>
  <c r="F1208" i="20" s="1"/>
  <c r="F1209" i="20" s="1"/>
  <c r="F1210" i="20" s="1"/>
  <c r="F1211" i="20" s="1"/>
  <c r="F1212" i="20" s="1"/>
  <c r="F1213" i="20" s="1"/>
  <c r="F1214" i="20" s="1"/>
  <c r="F1215" i="20" s="1"/>
  <c r="F1216" i="20" s="1"/>
  <c r="F1217" i="20" s="1"/>
  <c r="F1218" i="20" s="1"/>
  <c r="F1219" i="20" s="1"/>
  <c r="F1220" i="20" s="1"/>
  <c r="F1221" i="20" s="1"/>
  <c r="F1222" i="20" s="1"/>
  <c r="F1223" i="20" s="1"/>
  <c r="F1224" i="20" s="1"/>
  <c r="F1225" i="20" s="1"/>
  <c r="F1226" i="20" s="1"/>
  <c r="F1227" i="20" s="1"/>
  <c r="F1228" i="20" s="1"/>
  <c r="F1229" i="20" s="1"/>
  <c r="F1230" i="20" s="1"/>
  <c r="F1231" i="20" s="1"/>
  <c r="F1232" i="20" s="1"/>
  <c r="F1233" i="20" s="1"/>
  <c r="F1234" i="20" s="1"/>
  <c r="F1235" i="20" s="1"/>
  <c r="F1236" i="20" s="1"/>
  <c r="F1237" i="20" s="1"/>
  <c r="F1238" i="20" s="1"/>
  <c r="F1239" i="20" s="1"/>
  <c r="F1240" i="20" s="1"/>
  <c r="F1241" i="20" s="1"/>
  <c r="F1242" i="20" s="1"/>
  <c r="F1243" i="20" s="1"/>
  <c r="F1244" i="20" s="1"/>
  <c r="F1245" i="20" s="1"/>
  <c r="F1246" i="20" s="1"/>
  <c r="F1247" i="20" s="1"/>
  <c r="F1248" i="20" s="1"/>
  <c r="F1249" i="20" s="1"/>
  <c r="F1250" i="20" s="1"/>
  <c r="F1251" i="20" s="1"/>
  <c r="F1252" i="20" s="1"/>
  <c r="F1253" i="20" s="1"/>
  <c r="F1254" i="20" s="1"/>
  <c r="F1255" i="20" s="1"/>
  <c r="F1256" i="20" s="1"/>
  <c r="F1257" i="20" s="1"/>
  <c r="F1258" i="20" s="1"/>
  <c r="F1259" i="20" s="1"/>
  <c r="F1260" i="20" s="1"/>
  <c r="F1261" i="20" s="1"/>
  <c r="F1262" i="20" s="1"/>
  <c r="F1263" i="20" s="1"/>
  <c r="F1264" i="20" s="1"/>
  <c r="F1265" i="20" s="1"/>
  <c r="F1266" i="20" s="1"/>
  <c r="L1191" i="20"/>
  <c r="L1192" i="20" s="1"/>
  <c r="L1193" i="20" s="1"/>
  <c r="L1194" i="20" s="1"/>
  <c r="L1195" i="20" s="1"/>
  <c r="L1196" i="20" s="1"/>
  <c r="L1197" i="20" s="1"/>
  <c r="L1198" i="20" s="1"/>
  <c r="L1199" i="20" s="1"/>
  <c r="L1200" i="20" s="1"/>
  <c r="L1201" i="20" s="1"/>
  <c r="L1202" i="20" s="1"/>
  <c r="L1203" i="20" s="1"/>
  <c r="L1204" i="20" s="1"/>
  <c r="L1205" i="20" s="1"/>
  <c r="L1206" i="20" s="1"/>
  <c r="L1207" i="20" s="1"/>
  <c r="L1208" i="20" s="1"/>
  <c r="L1209" i="20" s="1"/>
  <c r="L1210" i="20" s="1"/>
  <c r="L1211" i="20" s="1"/>
  <c r="L1212" i="20" s="1"/>
  <c r="L1213" i="20" s="1"/>
  <c r="L1214" i="20" s="1"/>
  <c r="L1215" i="20" s="1"/>
  <c r="L1216" i="20" s="1"/>
  <c r="L1217" i="20" s="1"/>
  <c r="L1218" i="20" s="1"/>
  <c r="L1219" i="20" s="1"/>
  <c r="L1220" i="20" s="1"/>
  <c r="L1221" i="20" s="1"/>
  <c r="L1222" i="20" s="1"/>
  <c r="L1223" i="20" s="1"/>
  <c r="L1224" i="20" s="1"/>
  <c r="L1225" i="20" s="1"/>
  <c r="L1226" i="20" s="1"/>
  <c r="L1227" i="20" s="1"/>
  <c r="L1228" i="20" s="1"/>
  <c r="L1229" i="20" s="1"/>
  <c r="L1230" i="20" s="1"/>
  <c r="L1231" i="20" s="1"/>
  <c r="L1232" i="20" s="1"/>
  <c r="L1233" i="20" s="1"/>
  <c r="L1234" i="20" s="1"/>
  <c r="L1235" i="20" s="1"/>
  <c r="L1236" i="20" s="1"/>
  <c r="L1237" i="20" s="1"/>
  <c r="L1238" i="20" s="1"/>
  <c r="L1239" i="20" s="1"/>
  <c r="L1240" i="20" s="1"/>
  <c r="L1241" i="20" s="1"/>
  <c r="L1242" i="20" s="1"/>
  <c r="L1243" i="20" s="1"/>
  <c r="L1244" i="20" s="1"/>
  <c r="L1245" i="20" s="1"/>
  <c r="L1246" i="20" s="1"/>
  <c r="L1247" i="20" s="1"/>
  <c r="L1248" i="20" s="1"/>
  <c r="L1249" i="20" s="1"/>
  <c r="L1250" i="20" s="1"/>
  <c r="L1251" i="20" s="1"/>
  <c r="L1252" i="20" s="1"/>
  <c r="L1253" i="20" s="1"/>
  <c r="L1254" i="20" s="1"/>
  <c r="L1255" i="20" s="1"/>
  <c r="L1256" i="20" s="1"/>
  <c r="L1257" i="20" s="1"/>
  <c r="L1258" i="20" s="1"/>
  <c r="L1259" i="20" s="1"/>
  <c r="L1260" i="20" s="1"/>
  <c r="L1261" i="20" s="1"/>
  <c r="L1262" i="20" s="1"/>
  <c r="L1263" i="20" s="1"/>
  <c r="L1264" i="20" s="1"/>
  <c r="L1265" i="20" s="1"/>
  <c r="L1266" i="20" s="1"/>
  <c r="L1267" i="20" s="1"/>
  <c r="L1268" i="20" s="1"/>
  <c r="L1269" i="20" s="1"/>
  <c r="L1270" i="20" s="1"/>
  <c r="L1271" i="20" s="1"/>
  <c r="L1272" i="20" s="1"/>
  <c r="L1273" i="20" s="1"/>
  <c r="L1274" i="20" s="1"/>
  <c r="L1275" i="20" s="1"/>
  <c r="L1276" i="20" s="1"/>
  <c r="L1277" i="20" s="1"/>
  <c r="L1278" i="20" s="1"/>
  <c r="L1279" i="20" s="1"/>
  <c r="L1280" i="20" s="1"/>
  <c r="L1281" i="20" s="1"/>
  <c r="L1282" i="20" s="1"/>
  <c r="L1283" i="20" s="1"/>
  <c r="L1284" i="20" s="1"/>
  <c r="L1285" i="20" s="1"/>
  <c r="L1286" i="20" s="1"/>
  <c r="L1287" i="20" s="1"/>
  <c r="L1288" i="20" s="1"/>
  <c r="L1289" i="20" s="1"/>
  <c r="L1290" i="20" s="1"/>
  <c r="L1291" i="20" s="1"/>
  <c r="L1292" i="20" s="1"/>
  <c r="L1293" i="20" s="1"/>
  <c r="L1294" i="20" s="1"/>
  <c r="L1295" i="20" s="1"/>
  <c r="L1296" i="20" s="1"/>
  <c r="L1297" i="20" s="1"/>
  <c r="L1298" i="20" s="1"/>
  <c r="L1299" i="20" s="1"/>
  <c r="L1300" i="20" s="1"/>
  <c r="L1301" i="20" s="1"/>
  <c r="L1302" i="20" s="1"/>
  <c r="L1303" i="20" s="1"/>
  <c r="L1304" i="20" s="1"/>
  <c r="L1305" i="20" s="1"/>
  <c r="L1306" i="20" s="1"/>
  <c r="L1307" i="20" s="1"/>
  <c r="L1308" i="20" s="1"/>
  <c r="L1309" i="20" s="1"/>
  <c r="L1310" i="20" s="1"/>
  <c r="L1311" i="20" s="1"/>
  <c r="L1312" i="20" s="1"/>
  <c r="L1313" i="20" s="1"/>
  <c r="L1314" i="20" s="1"/>
  <c r="L1315" i="20" s="1"/>
  <c r="L1316" i="20" s="1"/>
  <c r="L1317" i="20" s="1"/>
  <c r="L1318" i="20" s="1"/>
  <c r="L1319" i="20" s="1"/>
  <c r="L1320" i="20" s="1"/>
  <c r="L1321" i="20" s="1"/>
  <c r="L1322" i="20" s="1"/>
  <c r="L1323" i="20" s="1"/>
  <c r="L1324" i="20" s="1"/>
  <c r="L1325" i="20" s="1"/>
  <c r="L1326" i="20" s="1"/>
  <c r="L1327" i="20" s="1"/>
  <c r="L1328" i="20" s="1"/>
  <c r="L1329" i="20" s="1"/>
  <c r="L1330" i="20" s="1"/>
  <c r="L1331" i="20" s="1"/>
  <c r="L1332" i="20" s="1"/>
  <c r="L1333" i="20" s="1"/>
  <c r="L1334" i="20" s="1"/>
  <c r="L1335" i="20" s="1"/>
  <c r="L1336" i="20" s="1"/>
  <c r="L1337" i="20" s="1"/>
  <c r="L1338" i="20" s="1"/>
  <c r="L1339" i="20" s="1"/>
  <c r="L1340" i="20" s="1"/>
  <c r="L1341" i="20" s="1"/>
  <c r="L1342" i="20" s="1"/>
  <c r="L1343" i="20" s="1"/>
  <c r="L1344" i="20" s="1"/>
  <c r="L1345" i="20" s="1"/>
  <c r="L1346" i="20" s="1"/>
  <c r="L1347" i="20" s="1"/>
  <c r="L1348" i="20" s="1"/>
  <c r="L1349" i="20" s="1"/>
  <c r="L1350" i="20" s="1"/>
  <c r="L1351" i="20" s="1"/>
  <c r="L1352" i="20" s="1"/>
  <c r="L1353" i="20" s="1"/>
  <c r="L1354" i="20" s="1"/>
  <c r="L1355" i="20" s="1"/>
  <c r="L1356" i="20" s="1"/>
  <c r="L1357" i="20" s="1"/>
  <c r="L1358" i="20" s="1"/>
  <c r="L1359" i="20" s="1"/>
  <c r="L1360" i="20" s="1"/>
  <c r="L1361" i="20" s="1"/>
  <c r="L1362" i="20" s="1"/>
  <c r="L1363" i="20" s="1"/>
  <c r="L1364" i="20" s="1"/>
  <c r="L1365" i="20" s="1"/>
  <c r="L1366" i="20" s="1"/>
  <c r="L1367" i="20" s="1"/>
  <c r="L1368" i="20" s="1"/>
  <c r="I1251" i="20"/>
  <c r="I1252" i="20" s="1"/>
  <c r="I1253" i="20" s="1"/>
  <c r="I1254" i="20" s="1"/>
  <c r="I1255" i="20" s="1"/>
  <c r="I1256" i="20" s="1"/>
  <c r="I1257" i="20" s="1"/>
  <c r="I1258" i="20" s="1"/>
  <c r="I1259" i="20" s="1"/>
  <c r="I1260" i="20" s="1"/>
  <c r="I1261" i="20" s="1"/>
  <c r="I1262" i="20" s="1"/>
  <c r="I1263" i="20" s="1"/>
  <c r="I1264" i="20" s="1"/>
  <c r="I1265" i="20" s="1"/>
  <c r="I1266" i="20" s="1"/>
  <c r="I1267" i="20" s="1"/>
  <c r="I1268" i="20" s="1"/>
  <c r="I1269" i="20" s="1"/>
  <c r="I1270" i="20" s="1"/>
  <c r="I1271" i="20" s="1"/>
  <c r="I1272" i="20" s="1"/>
  <c r="I1273" i="20" s="1"/>
  <c r="I1274" i="20" s="1"/>
  <c r="I1275" i="20" s="1"/>
  <c r="I1276" i="20" s="1"/>
  <c r="I1277" i="20" s="1"/>
  <c r="I1278" i="20" s="1"/>
  <c r="I1279" i="20" s="1"/>
  <c r="I1280" i="20" s="1"/>
  <c r="I1281" i="20" s="1"/>
  <c r="I1282" i="20" s="1"/>
  <c r="I1283" i="20" s="1"/>
  <c r="I1284" i="20" s="1"/>
  <c r="I1285" i="20" s="1"/>
  <c r="I1286" i="20" s="1"/>
  <c r="I1287" i="20" s="1"/>
  <c r="I1288" i="20" s="1"/>
  <c r="I1289" i="20" s="1"/>
  <c r="I1290" i="20" s="1"/>
  <c r="I1291" i="20" s="1"/>
  <c r="I1292" i="20" s="1"/>
  <c r="I1293" i="20" s="1"/>
  <c r="I1294" i="20" s="1"/>
  <c r="I1295" i="20" s="1"/>
  <c r="I1296" i="20" s="1"/>
  <c r="I1297" i="20" s="1"/>
  <c r="I1298" i="20" s="1"/>
  <c r="I1299" i="20" s="1"/>
  <c r="I1300" i="20" s="1"/>
  <c r="I1301" i="20" s="1"/>
  <c r="I1302" i="20" s="1"/>
  <c r="I1303" i="20" s="1"/>
  <c r="I1304" i="20" s="1"/>
  <c r="I1305" i="20" s="1"/>
  <c r="I1306" i="20" s="1"/>
  <c r="I1307" i="20" s="1"/>
  <c r="F1267" i="20"/>
  <c r="F1268" i="20" s="1"/>
  <c r="F1269" i="20" s="1"/>
  <c r="F1270" i="20" s="1"/>
  <c r="F1271" i="20" s="1"/>
  <c r="F1272" i="20" s="1"/>
  <c r="F1273" i="20" s="1"/>
  <c r="F1274" i="20" s="1"/>
  <c r="F1275" i="20" s="1"/>
  <c r="F1276" i="20" s="1"/>
  <c r="F1277" i="20" s="1"/>
  <c r="F1278" i="20" s="1"/>
  <c r="F1279" i="20" s="1"/>
  <c r="F1280" i="20"/>
  <c r="F1281" i="20" s="1"/>
  <c r="F1282" i="20" s="1"/>
  <c r="F1283" i="20" s="1"/>
  <c r="F1284" i="20" s="1"/>
  <c r="F1285" i="20" s="1"/>
  <c r="F1286" i="20" s="1"/>
  <c r="F1287" i="20" s="1"/>
  <c r="F1288" i="20" s="1"/>
  <c r="F1289" i="20" s="1"/>
  <c r="F1290" i="20" s="1"/>
  <c r="F1291" i="20" s="1"/>
  <c r="F1292" i="20" s="1"/>
  <c r="F1293" i="20"/>
  <c r="F1294" i="20" s="1"/>
  <c r="F1295" i="20" s="1"/>
  <c r="F1296" i="20" s="1"/>
  <c r="F1297" i="20" s="1"/>
  <c r="F1298" i="20" s="1"/>
  <c r="F1299" i="20" s="1"/>
  <c r="F1300" i="20" s="1"/>
  <c r="F1301" i="20" s="1"/>
  <c r="F1302" i="20" s="1"/>
  <c r="F1303" i="20" s="1"/>
  <c r="F1304" i="20" s="1"/>
  <c r="F1305" i="20" s="1"/>
  <c r="F1306" i="20" s="1"/>
  <c r="F1307" i="20" s="1"/>
  <c r="F1308" i="20" s="1"/>
  <c r="F1309" i="20" s="1"/>
  <c r="F1310" i="20" s="1"/>
  <c r="F1311" i="20" s="1"/>
  <c r="F1312" i="20" s="1"/>
  <c r="F1313" i="20" s="1"/>
  <c r="F1314" i="20" s="1"/>
  <c r="F1315" i="20" s="1"/>
  <c r="F1316" i="20" s="1"/>
  <c r="F1317" i="20" s="1"/>
  <c r="F1318" i="20" s="1"/>
  <c r="F1319" i="20" s="1"/>
  <c r="F1320" i="20" s="1"/>
  <c r="F1321" i="20" s="1"/>
  <c r="F1322" i="20" s="1"/>
  <c r="F1323" i="20" s="1"/>
  <c r="F1324" i="20" s="1"/>
  <c r="F1325" i="20" s="1"/>
  <c r="F1326" i="20" s="1"/>
  <c r="F1327" i="20" s="1"/>
  <c r="F1328" i="20" s="1"/>
  <c r="F1329" i="20" s="1"/>
  <c r="F1330" i="20" s="1"/>
  <c r="F1331" i="20" s="1"/>
  <c r="F1332" i="20" s="1"/>
  <c r="F1333" i="20" s="1"/>
  <c r="F1334" i="20" s="1"/>
  <c r="F1335" i="20" s="1"/>
  <c r="F1336" i="20" s="1"/>
  <c r="F1337" i="20" s="1"/>
  <c r="F1338" i="20" s="1"/>
  <c r="F1339" i="20" s="1"/>
  <c r="F1340" i="20" s="1"/>
  <c r="F1341" i="20" s="1"/>
  <c r="F1342" i="20" s="1"/>
  <c r="F1343" i="20" s="1"/>
  <c r="F1344" i="20" s="1"/>
  <c r="F1345" i="20" s="1"/>
  <c r="F1346" i="20" s="1"/>
  <c r="F1347" i="20" s="1"/>
  <c r="F1348" i="20" s="1"/>
  <c r="I1308" i="20"/>
  <c r="I1309" i="20" s="1"/>
  <c r="I1310" i="20" s="1"/>
  <c r="I1311" i="20" s="1"/>
  <c r="I1312" i="20" s="1"/>
  <c r="I1313" i="20" s="1"/>
  <c r="I1314" i="20" s="1"/>
  <c r="I1315" i="20" s="1"/>
  <c r="I1316" i="20" s="1"/>
  <c r="I1317" i="20" s="1"/>
  <c r="I1318" i="20" s="1"/>
  <c r="I1319" i="20" s="1"/>
  <c r="I1320" i="20" s="1"/>
  <c r="I1321" i="20" s="1"/>
  <c r="I1322" i="20" s="1"/>
  <c r="I1323" i="20" s="1"/>
  <c r="I1324" i="20" s="1"/>
  <c r="I1325" i="20" s="1"/>
  <c r="I1326" i="20" s="1"/>
  <c r="I1327" i="20" s="1"/>
  <c r="I1328" i="20" s="1"/>
  <c r="I1329" i="20"/>
  <c r="I1330" i="20" s="1"/>
  <c r="I1331" i="20" s="1"/>
  <c r="I1332" i="20" s="1"/>
  <c r="I1333" i="20" s="1"/>
  <c r="I1334" i="20" s="1"/>
  <c r="I1335" i="20" s="1"/>
  <c r="I1336" i="20" s="1"/>
  <c r="I1337" i="20" s="1"/>
  <c r="I1338" i="20" s="1"/>
  <c r="I1339" i="20" s="1"/>
  <c r="I1340" i="20" s="1"/>
  <c r="I1341" i="20" s="1"/>
  <c r="I1342" i="20" s="1"/>
  <c r="I1343" i="20" s="1"/>
  <c r="I1344" i="20" s="1"/>
  <c r="I1345" i="20" s="1"/>
  <c r="I1346" i="20" s="1"/>
  <c r="I1347" i="20" s="1"/>
  <c r="I1348" i="20" s="1"/>
  <c r="I1349" i="20" s="1"/>
  <c r="I1350" i="20" s="1"/>
  <c r="I1351" i="20" s="1"/>
  <c r="I1352" i="20" s="1"/>
  <c r="I1353" i="20" s="1"/>
  <c r="I1354" i="20" s="1"/>
  <c r="I1355" i="20" s="1"/>
  <c r="I1356" i="20" s="1"/>
  <c r="I1357" i="20" s="1"/>
  <c r="I1358" i="20" s="1"/>
  <c r="I1359" i="20" s="1"/>
  <c r="I1360" i="20" s="1"/>
  <c r="I1361" i="20" s="1"/>
  <c r="I1362" i="20" s="1"/>
  <c r="I1363" i="20" s="1"/>
  <c r="I1364" i="20" s="1"/>
  <c r="I1365" i="20" s="1"/>
  <c r="I1366" i="20" s="1"/>
  <c r="I1367" i="20" s="1"/>
  <c r="I1368" i="20" s="1"/>
  <c r="I1369" i="20" s="1"/>
  <c r="I1370" i="20" s="1"/>
  <c r="I1371" i="20" s="1"/>
  <c r="I1372" i="20" s="1"/>
  <c r="I1373" i="20" s="1"/>
  <c r="I1374" i="20" s="1"/>
  <c r="I1375" i="20" s="1"/>
  <c r="I1376" i="20" s="1"/>
  <c r="I1377" i="20" s="1"/>
  <c r="I1378" i="20" s="1"/>
  <c r="I1379" i="20" s="1"/>
  <c r="I1380" i="20" s="1"/>
  <c r="I1381" i="20" s="1"/>
  <c r="I1382" i="20" s="1"/>
  <c r="I1383" i="20" s="1"/>
  <c r="I1384" i="20" s="1"/>
  <c r="I1385" i="20" s="1"/>
  <c r="I1386" i="20" s="1"/>
  <c r="I1387" i="20" s="1"/>
  <c r="I1388" i="20" s="1"/>
  <c r="I1389" i="20" s="1"/>
  <c r="I1390" i="20" s="1"/>
  <c r="I1391" i="20" s="1"/>
  <c r="I1392" i="20" s="1"/>
  <c r="I1393" i="20" s="1"/>
  <c r="I1394" i="20" s="1"/>
  <c r="I1395" i="20" s="1"/>
  <c r="I1396" i="20" s="1"/>
  <c r="F1349" i="20"/>
  <c r="F1350" i="20" s="1"/>
  <c r="F1351" i="20" s="1"/>
  <c r="F1352" i="20" s="1"/>
  <c r="F1353" i="20" s="1"/>
  <c r="F1354" i="20" s="1"/>
  <c r="F1355" i="20" s="1"/>
  <c r="F1356" i="20"/>
  <c r="F1357" i="20" s="1"/>
  <c r="F1358" i="20" s="1"/>
  <c r="F1359" i="20" s="1"/>
  <c r="F1360" i="20" s="1"/>
  <c r="F1361" i="20" s="1"/>
  <c r="F1362" i="20" s="1"/>
  <c r="F1363" i="20" s="1"/>
  <c r="F1364" i="20" s="1"/>
  <c r="F1365" i="20" s="1"/>
  <c r="F1366" i="20"/>
  <c r="F1367" i="20" s="1"/>
  <c r="F1368" i="20" s="1"/>
  <c r="F1369" i="20" s="1"/>
  <c r="F1370" i="20" s="1"/>
  <c r="F1371" i="20" s="1"/>
  <c r="F1372" i="20" s="1"/>
  <c r="F1373" i="20" s="1"/>
  <c r="F1374" i="20" s="1"/>
  <c r="F1375" i="20" s="1"/>
  <c r="F1376" i="20" s="1"/>
  <c r="F1377" i="20" s="1"/>
  <c r="F1378" i="20" s="1"/>
  <c r="L1369" i="20"/>
  <c r="L1370" i="20" s="1"/>
  <c r="L1371" i="20" s="1"/>
  <c r="L1372" i="20" s="1"/>
  <c r="L1373" i="20" s="1"/>
  <c r="L1374" i="20" s="1"/>
  <c r="L1375" i="20" s="1"/>
  <c r="L1376" i="20" s="1"/>
  <c r="L1377" i="20" s="1"/>
  <c r="L1378" i="20" s="1"/>
  <c r="L1379" i="20" s="1"/>
  <c r="L1380" i="20" s="1"/>
  <c r="L1381" i="20" s="1"/>
  <c r="L1382" i="20" s="1"/>
  <c r="L1383" i="20" s="1"/>
  <c r="L1384" i="20" s="1"/>
  <c r="L1385" i="20" s="1"/>
  <c r="L1386" i="20" s="1"/>
  <c r="L1387" i="20" s="1"/>
  <c r="L1388" i="20" s="1"/>
  <c r="L1389" i="20" s="1"/>
  <c r="L1390" i="20" s="1"/>
  <c r="L1391" i="20" s="1"/>
  <c r="L1392" i="20" s="1"/>
  <c r="L1393" i="20" s="1"/>
  <c r="L1394" i="20" s="1"/>
  <c r="L1395" i="20" s="1"/>
  <c r="L1396" i="20" s="1"/>
  <c r="L1397" i="20" s="1"/>
  <c r="L1398" i="20" s="1"/>
  <c r="L1399" i="20" s="1"/>
  <c r="L1400" i="20" s="1"/>
  <c r="L1401" i="20" s="1"/>
  <c r="L1402" i="20" s="1"/>
  <c r="L1403" i="20" s="1"/>
  <c r="L1404" i="20" s="1"/>
  <c r="L1405" i="20" s="1"/>
  <c r="L1406" i="20" s="1"/>
  <c r="L1407" i="20" s="1"/>
  <c r="L1408" i="20" s="1"/>
  <c r="F1379" i="20"/>
  <c r="F1380" i="20" s="1"/>
  <c r="F1381" i="20" s="1"/>
  <c r="F1382" i="20" s="1"/>
  <c r="F1383" i="20" s="1"/>
  <c r="F1384" i="20" s="1"/>
  <c r="F1385" i="20" s="1"/>
  <c r="F1386" i="20" s="1"/>
  <c r="F1387" i="20" s="1"/>
  <c r="F1388" i="20" s="1"/>
  <c r="F1389" i="20" s="1"/>
  <c r="F1390" i="20" s="1"/>
  <c r="F1391" i="20" s="1"/>
  <c r="F1392" i="20" s="1"/>
  <c r="F1393" i="20" s="1"/>
  <c r="F1394" i="20" s="1"/>
  <c r="F1395" i="20" s="1"/>
  <c r="F1396" i="20" s="1"/>
  <c r="F1397" i="20" s="1"/>
  <c r="F1398" i="20" s="1"/>
  <c r="F1399" i="20"/>
  <c r="F1400" i="20" s="1"/>
  <c r="F1401" i="20" s="1"/>
  <c r="F1402" i="20" s="1"/>
  <c r="F1403" i="20" s="1"/>
  <c r="F1404" i="20" s="1"/>
  <c r="F1405" i="20" s="1"/>
  <c r="F1406" i="20" s="1"/>
  <c r="F1407" i="20" s="1"/>
  <c r="F1408" i="20" s="1"/>
  <c r="F1409" i="20" s="1"/>
  <c r="F1410" i="20" s="1"/>
  <c r="F1411" i="20" s="1"/>
  <c r="F1412" i="20" s="1"/>
  <c r="F1413" i="20" s="1"/>
  <c r="F1414" i="20" s="1"/>
  <c r="F1415" i="20" s="1"/>
  <c r="F1416" i="20" s="1"/>
  <c r="F1417" i="20" s="1"/>
  <c r="F1418" i="20" s="1"/>
  <c r="F1419" i="20" s="1"/>
  <c r="F1420" i="20" s="1"/>
  <c r="F1421" i="20" s="1"/>
  <c r="F1422" i="20" s="1"/>
  <c r="F1423" i="20" s="1"/>
  <c r="F1424" i="20" s="1"/>
  <c r="F1425" i="20" s="1"/>
  <c r="F1426" i="20" s="1"/>
  <c r="F1427" i="20" s="1"/>
  <c r="F1428" i="20" s="1"/>
  <c r="F1429" i="20" s="1"/>
  <c r="F1430" i="20" s="1"/>
  <c r="F1431" i="20" s="1"/>
  <c r="F1432" i="20" s="1"/>
  <c r="F1433" i="20" s="1"/>
  <c r="F1434" i="20" s="1"/>
  <c r="F1435" i="20" s="1"/>
  <c r="F1436" i="20" s="1"/>
  <c r="F1437" i="20" s="1"/>
  <c r="F1438" i="20" s="1"/>
  <c r="F1439" i="20" s="1"/>
  <c r="F1440" i="20" s="1"/>
  <c r="F1441" i="20" s="1"/>
  <c r="F1442" i="20" s="1"/>
  <c r="F1443" i="20" s="1"/>
  <c r="F1444" i="20" s="1"/>
  <c r="F1445" i="20" s="1"/>
  <c r="F1446" i="20" s="1"/>
  <c r="F1447" i="20" s="1"/>
  <c r="F1448" i="20" s="1"/>
  <c r="F1449" i="20" s="1"/>
  <c r="F1450" i="20" s="1"/>
  <c r="F1451" i="20" s="1"/>
  <c r="F1452" i="20" s="1"/>
  <c r="F1453" i="20" s="1"/>
  <c r="F1454" i="20" s="1"/>
  <c r="F1455" i="20" s="1"/>
  <c r="F1456" i="20" s="1"/>
  <c r="I1397" i="20"/>
  <c r="I1398" i="20" s="1"/>
  <c r="I1399" i="20" s="1"/>
  <c r="I1400" i="20" s="1"/>
  <c r="I1401" i="20" s="1"/>
  <c r="I1402" i="20" s="1"/>
  <c r="I1403" i="20" s="1"/>
  <c r="I1404" i="20" s="1"/>
  <c r="I1405" i="20" s="1"/>
  <c r="I1406" i="20" s="1"/>
  <c r="I1407" i="20" s="1"/>
  <c r="I1408" i="20" s="1"/>
  <c r="I1409" i="20" s="1"/>
  <c r="I1410" i="20" s="1"/>
  <c r="I1411" i="20" s="1"/>
  <c r="I1412" i="20" s="1"/>
  <c r="I1413" i="20" s="1"/>
  <c r="I1414" i="20" s="1"/>
  <c r="I1415" i="20" s="1"/>
  <c r="I1416" i="20" s="1"/>
  <c r="I1417" i="20" s="1"/>
  <c r="I1418" i="20" s="1"/>
  <c r="I1419" i="20" s="1"/>
  <c r="I1420" i="20" s="1"/>
  <c r="I1421" i="20" s="1"/>
  <c r="I1422" i="20" s="1"/>
  <c r="I1423" i="20" s="1"/>
  <c r="I1424" i="20" s="1"/>
  <c r="I1425" i="20" s="1"/>
  <c r="I1426" i="20" s="1"/>
  <c r="I1427" i="20" s="1"/>
  <c r="I1428" i="20" s="1"/>
  <c r="I1429" i="20" s="1"/>
  <c r="I1430" i="20" s="1"/>
  <c r="I1431" i="20" s="1"/>
  <c r="I1432" i="20" s="1"/>
  <c r="I1433" i="20" s="1"/>
  <c r="I1434" i="20" s="1"/>
  <c r="I1435" i="20" s="1"/>
  <c r="L1409" i="20"/>
  <c r="L1410" i="20" s="1"/>
  <c r="L1411" i="20" s="1"/>
  <c r="L1412" i="20" s="1"/>
  <c r="L1413" i="20" s="1"/>
  <c r="L1414" i="20" s="1"/>
  <c r="L1415" i="20" s="1"/>
  <c r="L1416" i="20" s="1"/>
  <c r="L1417" i="20" s="1"/>
  <c r="L1418" i="20" s="1"/>
  <c r="L1419" i="20" s="1"/>
  <c r="L1420" i="20" s="1"/>
  <c r="L1421" i="20" s="1"/>
  <c r="L1422" i="20" s="1"/>
  <c r="L1423" i="20" s="1"/>
  <c r="L1424" i="20"/>
  <c r="L1425" i="20" s="1"/>
  <c r="L1426" i="20" s="1"/>
  <c r="L1427" i="20" s="1"/>
  <c r="L1428" i="20" s="1"/>
  <c r="L1429" i="20" s="1"/>
  <c r="L1430" i="20" s="1"/>
  <c r="L1431" i="20" s="1"/>
  <c r="L1432" i="20" s="1"/>
  <c r="L1433" i="20" s="1"/>
  <c r="L1434" i="20" s="1"/>
  <c r="L1435" i="20" s="1"/>
  <c r="L1436" i="20" s="1"/>
  <c r="L1437" i="20" s="1"/>
  <c r="L1438" i="20" s="1"/>
  <c r="L1439" i="20" s="1"/>
  <c r="L1440" i="20" s="1"/>
  <c r="L1441" i="20" s="1"/>
  <c r="L1442" i="20" s="1"/>
  <c r="L1443" i="20" s="1"/>
  <c r="L1444" i="20" s="1"/>
  <c r="L1445" i="20" s="1"/>
  <c r="L1446" i="20" s="1"/>
  <c r="L1447" i="20" s="1"/>
  <c r="L1448" i="20" s="1"/>
  <c r="L1449" i="20" s="1"/>
  <c r="L1450" i="20" s="1"/>
  <c r="L1451" i="20" s="1"/>
  <c r="L1452" i="20" s="1"/>
  <c r="L1453" i="20" s="1"/>
  <c r="L1454" i="20" s="1"/>
  <c r="L1455" i="20" s="1"/>
  <c r="L1456" i="20" s="1"/>
  <c r="L1457" i="20" s="1"/>
  <c r="L1458" i="20" s="1"/>
  <c r="L1459" i="20" s="1"/>
  <c r="L1460" i="20" s="1"/>
  <c r="L1461" i="20" s="1"/>
  <c r="L1462" i="20" s="1"/>
  <c r="L1463" i="20" s="1"/>
  <c r="L1464" i="20" s="1"/>
  <c r="L1465" i="20" s="1"/>
  <c r="L1466" i="20" s="1"/>
  <c r="L1467" i="20" s="1"/>
  <c r="L1468" i="20" s="1"/>
  <c r="L1469" i="20" s="1"/>
  <c r="L1470" i="20" s="1"/>
  <c r="L1471" i="20" s="1"/>
  <c r="L1472" i="20" s="1"/>
  <c r="I1436" i="20"/>
  <c r="I1437" i="20" s="1"/>
  <c r="I1438" i="20" s="1"/>
  <c r="I1439" i="20" s="1"/>
  <c r="I1440" i="20" s="1"/>
  <c r="I1441" i="20" s="1"/>
  <c r="I1442" i="20" s="1"/>
  <c r="I1443" i="20"/>
  <c r="I1444" i="20" s="1"/>
  <c r="I1445" i="20" s="1"/>
  <c r="I1446" i="20" s="1"/>
  <c r="I1447" i="20" s="1"/>
  <c r="I1448" i="20" s="1"/>
  <c r="I1449" i="20" s="1"/>
  <c r="I1450" i="20" s="1"/>
  <c r="I1451" i="20" s="1"/>
  <c r="I1452" i="20" s="1"/>
  <c r="I1453" i="20" s="1"/>
  <c r="I1454" i="20" s="1"/>
  <c r="F1457" i="20"/>
  <c r="F1458" i="20" s="1"/>
  <c r="F1459" i="20" s="1"/>
  <c r="F1460" i="20" s="1"/>
  <c r="F1461" i="20" s="1"/>
  <c r="F1462" i="20" s="1"/>
  <c r="F1463" i="20" s="1"/>
  <c r="F1464" i="20" s="1"/>
  <c r="F1465" i="20" s="1"/>
  <c r="F1466" i="20" s="1"/>
  <c r="F1467" i="20" s="1"/>
  <c r="F1468" i="20" s="1"/>
  <c r="I1455" i="20"/>
  <c r="I1456" i="20" s="1"/>
  <c r="I1457" i="20" s="1"/>
  <c r="I1458" i="20" s="1"/>
  <c r="I1459" i="20" s="1"/>
  <c r="I1460" i="20" s="1"/>
  <c r="I1461" i="20" s="1"/>
  <c r="I1462" i="20" s="1"/>
  <c r="I1463" i="20" s="1"/>
  <c r="I1464" i="20" s="1"/>
  <c r="I1465" i="20" s="1"/>
  <c r="I1466" i="20" s="1"/>
  <c r="I1467" i="20" s="1"/>
  <c r="I1468" i="20" s="1"/>
  <c r="I1469" i="20" s="1"/>
  <c r="I1470" i="20" s="1"/>
  <c r="I1471" i="20" s="1"/>
  <c r="I1472" i="20" s="1"/>
  <c r="I1473" i="20" s="1"/>
  <c r="I1474" i="20" s="1"/>
  <c r="I1475" i="20" s="1"/>
  <c r="I1476" i="20" s="1"/>
  <c r="I1477" i="20" s="1"/>
  <c r="I1478" i="20" s="1"/>
  <c r="I1479" i="20" s="1"/>
  <c r="I1480" i="20" s="1"/>
  <c r="I1481" i="20" s="1"/>
  <c r="I1482" i="20" s="1"/>
  <c r="I1483" i="20" s="1"/>
  <c r="I1484" i="20" s="1"/>
  <c r="I1485" i="20" s="1"/>
  <c r="I1486" i="20" s="1"/>
  <c r="I1487" i="20" s="1"/>
  <c r="I1488" i="20" s="1"/>
  <c r="I1489" i="20" s="1"/>
  <c r="I1490" i="20" s="1"/>
  <c r="I1491" i="20" s="1"/>
  <c r="I1492" i="20" s="1"/>
  <c r="I1493" i="20" s="1"/>
  <c r="I1494" i="20" s="1"/>
  <c r="I1495" i="20" s="1"/>
  <c r="I1496" i="20" s="1"/>
  <c r="I1497" i="20" s="1"/>
  <c r="I1498" i="20" s="1"/>
  <c r="I1499" i="20" s="1"/>
  <c r="I1500" i="20" s="1"/>
  <c r="I1501" i="20" s="1"/>
  <c r="I1502" i="20" s="1"/>
  <c r="I1503" i="20" s="1"/>
  <c r="I1504" i="20" s="1"/>
  <c r="I1505" i="20" s="1"/>
  <c r="I1506" i="20" s="1"/>
  <c r="I1507" i="20" s="1"/>
  <c r="I1508" i="20" s="1"/>
  <c r="F1469" i="20"/>
  <c r="F1470" i="20" s="1"/>
  <c r="F1471" i="20" s="1"/>
  <c r="F1472" i="20" s="1"/>
  <c r="F1473" i="20" s="1"/>
  <c r="F1474" i="20" s="1"/>
  <c r="F1475" i="20" s="1"/>
  <c r="F1476" i="20" s="1"/>
  <c r="F1477" i="20" s="1"/>
  <c r="F1478" i="20" s="1"/>
  <c r="F1479" i="20" s="1"/>
  <c r="F1480" i="20" s="1"/>
  <c r="F1481" i="20" s="1"/>
  <c r="F1482" i="20" s="1"/>
  <c r="F1483" i="20" s="1"/>
  <c r="F1484" i="20" s="1"/>
  <c r="F1485" i="20" s="1"/>
  <c r="F1486" i="20" s="1"/>
  <c r="F1487" i="20" s="1"/>
  <c r="F1488" i="20" s="1"/>
  <c r="F1489" i="20" s="1"/>
  <c r="F1490" i="20" s="1"/>
  <c r="F1491" i="20" s="1"/>
  <c r="F1492" i="20" s="1"/>
  <c r="F1493" i="20" s="1"/>
  <c r="F1494" i="20" s="1"/>
  <c r="F1495" i="20" s="1"/>
  <c r="F1496" i="20" s="1"/>
  <c r="F1497" i="20" s="1"/>
  <c r="F1498" i="20" s="1"/>
  <c r="F1499" i="20" s="1"/>
  <c r="F1500" i="20" s="1"/>
  <c r="F1501" i="20" s="1"/>
  <c r="F1502" i="20" s="1"/>
  <c r="F1503" i="20" s="1"/>
  <c r="F1504" i="20" s="1"/>
  <c r="F1505" i="20" s="1"/>
  <c r="F1506" i="20" s="1"/>
  <c r="F1507" i="20" s="1"/>
  <c r="F1508" i="20" s="1"/>
  <c r="F1509" i="20" s="1"/>
  <c r="F1510" i="20" s="1"/>
  <c r="F1511" i="20" s="1"/>
  <c r="F1512" i="20" s="1"/>
  <c r="F1513" i="20" s="1"/>
  <c r="F1514" i="20" s="1"/>
  <c r="L1473" i="20"/>
  <c r="L1474" i="20" s="1"/>
  <c r="L1475" i="20" s="1"/>
  <c r="L1476" i="20" s="1"/>
  <c r="L1477" i="20"/>
  <c r="L1478" i="20" s="1"/>
  <c r="L1479" i="20" s="1"/>
  <c r="L1480" i="20" s="1"/>
  <c r="L1481" i="20" s="1"/>
  <c r="L1482" i="20" s="1"/>
  <c r="L1483" i="20" s="1"/>
  <c r="L1484" i="20"/>
  <c r="L1485" i="20" s="1"/>
  <c r="L1486" i="20" s="1"/>
  <c r="L1487" i="20" s="1"/>
  <c r="L1488" i="20" s="1"/>
  <c r="L1489" i="20" s="1"/>
  <c r="L1490" i="20" s="1"/>
  <c r="L1491" i="20" s="1"/>
  <c r="L1492" i="20" s="1"/>
  <c r="L1493" i="20" s="1"/>
  <c r="L1494" i="20" s="1"/>
  <c r="L1495" i="20" s="1"/>
  <c r="L1496" i="20" s="1"/>
  <c r="L1497" i="20" s="1"/>
  <c r="L1498" i="20" s="1"/>
  <c r="L1499" i="20" s="1"/>
  <c r="L1500" i="20" s="1"/>
  <c r="L1501" i="20" s="1"/>
  <c r="L1502" i="20" s="1"/>
  <c r="L1503" i="20" s="1"/>
  <c r="L1504" i="20" s="1"/>
  <c r="L1505" i="20" s="1"/>
  <c r="L1506" i="20" s="1"/>
  <c r="L1507" i="20" s="1"/>
  <c r="L1508" i="20" s="1"/>
  <c r="L1509" i="20" s="1"/>
  <c r="L1510" i="20" s="1"/>
  <c r="L1511" i="20" s="1"/>
  <c r="L1512" i="20" s="1"/>
  <c r="I1509" i="20"/>
  <c r="L1513" i="20"/>
  <c r="L1514" i="20" s="1"/>
  <c r="I1510" i="20"/>
  <c r="I1511" i="20"/>
  <c r="I1512" i="20"/>
  <c r="I1513" i="20" s="1"/>
  <c r="I1514" i="20" s="1"/>
  <c r="O25" i="38" l="1"/>
  <c r="Q25" i="38" s="1"/>
  <c r="S25" i="38" s="1"/>
  <c r="O31" i="38"/>
  <c r="Q31" i="38" s="1"/>
  <c r="S31" i="38" s="1"/>
  <c r="O26" i="38"/>
  <c r="Q26" i="38" s="1"/>
  <c r="S26" i="38" s="1"/>
  <c r="O28" i="38"/>
  <c r="Q28" i="38" s="1"/>
  <c r="S28" i="38" s="1"/>
  <c r="O27" i="38"/>
  <c r="Q27" i="38" s="1"/>
  <c r="S27" i="38" s="1"/>
  <c r="O32" i="38"/>
  <c r="Q32" i="38" s="1"/>
  <c r="S32" i="38" s="1"/>
  <c r="O30" i="38"/>
  <c r="Q30" i="38" s="1"/>
  <c r="S30" i="38" s="1"/>
  <c r="O33" i="38"/>
  <c r="S33" i="38" s="1"/>
  <c r="O29" i="38"/>
  <c r="Q29" i="38" s="1"/>
  <c r="S29" i="38" s="1"/>
  <c r="O34" i="38"/>
  <c r="S34" i="38" s="1"/>
  <c r="J15" i="20" a="1"/>
  <c r="O34" i="20"/>
  <c r="M15" i="20" a="1"/>
  <c r="G15" i="20" a="1"/>
  <c r="C30" i="20"/>
  <c r="C31" i="20" s="1"/>
  <c r="C32" i="20" s="1"/>
  <c r="C33" i="20" s="1"/>
  <c r="C34" i="20" s="1"/>
  <c r="C35" i="20" s="1"/>
  <c r="C36" i="20" s="1"/>
  <c r="C37" i="20" s="1"/>
  <c r="C38" i="20" s="1"/>
  <c r="C39" i="20" s="1"/>
  <c r="C40" i="20" s="1"/>
  <c r="C41" i="20" s="1"/>
  <c r="C42" i="20" s="1"/>
  <c r="C43" i="20" s="1"/>
  <c r="C44" i="20" s="1"/>
  <c r="C45" i="20" s="1"/>
  <c r="C46" i="20" s="1"/>
  <c r="C47" i="20" s="1"/>
  <c r="C48" i="20" s="1"/>
  <c r="C49" i="20" s="1"/>
  <c r="C50" i="20" s="1"/>
  <c r="C51" i="20" s="1"/>
  <c r="C52" i="20" s="1"/>
  <c r="C53" i="20" s="1"/>
  <c r="C54" i="20" s="1"/>
  <c r="C55" i="20" s="1"/>
  <c r="C56" i="20" s="1"/>
  <c r="C57" i="20" s="1"/>
  <c r="C58" i="20" s="1"/>
  <c r="C59" i="20" s="1"/>
  <c r="C60" i="20" s="1"/>
  <c r="C61" i="20" s="1"/>
  <c r="C62" i="20" s="1"/>
  <c r="C63" i="20" s="1"/>
  <c r="C64" i="20" s="1"/>
  <c r="C65" i="20" s="1"/>
  <c r="C66" i="20" s="1"/>
  <c r="C67" i="20" s="1"/>
  <c r="C68" i="20" s="1"/>
  <c r="C69" i="20" s="1"/>
  <c r="C70" i="20" s="1"/>
  <c r="C71" i="20" s="1"/>
  <c r="C72" i="20" s="1"/>
  <c r="C73" i="20" s="1"/>
  <c r="C74" i="20" s="1"/>
  <c r="C75" i="20" s="1"/>
  <c r="C76" i="20" s="1"/>
  <c r="C77" i="20" s="1"/>
  <c r="C78" i="20" s="1"/>
  <c r="C79" i="20" s="1"/>
  <c r="C80" i="20" s="1"/>
  <c r="C81" i="20" s="1"/>
  <c r="C82" i="20" s="1"/>
  <c r="C83" i="20" s="1"/>
  <c r="C84" i="20" s="1"/>
  <c r="C85" i="20" s="1"/>
  <c r="C86" i="20" s="1"/>
  <c r="C87" i="20" s="1"/>
  <c r="C88" i="20" s="1"/>
  <c r="C89" i="20" s="1"/>
  <c r="C90" i="20" s="1"/>
  <c r="C91" i="20" s="1"/>
  <c r="C92" i="20" s="1"/>
  <c r="C93" i="20" s="1"/>
  <c r="C94" i="20" s="1"/>
  <c r="C95" i="20" s="1"/>
  <c r="C96" i="20" s="1"/>
  <c r="C97" i="20" s="1"/>
  <c r="C98" i="20" s="1"/>
  <c r="C99" i="20" s="1"/>
  <c r="C100" i="20" s="1"/>
  <c r="C101" i="20" s="1"/>
  <c r="C102" i="20" s="1"/>
  <c r="C103" i="20" s="1"/>
  <c r="C104" i="20" s="1"/>
  <c r="C105" i="20" s="1"/>
  <c r="C106" i="20" s="1"/>
  <c r="C107" i="20" s="1"/>
  <c r="C108" i="20" s="1"/>
  <c r="C109" i="20" s="1"/>
  <c r="C110" i="20" s="1"/>
  <c r="C111" i="20" s="1"/>
  <c r="C112" i="20" s="1"/>
  <c r="C113" i="20" s="1"/>
  <c r="C114" i="20" s="1"/>
  <c r="C115" i="20" s="1"/>
  <c r="C116" i="20" s="1"/>
  <c r="C117" i="20" s="1"/>
  <c r="C118" i="20" s="1"/>
  <c r="C119" i="20" s="1"/>
  <c r="C120" i="20" s="1"/>
  <c r="C121" i="20" s="1"/>
  <c r="C122" i="20" s="1"/>
  <c r="C123" i="20" s="1"/>
  <c r="C124" i="20" s="1"/>
  <c r="C125" i="20" s="1"/>
  <c r="C126" i="20" s="1"/>
  <c r="C127" i="20" s="1"/>
  <c r="C128" i="20" s="1"/>
  <c r="C129" i="20" s="1"/>
  <c r="C130" i="20" s="1"/>
  <c r="C131" i="20" s="1"/>
  <c r="C132" i="20" s="1"/>
  <c r="C133" i="20" s="1"/>
  <c r="C134" i="20" s="1"/>
  <c r="C135" i="20" s="1"/>
  <c r="C136" i="20" s="1"/>
  <c r="C137" i="20" s="1"/>
  <c r="C138" i="20" s="1"/>
  <c r="C139" i="20" s="1"/>
  <c r="C140" i="20" s="1"/>
  <c r="C141" i="20" s="1"/>
  <c r="C142" i="20" s="1"/>
  <c r="C143" i="20" s="1"/>
  <c r="C144" i="20" s="1"/>
  <c r="C145" i="20" s="1"/>
  <c r="C146" i="20" s="1"/>
  <c r="C147" i="20" s="1"/>
  <c r="C148" i="20" s="1"/>
  <c r="C149" i="20" s="1"/>
  <c r="C150" i="20" s="1"/>
  <c r="C151" i="20" s="1"/>
  <c r="C152" i="20" s="1"/>
  <c r="C153" i="20" s="1"/>
  <c r="C154" i="20" s="1"/>
  <c r="C155" i="20" s="1"/>
  <c r="C156" i="20" s="1"/>
  <c r="C157" i="20" s="1"/>
  <c r="C158" i="20" s="1"/>
  <c r="C159" i="20" s="1"/>
  <c r="C160" i="20" s="1"/>
  <c r="C161" i="20" s="1"/>
  <c r="C162" i="20" s="1"/>
  <c r="C163" i="20" s="1"/>
  <c r="C164" i="20" s="1"/>
  <c r="C165" i="20" s="1"/>
  <c r="C166" i="20" s="1"/>
  <c r="C167" i="20" s="1"/>
  <c r="C168" i="20" s="1"/>
  <c r="C169" i="20" s="1"/>
  <c r="C170" i="20" s="1"/>
  <c r="C171" i="20" s="1"/>
  <c r="C172" i="20" s="1"/>
  <c r="C173" i="20" s="1"/>
  <c r="C174" i="20" s="1"/>
  <c r="C175" i="20" s="1"/>
  <c r="C176" i="20" s="1"/>
  <c r="C177" i="20" s="1"/>
  <c r="C178" i="20" s="1"/>
  <c r="C179" i="20" s="1"/>
  <c r="C180" i="20" s="1"/>
  <c r="C181" i="20" s="1"/>
  <c r="C182" i="20" s="1"/>
  <c r="C183" i="20" s="1"/>
  <c r="C184" i="20" s="1"/>
  <c r="C185" i="20" s="1"/>
  <c r="C186" i="20" s="1"/>
  <c r="C187" i="20" s="1"/>
  <c r="C188" i="20" s="1"/>
  <c r="C189" i="20" s="1"/>
  <c r="C190" i="20" s="1"/>
  <c r="C191" i="20" s="1"/>
  <c r="C192" i="20" s="1"/>
  <c r="C193" i="20" s="1"/>
  <c r="C194" i="20" s="1"/>
  <c r="C195" i="20" s="1"/>
  <c r="C196" i="20" s="1"/>
  <c r="C197" i="20" s="1"/>
  <c r="C198" i="20" s="1"/>
  <c r="C199" i="20" s="1"/>
  <c r="C200" i="20" s="1"/>
  <c r="C201" i="20" s="1"/>
  <c r="C202" i="20" s="1"/>
  <c r="C203" i="20" s="1"/>
  <c r="C204" i="20" s="1"/>
  <c r="C205" i="20" s="1"/>
  <c r="C206" i="20" s="1"/>
  <c r="C207" i="20" s="1"/>
  <c r="C208" i="20" s="1"/>
  <c r="C209" i="20" s="1"/>
  <c r="C210" i="20" s="1"/>
  <c r="C211" i="20" s="1"/>
  <c r="C212" i="20" s="1"/>
  <c r="C213" i="20" s="1"/>
  <c r="C214" i="20" s="1"/>
  <c r="C215" i="20" s="1"/>
  <c r="C216" i="20" s="1"/>
  <c r="C217" i="20" s="1"/>
  <c r="C218" i="20" s="1"/>
  <c r="C219" i="20" s="1"/>
  <c r="C220" i="20" s="1"/>
  <c r="C221" i="20" s="1"/>
  <c r="C222" i="20" s="1"/>
  <c r="C223" i="20" s="1"/>
  <c r="C224" i="20" s="1"/>
  <c r="C225" i="20" s="1"/>
  <c r="C226" i="20" s="1"/>
  <c r="C227" i="20" s="1"/>
  <c r="C228" i="20" s="1"/>
  <c r="C229" i="20" s="1"/>
  <c r="C230" i="20" s="1"/>
  <c r="C231" i="20" s="1"/>
  <c r="C232" i="20" s="1"/>
  <c r="C233" i="20" s="1"/>
  <c r="C234" i="20" s="1"/>
  <c r="C235" i="20" s="1"/>
  <c r="C236" i="20" s="1"/>
  <c r="C237" i="20" s="1"/>
  <c r="C238" i="20" s="1"/>
  <c r="C239" i="20" s="1"/>
  <c r="C240" i="20" s="1"/>
  <c r="C241" i="20" s="1"/>
  <c r="C242" i="20" s="1"/>
  <c r="C243" i="20" s="1"/>
  <c r="C244" i="20" s="1"/>
  <c r="C245" i="20" s="1"/>
  <c r="C246" i="20" s="1"/>
  <c r="C247" i="20" s="1"/>
  <c r="C248" i="20" s="1"/>
  <c r="C249" i="20" s="1"/>
  <c r="C250" i="20" s="1"/>
  <c r="C251" i="20" s="1"/>
  <c r="C252" i="20" s="1"/>
  <c r="C253" i="20" s="1"/>
  <c r="C254" i="20" s="1"/>
  <c r="C255" i="20" s="1"/>
  <c r="C256" i="20" s="1"/>
  <c r="C257" i="20" s="1"/>
  <c r="C258" i="20" s="1"/>
  <c r="C259" i="20" s="1"/>
  <c r="C260" i="20" s="1"/>
  <c r="C261" i="20" s="1"/>
  <c r="C262" i="20" s="1"/>
  <c r="C263" i="20" s="1"/>
  <c r="C264" i="20" s="1"/>
  <c r="C265" i="20" s="1"/>
  <c r="C266" i="20" s="1"/>
  <c r="C267" i="20" s="1"/>
  <c r="C268" i="20" s="1"/>
  <c r="C269" i="20" s="1"/>
  <c r="C270" i="20" s="1"/>
  <c r="C271" i="20" s="1"/>
  <c r="C272" i="20" s="1"/>
  <c r="C273" i="20" s="1"/>
  <c r="C274" i="20" s="1"/>
  <c r="C275" i="20" s="1"/>
  <c r="C276" i="20" s="1"/>
  <c r="C277" i="20" s="1"/>
  <c r="C278" i="20" s="1"/>
  <c r="C279" i="20" s="1"/>
  <c r="C280" i="20" s="1"/>
  <c r="C281" i="20" s="1"/>
  <c r="C282" i="20" s="1"/>
  <c r="C283" i="20" s="1"/>
  <c r="C284" i="20" s="1"/>
  <c r="C285" i="20" s="1"/>
  <c r="C286" i="20" s="1"/>
  <c r="C287" i="20" s="1"/>
  <c r="C288" i="20" s="1"/>
  <c r="C289" i="20" s="1"/>
  <c r="C290" i="20" s="1"/>
  <c r="C291" i="20" s="1"/>
  <c r="C292" i="20" s="1"/>
  <c r="C293" i="20" s="1"/>
  <c r="C294" i="20" s="1"/>
  <c r="C295" i="20" s="1"/>
  <c r="C296" i="20" s="1"/>
  <c r="C297" i="20" s="1"/>
  <c r="C298" i="20" s="1"/>
  <c r="C299" i="20" s="1"/>
  <c r="C300" i="20" s="1"/>
  <c r="C301" i="20" s="1"/>
  <c r="C302" i="20" s="1"/>
  <c r="C303" i="20" s="1"/>
  <c r="C304" i="20" s="1"/>
  <c r="C305" i="20" s="1"/>
  <c r="C306" i="20" s="1"/>
  <c r="C307" i="20" s="1"/>
  <c r="C308" i="20" s="1"/>
  <c r="C309" i="20" s="1"/>
  <c r="C310" i="20" s="1"/>
  <c r="C311" i="20" s="1"/>
  <c r="C312" i="20" s="1"/>
  <c r="C313" i="20" s="1"/>
  <c r="C314" i="20" s="1"/>
  <c r="C315" i="20" s="1"/>
  <c r="C316" i="20" s="1"/>
  <c r="C317" i="20" s="1"/>
  <c r="C318" i="20" s="1"/>
  <c r="C319" i="20" s="1"/>
  <c r="C320" i="20" s="1"/>
  <c r="C321" i="20" s="1"/>
  <c r="C322" i="20" s="1"/>
  <c r="C323" i="20" s="1"/>
  <c r="C324" i="20" s="1"/>
  <c r="C325" i="20" s="1"/>
  <c r="C326" i="20" s="1"/>
  <c r="C327" i="20" s="1"/>
  <c r="C328" i="20" s="1"/>
  <c r="C329" i="20" s="1"/>
  <c r="C330" i="20" s="1"/>
  <c r="C331" i="20" s="1"/>
  <c r="C332" i="20" s="1"/>
  <c r="C333" i="20" s="1"/>
  <c r="C334" i="20" s="1"/>
  <c r="C335" i="20" s="1"/>
  <c r="C336" i="20" s="1"/>
  <c r="C337" i="20" s="1"/>
  <c r="C338" i="20" s="1"/>
  <c r="C339" i="20" s="1"/>
  <c r="C340" i="20" s="1"/>
  <c r="C341" i="20" s="1"/>
  <c r="C342" i="20" s="1"/>
  <c r="C343" i="20" s="1"/>
  <c r="C344" i="20" s="1"/>
  <c r="C345" i="20" s="1"/>
  <c r="C346" i="20" s="1"/>
  <c r="C347" i="20" s="1"/>
  <c r="C348" i="20" s="1"/>
  <c r="C349" i="20" s="1"/>
  <c r="C350" i="20" s="1"/>
  <c r="C351" i="20" s="1"/>
  <c r="C352" i="20" s="1"/>
  <c r="C353" i="20" s="1"/>
  <c r="C354" i="20" s="1"/>
  <c r="C355" i="20" s="1"/>
  <c r="C356" i="20" s="1"/>
  <c r="C357" i="20" s="1"/>
  <c r="C358" i="20" s="1"/>
  <c r="C359" i="20" s="1"/>
  <c r="C360" i="20" s="1"/>
  <c r="C361" i="20" s="1"/>
  <c r="C362" i="20" s="1"/>
  <c r="C363" i="20" s="1"/>
  <c r="C364" i="20" s="1"/>
  <c r="C365" i="20" s="1"/>
  <c r="C366" i="20" s="1"/>
  <c r="C367" i="20" s="1"/>
  <c r="C368" i="20" s="1"/>
  <c r="C369" i="20" s="1"/>
  <c r="C370" i="20" s="1"/>
  <c r="C371" i="20" s="1"/>
  <c r="C372" i="20" s="1"/>
  <c r="C373" i="20" s="1"/>
  <c r="C374" i="20" s="1"/>
  <c r="C375" i="20" s="1"/>
  <c r="C376" i="20" s="1"/>
  <c r="C377" i="20" s="1"/>
  <c r="C378" i="20" s="1"/>
  <c r="C379" i="20" s="1"/>
  <c r="C380" i="20" s="1"/>
  <c r="C381" i="20" s="1"/>
  <c r="C382" i="20" s="1"/>
  <c r="C383" i="20" s="1"/>
  <c r="C384" i="20" s="1"/>
  <c r="C385" i="20" s="1"/>
  <c r="C386" i="20" s="1"/>
  <c r="C387" i="20" s="1"/>
  <c r="C388" i="20" s="1"/>
  <c r="C389" i="20" s="1"/>
  <c r="C390" i="20" s="1"/>
  <c r="C391" i="20" s="1"/>
  <c r="C392" i="20" s="1"/>
  <c r="C393" i="20" s="1"/>
  <c r="C394" i="20" s="1"/>
  <c r="C395" i="20" s="1"/>
  <c r="C396" i="20" s="1"/>
  <c r="C397" i="20" s="1"/>
  <c r="C398" i="20" s="1"/>
  <c r="C399" i="20" s="1"/>
  <c r="C400" i="20" s="1"/>
  <c r="C401" i="20" s="1"/>
  <c r="C402" i="20" s="1"/>
  <c r="C403" i="20" s="1"/>
  <c r="C404" i="20" s="1"/>
  <c r="C405" i="20" s="1"/>
  <c r="C406" i="20" s="1"/>
  <c r="C407" i="20" s="1"/>
  <c r="C408" i="20" s="1"/>
  <c r="C409" i="20" s="1"/>
  <c r="C410" i="20" s="1"/>
  <c r="C411" i="20" s="1"/>
  <c r="C412" i="20" s="1"/>
  <c r="C413" i="20" s="1"/>
  <c r="C414" i="20" s="1"/>
  <c r="C415" i="20" s="1"/>
  <c r="C416" i="20" s="1"/>
  <c r="C417" i="20" s="1"/>
  <c r="C418" i="20" s="1"/>
  <c r="C419" i="20" s="1"/>
  <c r="C420" i="20" s="1"/>
  <c r="C421" i="20" s="1"/>
  <c r="C422" i="20" s="1"/>
  <c r="C423" i="20" s="1"/>
  <c r="C424" i="20" s="1"/>
  <c r="C425" i="20" s="1"/>
  <c r="C426" i="20" s="1"/>
  <c r="C427" i="20" s="1"/>
  <c r="C428" i="20" s="1"/>
  <c r="C429" i="20" s="1"/>
  <c r="C430" i="20" s="1"/>
  <c r="C431" i="20" s="1"/>
  <c r="C432" i="20" s="1"/>
  <c r="C433" i="20" s="1"/>
  <c r="C434" i="20" s="1"/>
  <c r="C435" i="20" s="1"/>
  <c r="C436" i="20" s="1"/>
  <c r="C437" i="20" s="1"/>
  <c r="C438" i="20" s="1"/>
  <c r="C439" i="20" s="1"/>
  <c r="C440" i="20" s="1"/>
  <c r="C441" i="20" s="1"/>
  <c r="C442" i="20" s="1"/>
  <c r="C443" i="20" s="1"/>
  <c r="C444" i="20" s="1"/>
  <c r="C445" i="20" s="1"/>
  <c r="C446" i="20" s="1"/>
  <c r="C447" i="20" s="1"/>
  <c r="C448" i="20" s="1"/>
  <c r="C449" i="20" s="1"/>
  <c r="C450" i="20" s="1"/>
  <c r="C451" i="20" s="1"/>
  <c r="C452" i="20" s="1"/>
  <c r="C453" i="20" s="1"/>
  <c r="C454" i="20" s="1"/>
  <c r="C455" i="20" s="1"/>
  <c r="C456" i="20" s="1"/>
  <c r="C457" i="20" s="1"/>
  <c r="C458" i="20" s="1"/>
  <c r="C459" i="20" s="1"/>
  <c r="C460" i="20" s="1"/>
  <c r="C461" i="20" s="1"/>
  <c r="C462" i="20" s="1"/>
  <c r="C463" i="20" s="1"/>
  <c r="C464" i="20" s="1"/>
  <c r="C465" i="20" s="1"/>
  <c r="C466" i="20" s="1"/>
  <c r="C467" i="20" s="1"/>
  <c r="C468" i="20" s="1"/>
  <c r="C469" i="20" s="1"/>
  <c r="C470" i="20" s="1"/>
  <c r="C471" i="20" s="1"/>
  <c r="C472" i="20" s="1"/>
  <c r="C473" i="20" s="1"/>
  <c r="C474" i="20" s="1"/>
  <c r="C475" i="20" s="1"/>
  <c r="C476" i="20" s="1"/>
  <c r="C477" i="20" s="1"/>
  <c r="C478" i="20" s="1"/>
  <c r="C479" i="20" s="1"/>
  <c r="C480" i="20" s="1"/>
  <c r="C481" i="20" s="1"/>
  <c r="C482" i="20" s="1"/>
  <c r="C483" i="20" s="1"/>
  <c r="C484" i="20" s="1"/>
  <c r="C485" i="20" s="1"/>
  <c r="C486" i="20" s="1"/>
  <c r="C487" i="20" s="1"/>
  <c r="C488" i="20" s="1"/>
  <c r="C489" i="20" s="1"/>
  <c r="C490" i="20" s="1"/>
  <c r="C491" i="20" s="1"/>
  <c r="C492" i="20" s="1"/>
  <c r="C493" i="20" s="1"/>
  <c r="C494" i="20" s="1"/>
  <c r="C495" i="20" s="1"/>
  <c r="C496" i="20" s="1"/>
  <c r="C497" i="20" s="1"/>
  <c r="C498" i="20" s="1"/>
  <c r="C499" i="20" s="1"/>
  <c r="C500" i="20" s="1"/>
  <c r="C501" i="20" s="1"/>
  <c r="C502" i="20" s="1"/>
  <c r="C503" i="20" s="1"/>
  <c r="C504" i="20" s="1"/>
  <c r="C505" i="20" s="1"/>
  <c r="C506" i="20" s="1"/>
  <c r="C507" i="20" s="1"/>
  <c r="C508" i="20" s="1"/>
  <c r="C509" i="20" s="1"/>
  <c r="C510" i="20" s="1"/>
  <c r="C511" i="20" s="1"/>
  <c r="C512" i="20" s="1"/>
  <c r="C513" i="20" s="1"/>
  <c r="C514" i="20" s="1"/>
  <c r="C515" i="20" s="1"/>
  <c r="C516" i="20" s="1"/>
  <c r="C517" i="20" s="1"/>
  <c r="C518" i="20" s="1"/>
  <c r="C519" i="20" s="1"/>
  <c r="C520" i="20" s="1"/>
  <c r="C521" i="20" s="1"/>
  <c r="C522" i="20" s="1"/>
  <c r="C523" i="20" s="1"/>
  <c r="C524" i="20" s="1"/>
  <c r="C525" i="20" s="1"/>
  <c r="C526" i="20" s="1"/>
  <c r="C527" i="20" s="1"/>
  <c r="C528" i="20" s="1"/>
  <c r="C529" i="20" s="1"/>
  <c r="C530" i="20" s="1"/>
  <c r="C531" i="20" s="1"/>
  <c r="C532" i="20" s="1"/>
  <c r="C533" i="20" s="1"/>
  <c r="C534" i="20" s="1"/>
  <c r="C535" i="20" s="1"/>
  <c r="C536" i="20" s="1"/>
  <c r="C537" i="20" s="1"/>
  <c r="C538" i="20" s="1"/>
  <c r="C539" i="20" s="1"/>
  <c r="C540" i="20" s="1"/>
  <c r="C541" i="20" s="1"/>
  <c r="C542" i="20" s="1"/>
  <c r="C543" i="20" s="1"/>
  <c r="C544" i="20" s="1"/>
  <c r="C545" i="20" s="1"/>
  <c r="C546" i="20" s="1"/>
  <c r="C547" i="20" s="1"/>
  <c r="C548" i="20" s="1"/>
  <c r="C549" i="20" s="1"/>
  <c r="C550" i="20" s="1"/>
  <c r="C551" i="20" s="1"/>
  <c r="C552" i="20" s="1"/>
  <c r="C553" i="20" s="1"/>
  <c r="C554" i="20" s="1"/>
  <c r="C555" i="20" s="1"/>
  <c r="C556" i="20" s="1"/>
  <c r="C557" i="20" s="1"/>
  <c r="C558" i="20" s="1"/>
  <c r="C559" i="20" s="1"/>
  <c r="C560" i="20" s="1"/>
  <c r="C561" i="20" s="1"/>
  <c r="C562" i="20" s="1"/>
  <c r="C563" i="20" s="1"/>
  <c r="C564" i="20" s="1"/>
  <c r="C565" i="20" s="1"/>
  <c r="C566" i="20" s="1"/>
  <c r="C567" i="20" s="1"/>
  <c r="C568" i="20" s="1"/>
  <c r="C569" i="20" s="1"/>
  <c r="C570" i="20" s="1"/>
  <c r="C571" i="20" s="1"/>
  <c r="C572" i="20" s="1"/>
  <c r="C573" i="20" s="1"/>
  <c r="C574" i="20" s="1"/>
  <c r="C575" i="20" s="1"/>
  <c r="C576" i="20" s="1"/>
  <c r="C577" i="20" s="1"/>
  <c r="C578" i="20" s="1"/>
  <c r="C579" i="20" s="1"/>
  <c r="C580" i="20" s="1"/>
  <c r="C581" i="20" s="1"/>
  <c r="C582" i="20" s="1"/>
  <c r="C583" i="20" s="1"/>
  <c r="C584" i="20" s="1"/>
  <c r="C585" i="20" s="1"/>
  <c r="C586" i="20" s="1"/>
  <c r="C587" i="20" s="1"/>
  <c r="C588" i="20" s="1"/>
  <c r="C589" i="20" s="1"/>
  <c r="C590" i="20" s="1"/>
  <c r="C591" i="20" s="1"/>
  <c r="C592" i="20" s="1"/>
  <c r="C593" i="20" s="1"/>
  <c r="C594" i="20" s="1"/>
  <c r="C595" i="20" s="1"/>
  <c r="C596" i="20" s="1"/>
  <c r="C597" i="20" s="1"/>
  <c r="C598" i="20" s="1"/>
  <c r="C599" i="20" s="1"/>
  <c r="C600" i="20" s="1"/>
  <c r="C601" i="20" s="1"/>
  <c r="C602" i="20" s="1"/>
  <c r="C603" i="20" s="1"/>
  <c r="C604" i="20" s="1"/>
  <c r="C605" i="20" s="1"/>
  <c r="C606" i="20" s="1"/>
  <c r="C607" i="20" s="1"/>
  <c r="C608" i="20" s="1"/>
  <c r="C609" i="20" s="1"/>
  <c r="C610" i="20" s="1"/>
  <c r="C611" i="20" s="1"/>
  <c r="C612" i="20" s="1"/>
  <c r="C613" i="20" s="1"/>
  <c r="C614" i="20" s="1"/>
  <c r="C615" i="20" s="1"/>
  <c r="C616" i="20" s="1"/>
  <c r="C617" i="20" s="1"/>
  <c r="C618" i="20" s="1"/>
  <c r="C619" i="20" s="1"/>
  <c r="C620" i="20" s="1"/>
  <c r="C621" i="20" s="1"/>
  <c r="C622" i="20" s="1"/>
  <c r="C623" i="20" s="1"/>
  <c r="C624" i="20" s="1"/>
  <c r="C625" i="20" s="1"/>
  <c r="C626" i="20" s="1"/>
  <c r="C627" i="20" s="1"/>
  <c r="C628" i="20" s="1"/>
  <c r="C629" i="20" s="1"/>
  <c r="C630" i="20" s="1"/>
  <c r="C631" i="20" s="1"/>
  <c r="C632" i="20" s="1"/>
  <c r="C633" i="20" s="1"/>
  <c r="C634" i="20" s="1"/>
  <c r="C635" i="20" s="1"/>
  <c r="C636" i="20" s="1"/>
  <c r="C637" i="20" s="1"/>
  <c r="C638" i="20" s="1"/>
  <c r="C639" i="20" s="1"/>
  <c r="C640" i="20" s="1"/>
  <c r="C641" i="20" s="1"/>
  <c r="C642" i="20" s="1"/>
  <c r="C643" i="20" s="1"/>
  <c r="C644" i="20" s="1"/>
  <c r="C645" i="20" s="1"/>
  <c r="C646" i="20" s="1"/>
  <c r="C647" i="20" s="1"/>
  <c r="C648" i="20" s="1"/>
  <c r="C649" i="20" s="1"/>
  <c r="C650" i="20" s="1"/>
  <c r="C651" i="20" s="1"/>
  <c r="C652" i="20" s="1"/>
  <c r="C653" i="20" s="1"/>
  <c r="C654" i="20" s="1"/>
  <c r="C655" i="20" s="1"/>
  <c r="C656" i="20" s="1"/>
  <c r="C657" i="20" s="1"/>
  <c r="C658" i="20" s="1"/>
  <c r="C659" i="20" s="1"/>
  <c r="C660" i="20" s="1"/>
  <c r="C661" i="20" s="1"/>
  <c r="C662" i="20" s="1"/>
  <c r="C663" i="20" s="1"/>
  <c r="C664" i="20" s="1"/>
  <c r="C665" i="20" s="1"/>
  <c r="C666" i="20" s="1"/>
  <c r="C667" i="20" s="1"/>
  <c r="C668" i="20" s="1"/>
  <c r="C669" i="20" s="1"/>
  <c r="C670" i="20" s="1"/>
  <c r="C671" i="20" s="1"/>
  <c r="C672" i="20" s="1"/>
  <c r="C673" i="20" s="1"/>
  <c r="C674" i="20" s="1"/>
  <c r="C675" i="20" s="1"/>
  <c r="C676" i="20" s="1"/>
  <c r="C677" i="20" s="1"/>
  <c r="C678" i="20" s="1"/>
  <c r="C679" i="20" s="1"/>
  <c r="C680" i="20" s="1"/>
  <c r="C681" i="20" s="1"/>
  <c r="C682" i="20" s="1"/>
  <c r="C683" i="20" s="1"/>
  <c r="C684" i="20" s="1"/>
  <c r="C685" i="20" s="1"/>
  <c r="C686" i="20" s="1"/>
  <c r="C687" i="20" s="1"/>
  <c r="C688" i="20" s="1"/>
  <c r="C689" i="20" s="1"/>
  <c r="C690" i="20" s="1"/>
  <c r="C691" i="20" s="1"/>
  <c r="C692" i="20" s="1"/>
  <c r="C693" i="20" s="1"/>
  <c r="C694" i="20" s="1"/>
  <c r="C695" i="20" s="1"/>
  <c r="C696" i="20" s="1"/>
  <c r="C697" i="20" s="1"/>
  <c r="C698" i="20" s="1"/>
  <c r="C699" i="20" s="1"/>
  <c r="C700" i="20" s="1"/>
  <c r="C701" i="20" s="1"/>
  <c r="C702" i="20" s="1"/>
  <c r="C703" i="20" s="1"/>
  <c r="C704" i="20" s="1"/>
  <c r="C705" i="20" s="1"/>
  <c r="C706" i="20" s="1"/>
  <c r="C707" i="20" s="1"/>
  <c r="C708" i="20" s="1"/>
  <c r="C709" i="20" s="1"/>
  <c r="C710" i="20" s="1"/>
  <c r="C711" i="20" s="1"/>
  <c r="C712" i="20" s="1"/>
  <c r="C713" i="20" s="1"/>
  <c r="C714" i="20" s="1"/>
  <c r="C715" i="20" s="1"/>
  <c r="C716" i="20" s="1"/>
  <c r="C717" i="20" s="1"/>
  <c r="C718" i="20" s="1"/>
  <c r="C719" i="20" s="1"/>
  <c r="C720" i="20" s="1"/>
  <c r="C721" i="20" s="1"/>
  <c r="C722" i="20" s="1"/>
  <c r="C723" i="20" s="1"/>
  <c r="C724" i="20" s="1"/>
  <c r="C725" i="20" s="1"/>
  <c r="C726" i="20" s="1"/>
  <c r="C727" i="20" s="1"/>
  <c r="C728" i="20" s="1"/>
  <c r="C729" i="20" s="1"/>
  <c r="C730" i="20" s="1"/>
  <c r="C731" i="20" s="1"/>
  <c r="C732" i="20" s="1"/>
  <c r="C733" i="20" s="1"/>
  <c r="C734" i="20" s="1"/>
  <c r="C735" i="20" s="1"/>
  <c r="C736" i="20" s="1"/>
  <c r="C737" i="20" s="1"/>
  <c r="C738" i="20" s="1"/>
  <c r="C739" i="20" s="1"/>
  <c r="C740" i="20" s="1"/>
  <c r="C741" i="20" s="1"/>
  <c r="C742" i="20" s="1"/>
  <c r="C743" i="20" s="1"/>
  <c r="C744" i="20" s="1"/>
  <c r="C745" i="20" s="1"/>
  <c r="C746" i="20" s="1"/>
  <c r="C747" i="20" s="1"/>
  <c r="C748" i="20" s="1"/>
  <c r="C749" i="20" s="1"/>
  <c r="C750" i="20" s="1"/>
  <c r="C751" i="20" s="1"/>
  <c r="C752" i="20" s="1"/>
  <c r="C753" i="20" s="1"/>
  <c r="C754" i="20" s="1"/>
  <c r="C755" i="20" s="1"/>
  <c r="C756" i="20" s="1"/>
  <c r="C757" i="20" s="1"/>
  <c r="C758" i="20" s="1"/>
  <c r="C759" i="20" s="1"/>
  <c r="C760" i="20" s="1"/>
  <c r="C761" i="20" s="1"/>
  <c r="C762" i="20" s="1"/>
  <c r="C763" i="20" s="1"/>
  <c r="C764" i="20" s="1"/>
  <c r="C765" i="20" s="1"/>
  <c r="C766" i="20" s="1"/>
  <c r="C767" i="20" s="1"/>
  <c r="C768" i="20" s="1"/>
  <c r="C769" i="20" s="1"/>
  <c r="C770" i="20" s="1"/>
  <c r="C771" i="20" s="1"/>
  <c r="C772" i="20" s="1"/>
  <c r="C773" i="20" s="1"/>
  <c r="C774" i="20" s="1"/>
  <c r="C775" i="20" s="1"/>
  <c r="C776" i="20" s="1"/>
  <c r="C777" i="20" s="1"/>
  <c r="C778" i="20" s="1"/>
  <c r="C779" i="20" s="1"/>
  <c r="C780" i="20" s="1"/>
  <c r="C781" i="20" s="1"/>
  <c r="C782" i="20" s="1"/>
  <c r="C783" i="20" s="1"/>
  <c r="C784" i="20" s="1"/>
  <c r="C785" i="20" s="1"/>
  <c r="C786" i="20" s="1"/>
  <c r="C787" i="20" s="1"/>
  <c r="C788" i="20" s="1"/>
  <c r="C789" i="20" s="1"/>
  <c r="C790" i="20" s="1"/>
  <c r="C791" i="20" s="1"/>
  <c r="C792" i="20" s="1"/>
  <c r="C793" i="20" s="1"/>
  <c r="C794" i="20" s="1"/>
  <c r="C795" i="20" s="1"/>
  <c r="C796" i="20" s="1"/>
  <c r="C797" i="20" s="1"/>
  <c r="C798" i="20" s="1"/>
  <c r="C799" i="20" s="1"/>
  <c r="C800" i="20" s="1"/>
  <c r="C801" i="20" s="1"/>
  <c r="C802" i="20" s="1"/>
  <c r="C803" i="20" s="1"/>
  <c r="C804" i="20" s="1"/>
  <c r="C805" i="20" s="1"/>
  <c r="C806" i="20" s="1"/>
  <c r="C807" i="20" s="1"/>
  <c r="C808" i="20" s="1"/>
  <c r="C809" i="20" s="1"/>
  <c r="C810" i="20" s="1"/>
  <c r="C811" i="20" s="1"/>
  <c r="C812" i="20" s="1"/>
  <c r="C813" i="20" s="1"/>
  <c r="C814" i="20" s="1"/>
  <c r="C815" i="20" s="1"/>
  <c r="C816" i="20" s="1"/>
  <c r="C817" i="20" s="1"/>
  <c r="C818" i="20" s="1"/>
  <c r="C819" i="20" s="1"/>
  <c r="C820" i="20" s="1"/>
  <c r="C821" i="20" s="1"/>
  <c r="C822" i="20" s="1"/>
  <c r="C823" i="20" s="1"/>
  <c r="C824" i="20" s="1"/>
  <c r="C825" i="20" s="1"/>
  <c r="C826" i="20" s="1"/>
  <c r="C827" i="20" s="1"/>
  <c r="C828" i="20" s="1"/>
  <c r="C829" i="20" s="1"/>
  <c r="C830" i="20" s="1"/>
  <c r="C831" i="20" s="1"/>
  <c r="C832" i="20" s="1"/>
  <c r="C833" i="20" s="1"/>
  <c r="C834" i="20" s="1"/>
  <c r="C835" i="20" s="1"/>
  <c r="C836" i="20" s="1"/>
  <c r="C837" i="20" s="1"/>
  <c r="C838" i="20" s="1"/>
  <c r="C839" i="20" s="1"/>
  <c r="C840" i="20" s="1"/>
  <c r="C841" i="20" s="1"/>
  <c r="C842" i="20" s="1"/>
  <c r="C843" i="20" s="1"/>
  <c r="C844" i="20" s="1"/>
  <c r="C845" i="20" s="1"/>
  <c r="C846" i="20" s="1"/>
  <c r="C847" i="20" s="1"/>
  <c r="C848" i="20" s="1"/>
  <c r="C849" i="20" s="1"/>
  <c r="C850" i="20" s="1"/>
  <c r="C851" i="20" s="1"/>
  <c r="C852" i="20" s="1"/>
  <c r="C853" i="20" s="1"/>
  <c r="C854" i="20" s="1"/>
  <c r="C855" i="20" s="1"/>
  <c r="C856" i="20" s="1"/>
  <c r="C857" i="20" s="1"/>
  <c r="C858" i="20" s="1"/>
  <c r="C859" i="20" s="1"/>
  <c r="C860" i="20" s="1"/>
  <c r="C861" i="20" s="1"/>
  <c r="C862" i="20" s="1"/>
  <c r="C863" i="20" s="1"/>
  <c r="C864" i="20" s="1"/>
  <c r="C865" i="20" s="1"/>
  <c r="C866" i="20" s="1"/>
  <c r="C867" i="20" s="1"/>
  <c r="C868" i="20" s="1"/>
  <c r="C869" i="20" s="1"/>
  <c r="C870" i="20" s="1"/>
  <c r="C871" i="20" s="1"/>
  <c r="C872" i="20" s="1"/>
  <c r="C873" i="20" s="1"/>
  <c r="C874" i="20" s="1"/>
  <c r="C875" i="20" s="1"/>
  <c r="C876" i="20" s="1"/>
  <c r="C877" i="20" s="1"/>
  <c r="C878" i="20" s="1"/>
  <c r="C879" i="20" s="1"/>
  <c r="C880" i="20" s="1"/>
  <c r="C881" i="20" s="1"/>
  <c r="C882" i="20" s="1"/>
  <c r="C883" i="20" s="1"/>
  <c r="C884" i="20" s="1"/>
  <c r="C885" i="20" s="1"/>
  <c r="C886" i="20" s="1"/>
  <c r="C887" i="20" s="1"/>
  <c r="C888" i="20" s="1"/>
  <c r="C889" i="20" s="1"/>
  <c r="C890" i="20" s="1"/>
  <c r="C891" i="20" s="1"/>
  <c r="C892" i="20" s="1"/>
  <c r="C893" i="20" s="1"/>
  <c r="C894" i="20" s="1"/>
  <c r="C895" i="20" s="1"/>
  <c r="C896" i="20" s="1"/>
  <c r="C897" i="20" s="1"/>
  <c r="C898" i="20" s="1"/>
  <c r="C899" i="20" s="1"/>
  <c r="C900" i="20" s="1"/>
  <c r="C901" i="20" s="1"/>
  <c r="C902" i="20" s="1"/>
  <c r="C903" i="20" s="1"/>
  <c r="C904" i="20" s="1"/>
  <c r="C905" i="20" s="1"/>
  <c r="C906" i="20" s="1"/>
  <c r="C907" i="20" s="1"/>
  <c r="C908" i="20" s="1"/>
  <c r="C909" i="20" s="1"/>
  <c r="C910" i="20" s="1"/>
  <c r="C911" i="20" s="1"/>
  <c r="C912" i="20" s="1"/>
  <c r="C913" i="20" s="1"/>
  <c r="C914" i="20" s="1"/>
  <c r="C915" i="20" s="1"/>
  <c r="C916" i="20" s="1"/>
  <c r="C917" i="20" s="1"/>
  <c r="C918" i="20" s="1"/>
  <c r="C919" i="20" s="1"/>
  <c r="C920" i="20" s="1"/>
  <c r="C921" i="20" s="1"/>
  <c r="C922" i="20" s="1"/>
  <c r="C923" i="20" s="1"/>
  <c r="C924" i="20" s="1"/>
  <c r="C925" i="20" s="1"/>
  <c r="C926" i="20" s="1"/>
  <c r="C927" i="20" s="1"/>
  <c r="C928" i="20" s="1"/>
  <c r="C929" i="20" s="1"/>
  <c r="C930" i="20" s="1"/>
  <c r="C931" i="20" s="1"/>
  <c r="C932" i="20" s="1"/>
  <c r="C933" i="20" s="1"/>
  <c r="C934" i="20" s="1"/>
  <c r="C935" i="20" s="1"/>
  <c r="C936" i="20" s="1"/>
  <c r="C937" i="20" s="1"/>
  <c r="C938" i="20" s="1"/>
  <c r="C939" i="20" s="1"/>
  <c r="C940" i="20" s="1"/>
  <c r="C941" i="20" s="1"/>
  <c r="C942" i="20" s="1"/>
  <c r="C943" i="20" s="1"/>
  <c r="C944" i="20" s="1"/>
  <c r="C945" i="20" s="1"/>
  <c r="C946" i="20" s="1"/>
  <c r="C947" i="20" s="1"/>
  <c r="C948" i="20" s="1"/>
  <c r="C949" i="20" s="1"/>
  <c r="C950" i="20" s="1"/>
  <c r="C951" i="20" s="1"/>
  <c r="C952" i="20" s="1"/>
  <c r="C953" i="20" s="1"/>
  <c r="C954" i="20" s="1"/>
  <c r="C955" i="20" s="1"/>
  <c r="C956" i="20" s="1"/>
  <c r="C957" i="20" s="1"/>
  <c r="C958" i="20" s="1"/>
  <c r="C959" i="20" s="1"/>
  <c r="C960" i="20" s="1"/>
  <c r="C961" i="20" s="1"/>
  <c r="C962" i="20" s="1"/>
  <c r="C963" i="20" s="1"/>
  <c r="C964" i="20" s="1"/>
  <c r="C965" i="20" s="1"/>
  <c r="C966" i="20" s="1"/>
  <c r="C967" i="20" s="1"/>
  <c r="C968" i="20" s="1"/>
  <c r="C969" i="20" s="1"/>
  <c r="C970" i="20" s="1"/>
  <c r="C971" i="20" s="1"/>
  <c r="C972" i="20" s="1"/>
  <c r="C973" i="20" s="1"/>
  <c r="C974" i="20" s="1"/>
  <c r="C975" i="20" s="1"/>
  <c r="C976" i="20" s="1"/>
  <c r="C977" i="20" s="1"/>
  <c r="C978" i="20" s="1"/>
  <c r="C979" i="20" s="1"/>
  <c r="C980" i="20" s="1"/>
  <c r="C981" i="20" s="1"/>
  <c r="C982" i="20" s="1"/>
  <c r="C983" i="20" s="1"/>
  <c r="C984" i="20" s="1"/>
  <c r="C985" i="20" s="1"/>
  <c r="C986" i="20" s="1"/>
  <c r="C987" i="20" s="1"/>
  <c r="C988" i="20" s="1"/>
  <c r="C989" i="20" s="1"/>
  <c r="C990" i="20" s="1"/>
  <c r="C991" i="20" s="1"/>
  <c r="C992" i="20" s="1"/>
  <c r="C993" i="20" s="1"/>
  <c r="C994" i="20" s="1"/>
  <c r="C995" i="20" s="1"/>
  <c r="C996" i="20" s="1"/>
  <c r="C997" i="20" s="1"/>
  <c r="C998" i="20" s="1"/>
  <c r="C999" i="20" s="1"/>
  <c r="C1000" i="20" s="1"/>
  <c r="C1001" i="20" s="1"/>
  <c r="C1002" i="20" s="1"/>
  <c r="C1003" i="20" s="1"/>
  <c r="C1004" i="20" s="1"/>
  <c r="C1005" i="20" s="1"/>
  <c r="C1006" i="20" s="1"/>
  <c r="C1007" i="20" s="1"/>
  <c r="C1008" i="20" s="1"/>
  <c r="C1009" i="20" s="1"/>
  <c r="C1010" i="20" s="1"/>
  <c r="C1011" i="20" s="1"/>
  <c r="C1012" i="20" s="1"/>
  <c r="C1013" i="20" s="1"/>
  <c r="C1014" i="20" s="1"/>
  <c r="C1015" i="20" s="1"/>
  <c r="C1016" i="20" s="1"/>
  <c r="C1017" i="20" s="1"/>
  <c r="C1018" i="20" s="1"/>
  <c r="C1019" i="20" s="1"/>
  <c r="C1020" i="20" s="1"/>
  <c r="C1021" i="20" s="1"/>
  <c r="C1022" i="20" s="1"/>
  <c r="C1023" i="20" s="1"/>
  <c r="C1024" i="20" s="1"/>
  <c r="C1025" i="20" s="1"/>
  <c r="C1026" i="20" s="1"/>
  <c r="C1027" i="20" s="1"/>
  <c r="C1028" i="20" s="1"/>
  <c r="C1029" i="20" s="1"/>
  <c r="C1030" i="20" s="1"/>
  <c r="C1031" i="20" s="1"/>
  <c r="C1032" i="20" s="1"/>
  <c r="C1033" i="20" s="1"/>
  <c r="C1034" i="20" s="1"/>
  <c r="C1035" i="20" s="1"/>
  <c r="C1036" i="20" s="1"/>
  <c r="C1037" i="20" s="1"/>
  <c r="C1038" i="20" s="1"/>
  <c r="C1039" i="20" s="1"/>
  <c r="C1040" i="20" s="1"/>
  <c r="C1041" i="20" s="1"/>
  <c r="C1042" i="20" s="1"/>
  <c r="C1043" i="20" s="1"/>
  <c r="C1044" i="20" s="1"/>
  <c r="C1045" i="20" s="1"/>
  <c r="C1046" i="20" s="1"/>
  <c r="C1047" i="20" s="1"/>
  <c r="C1048" i="20" s="1"/>
  <c r="C1049" i="20" s="1"/>
  <c r="C1050" i="20" s="1"/>
  <c r="C1051" i="20" s="1"/>
  <c r="C1052" i="20" s="1"/>
  <c r="C1053" i="20" s="1"/>
  <c r="C1054" i="20" s="1"/>
  <c r="C1055" i="20" s="1"/>
  <c r="C1056" i="20" s="1"/>
  <c r="C1057" i="20" s="1"/>
  <c r="C1058" i="20" s="1"/>
  <c r="C1059" i="20" s="1"/>
  <c r="C1060" i="20" s="1"/>
  <c r="C1061" i="20" s="1"/>
  <c r="C1062" i="20" s="1"/>
  <c r="C1063" i="20" s="1"/>
  <c r="C1064" i="20" s="1"/>
  <c r="C1065" i="20" s="1"/>
  <c r="C1066" i="20" s="1"/>
  <c r="C1067" i="20" s="1"/>
  <c r="C1068" i="20" s="1"/>
  <c r="C1069" i="20" s="1"/>
  <c r="C1070" i="20" s="1"/>
  <c r="C1071" i="20" s="1"/>
  <c r="C1072" i="20" s="1"/>
  <c r="C1073" i="20" s="1"/>
  <c r="C1074" i="20" s="1"/>
  <c r="C1075" i="20" s="1"/>
  <c r="C1076" i="20" s="1"/>
  <c r="C1077" i="20" s="1"/>
  <c r="C1078" i="20" s="1"/>
  <c r="C1079" i="20" s="1"/>
  <c r="C1080" i="20" s="1"/>
  <c r="C1081" i="20" s="1"/>
  <c r="C1082" i="20" s="1"/>
  <c r="C1083" i="20" s="1"/>
  <c r="C1084" i="20" s="1"/>
  <c r="C1085" i="20" s="1"/>
  <c r="C1086" i="20" s="1"/>
  <c r="C1087" i="20" s="1"/>
  <c r="C1088" i="20" s="1"/>
  <c r="C1089" i="20" s="1"/>
  <c r="C1090" i="20" s="1"/>
  <c r="C1091" i="20" s="1"/>
  <c r="C1092" i="20" s="1"/>
  <c r="C1093" i="20" s="1"/>
  <c r="C1094" i="20" s="1"/>
  <c r="C1095" i="20" s="1"/>
  <c r="C1096" i="20" s="1"/>
  <c r="C1097" i="20" s="1"/>
  <c r="C1098" i="20" s="1"/>
  <c r="C1099" i="20" s="1"/>
  <c r="C1100" i="20" s="1"/>
  <c r="C1101" i="20" s="1"/>
  <c r="C1102" i="20" s="1"/>
  <c r="C1103" i="20" s="1"/>
  <c r="C1104" i="20" s="1"/>
  <c r="C1105" i="20" s="1"/>
  <c r="C1106" i="20" s="1"/>
  <c r="C1107" i="20" s="1"/>
  <c r="C1108" i="20" s="1"/>
  <c r="C1109" i="20" s="1"/>
  <c r="C1110" i="20" s="1"/>
  <c r="C1111" i="20" s="1"/>
  <c r="C1112" i="20" s="1"/>
  <c r="C1113" i="20" s="1"/>
  <c r="C1114" i="20" s="1"/>
  <c r="C1115" i="20" s="1"/>
  <c r="C1116" i="20" s="1"/>
  <c r="C1117" i="20" s="1"/>
  <c r="C1118" i="20" s="1"/>
  <c r="C1119" i="20" s="1"/>
  <c r="C1120" i="20" s="1"/>
  <c r="C1121" i="20" s="1"/>
  <c r="C1122" i="20" s="1"/>
  <c r="C1123" i="20" s="1"/>
  <c r="C1124" i="20" s="1"/>
  <c r="C1125" i="20" s="1"/>
  <c r="C1126" i="20" s="1"/>
  <c r="C1127" i="20" s="1"/>
  <c r="C1128" i="20" s="1"/>
  <c r="C1129" i="20" s="1"/>
  <c r="C1130" i="20" s="1"/>
  <c r="C1131" i="20" s="1"/>
  <c r="C1132" i="20" s="1"/>
  <c r="C1133" i="20" s="1"/>
  <c r="C1134" i="20" s="1"/>
  <c r="C1135" i="20" s="1"/>
  <c r="C1136" i="20" s="1"/>
  <c r="C1137" i="20" s="1"/>
  <c r="C1138" i="20" s="1"/>
  <c r="C1139" i="20" s="1"/>
  <c r="C1140" i="20" s="1"/>
  <c r="C1141" i="20" s="1"/>
  <c r="C1142" i="20" s="1"/>
  <c r="C1143" i="20" s="1"/>
  <c r="C1144" i="20" s="1"/>
  <c r="C1145" i="20" s="1"/>
  <c r="C1146" i="20" s="1"/>
  <c r="C1147" i="20" s="1"/>
  <c r="C1148" i="20" s="1"/>
  <c r="C1149" i="20" s="1"/>
  <c r="C1150" i="20" s="1"/>
  <c r="C1151" i="20" s="1"/>
  <c r="C1152" i="20" s="1"/>
  <c r="C1153" i="20" s="1"/>
  <c r="C1154" i="20" s="1"/>
  <c r="C1155" i="20" s="1"/>
  <c r="C1156" i="20" s="1"/>
  <c r="C1157" i="20" s="1"/>
  <c r="C1158" i="20" s="1"/>
  <c r="C1159" i="20" s="1"/>
  <c r="C1160" i="20" s="1"/>
  <c r="C1161" i="20" s="1"/>
  <c r="C1162" i="20" s="1"/>
  <c r="C1163" i="20" s="1"/>
  <c r="C1164" i="20" s="1"/>
  <c r="C1165" i="20" s="1"/>
  <c r="C1166" i="20" s="1"/>
  <c r="C1167" i="20" s="1"/>
  <c r="C1168" i="20" s="1"/>
  <c r="C1169" i="20" s="1"/>
  <c r="C1170" i="20" s="1"/>
  <c r="C1171" i="20" s="1"/>
  <c r="C1172" i="20" s="1"/>
  <c r="C1173" i="20" s="1"/>
  <c r="C1174" i="20" s="1"/>
  <c r="C1175" i="20" s="1"/>
  <c r="C1176" i="20" s="1"/>
  <c r="C1177" i="20" s="1"/>
  <c r="C1178" i="20" s="1"/>
  <c r="C1179" i="20" s="1"/>
  <c r="C1180" i="20" s="1"/>
  <c r="C1181" i="20" s="1"/>
  <c r="C1182" i="20" s="1"/>
  <c r="C1183" i="20" s="1"/>
  <c r="C1184" i="20" s="1"/>
  <c r="C1185" i="20" s="1"/>
  <c r="C1186" i="20" s="1"/>
  <c r="C1187" i="20" s="1"/>
  <c r="C1188" i="20" s="1"/>
  <c r="C1189" i="20" s="1"/>
  <c r="C1190" i="20" s="1"/>
  <c r="C1191" i="20" s="1"/>
  <c r="C1192" i="20" s="1"/>
  <c r="C1193" i="20" s="1"/>
  <c r="C1194" i="20" s="1"/>
  <c r="C1195" i="20" s="1"/>
  <c r="C1196" i="20" s="1"/>
  <c r="C1197" i="20" s="1"/>
  <c r="C1198" i="20" s="1"/>
  <c r="C1199" i="20" s="1"/>
  <c r="C1200" i="20" s="1"/>
  <c r="C1201" i="20" s="1"/>
  <c r="C1202" i="20" s="1"/>
  <c r="C1203" i="20" s="1"/>
  <c r="C1204" i="20" s="1"/>
  <c r="C1205" i="20" s="1"/>
  <c r="C1206" i="20" s="1"/>
  <c r="C1207" i="20" s="1"/>
  <c r="C1208" i="20" s="1"/>
  <c r="C1209" i="20" s="1"/>
  <c r="C1210" i="20" s="1"/>
  <c r="C1211" i="20" s="1"/>
  <c r="C1212" i="20" s="1"/>
  <c r="C1213" i="20" s="1"/>
  <c r="C1214" i="20" s="1"/>
  <c r="C1215" i="20" s="1"/>
  <c r="C1216" i="20" s="1"/>
  <c r="C1217" i="20" s="1"/>
  <c r="C1218" i="20" s="1"/>
  <c r="C1219" i="20" s="1"/>
  <c r="C1220" i="20" s="1"/>
  <c r="C1221" i="20" s="1"/>
  <c r="C1222" i="20" s="1"/>
  <c r="C1223" i="20" s="1"/>
  <c r="C1224" i="20" s="1"/>
  <c r="C1225" i="20" s="1"/>
  <c r="C1226" i="20" s="1"/>
  <c r="C1227" i="20" s="1"/>
  <c r="C1228" i="20" s="1"/>
  <c r="C1229" i="20" s="1"/>
  <c r="C1230" i="20" s="1"/>
  <c r="C1231" i="20" s="1"/>
  <c r="C1232" i="20" s="1"/>
  <c r="C1233" i="20" s="1"/>
  <c r="C1234" i="20" s="1"/>
  <c r="C1235" i="20" s="1"/>
  <c r="C1236" i="20" s="1"/>
  <c r="C1237" i="20" s="1"/>
  <c r="C1238" i="20" s="1"/>
  <c r="C1239" i="20" s="1"/>
  <c r="C1240" i="20" s="1"/>
  <c r="C1241" i="20" s="1"/>
  <c r="C1242" i="20" s="1"/>
  <c r="C1243" i="20" s="1"/>
  <c r="C1244" i="20" s="1"/>
  <c r="C1245" i="20" s="1"/>
  <c r="C1246" i="20" s="1"/>
  <c r="C1247" i="20" s="1"/>
  <c r="C1248" i="20" s="1"/>
  <c r="C1249" i="20" s="1"/>
  <c r="C1250" i="20" s="1"/>
  <c r="C1251" i="20" s="1"/>
  <c r="C1252" i="20" s="1"/>
  <c r="C1253" i="20" s="1"/>
  <c r="C1254" i="20" s="1"/>
  <c r="C1255" i="20" s="1"/>
  <c r="C1256" i="20" s="1"/>
  <c r="C1257" i="20" s="1"/>
  <c r="C1258" i="20" s="1"/>
  <c r="C1259" i="20" s="1"/>
  <c r="C1260" i="20" s="1"/>
  <c r="C1261" i="20" s="1"/>
  <c r="C1262" i="20" s="1"/>
  <c r="C1263" i="20" s="1"/>
  <c r="C1264" i="20" s="1"/>
  <c r="C1265" i="20" s="1"/>
  <c r="C1266" i="20" s="1"/>
  <c r="C1267" i="20" s="1"/>
  <c r="C1268" i="20" s="1"/>
  <c r="C1269" i="20" s="1"/>
  <c r="C1270" i="20" s="1"/>
  <c r="C1271" i="20" s="1"/>
  <c r="C1272" i="20" s="1"/>
  <c r="C1273" i="20" s="1"/>
  <c r="C1274" i="20" s="1"/>
  <c r="C1275" i="20" s="1"/>
  <c r="C1276" i="20" s="1"/>
  <c r="C1277" i="20" s="1"/>
  <c r="C1278" i="20" s="1"/>
  <c r="C1279" i="20" s="1"/>
  <c r="C1280" i="20" s="1"/>
  <c r="C1281" i="20" s="1"/>
  <c r="C1282" i="20" s="1"/>
  <c r="C1283" i="20" s="1"/>
  <c r="C1284" i="20" s="1"/>
  <c r="C1285" i="20" s="1"/>
  <c r="C1286" i="20" s="1"/>
  <c r="C1287" i="20" s="1"/>
  <c r="C1288" i="20" s="1"/>
  <c r="C1289" i="20" s="1"/>
  <c r="C1290" i="20" s="1"/>
  <c r="C1291" i="20" s="1"/>
  <c r="C1292" i="20" s="1"/>
  <c r="C1293" i="20" s="1"/>
  <c r="C1294" i="20" s="1"/>
  <c r="C1295" i="20" s="1"/>
  <c r="C1296" i="20" s="1"/>
  <c r="C1297" i="20" s="1"/>
  <c r="C1298" i="20" s="1"/>
  <c r="C1299" i="20" s="1"/>
  <c r="C1300" i="20" s="1"/>
  <c r="C1301" i="20" s="1"/>
  <c r="C1302" i="20" s="1"/>
  <c r="C1303" i="20" s="1"/>
  <c r="C1304" i="20" s="1"/>
  <c r="C1305" i="20" s="1"/>
  <c r="C1306" i="20" s="1"/>
  <c r="C1307" i="20" s="1"/>
  <c r="C1308" i="20" s="1"/>
  <c r="C1309" i="20" s="1"/>
  <c r="C1310" i="20" s="1"/>
  <c r="C1311" i="20" s="1"/>
  <c r="C1312" i="20" s="1"/>
  <c r="C1313" i="20" s="1"/>
  <c r="C1314" i="20" s="1"/>
  <c r="C1315" i="20" s="1"/>
  <c r="C1316" i="20" s="1"/>
  <c r="C1317" i="20" s="1"/>
  <c r="C1318" i="20" s="1"/>
  <c r="C1319" i="20" s="1"/>
  <c r="C1320" i="20" s="1"/>
  <c r="C1321" i="20" s="1"/>
  <c r="C1322" i="20" s="1"/>
  <c r="C1323" i="20" s="1"/>
  <c r="C1324" i="20" s="1"/>
  <c r="C1325" i="20" s="1"/>
  <c r="C1326" i="20" s="1"/>
  <c r="C1327" i="20" s="1"/>
  <c r="C1328" i="20" s="1"/>
  <c r="C1329" i="20" s="1"/>
  <c r="C1330" i="20" s="1"/>
  <c r="C1331" i="20" s="1"/>
  <c r="C1332" i="20" s="1"/>
  <c r="C1333" i="20" s="1"/>
  <c r="C1334" i="20" s="1"/>
  <c r="C1335" i="20" s="1"/>
  <c r="C1336" i="20" s="1"/>
  <c r="C1337" i="20" s="1"/>
  <c r="C1338" i="20" s="1"/>
  <c r="C1339" i="20" s="1"/>
  <c r="C1340" i="20" s="1"/>
  <c r="C1341" i="20" s="1"/>
  <c r="C1342" i="20" s="1"/>
  <c r="C1343" i="20" s="1"/>
  <c r="C1344" i="20" s="1"/>
  <c r="C1345" i="20" s="1"/>
  <c r="C1346" i="20" s="1"/>
  <c r="C1347" i="20" s="1"/>
  <c r="C1348" i="20" s="1"/>
  <c r="C1349" i="20" s="1"/>
  <c r="C1350" i="20" s="1"/>
  <c r="C1351" i="20" s="1"/>
  <c r="C1352" i="20" s="1"/>
  <c r="C1353" i="20" s="1"/>
  <c r="C1354" i="20" s="1"/>
  <c r="C1355" i="20" s="1"/>
  <c r="C1356" i="20" s="1"/>
  <c r="C1357" i="20" s="1"/>
  <c r="C1358" i="20" s="1"/>
  <c r="C1359" i="20" s="1"/>
  <c r="C1360" i="20" s="1"/>
  <c r="C1361" i="20" s="1"/>
  <c r="C1362" i="20" s="1"/>
  <c r="C1363" i="20" s="1"/>
  <c r="C1364" i="20" s="1"/>
  <c r="C1365" i="20" s="1"/>
  <c r="C1366" i="20" s="1"/>
  <c r="C1367" i="20" s="1"/>
  <c r="C1368" i="20" s="1"/>
  <c r="C1369" i="20" s="1"/>
  <c r="C1370" i="20" s="1"/>
  <c r="C1371" i="20" s="1"/>
  <c r="C1372" i="20" s="1"/>
  <c r="C1373" i="20" s="1"/>
  <c r="C1374" i="20" s="1"/>
  <c r="C1375" i="20" s="1"/>
  <c r="C1376" i="20" s="1"/>
  <c r="C1377" i="20" s="1"/>
  <c r="C1378" i="20" s="1"/>
  <c r="C1379" i="20" s="1"/>
  <c r="C1380" i="20" s="1"/>
  <c r="C1381" i="20" s="1"/>
  <c r="C1382" i="20" s="1"/>
  <c r="C1383" i="20" s="1"/>
  <c r="C1384" i="20" s="1"/>
  <c r="C1385" i="20" s="1"/>
  <c r="C1386" i="20" s="1"/>
  <c r="C1387" i="20" s="1"/>
  <c r="C1388" i="20" s="1"/>
  <c r="C1389" i="20" s="1"/>
  <c r="C1390" i="20" s="1"/>
  <c r="C1391" i="20" s="1"/>
  <c r="C1392" i="20" s="1"/>
  <c r="C1393" i="20" s="1"/>
  <c r="C1394" i="20" s="1"/>
  <c r="C1395" i="20" s="1"/>
  <c r="C1396" i="20" s="1"/>
  <c r="C1397" i="20" s="1"/>
  <c r="C1398" i="20" s="1"/>
  <c r="C1399" i="20" s="1"/>
  <c r="C1400" i="20" s="1"/>
  <c r="C1401" i="20" s="1"/>
  <c r="C1402" i="20" s="1"/>
  <c r="C1403" i="20" s="1"/>
  <c r="C1404" i="20" s="1"/>
  <c r="C1405" i="20" s="1"/>
  <c r="C1406" i="20" s="1"/>
  <c r="C1407" i="20" s="1"/>
  <c r="C1408" i="20" s="1"/>
  <c r="C1409" i="20" s="1"/>
  <c r="C1410" i="20" s="1"/>
  <c r="C1411" i="20" s="1"/>
  <c r="C1412" i="20" s="1"/>
  <c r="C1413" i="20" s="1"/>
  <c r="C1414" i="20" s="1"/>
  <c r="C1415" i="20" s="1"/>
  <c r="C1416" i="20" s="1"/>
  <c r="C1417" i="20" s="1"/>
  <c r="C1418" i="20" s="1"/>
  <c r="C1419" i="20" s="1"/>
  <c r="C1420" i="20" s="1"/>
  <c r="C1421" i="20" s="1"/>
  <c r="C1422" i="20" s="1"/>
  <c r="C1423" i="20" s="1"/>
  <c r="C1424" i="20" s="1"/>
  <c r="C1425" i="20" s="1"/>
  <c r="C1426" i="20" s="1"/>
  <c r="C1427" i="20" s="1"/>
  <c r="C1428" i="20" s="1"/>
  <c r="C1429" i="20" s="1"/>
  <c r="C1430" i="20" s="1"/>
  <c r="C1431" i="20" s="1"/>
  <c r="C1432" i="20" s="1"/>
  <c r="C1433" i="20" s="1"/>
  <c r="C1434" i="20" s="1"/>
  <c r="C1435" i="20" s="1"/>
  <c r="C1436" i="20" s="1"/>
  <c r="C1437" i="20" s="1"/>
  <c r="C1438" i="20" s="1"/>
  <c r="C1439" i="20" s="1"/>
  <c r="C1440" i="20" s="1"/>
  <c r="C1441" i="20" s="1"/>
  <c r="C1442" i="20" s="1"/>
  <c r="C1443" i="20" s="1"/>
  <c r="C1444" i="20" s="1"/>
  <c r="C1445" i="20" s="1"/>
  <c r="C1446" i="20" s="1"/>
  <c r="C1447" i="20" s="1"/>
  <c r="C1448" i="20" s="1"/>
  <c r="C1449" i="20" s="1"/>
  <c r="C1450" i="20" s="1"/>
  <c r="C1451" i="20" s="1"/>
  <c r="C1452" i="20" s="1"/>
  <c r="C1453" i="20" s="1"/>
  <c r="C1454" i="20" s="1"/>
  <c r="C1455" i="20" s="1"/>
  <c r="C1456" i="20" s="1"/>
  <c r="C1457" i="20" s="1"/>
  <c r="C1458" i="20" s="1"/>
  <c r="C1459" i="20" s="1"/>
  <c r="C1460" i="20" s="1"/>
  <c r="C1461" i="20" s="1"/>
  <c r="C1462" i="20" s="1"/>
  <c r="C1463" i="20" s="1"/>
  <c r="C1464" i="20" s="1"/>
  <c r="C1465" i="20" s="1"/>
  <c r="C1466" i="20" s="1"/>
  <c r="C1467" i="20" s="1"/>
  <c r="C1468" i="20" s="1"/>
  <c r="C1469" i="20" s="1"/>
  <c r="C1470" i="20" s="1"/>
  <c r="C1471" i="20" s="1"/>
  <c r="C1472" i="20" s="1"/>
  <c r="C1473" i="20" s="1"/>
  <c r="C1474" i="20" s="1"/>
  <c r="C1475" i="20" s="1"/>
  <c r="C1476" i="20" s="1"/>
  <c r="C1477" i="20" s="1"/>
  <c r="C1478" i="20" s="1"/>
  <c r="C1479" i="20" s="1"/>
  <c r="C1480" i="20" s="1"/>
  <c r="C1481" i="20" s="1"/>
  <c r="C1482" i="20" s="1"/>
  <c r="C1483" i="20" s="1"/>
  <c r="C1484" i="20" s="1"/>
  <c r="C1485" i="20" s="1"/>
  <c r="C1486" i="20" s="1"/>
  <c r="C1487" i="20" s="1"/>
  <c r="C1488" i="20" s="1"/>
  <c r="C1489" i="20" s="1"/>
  <c r="C1490" i="20" s="1"/>
  <c r="C1491" i="20" s="1"/>
  <c r="C1492" i="20" s="1"/>
  <c r="C1493" i="20" s="1"/>
  <c r="C1494" i="20" s="1"/>
  <c r="C1495" i="20" s="1"/>
  <c r="C1496" i="20" s="1"/>
  <c r="C1497" i="20" s="1"/>
  <c r="C1498" i="20" s="1"/>
  <c r="C1499" i="20" s="1"/>
  <c r="C1500" i="20" s="1"/>
  <c r="C1501" i="20" s="1"/>
  <c r="C1502" i="20" s="1"/>
  <c r="C1503" i="20" s="1"/>
  <c r="C1504" i="20" s="1"/>
  <c r="C1505" i="20" s="1"/>
  <c r="C1506" i="20" s="1"/>
  <c r="C1507" i="20" s="1"/>
  <c r="C1508" i="20" s="1"/>
  <c r="C1509" i="20" s="1"/>
  <c r="C1510" i="20" s="1"/>
  <c r="C1511" i="20" s="1"/>
  <c r="C1512" i="20" s="1"/>
  <c r="C1513" i="20" s="1"/>
  <c r="C1514" i="20" s="1"/>
  <c r="G1327" i="20" l="1"/>
  <c r="G65" i="20"/>
  <c r="G617" i="20"/>
  <c r="G151" i="20"/>
  <c r="G901" i="20"/>
  <c r="G1025" i="20"/>
  <c r="G353" i="20"/>
  <c r="G730" i="20"/>
  <c r="G1411" i="20"/>
  <c r="G1444" i="20"/>
  <c r="G609" i="20"/>
  <c r="G893" i="20"/>
  <c r="G772" i="20"/>
  <c r="G187" i="20"/>
  <c r="G1259" i="20"/>
  <c r="G152" i="20"/>
  <c r="G597" i="20"/>
  <c r="G569" i="20"/>
  <c r="G585" i="20"/>
  <c r="G501" i="20"/>
  <c r="G793" i="20"/>
  <c r="G873" i="20"/>
  <c r="G702" i="20"/>
  <c r="G1359" i="20"/>
  <c r="G162" i="20"/>
  <c r="G1189" i="20"/>
  <c r="G773" i="20"/>
  <c r="G715" i="20"/>
  <c r="G1346" i="20"/>
  <c r="G1035" i="20"/>
  <c r="G576" i="20"/>
  <c r="G500" i="20"/>
  <c r="G799" i="20"/>
  <c r="G115" i="20"/>
  <c r="G100" i="20"/>
  <c r="G119" i="20"/>
  <c r="G1339" i="20"/>
  <c r="G88" i="20"/>
  <c r="G505" i="20"/>
  <c r="G43" i="20"/>
  <c r="G1255" i="20"/>
  <c r="G436" i="20"/>
  <c r="G332" i="20"/>
  <c r="G996" i="20"/>
  <c r="G45" i="20"/>
  <c r="G628" i="20"/>
  <c r="G668" i="20"/>
  <c r="G1498" i="20"/>
  <c r="G953" i="20"/>
  <c r="G111" i="20"/>
  <c r="G1207" i="20"/>
  <c r="G651" i="20"/>
  <c r="G508" i="20"/>
  <c r="G913" i="20"/>
  <c r="G542" i="20"/>
  <c r="G1016" i="20"/>
  <c r="G1050" i="20"/>
  <c r="G452" i="20"/>
  <c r="G1458" i="20"/>
  <c r="G1254" i="20"/>
  <c r="G1089" i="20"/>
  <c r="G1345" i="20"/>
  <c r="G962" i="20"/>
  <c r="G1055" i="20"/>
  <c r="G78" i="20"/>
  <c r="G771" i="20"/>
  <c r="G1215" i="20"/>
  <c r="G605" i="20"/>
  <c r="G1332" i="20"/>
  <c r="G62" i="20"/>
  <c r="G203" i="20"/>
  <c r="G364" i="20"/>
  <c r="G1313" i="20"/>
  <c r="G339" i="20"/>
  <c r="G948" i="20"/>
  <c r="G938" i="20"/>
  <c r="G1457" i="20"/>
  <c r="G1479" i="20"/>
  <c r="G176" i="20"/>
  <c r="G987" i="20"/>
  <c r="G638" i="20"/>
  <c r="G135" i="20"/>
  <c r="G269" i="20"/>
  <c r="G780" i="20"/>
  <c r="G381" i="20"/>
  <c r="G1079" i="20"/>
  <c r="G880" i="20"/>
  <c r="G1443" i="20"/>
  <c r="G493" i="20"/>
  <c r="G499" i="20"/>
  <c r="G1504" i="20"/>
  <c r="G1267" i="20"/>
  <c r="G429" i="20"/>
  <c r="G877" i="20"/>
  <c r="G302" i="20"/>
  <c r="G1227" i="20"/>
  <c r="G520" i="20"/>
  <c r="G97" i="20"/>
  <c r="G337" i="20"/>
  <c r="G1186" i="20"/>
  <c r="G1424" i="20"/>
  <c r="G662" i="20"/>
  <c r="G879" i="20"/>
  <c r="G1202" i="20"/>
  <c r="G909" i="20"/>
  <c r="G166" i="20"/>
  <c r="G1078" i="20"/>
  <c r="G691" i="20"/>
  <c r="G1020" i="20"/>
  <c r="G765" i="20"/>
  <c r="G876" i="20"/>
  <c r="G1357" i="20"/>
  <c r="G717" i="20"/>
  <c r="G1291" i="20"/>
  <c r="G735" i="20"/>
  <c r="G652" i="20"/>
  <c r="G289" i="20"/>
  <c r="G1004" i="20"/>
  <c r="G1440" i="20"/>
  <c r="G610" i="20"/>
  <c r="G639" i="20"/>
  <c r="G1308" i="20"/>
  <c r="G1195" i="20"/>
  <c r="G465" i="20"/>
  <c r="G579" i="20"/>
  <c r="G1184" i="20"/>
  <c r="G671" i="20"/>
  <c r="G222" i="20"/>
  <c r="G405" i="20"/>
  <c r="G379" i="20"/>
  <c r="G751" i="20"/>
  <c r="G25" i="20"/>
  <c r="G253" i="20"/>
  <c r="G101" i="20"/>
  <c r="G1087" i="20"/>
  <c r="G896" i="20"/>
  <c r="G1218" i="20"/>
  <c r="G791" i="20"/>
  <c r="G357" i="20"/>
  <c r="G464" i="20"/>
  <c r="G437" i="20"/>
  <c r="G935" i="20"/>
  <c r="G1277" i="20"/>
  <c r="G1275" i="20"/>
  <c r="G1365" i="20"/>
  <c r="G457" i="20"/>
  <c r="G156" i="20"/>
  <c r="G1374" i="20"/>
  <c r="G1396" i="20"/>
  <c r="G129" i="20"/>
  <c r="G1185" i="20"/>
  <c r="G854" i="20"/>
  <c r="G866" i="20"/>
  <c r="G1226" i="20"/>
  <c r="G1019" i="20"/>
  <c r="G1513" i="20"/>
  <c r="G1492" i="20"/>
  <c r="G744" i="20"/>
  <c r="G1010" i="20"/>
  <c r="G200" i="20"/>
  <c r="G1222" i="20"/>
  <c r="G1166" i="20"/>
  <c r="G775" i="20"/>
  <c r="G1354" i="20"/>
  <c r="G993" i="20"/>
  <c r="G611" i="20"/>
  <c r="G1511" i="20"/>
  <c r="G351" i="20"/>
  <c r="G1420" i="20"/>
  <c r="G1100" i="20"/>
  <c r="G1451" i="20"/>
  <c r="G956" i="20"/>
  <c r="G802" i="20"/>
  <c r="G1376" i="20"/>
  <c r="G345" i="20"/>
  <c r="G167" i="20"/>
  <c r="G1282" i="20"/>
  <c r="G148" i="20"/>
  <c r="G571" i="20"/>
  <c r="G313" i="20"/>
  <c r="G356" i="20"/>
  <c r="G164" i="20"/>
  <c r="G560" i="20"/>
  <c r="G1297" i="20"/>
  <c r="G415" i="20"/>
  <c r="G957" i="20"/>
  <c r="G472" i="20"/>
  <c r="G908" i="20"/>
  <c r="G331" i="20"/>
  <c r="G824" i="20"/>
  <c r="G698" i="20"/>
  <c r="G944" i="20"/>
  <c r="G553" i="20"/>
  <c r="G706" i="20"/>
  <c r="G1253" i="20"/>
  <c r="G266" i="20"/>
  <c r="G58" i="20"/>
  <c r="G410" i="20"/>
  <c r="G1386" i="20"/>
  <c r="G1183" i="20"/>
  <c r="G307" i="20"/>
  <c r="G1480" i="20"/>
  <c r="G86" i="20"/>
  <c r="G1370" i="20"/>
  <c r="G273" i="20"/>
  <c r="G352" i="20"/>
  <c r="G1064" i="20"/>
  <c r="G1110" i="20"/>
  <c r="G1067" i="20"/>
  <c r="G1161" i="20"/>
  <c r="G1319" i="20"/>
  <c r="G398" i="20"/>
  <c r="G641" i="20"/>
  <c r="G1167" i="20"/>
  <c r="G832" i="20"/>
  <c r="G227" i="20"/>
  <c r="G681" i="20"/>
  <c r="G1096" i="20"/>
  <c r="G321" i="20"/>
  <c r="G1117" i="20"/>
  <c r="G1061" i="20"/>
  <c r="G654" i="20"/>
  <c r="G1007" i="20"/>
  <c r="G433" i="20"/>
  <c r="G400" i="20"/>
  <c r="G1484" i="20"/>
  <c r="G197" i="20"/>
  <c r="G972" i="20"/>
  <c r="G128" i="20"/>
  <c r="G1116" i="20"/>
  <c r="G813" i="20"/>
  <c r="G1278" i="20"/>
  <c r="G296" i="20"/>
  <c r="G90" i="20"/>
  <c r="G1056" i="20"/>
  <c r="G1455" i="20"/>
  <c r="G782" i="20"/>
  <c r="G1160" i="20"/>
  <c r="G365" i="20"/>
  <c r="G223" i="20"/>
  <c r="G130" i="20"/>
  <c r="G888" i="20"/>
  <c r="G527" i="20"/>
  <c r="G385" i="20"/>
  <c r="G515" i="20"/>
  <c r="G55" i="20"/>
  <c r="G1192" i="20"/>
  <c r="G408" i="20"/>
  <c r="G550" i="20"/>
  <c r="G1257" i="20"/>
  <c r="G1417" i="20"/>
  <c r="G1146" i="20"/>
  <c r="G1503" i="20"/>
  <c r="G1153" i="20"/>
  <c r="G120" i="20"/>
  <c r="G1113" i="20"/>
  <c r="G344" i="20"/>
  <c r="G557" i="20"/>
  <c r="G1164" i="20"/>
  <c r="G15" i="20"/>
  <c r="G528" i="20"/>
  <c r="G395" i="20"/>
  <c r="G183" i="20"/>
  <c r="G1403" i="20"/>
  <c r="G708" i="20"/>
  <c r="G1292" i="20"/>
  <c r="G47" i="20"/>
  <c r="G1134" i="20"/>
  <c r="G675" i="20"/>
  <c r="G279" i="20"/>
  <c r="G1170" i="20"/>
  <c r="G692" i="20"/>
  <c r="G863" i="20"/>
  <c r="G1000" i="20"/>
  <c r="G774" i="20"/>
  <c r="G649" i="20"/>
  <c r="G389" i="20"/>
  <c r="G170" i="20"/>
  <c r="G1433" i="20"/>
  <c r="G1098" i="20"/>
  <c r="G1162" i="20"/>
  <c r="G1009" i="20"/>
  <c r="G851" i="20"/>
  <c r="G994" i="20"/>
  <c r="G917" i="20"/>
  <c r="G303" i="20"/>
  <c r="G68" i="20"/>
  <c r="G947" i="20"/>
  <c r="G931" i="20"/>
  <c r="G707" i="20"/>
  <c r="G828" i="20"/>
  <c r="G941" i="20"/>
  <c r="G308" i="20"/>
  <c r="G288" i="20"/>
  <c r="G478" i="20"/>
  <c r="G406" i="20"/>
  <c r="G392" i="20"/>
  <c r="G884" i="20"/>
  <c r="G91" i="20"/>
  <c r="G1139" i="20"/>
  <c r="G458" i="20"/>
  <c r="G63" i="20"/>
  <c r="G1150" i="20"/>
  <c r="G290" i="20"/>
  <c r="G1049" i="20"/>
  <c r="G1075" i="20"/>
  <c r="G260" i="20"/>
  <c r="G1203" i="20"/>
  <c r="G1280" i="20"/>
  <c r="G936" i="20"/>
  <c r="G629" i="20"/>
  <c r="G1237" i="20"/>
  <c r="G1003" i="20"/>
  <c r="G872" i="20"/>
  <c r="G109" i="20"/>
  <c r="G139" i="20"/>
  <c r="G1341" i="20"/>
  <c r="G424" i="20"/>
  <c r="G377" i="20"/>
  <c r="G558" i="20"/>
  <c r="G444" i="20"/>
  <c r="G910" i="20"/>
  <c r="G1071" i="20"/>
  <c r="G566" i="20"/>
  <c r="G1447" i="20"/>
  <c r="G709" i="20"/>
  <c r="G1106" i="20"/>
  <c r="G660" i="20"/>
  <c r="G1048" i="20"/>
  <c r="G781" i="20"/>
  <c r="G1454" i="20"/>
  <c r="G844" i="20"/>
  <c r="G460" i="20"/>
  <c r="G106" i="20"/>
  <c r="G1392" i="20"/>
  <c r="G582" i="20"/>
  <c r="G1017" i="20"/>
  <c r="G792" i="20"/>
  <c r="G1489" i="20"/>
  <c r="G907" i="20"/>
  <c r="G1252" i="20"/>
  <c r="G404" i="20"/>
  <c r="G80" i="20"/>
  <c r="G693" i="20"/>
  <c r="G1436" i="20"/>
  <c r="G999" i="20"/>
  <c r="G562" i="20"/>
  <c r="G28" i="20"/>
  <c r="G797" i="20"/>
  <c r="G189" i="20"/>
  <c r="G973" i="20"/>
  <c r="G1102" i="20"/>
  <c r="G502" i="20"/>
  <c r="G416" i="20"/>
  <c r="G1369" i="20"/>
  <c r="G747" i="20"/>
  <c r="G1122" i="20"/>
  <c r="G729" i="20"/>
  <c r="G595" i="20"/>
  <c r="G96" i="20"/>
  <c r="G52" i="20"/>
  <c r="G964" i="20"/>
  <c r="G1021" i="20"/>
  <c r="G373" i="20"/>
  <c r="G620" i="20"/>
  <c r="G1299" i="20"/>
  <c r="G1129" i="20"/>
  <c r="G1493" i="20"/>
  <c r="G915" i="20"/>
  <c r="G712" i="20"/>
  <c r="G825" i="20"/>
  <c r="G1406" i="20"/>
  <c r="G1295" i="20"/>
  <c r="G995" i="20"/>
  <c r="G374" i="20"/>
  <c r="G532" i="20"/>
  <c r="G517" i="20"/>
  <c r="G588" i="20"/>
  <c r="G198" i="20"/>
  <c r="G970" i="20"/>
  <c r="G882" i="20"/>
  <c r="G725" i="20"/>
  <c r="G1453" i="20"/>
  <c r="G1284" i="20"/>
  <c r="G627" i="20"/>
  <c r="G1175" i="20"/>
  <c r="G251" i="20"/>
  <c r="G1264" i="20"/>
  <c r="G61" i="20"/>
  <c r="G1165" i="20"/>
  <c r="G1204" i="20"/>
  <c r="G534" i="20"/>
  <c r="G889" i="20"/>
  <c r="G1235" i="20"/>
  <c r="G656" i="20"/>
  <c r="G299" i="20"/>
  <c r="G349" i="20"/>
  <c r="G1294" i="20"/>
  <c r="G1118" i="20"/>
  <c r="G298" i="20"/>
  <c r="G767" i="20"/>
  <c r="G110" i="20"/>
  <c r="G232" i="20"/>
  <c r="G522" i="20"/>
  <c r="G985" i="20"/>
  <c r="G1101" i="20"/>
  <c r="G1446" i="20"/>
  <c r="G1145" i="20"/>
  <c r="G891" i="20"/>
  <c r="G703" i="20"/>
  <c r="G483" i="20"/>
  <c r="G755" i="20"/>
  <c r="G1103" i="20"/>
  <c r="G1214" i="20"/>
  <c r="G282" i="20"/>
  <c r="G1002" i="20"/>
  <c r="G1073" i="20"/>
  <c r="G784" i="20"/>
  <c r="G506" i="20"/>
  <c r="G158" i="20"/>
  <c r="G760" i="20"/>
  <c r="G1229" i="20"/>
  <c r="G224" i="20"/>
  <c r="G343" i="20"/>
  <c r="G811" i="20"/>
  <c r="G644" i="20"/>
  <c r="G1262" i="20"/>
  <c r="G806" i="20"/>
  <c r="G447" i="20"/>
  <c r="G1364" i="20"/>
  <c r="G1182" i="20"/>
  <c r="G1307" i="20"/>
  <c r="G441" i="20"/>
  <c r="G1348" i="20"/>
  <c r="G125" i="20"/>
  <c r="G551" i="20"/>
  <c r="G734" i="20"/>
  <c r="G1494" i="20"/>
  <c r="G1496" i="20"/>
  <c r="G669" i="20"/>
  <c r="G250" i="20"/>
  <c r="G618" i="20"/>
  <c r="G366" i="20"/>
  <c r="G1133" i="20"/>
  <c r="G1434" i="20"/>
  <c r="G1233" i="20"/>
  <c r="G713" i="20"/>
  <c r="G559" i="20"/>
  <c r="G1423" i="20"/>
  <c r="G622" i="20"/>
  <c r="G37" i="20"/>
  <c r="G1462" i="20"/>
  <c r="G1449" i="20"/>
  <c r="G1191" i="20"/>
  <c r="G1068" i="20"/>
  <c r="G1466" i="20"/>
  <c r="G1011" i="20"/>
  <c r="G529" i="20"/>
  <c r="G1438" i="20"/>
  <c r="G74" i="20"/>
  <c r="G977" i="20"/>
  <c r="G214" i="20"/>
  <c r="G869" i="20"/>
  <c r="G274" i="20"/>
  <c r="G705" i="20"/>
  <c r="G236" i="20"/>
  <c r="G153" i="20"/>
  <c r="G1258" i="20"/>
  <c r="G1111" i="20"/>
  <c r="G1159" i="20"/>
  <c r="G64" i="20"/>
  <c r="G937" i="20"/>
  <c r="G163" i="20"/>
  <c r="G1316" i="20"/>
  <c r="G716" i="20"/>
  <c r="G1109" i="20"/>
  <c r="G388" i="20"/>
  <c r="G294" i="20"/>
  <c r="G326" i="20"/>
  <c r="G1338" i="20"/>
  <c r="G149" i="20"/>
  <c r="G768" i="20"/>
  <c r="G743" i="20"/>
  <c r="G852" i="20"/>
  <c r="G29" i="20"/>
  <c r="G836" i="20"/>
  <c r="G291" i="20"/>
  <c r="G829" i="20"/>
  <c r="G422" i="20"/>
  <c r="G721" i="20"/>
  <c r="G1125" i="20"/>
  <c r="G587" i="20"/>
  <c r="G1260" i="20"/>
  <c r="G958" i="20"/>
  <c r="G1305" i="20"/>
  <c r="G834" i="20"/>
  <c r="G892" i="20"/>
  <c r="G443" i="20"/>
  <c r="G1303" i="20"/>
  <c r="G546" i="20"/>
  <c r="G1169" i="20"/>
  <c r="G18" i="20"/>
  <c r="G754" i="20"/>
  <c r="G169" i="20"/>
  <c r="G1152" i="20"/>
  <c r="G920" i="20"/>
  <c r="G1211" i="20"/>
  <c r="G476" i="20"/>
  <c r="G206" i="20"/>
  <c r="G549" i="20"/>
  <c r="G482" i="20"/>
  <c r="G333" i="20"/>
  <c r="G421" i="20"/>
  <c r="G653" i="20"/>
  <c r="G1228" i="20"/>
  <c r="G161" i="20"/>
  <c r="G830" i="20"/>
  <c r="G1421" i="20"/>
  <c r="G1179" i="20"/>
  <c r="G1279" i="20"/>
  <c r="G83" i="20"/>
  <c r="G265" i="20"/>
  <c r="G788" i="20"/>
  <c r="G615" i="20"/>
  <c r="G949" i="20"/>
  <c r="G1171" i="20"/>
  <c r="G1450" i="20"/>
  <c r="G1180" i="20"/>
  <c r="G800" i="20"/>
  <c r="G1388" i="20"/>
  <c r="G319" i="20"/>
  <c r="G1094" i="20"/>
  <c r="G871" i="20"/>
  <c r="G390" i="20"/>
  <c r="G323" i="20"/>
  <c r="G252" i="20"/>
  <c r="G1311" i="20"/>
  <c r="G531" i="20"/>
  <c r="G142" i="20"/>
  <c r="G486" i="20"/>
  <c r="G104" i="20"/>
  <c r="G504" i="20"/>
  <c r="G1132" i="20"/>
  <c r="G1155" i="20"/>
  <c r="G874" i="20"/>
  <c r="G1395" i="20"/>
  <c r="G602" i="20"/>
  <c r="G1412" i="20"/>
  <c r="G903" i="20"/>
  <c r="G719" i="20"/>
  <c r="G1344" i="20"/>
  <c r="G280" i="20"/>
  <c r="G257" i="20"/>
  <c r="G489" i="20"/>
  <c r="G1187" i="20"/>
  <c r="G684" i="20"/>
  <c r="G1334" i="20"/>
  <c r="G636" i="20"/>
  <c r="G1084" i="20"/>
  <c r="G1362" i="20"/>
  <c r="G942" i="20"/>
  <c r="G112" i="20"/>
  <c r="G1261" i="20"/>
  <c r="G518" i="20"/>
  <c r="G1323" i="20"/>
  <c r="G414" i="20"/>
  <c r="G762" i="20"/>
  <c r="G945" i="20"/>
  <c r="G1382" i="20"/>
  <c r="G658" i="20"/>
  <c r="G1367" i="20"/>
  <c r="G1080" i="20"/>
  <c r="G396" i="20"/>
  <c r="G1289" i="20"/>
  <c r="G1023" i="20"/>
  <c r="G839" i="20"/>
  <c r="G686" i="20"/>
  <c r="G552" i="20"/>
  <c r="G1093" i="20"/>
  <c r="G1176" i="20"/>
  <c r="G523" i="20"/>
  <c r="G699" i="20"/>
  <c r="G1018" i="20"/>
  <c r="G695" i="20"/>
  <c r="G1115" i="20"/>
  <c r="G1405" i="20"/>
  <c r="G1326" i="20"/>
  <c r="G1151" i="20"/>
  <c r="G577" i="20"/>
  <c r="G471" i="20"/>
  <c r="G60" i="20"/>
  <c r="G327" i="20"/>
  <c r="G1174" i="20"/>
  <c r="G810" i="20"/>
  <c r="G1051" i="20"/>
  <c r="G1439" i="20"/>
  <c r="G1491" i="20"/>
  <c r="G445" i="20"/>
  <c r="G311" i="20"/>
  <c r="G1001" i="20"/>
  <c r="G969" i="20"/>
  <c r="G38" i="20"/>
  <c r="G1407" i="20"/>
  <c r="G1256" i="20"/>
  <c r="G368" i="20"/>
  <c r="G336" i="20"/>
  <c r="G1097" i="20"/>
  <c r="G438" i="20"/>
  <c r="G842" i="20"/>
  <c r="G766" i="20"/>
  <c r="G1336" i="20"/>
  <c r="G127" i="20"/>
  <c r="G1045" i="20"/>
  <c r="G816" i="20"/>
  <c r="G297" i="20"/>
  <c r="G748" i="20"/>
  <c r="G230" i="20"/>
  <c r="G54" i="20"/>
  <c r="G1487" i="20"/>
  <c r="G718" i="20"/>
  <c r="G1070" i="20"/>
  <c r="G753" i="20"/>
  <c r="G1130" i="20"/>
  <c r="G983" i="20"/>
  <c r="G1091" i="20"/>
  <c r="G419" i="20"/>
  <c r="G848" i="20"/>
  <c r="G1074" i="20"/>
  <c r="G1105" i="20"/>
  <c r="G17" i="20"/>
  <c r="G1371" i="20"/>
  <c r="G946" i="20"/>
  <c r="G484" i="20"/>
  <c r="G382" i="20"/>
  <c r="G1234" i="20"/>
  <c r="G989" i="20"/>
  <c r="G536" i="20"/>
  <c r="G270" i="20"/>
  <c r="G348" i="20"/>
  <c r="G461" i="20"/>
  <c r="G1144" i="20"/>
  <c r="G1315" i="20"/>
  <c r="G420" i="20"/>
  <c r="G971" i="20"/>
  <c r="G1483" i="20"/>
  <c r="G134" i="20"/>
  <c r="G1008" i="20"/>
  <c r="G1216" i="20"/>
  <c r="G258" i="20"/>
  <c r="G988" i="20"/>
  <c r="G1221" i="20"/>
  <c r="G746" i="20"/>
  <c r="G624" i="20"/>
  <c r="G1409" i="20"/>
  <c r="G603" i="20"/>
  <c r="G1302" i="20"/>
  <c r="G75" i="20"/>
  <c r="G219" i="20"/>
  <c r="G821" i="20"/>
  <c r="G233" i="20"/>
  <c r="G1039" i="20"/>
  <c r="G507" i="20"/>
  <c r="G1430" i="20"/>
  <c r="G394" i="20"/>
  <c r="G976" i="20"/>
  <c r="G688" i="20"/>
  <c r="G805" i="20"/>
  <c r="G1036" i="20"/>
  <c r="G1469" i="20"/>
  <c r="G1014" i="20"/>
  <c r="G23" i="20"/>
  <c r="G255" i="20"/>
  <c r="G1397" i="20"/>
  <c r="G1468" i="20"/>
  <c r="G204" i="20"/>
  <c r="G254" i="20"/>
  <c r="G309" i="20"/>
  <c r="G215" i="20"/>
  <c r="G1219" i="20"/>
  <c r="G79" i="20"/>
  <c r="G926" i="20"/>
  <c r="G369" i="20"/>
  <c r="G1408" i="20"/>
  <c r="G175" i="20"/>
  <c r="G928" i="20"/>
  <c r="G1470" i="20"/>
  <c r="G801" i="20"/>
  <c r="G1266" i="20"/>
  <c r="G342" i="20"/>
  <c r="G567" i="20"/>
  <c r="G814" i="20"/>
  <c r="G1041" i="20"/>
  <c r="G48" i="20"/>
  <c r="G136" i="20"/>
  <c r="G714" i="20"/>
  <c r="G650" i="20"/>
  <c r="G1193" i="20"/>
  <c r="G1322" i="20"/>
  <c r="G39" i="20"/>
  <c r="G1268" i="20"/>
  <c r="G220" i="20"/>
  <c r="G1005" i="20"/>
  <c r="G1380" i="20"/>
  <c r="G481" i="20"/>
  <c r="G1373" i="20"/>
  <c r="G997" i="20"/>
  <c r="G1331" i="20"/>
  <c r="G545" i="20"/>
  <c r="G648" i="20"/>
  <c r="G927" i="20"/>
  <c r="G281" i="20"/>
  <c r="G894" i="20"/>
  <c r="G31" i="20"/>
  <c r="G596" i="20"/>
  <c r="G943" i="20"/>
  <c r="G645" i="20"/>
  <c r="G690" i="20"/>
  <c r="G1383" i="20"/>
  <c r="G154" i="20"/>
  <c r="G1399" i="20"/>
  <c r="G362" i="20"/>
  <c r="G244" i="20"/>
  <c r="G856" i="20"/>
  <c r="G1452" i="20"/>
  <c r="G312" i="20"/>
  <c r="G568" i="20"/>
  <c r="G360" i="20"/>
  <c r="G565" i="20"/>
  <c r="G1232" i="20"/>
  <c r="G234" i="20"/>
  <c r="G417" i="20"/>
  <c r="G194" i="20"/>
  <c r="G1142" i="20"/>
  <c r="G676" i="20"/>
  <c r="G1099" i="20"/>
  <c r="G1402" i="20"/>
  <c r="G451" i="20"/>
  <c r="G1281" i="20"/>
  <c r="G81" i="20"/>
  <c r="G1140" i="20"/>
  <c r="G803" i="20"/>
  <c r="G1123" i="20"/>
  <c r="G593" i="20"/>
  <c r="G674" i="20"/>
  <c r="G1381" i="20"/>
  <c r="G492" i="20"/>
  <c r="G932" i="20"/>
  <c r="G412" i="20"/>
  <c r="G283" i="20"/>
  <c r="G301" i="20"/>
  <c r="G738" i="20"/>
  <c r="G40" i="20"/>
  <c r="G815" i="20"/>
  <c r="G376" i="20"/>
  <c r="G1414" i="20"/>
  <c r="G150" i="20"/>
  <c r="G683" i="20"/>
  <c r="G710" i="20"/>
  <c r="G1138" i="20"/>
  <c r="G1360" i="20"/>
  <c r="G614" i="20"/>
  <c r="G268" i="20"/>
  <c r="G608" i="20"/>
  <c r="G1477" i="20"/>
  <c r="G144" i="20"/>
  <c r="G168" i="20"/>
  <c r="G1188" i="20"/>
  <c r="G1350" i="20"/>
  <c r="G1047" i="20"/>
  <c r="G1149" i="20"/>
  <c r="G474" i="20"/>
  <c r="G541" i="20"/>
  <c r="G1488" i="20"/>
  <c r="G1143" i="20"/>
  <c r="G858" i="20"/>
  <c r="G818" i="20"/>
  <c r="G285" i="20"/>
  <c r="G1124" i="20"/>
  <c r="G980" i="20"/>
  <c r="G1304" i="20"/>
  <c r="G448" i="20"/>
  <c r="G33" i="20"/>
  <c r="G967" i="20"/>
  <c r="G868" i="20"/>
  <c r="G442" i="20"/>
  <c r="G1199" i="20"/>
  <c r="G456" i="20"/>
  <c r="G49" i="20"/>
  <c r="G578" i="20"/>
  <c r="G1177" i="20"/>
  <c r="G1355" i="20"/>
  <c r="G121" i="20"/>
  <c r="G574" i="20"/>
  <c r="G36" i="20"/>
  <c r="G1505" i="20"/>
  <c r="G786" i="20"/>
  <c r="G1194" i="20"/>
  <c r="G563" i="20"/>
  <c r="G960" i="20"/>
  <c r="G235" i="20"/>
  <c r="G761" i="20"/>
  <c r="G20" i="20"/>
  <c r="G1293" i="20"/>
  <c r="G514" i="20"/>
  <c r="G241" i="20"/>
  <c r="G867" i="20"/>
  <c r="G1416" i="20"/>
  <c r="G777" i="20"/>
  <c r="G207" i="20"/>
  <c r="G749" i="20"/>
  <c r="G885" i="20"/>
  <c r="G44" i="20"/>
  <c r="G1251" i="20"/>
  <c r="G612" i="20"/>
  <c r="G118" i="20"/>
  <c r="G1352" i="20"/>
  <c r="G604" i="20"/>
  <c r="G555" i="20"/>
  <c r="G1318" i="20"/>
  <c r="G939" i="20"/>
  <c r="G923" i="20"/>
  <c r="G1500" i="20"/>
  <c r="G1196" i="20"/>
  <c r="G102" i="20"/>
  <c r="G535" i="20"/>
  <c r="G180" i="20"/>
  <c r="G133" i="20"/>
  <c r="G982" i="20"/>
  <c r="G789" i="20"/>
  <c r="G575" i="20"/>
  <c r="G328" i="20"/>
  <c r="G454" i="20"/>
  <c r="G959" i="20"/>
  <c r="G1043" i="20"/>
  <c r="G238" i="20"/>
  <c r="G475" i="20"/>
  <c r="G831" i="20"/>
  <c r="G1172" i="20"/>
  <c r="G974" i="20"/>
  <c r="G314" i="20"/>
  <c r="G859" i="20"/>
  <c r="G399" i="20"/>
  <c r="G495" i="20"/>
  <c r="G510" i="20"/>
  <c r="G435" i="20"/>
  <c r="G1112" i="20"/>
  <c r="G783" i="20"/>
  <c r="G459" i="20"/>
  <c r="G930" i="20"/>
  <c r="G1238" i="20"/>
  <c r="G1442" i="20"/>
  <c r="G146" i="20"/>
  <c r="G853" i="20"/>
  <c r="G275" i="20"/>
  <c r="G895" i="20"/>
  <c r="G1127" i="20"/>
  <c r="G1476" i="20"/>
  <c r="G470" i="20"/>
  <c r="G678" i="20"/>
  <c r="G57" i="20"/>
  <c r="G733" i="20"/>
  <c r="G193" i="20"/>
  <c r="G990" i="20"/>
  <c r="G300" i="20"/>
  <c r="G185" i="20"/>
  <c r="G900" i="20"/>
  <c r="G846" i="20"/>
  <c r="G864" i="20"/>
  <c r="G667" i="20"/>
  <c r="G1168" i="20"/>
  <c r="G165" i="20"/>
  <c r="G1333" i="20"/>
  <c r="G498" i="20"/>
  <c r="G817" i="20"/>
  <c r="G1464" i="20"/>
  <c r="G317" i="20"/>
  <c r="G1428" i="20"/>
  <c r="G849" i="20"/>
  <c r="G334" i="20"/>
  <c r="G173" i="20"/>
  <c r="G1241" i="20"/>
  <c r="G264" i="20"/>
  <c r="G355" i="20"/>
  <c r="G413" i="20"/>
  <c r="G1385" i="20"/>
  <c r="G779" i="20"/>
  <c r="G700" i="20"/>
  <c r="G841" i="20"/>
  <c r="G635" i="20"/>
  <c r="G1272" i="20"/>
  <c r="G70" i="20"/>
  <c r="G833" i="20"/>
  <c r="G1358" i="20"/>
  <c r="G1431" i="20"/>
  <c r="G1024" i="20"/>
  <c r="G1422" i="20"/>
  <c r="G664" i="20"/>
  <c r="G798" i="20"/>
  <c r="G1283" i="20"/>
  <c r="G92" i="20"/>
  <c r="G634" i="20"/>
  <c r="G181" i="20"/>
  <c r="G1157" i="20"/>
  <c r="G1400" i="20"/>
  <c r="G940" i="20"/>
  <c r="G347" i="20"/>
  <c r="G1031" i="20"/>
  <c r="G1243" i="20"/>
  <c r="G904" i="20"/>
  <c r="G511" i="20"/>
  <c r="G1324" i="20"/>
  <c r="G329" i="20"/>
  <c r="G764" i="20"/>
  <c r="G590" i="20"/>
  <c r="G905" i="20"/>
  <c r="G367" i="20"/>
  <c r="G21" i="20"/>
  <c r="G632" i="20"/>
  <c r="G1054" i="20"/>
  <c r="G1088" i="20"/>
  <c r="G34" i="20"/>
  <c r="G272" i="20"/>
  <c r="G918" i="20"/>
  <c r="G1441" i="20"/>
  <c r="G30" i="20"/>
  <c r="G1244" i="20"/>
  <c r="G94" i="20"/>
  <c r="G881" i="20"/>
  <c r="G1320" i="20"/>
  <c r="G108" i="20"/>
  <c r="G380" i="20"/>
  <c r="G1460" i="20"/>
  <c r="G1119" i="20"/>
  <c r="G1499" i="20"/>
  <c r="G229" i="20"/>
  <c r="G1340" i="20"/>
  <c r="G1363" i="20"/>
  <c r="G727" i="20"/>
  <c r="G1410" i="20"/>
  <c r="G584" i="20"/>
  <c r="G883" i="20"/>
  <c r="G724" i="20"/>
  <c r="G432" i="20"/>
  <c r="G785" i="20"/>
  <c r="G685" i="20"/>
  <c r="G759" i="20"/>
  <c r="G742" i="20"/>
  <c r="G878" i="20"/>
  <c r="G911" i="20"/>
  <c r="G1463" i="20"/>
  <c r="G513" i="20"/>
  <c r="G1372" i="20"/>
  <c r="G248" i="20"/>
  <c r="G287" i="20"/>
  <c r="G140" i="20"/>
  <c r="G1317" i="20"/>
  <c r="G73" i="20"/>
  <c r="G277" i="20"/>
  <c r="G670" i="20"/>
  <c r="G697" i="20"/>
  <c r="G1046" i="20"/>
  <c r="G757" i="20"/>
  <c r="G1027" i="20"/>
  <c r="G462" i="20"/>
  <c r="G991" i="20"/>
  <c r="G886" i="20"/>
  <c r="G857" i="20"/>
  <c r="G580" i="20"/>
  <c r="G861" i="20"/>
  <c r="G69" i="20"/>
  <c r="G1312" i="20"/>
  <c r="G795" i="20"/>
  <c r="G51" i="20"/>
  <c r="G138" i="20"/>
  <c r="G673" i="20"/>
  <c r="G572" i="20"/>
  <c r="G1274" i="20"/>
  <c r="G862" i="20"/>
  <c r="G984" i="20"/>
  <c r="G1366" i="20"/>
  <c r="G741" i="20"/>
  <c r="G556" i="20"/>
  <c r="G914" i="20"/>
  <c r="G126" i="20"/>
  <c r="G704" i="20"/>
  <c r="G1265" i="20"/>
  <c r="G205" i="20"/>
  <c r="G689" i="20"/>
  <c r="G217" i="20"/>
  <c r="G750" i="20"/>
  <c r="G1198" i="20"/>
  <c r="G1502" i="20"/>
  <c r="G616" i="20"/>
  <c r="G1501" i="20"/>
  <c r="G155" i="20"/>
  <c r="G71" i="20"/>
  <c r="G1240" i="20"/>
  <c r="G116" i="20"/>
  <c r="G1085" i="20"/>
  <c r="G1030" i="20"/>
  <c r="G1090" i="20"/>
  <c r="G1022" i="20"/>
  <c r="G177" i="20"/>
  <c r="G1173" i="20"/>
  <c r="G955" i="20"/>
  <c r="G19" i="20"/>
  <c r="G160" i="20"/>
  <c r="G1156" i="20"/>
  <c r="G1296" i="20"/>
  <c r="G66" i="20"/>
  <c r="G330" i="20"/>
  <c r="G537" i="20"/>
  <c r="G434" i="20"/>
  <c r="G1230" i="20"/>
  <c r="G1062" i="20"/>
  <c r="G986" i="20"/>
  <c r="G1246" i="20"/>
  <c r="G804" i="20"/>
  <c r="G598" i="20"/>
  <c r="G226" i="20"/>
  <c r="G225" i="20"/>
  <c r="G1015" i="20"/>
  <c r="G1330" i="20"/>
  <c r="G1236" i="20"/>
  <c r="G473" i="20"/>
  <c r="G1389" i="20"/>
  <c r="G916" i="20"/>
  <c r="G1069" i="20"/>
  <c r="G776" i="20"/>
  <c r="G449" i="20"/>
  <c r="G371" i="20"/>
  <c r="G1210" i="20"/>
  <c r="G954" i="20"/>
  <c r="G720" i="20"/>
  <c r="G159" i="20"/>
  <c r="G490" i="20"/>
  <c r="G263" i="20"/>
  <c r="G820" i="20"/>
  <c r="G1121" i="20"/>
  <c r="G756" i="20"/>
  <c r="G554" i="20"/>
  <c r="G626" i="20"/>
  <c r="G209" i="20"/>
  <c r="G613" i="20"/>
  <c r="G769" i="20"/>
  <c r="G1377" i="20"/>
  <c r="G53" i="20"/>
  <c r="G701" i="20"/>
  <c r="G386" i="20"/>
  <c r="G606" i="20"/>
  <c r="G1052" i="20"/>
  <c r="G27" i="20"/>
  <c r="G794" i="20"/>
  <c r="G790" i="20"/>
  <c r="G581" i="20"/>
  <c r="G643" i="20"/>
  <c r="G440" i="20"/>
  <c r="G661" i="20"/>
  <c r="G496" i="20"/>
  <c r="G752" i="20"/>
  <c r="G843" i="20"/>
  <c r="G666" i="20"/>
  <c r="G975" i="20"/>
  <c r="G242" i="20"/>
  <c r="G1427" i="20"/>
  <c r="G1508" i="20"/>
  <c r="G184" i="20"/>
  <c r="G1154" i="20"/>
  <c r="G1212" i="20"/>
  <c r="G1248" i="20"/>
  <c r="G875" i="20"/>
  <c r="G122" i="20"/>
  <c r="G179" i="20"/>
  <c r="G1013" i="20"/>
  <c r="G1418" i="20"/>
  <c r="G1092" i="20"/>
  <c r="G679" i="20"/>
  <c r="G384" i="20"/>
  <c r="G1032" i="20"/>
  <c r="G837" i="20"/>
  <c r="G827" i="20"/>
  <c r="G898" i="20"/>
  <c r="G921" i="20"/>
  <c r="G1028" i="20"/>
  <c r="G966" i="20"/>
  <c r="G324" i="20"/>
  <c r="G143" i="20"/>
  <c r="G221" i="20"/>
  <c r="G1058" i="20"/>
  <c r="G1475" i="20"/>
  <c r="G196" i="20"/>
  <c r="G1485" i="20"/>
  <c r="G1158" i="20"/>
  <c r="G538" i="20"/>
  <c r="G625" i="20"/>
  <c r="G1391" i="20"/>
  <c r="G1379" i="20"/>
  <c r="G919" i="20"/>
  <c r="G906" i="20"/>
  <c r="G468" i="20"/>
  <c r="G640" i="20"/>
  <c r="G1220" i="20"/>
  <c r="G533" i="20"/>
  <c r="G41" i="20"/>
  <c r="G1342" i="20"/>
  <c r="G870" i="20"/>
  <c r="G1426" i="20"/>
  <c r="G316" i="20"/>
  <c r="G623" i="20"/>
  <c r="G835" i="20"/>
  <c r="G391" i="20"/>
  <c r="G526" i="20"/>
  <c r="G372" i="20"/>
  <c r="G59" i="20"/>
  <c r="G1419" i="20"/>
  <c r="G1077" i="20"/>
  <c r="G1401" i="20"/>
  <c r="G758" i="20"/>
  <c r="G42" i="20"/>
  <c r="G446" i="20"/>
  <c r="G1506" i="20"/>
  <c r="G199" i="20"/>
  <c r="G340" i="20"/>
  <c r="G1328" i="20"/>
  <c r="G95" i="20"/>
  <c r="G838" i="20"/>
  <c r="G85" i="20"/>
  <c r="G293" i="20"/>
  <c r="G723" i="20"/>
  <c r="G981" i="20"/>
  <c r="G1042" i="20"/>
  <c r="G469" i="20"/>
  <c r="G1038" i="20"/>
  <c r="G1343" i="20"/>
  <c r="G1040" i="20"/>
  <c r="G387" i="20"/>
  <c r="G1072" i="20"/>
  <c r="G480" i="20"/>
  <c r="G1065" i="20"/>
  <c r="G1387" i="20"/>
  <c r="G393" i="20"/>
  <c r="G46" i="20"/>
  <c r="G992" i="20"/>
  <c r="G1465" i="20"/>
  <c r="G1461" i="20"/>
  <c r="G1126" i="20"/>
  <c r="G487" i="20"/>
  <c r="G847" i="20"/>
  <c r="G564" i="20"/>
  <c r="G131" i="20"/>
  <c r="G201" i="20"/>
  <c r="G124" i="20"/>
  <c r="G637" i="20"/>
  <c r="G247" i="20"/>
  <c r="G1512" i="20"/>
  <c r="G726" i="20"/>
  <c r="G1276" i="20"/>
  <c r="G1495" i="20"/>
  <c r="G1083" i="20"/>
  <c r="G1288" i="20"/>
  <c r="G934" i="20"/>
  <c r="G592" i="20"/>
  <c r="G1310" i="20"/>
  <c r="G808" i="20"/>
  <c r="G1245" i="20"/>
  <c r="G1361" i="20"/>
  <c r="G359" i="20"/>
  <c r="G107" i="20"/>
  <c r="G216" i="20"/>
  <c r="G383" i="20"/>
  <c r="G646" i="20"/>
  <c r="G479" i="20"/>
  <c r="G137" i="20"/>
  <c r="G952" i="20"/>
  <c r="G16" i="20"/>
  <c r="G246" i="20"/>
  <c r="G1239" i="20"/>
  <c r="G1309" i="20"/>
  <c r="G621" i="20"/>
  <c r="G103" i="20"/>
  <c r="G1347" i="20"/>
  <c r="G763" i="20"/>
  <c r="G1368" i="20"/>
  <c r="G403" i="20"/>
  <c r="G488" i="20"/>
  <c r="G1053" i="20"/>
  <c r="G1249" i="20"/>
  <c r="G728" i="20"/>
  <c r="G583" i="20"/>
  <c r="G1306" i="20"/>
  <c r="G1223" i="20"/>
  <c r="G1337" i="20"/>
  <c r="G245" i="20"/>
  <c r="G1467" i="20"/>
  <c r="G1095" i="20"/>
  <c r="G1120" i="20"/>
  <c r="G812" i="20"/>
  <c r="G1353" i="20"/>
  <c r="G525" i="20"/>
  <c r="G304" i="20"/>
  <c r="G172" i="20"/>
  <c r="G897" i="20"/>
  <c r="G739" i="20"/>
  <c r="G1082" i="20"/>
  <c r="G998" i="20"/>
  <c r="G1413" i="20"/>
  <c r="G1286" i="20"/>
  <c r="G295" i="20"/>
  <c r="G950" i="20"/>
  <c r="G1271" i="20"/>
  <c r="G35" i="20"/>
  <c r="G963" i="20"/>
  <c r="G418" i="20"/>
  <c r="G466" i="20"/>
  <c r="G409" i="20"/>
  <c r="G855" i="20"/>
  <c r="G455" i="20"/>
  <c r="G320" i="20"/>
  <c r="G1432" i="20"/>
  <c r="G427" i="20"/>
  <c r="G174" i="20"/>
  <c r="G105" i="20"/>
  <c r="G141" i="20"/>
  <c r="G463" i="20"/>
  <c r="G1086" i="20"/>
  <c r="G341" i="20"/>
  <c r="G543" i="20"/>
  <c r="G1076" i="20"/>
  <c r="G453" i="20"/>
  <c r="G978" i="20"/>
  <c r="G665" i="20"/>
  <c r="G178" i="20"/>
  <c r="G1224" i="20"/>
  <c r="G737" i="20"/>
  <c r="G361" i="20"/>
  <c r="G1247" i="20"/>
  <c r="G305" i="20"/>
  <c r="G732" i="20"/>
  <c r="G378" i="20"/>
  <c r="G113" i="20"/>
  <c r="G98" i="20"/>
  <c r="G171" i="20"/>
  <c r="G82" i="20"/>
  <c r="G56" i="20"/>
  <c r="G271" i="20"/>
  <c r="G822" i="20"/>
  <c r="G1300" i="20"/>
  <c r="G89" i="20"/>
  <c r="G1314" i="20"/>
  <c r="G208" i="20"/>
  <c r="G544" i="20"/>
  <c r="G1006" i="20"/>
  <c r="G76" i="20"/>
  <c r="G292" i="20"/>
  <c r="G190" i="20"/>
  <c r="G72" i="20"/>
  <c r="G1114" i="20"/>
  <c r="G521" i="20"/>
  <c r="G1108" i="20"/>
  <c r="G1478" i="20"/>
  <c r="G509" i="20"/>
  <c r="G1456" i="20"/>
  <c r="G1057" i="20"/>
  <c r="G26" i="20"/>
  <c r="G1390" i="20"/>
  <c r="G1200" i="20"/>
  <c r="G267" i="20"/>
  <c r="G114" i="20"/>
  <c r="G182" i="20"/>
  <c r="G1335" i="20"/>
  <c r="G231" i="20"/>
  <c r="G1131" i="20"/>
  <c r="G239" i="20"/>
  <c r="G677" i="20"/>
  <c r="G1459" i="20"/>
  <c r="G586" i="20"/>
  <c r="G840" i="20"/>
  <c r="G84" i="20"/>
  <c r="G1137" i="20"/>
  <c r="G50" i="20"/>
  <c r="G1107" i="20"/>
  <c r="G694" i="20"/>
  <c r="G1206" i="20"/>
  <c r="G431" i="20"/>
  <c r="G1135" i="20"/>
  <c r="G1510" i="20"/>
  <c r="G24" i="20"/>
  <c r="G147" i="20"/>
  <c r="G1415" i="20"/>
  <c r="G778" i="20"/>
  <c r="G1044" i="20"/>
  <c r="G1473" i="20"/>
  <c r="G346" i="20"/>
  <c r="G1273" i="20"/>
  <c r="G1104" i="20"/>
  <c r="G826" i="20"/>
  <c r="G1471" i="20"/>
  <c r="G1285" i="20"/>
  <c r="G1429" i="20"/>
  <c r="G1356" i="20"/>
  <c r="G711" i="20"/>
  <c r="G1378" i="20"/>
  <c r="G1445" i="20"/>
  <c r="G425" i="20"/>
  <c r="G1270" i="20"/>
  <c r="G524" i="20"/>
  <c r="G375" i="20"/>
  <c r="G1060" i="20"/>
  <c r="G925" i="20"/>
  <c r="G322" i="20"/>
  <c r="G1178" i="20"/>
  <c r="G736" i="20"/>
  <c r="G426" i="20"/>
  <c r="G145" i="20"/>
  <c r="G1213" i="20"/>
  <c r="G67" i="20"/>
  <c r="G933" i="20"/>
  <c r="G740" i="20"/>
  <c r="G1163" i="20"/>
  <c r="G212" i="20"/>
  <c r="G1375" i="20"/>
  <c r="G647" i="20"/>
  <c r="G240" i="20"/>
  <c r="G1225" i="20"/>
  <c r="G1201" i="20"/>
  <c r="G845" i="20"/>
  <c r="G1147" i="20"/>
  <c r="G539" i="20"/>
  <c r="G450" i="20"/>
  <c r="G1448" i="20"/>
  <c r="G1507" i="20"/>
  <c r="G1217" i="20"/>
  <c r="G807" i="20"/>
  <c r="G1287" i="20"/>
  <c r="G99" i="20"/>
  <c r="G1197" i="20"/>
  <c r="G1384" i="20"/>
  <c r="G1490" i="20"/>
  <c r="G467" i="20"/>
  <c r="G731" i="20"/>
  <c r="G211" i="20"/>
  <c r="G589" i="20"/>
  <c r="G1435" i="20"/>
  <c r="G1181" i="20"/>
  <c r="G672" i="20"/>
  <c r="G503" i="20"/>
  <c r="G494" i="20"/>
  <c r="G338" i="20"/>
  <c r="G1012" i="20"/>
  <c r="G1290" i="20"/>
  <c r="G860" i="20"/>
  <c r="G402" i="20"/>
  <c r="G1037" i="20"/>
  <c r="G1301" i="20"/>
  <c r="G132" i="20"/>
  <c r="G642" i="20"/>
  <c r="G1205" i="20"/>
  <c r="G32" i="20"/>
  <c r="G1190" i="20"/>
  <c r="G407" i="20"/>
  <c r="G284" i="20"/>
  <c r="G682" i="20"/>
  <c r="G249" i="20"/>
  <c r="G680" i="20"/>
  <c r="G899" i="20"/>
  <c r="G1034" i="20"/>
  <c r="G796" i="20"/>
  <c r="G192" i="20"/>
  <c r="G659" i="20"/>
  <c r="G370" i="20"/>
  <c r="G770" i="20"/>
  <c r="G1148" i="20"/>
  <c r="G1509" i="20"/>
  <c r="G599" i="20"/>
  <c r="G512" i="20"/>
  <c r="G1136" i="20"/>
  <c r="G591" i="20"/>
  <c r="G411" i="20"/>
  <c r="G745" i="20"/>
  <c r="G809" i="20"/>
  <c r="G1472" i="20"/>
  <c r="G123" i="20"/>
  <c r="G631" i="20"/>
  <c r="G354" i="20"/>
  <c r="G497" i="20"/>
  <c r="G655" i="20"/>
  <c r="G1351" i="20"/>
  <c r="G1404" i="20"/>
  <c r="G561" i="20"/>
  <c r="G157" i="20"/>
  <c r="G607" i="20"/>
  <c r="G633" i="20"/>
  <c r="G423" i="20"/>
  <c r="G218" i="20"/>
  <c r="G428" i="20"/>
  <c r="G1398" i="20"/>
  <c r="G1321" i="20"/>
  <c r="G722" i="20"/>
  <c r="G1425" i="20"/>
  <c r="G1209" i="20"/>
  <c r="G1514" i="20"/>
  <c r="G439" i="20"/>
  <c r="G117" i="20"/>
  <c r="G213" i="20"/>
  <c r="G902" i="20"/>
  <c r="G430" i="20"/>
  <c r="G951" i="20"/>
  <c r="G1497" i="20"/>
  <c r="G1141" i="20"/>
  <c r="G961" i="20"/>
  <c r="G1394" i="20"/>
  <c r="G601" i="20"/>
  <c r="G401" i="20"/>
  <c r="G887" i="20"/>
  <c r="G1063" i="20"/>
  <c r="G519" i="20"/>
  <c r="G787" i="20"/>
  <c r="G1033" i="20"/>
  <c r="G1349" i="20"/>
  <c r="G363" i="20"/>
  <c r="G325" i="20"/>
  <c r="G924" i="20"/>
  <c r="G965" i="20"/>
  <c r="G77" i="20"/>
  <c r="G1242" i="20"/>
  <c r="G1486" i="20"/>
  <c r="G22" i="20"/>
  <c r="G516" i="20"/>
  <c r="G1263" i="20"/>
  <c r="G1474" i="20"/>
  <c r="G865" i="20"/>
  <c r="G1329" i="20"/>
  <c r="G210" i="20"/>
  <c r="G619" i="20"/>
  <c r="G286" i="20"/>
  <c r="G256" i="20"/>
  <c r="G335" i="20"/>
  <c r="G202" i="20"/>
  <c r="G1128" i="20"/>
  <c r="G657" i="20"/>
  <c r="G1081" i="20"/>
  <c r="G850" i="20"/>
  <c r="G922" i="20"/>
  <c r="G823" i="20"/>
  <c r="G630" i="20"/>
  <c r="G1437" i="20"/>
  <c r="G1481" i="20"/>
  <c r="G594" i="20"/>
  <c r="G1325" i="20"/>
  <c r="G191" i="20"/>
  <c r="G696" i="20"/>
  <c r="G186" i="20"/>
  <c r="G540" i="20"/>
  <c r="G1269" i="20"/>
  <c r="G600" i="20"/>
  <c r="G1482" i="20"/>
  <c r="G358" i="20"/>
  <c r="G663" i="20"/>
  <c r="G228" i="20"/>
  <c r="G315" i="20"/>
  <c r="G929" i="20"/>
  <c r="G1298" i="20"/>
  <c r="G93" i="20"/>
  <c r="G548" i="20"/>
  <c r="G477" i="20"/>
  <c r="G87" i="20"/>
  <c r="G1059" i="20"/>
  <c r="G687" i="20"/>
  <c r="G968" i="20"/>
  <c r="G530" i="20"/>
  <c r="G1231" i="20"/>
  <c r="G573" i="20"/>
  <c r="G1029" i="20"/>
  <c r="G310" i="20"/>
  <c r="G237" i="20"/>
  <c r="G188" i="20"/>
  <c r="G890" i="20"/>
  <c r="G1026" i="20"/>
  <c r="G1393" i="20"/>
  <c r="G306" i="20"/>
  <c r="G262" i="20"/>
  <c r="G485" i="20"/>
  <c r="G278" i="20"/>
  <c r="G547" i="20"/>
  <c r="G912" i="20"/>
  <c r="G491" i="20"/>
  <c r="G1066" i="20"/>
  <c r="G979" i="20"/>
  <c r="G261" i="20"/>
  <c r="G350" i="20"/>
  <c r="G195" i="20"/>
  <c r="G276" i="20"/>
  <c r="G397" i="20"/>
  <c r="G1250" i="20"/>
  <c r="G1208" i="20"/>
  <c r="G318" i="20"/>
  <c r="G570" i="20"/>
  <c r="G819" i="20"/>
  <c r="G259" i="20"/>
  <c r="G243" i="20"/>
  <c r="M901" i="20"/>
  <c r="M444" i="20"/>
  <c r="M431" i="20"/>
  <c r="M102" i="20"/>
  <c r="M265" i="20"/>
  <c r="M692" i="20"/>
  <c r="M1370" i="20"/>
  <c r="M1007" i="20"/>
  <c r="M1244" i="20"/>
  <c r="M422" i="20"/>
  <c r="M42" i="20"/>
  <c r="M1151" i="20"/>
  <c r="M379" i="20"/>
  <c r="M86" i="20"/>
  <c r="M1501" i="20"/>
  <c r="M1491" i="20"/>
  <c r="M1368" i="20"/>
  <c r="M1288" i="20"/>
  <c r="M1099" i="20"/>
  <c r="M92" i="20"/>
  <c r="M59" i="20"/>
  <c r="M474" i="20"/>
  <c r="M1388" i="20"/>
  <c r="M337" i="20"/>
  <c r="M234" i="20"/>
  <c r="M788" i="20"/>
  <c r="M519" i="20"/>
  <c r="M1262" i="20"/>
  <c r="M1074" i="20"/>
  <c r="M822" i="20"/>
  <c r="M81" i="20"/>
  <c r="M701" i="20"/>
  <c r="M28" i="20"/>
  <c r="M1159" i="20"/>
  <c r="M279" i="20"/>
  <c r="M764" i="20"/>
  <c r="M408" i="20"/>
  <c r="M32" i="20"/>
  <c r="M255" i="20"/>
  <c r="M817" i="20"/>
  <c r="M72" i="20"/>
  <c r="M1367" i="20"/>
  <c r="M935" i="20"/>
  <c r="M513" i="20"/>
  <c r="M983" i="20"/>
  <c r="M644" i="20"/>
  <c r="M836" i="20"/>
  <c r="M1490" i="20"/>
  <c r="M1281" i="20"/>
  <c r="M970" i="20"/>
  <c r="M1087" i="20"/>
  <c r="M674" i="20"/>
  <c r="M1005" i="20"/>
  <c r="M1216" i="20"/>
  <c r="M210" i="20"/>
  <c r="M757" i="20"/>
  <c r="M432" i="20"/>
  <c r="M698" i="20"/>
  <c r="M154" i="20"/>
  <c r="M670" i="20"/>
  <c r="M1336" i="20"/>
  <c r="M841" i="20"/>
  <c r="M388" i="20"/>
  <c r="M179" i="20"/>
  <c r="M302" i="20"/>
  <c r="M1118" i="20"/>
  <c r="M1410" i="20"/>
  <c r="M999" i="20"/>
  <c r="M1287" i="20"/>
  <c r="M142" i="20"/>
  <c r="M276" i="20"/>
  <c r="M349" i="20"/>
  <c r="M995" i="20"/>
  <c r="M923" i="20"/>
  <c r="M697" i="20"/>
  <c r="M1350" i="20"/>
  <c r="M100" i="20"/>
  <c r="M1035" i="20"/>
  <c r="M1017" i="20"/>
  <c r="M815" i="20"/>
  <c r="M1362" i="20"/>
  <c r="M79" i="20"/>
  <c r="M1341" i="20"/>
  <c r="M1085" i="20"/>
  <c r="M1364" i="20"/>
  <c r="M1240" i="20"/>
  <c r="M911" i="20"/>
  <c r="M1126" i="20"/>
  <c r="M1325" i="20"/>
  <c r="M98" i="20"/>
  <c r="M483" i="20"/>
  <c r="M249" i="20"/>
  <c r="M1386" i="20"/>
  <c r="M1097" i="20"/>
  <c r="M579" i="20"/>
  <c r="M730" i="20"/>
  <c r="M567" i="20"/>
  <c r="M446" i="20"/>
  <c r="M1246" i="20"/>
  <c r="M1348" i="20"/>
  <c r="M547" i="20"/>
  <c r="M184" i="20"/>
  <c r="M140" i="20"/>
  <c r="M407" i="20"/>
  <c r="M1347" i="20"/>
  <c r="M988" i="20"/>
  <c r="M1270" i="20"/>
  <c r="M1001" i="20"/>
  <c r="M304" i="20"/>
  <c r="M926" i="20"/>
  <c r="M502" i="20"/>
  <c r="M679" i="20"/>
  <c r="M1393" i="20"/>
  <c r="M522" i="20"/>
  <c r="M846" i="20"/>
  <c r="M29" i="20"/>
  <c r="M1502" i="20"/>
  <c r="M1396" i="20"/>
  <c r="M720" i="20"/>
  <c r="M1234" i="20"/>
  <c r="M604" i="20"/>
  <c r="M514" i="20"/>
  <c r="M209" i="20"/>
  <c r="M191" i="20"/>
  <c r="M1067" i="20"/>
  <c r="M1435" i="20"/>
  <c r="M1052" i="20"/>
  <c r="M1426" i="20"/>
  <c r="M1196" i="20"/>
  <c r="M288" i="20"/>
  <c r="M1291" i="20"/>
  <c r="M167" i="20"/>
  <c r="M52" i="20"/>
  <c r="M1134" i="20"/>
  <c r="M1195" i="20"/>
  <c r="M1467" i="20"/>
  <c r="M1355" i="20"/>
  <c r="M1207" i="20"/>
  <c r="M503" i="20"/>
  <c r="M385" i="20"/>
  <c r="M722" i="20"/>
  <c r="M53" i="20"/>
  <c r="M893" i="20"/>
  <c r="M35" i="20"/>
  <c r="M306" i="20"/>
  <c r="M617" i="20"/>
  <c r="M328" i="20"/>
  <c r="M616" i="20"/>
  <c r="M420" i="20"/>
  <c r="M1442" i="20"/>
  <c r="M1392" i="20"/>
  <c r="M104" i="20"/>
  <c r="M693" i="20"/>
  <c r="M457" i="20"/>
  <c r="M1156" i="20"/>
  <c r="M782" i="20"/>
  <c r="M169" i="20"/>
  <c r="M830" i="20"/>
  <c r="M1303" i="20"/>
  <c r="M165" i="20"/>
  <c r="M182" i="20"/>
  <c r="M1254" i="20"/>
  <c r="M560" i="20"/>
  <c r="M400" i="20"/>
  <c r="M251" i="20"/>
  <c r="M599" i="20"/>
  <c r="M625" i="20"/>
  <c r="M44" i="20"/>
  <c r="M656" i="20"/>
  <c r="M314" i="20"/>
  <c r="M459" i="20"/>
  <c r="M479" i="20"/>
  <c r="M1192" i="20"/>
  <c r="M496" i="20"/>
  <c r="M523" i="20"/>
  <c r="M1027" i="20"/>
  <c r="M244" i="20"/>
  <c r="M1146" i="20"/>
  <c r="M203" i="20"/>
  <c r="M178" i="20"/>
  <c r="M1412" i="20"/>
  <c r="M1040" i="20"/>
  <c r="M1399" i="20"/>
  <c r="M908" i="20"/>
  <c r="M1048" i="20"/>
  <c r="M1489" i="20"/>
  <c r="M367" i="20"/>
  <c r="M821" i="20"/>
  <c r="M246" i="20"/>
  <c r="M241" i="20"/>
  <c r="M638" i="20"/>
  <c r="M786" i="20"/>
  <c r="M397" i="20"/>
  <c r="M731" i="20"/>
  <c r="M981" i="20"/>
  <c r="M801" i="20"/>
  <c r="M150" i="20"/>
  <c r="M451" i="20"/>
  <c r="M1101" i="20"/>
  <c r="M398" i="20"/>
  <c r="M530" i="20"/>
  <c r="M1497" i="20"/>
  <c r="M260" i="20"/>
  <c r="M1331" i="20"/>
  <c r="M1060" i="20"/>
  <c r="M747" i="20"/>
  <c r="M828" i="20"/>
  <c r="M891" i="20"/>
  <c r="M1352" i="20"/>
  <c r="M779" i="20"/>
  <c r="M1000" i="20"/>
  <c r="M877" i="20"/>
  <c r="M71" i="20"/>
  <c r="M512" i="20"/>
  <c r="M250" i="20"/>
  <c r="M440" i="20"/>
  <c r="M777" i="20"/>
  <c r="M49" i="20"/>
  <c r="M1136" i="20"/>
  <c r="M280" i="20"/>
  <c r="M607" i="20"/>
  <c r="M1418" i="20"/>
  <c r="M646" i="20"/>
  <c r="M231" i="20"/>
  <c r="M1229" i="20"/>
  <c r="M854" i="20"/>
  <c r="M1150" i="20"/>
  <c r="M601" i="20"/>
  <c r="M424" i="20"/>
  <c r="M712" i="20"/>
  <c r="M808" i="20"/>
  <c r="M714" i="20"/>
  <c r="M274" i="20"/>
  <c r="M348" i="20"/>
  <c r="M1512" i="20"/>
  <c r="M968" i="20"/>
  <c r="M225" i="20"/>
  <c r="M1483" i="20"/>
  <c r="M1166" i="20"/>
  <c r="M1069" i="20"/>
  <c r="M882" i="20"/>
  <c r="M575" i="20"/>
  <c r="M1164" i="20"/>
  <c r="M1443" i="20"/>
  <c r="M1183" i="20"/>
  <c r="M1153" i="20"/>
  <c r="M1161" i="20"/>
  <c r="M1219" i="20"/>
  <c r="M1260" i="20"/>
  <c r="M1513" i="20"/>
  <c r="M85" i="20"/>
  <c r="M298" i="20"/>
  <c r="M885" i="20"/>
  <c r="M1140" i="20"/>
  <c r="M327" i="20"/>
  <c r="M1411" i="20"/>
  <c r="M222" i="20"/>
  <c r="M946" i="20"/>
  <c r="M1050" i="20"/>
  <c r="M1130" i="20"/>
  <c r="M791" i="20"/>
  <c r="M1304" i="20"/>
  <c r="M1274" i="20"/>
  <c r="M284" i="20"/>
  <c r="M1319" i="20"/>
  <c r="M765" i="20"/>
  <c r="M21" i="20"/>
  <c r="M672" i="20"/>
  <c r="M653" i="20"/>
  <c r="M544" i="20"/>
  <c r="M1071" i="20"/>
  <c r="M752" i="20"/>
  <c r="M438" i="20"/>
  <c r="M1349" i="20"/>
  <c r="M236" i="20"/>
  <c r="M413" i="20"/>
  <c r="M709" i="20"/>
  <c r="M1376" i="20"/>
  <c r="M1462" i="20"/>
  <c r="M573" i="20"/>
  <c r="M224" i="20"/>
  <c r="M157" i="20"/>
  <c r="M361" i="20"/>
  <c r="M920" i="20"/>
  <c r="M1455" i="20"/>
  <c r="M366" i="20"/>
  <c r="M938" i="20"/>
  <c r="M535" i="20"/>
  <c r="M1477" i="20"/>
  <c r="M1055" i="20"/>
  <c r="M583" i="20"/>
  <c r="M664" i="20"/>
  <c r="M669" i="20"/>
  <c r="M1148" i="20"/>
  <c r="M849" i="20"/>
  <c r="M1481" i="20"/>
  <c r="M1446" i="20"/>
  <c r="M493" i="20"/>
  <c r="M1189" i="20"/>
  <c r="M1464" i="20"/>
  <c r="M553" i="20"/>
  <c r="M1339" i="20"/>
  <c r="M984" i="20"/>
  <c r="M212" i="20"/>
  <c r="M772" i="20"/>
  <c r="M973" i="20"/>
  <c r="M74" i="20"/>
  <c r="M1236" i="20"/>
  <c r="M204" i="20"/>
  <c r="M40" i="20"/>
  <c r="M992" i="20"/>
  <c r="M1202" i="20"/>
  <c r="M657" i="20"/>
  <c r="M87" i="20"/>
  <c r="M818" i="20"/>
  <c r="M941" i="20"/>
  <c r="M193" i="20"/>
  <c r="M89" i="20"/>
  <c r="M215" i="20"/>
  <c r="M1438" i="20"/>
  <c r="M611" i="20"/>
  <c r="M1176" i="20"/>
  <c r="M1169" i="20"/>
  <c r="M785" i="20"/>
  <c r="M686" i="20"/>
  <c r="M850" i="20"/>
  <c r="M588" i="20"/>
  <c r="M1306" i="20"/>
  <c r="M1093" i="20"/>
  <c r="M312" i="20"/>
  <c r="M463" i="20"/>
  <c r="M743" i="20"/>
  <c r="M1444" i="20"/>
  <c r="M120" i="20"/>
  <c r="M771" i="20"/>
  <c r="M634" i="20"/>
  <c r="M1157" i="20"/>
  <c r="M1413" i="20"/>
  <c r="M1203" i="20"/>
  <c r="M1327" i="20"/>
  <c r="M1416" i="20"/>
  <c r="M469" i="20"/>
  <c r="M50" i="20"/>
  <c r="M1479" i="20"/>
  <c r="M837" i="20"/>
  <c r="M593" i="20"/>
  <c r="M874" i="20"/>
  <c r="M60" i="20"/>
  <c r="M466" i="20"/>
  <c r="M792" i="20"/>
  <c r="M220" i="20"/>
  <c r="M994" i="20"/>
  <c r="M1397" i="20"/>
  <c r="M809" i="20"/>
  <c r="M872" i="20"/>
  <c r="M645" i="20"/>
  <c r="M1033" i="20"/>
  <c r="M802" i="20"/>
  <c r="M1239" i="20"/>
  <c r="M386" i="20"/>
  <c r="M374" i="20"/>
  <c r="M1478" i="20"/>
  <c r="M1253" i="20"/>
  <c r="M458" i="20"/>
  <c r="M996" i="20"/>
  <c r="M774" i="20"/>
  <c r="M1041" i="20"/>
  <c r="M572" i="20"/>
  <c r="M1119" i="20"/>
  <c r="M107" i="20"/>
  <c r="M1391" i="20"/>
  <c r="M1277" i="20"/>
  <c r="M357" i="20"/>
  <c r="M960" i="20"/>
  <c r="M855" i="20"/>
  <c r="M510" i="20"/>
  <c r="M409" i="20"/>
  <c r="M1138" i="20"/>
  <c r="M152" i="20"/>
  <c r="M441" i="20"/>
  <c r="M1251" i="20"/>
  <c r="M1105" i="20"/>
  <c r="M159" i="20"/>
  <c r="M1095" i="20"/>
  <c r="M168" i="20"/>
  <c r="M445" i="20"/>
  <c r="M756" i="20"/>
  <c r="M564" i="20"/>
  <c r="M268" i="20"/>
  <c r="M1434" i="20"/>
  <c r="M1092" i="20"/>
  <c r="M151" i="20"/>
  <c r="M475" i="20"/>
  <c r="M1008" i="20"/>
  <c r="M485" i="20"/>
  <c r="M591" i="20"/>
  <c r="M1091" i="20"/>
  <c r="M156" i="20"/>
  <c r="M829" i="20"/>
  <c r="M299" i="20"/>
  <c r="M281" i="20"/>
  <c r="M1465" i="20"/>
  <c r="M864" i="20"/>
  <c r="M666" i="20"/>
  <c r="M355" i="20"/>
  <c r="M277" i="20"/>
  <c r="M334" i="20"/>
  <c r="M491" i="20"/>
  <c r="M838" i="20"/>
  <c r="M1243" i="20"/>
  <c r="M186" i="20"/>
  <c r="M266" i="20"/>
  <c r="M263" i="20"/>
  <c r="M339" i="20"/>
  <c r="M1507" i="20"/>
  <c r="M1257" i="20"/>
  <c r="M1428" i="20"/>
  <c r="M34" i="20"/>
  <c r="M639" i="20"/>
  <c r="M1089" i="20"/>
  <c r="M640" i="20"/>
  <c r="M1432" i="20"/>
  <c r="M677" i="20"/>
  <c r="M316" i="20"/>
  <c r="M61" i="20"/>
  <c r="M1261" i="20"/>
  <c r="M707" i="20"/>
  <c r="M331" i="20"/>
  <c r="M425" i="20"/>
  <c r="M253" i="20"/>
  <c r="M1318" i="20"/>
  <c r="M1293" i="20"/>
  <c r="M833" i="20"/>
  <c r="M226" i="20"/>
  <c r="M732" i="20"/>
  <c r="M842" i="20"/>
  <c r="M57" i="20"/>
  <c r="M527" i="20"/>
  <c r="M389" i="20"/>
  <c r="M1423" i="20"/>
  <c r="M1317" i="20"/>
  <c r="M271" i="20"/>
  <c r="M982" i="20"/>
  <c r="M974" i="20"/>
  <c r="M812" i="20"/>
  <c r="M1292" i="20"/>
  <c r="M1132" i="20"/>
  <c r="M322" i="20"/>
  <c r="M1342" i="20"/>
  <c r="M959" i="20"/>
  <c r="M257" i="20"/>
  <c r="M713" i="20"/>
  <c r="M1374" i="20"/>
  <c r="M1011" i="20"/>
  <c r="M1283" i="20"/>
  <c r="M1451" i="20"/>
  <c r="M892" i="20"/>
  <c r="M963" i="20"/>
  <c r="M993" i="20"/>
  <c r="M810" i="20"/>
  <c r="M890" i="20"/>
  <c r="M1152" i="20"/>
  <c r="M346" i="20"/>
  <c r="M985" i="20"/>
  <c r="M927" i="20"/>
  <c r="M1175" i="20"/>
  <c r="M768" i="20"/>
  <c r="M660" i="20"/>
  <c r="M433" i="20"/>
  <c r="M1417" i="20"/>
  <c r="M240" i="20"/>
  <c r="M282" i="20"/>
  <c r="M439" i="20"/>
  <c r="M862" i="20"/>
  <c r="M721" i="20"/>
  <c r="M1057" i="20"/>
  <c r="M1409" i="20"/>
  <c r="M918" i="20"/>
  <c r="M758" i="20"/>
  <c r="M18" i="20"/>
  <c r="M1083" i="20"/>
  <c r="M146" i="20"/>
  <c r="M1328" i="20"/>
  <c r="M141" i="20"/>
  <c r="M1215" i="20"/>
  <c r="M896" i="20"/>
  <c r="M627" i="20"/>
  <c r="M1381" i="20"/>
  <c r="M1108" i="20"/>
  <c r="M967" i="20"/>
  <c r="M1302" i="20"/>
  <c r="M166" i="20"/>
  <c r="M453" i="20"/>
  <c r="M520" i="20"/>
  <c r="M1267" i="20"/>
  <c r="M555" i="20"/>
  <c r="M917" i="20"/>
  <c r="M362" i="20"/>
  <c r="M1160" i="20"/>
  <c r="M402" i="20"/>
  <c r="M956" i="20"/>
  <c r="M775" i="20"/>
  <c r="M986" i="20"/>
  <c r="M138" i="20"/>
  <c r="M948" i="20"/>
  <c r="M1023" i="20"/>
  <c r="M976" i="20"/>
  <c r="M1191" i="20"/>
  <c r="M428" i="20"/>
  <c r="M1080" i="20"/>
  <c r="M711" i="20"/>
  <c r="M643" i="20"/>
  <c r="M470" i="20"/>
  <c r="M1181" i="20"/>
  <c r="M162" i="20"/>
  <c r="M536" i="20"/>
  <c r="M753" i="20"/>
  <c r="M1475" i="20"/>
  <c r="M521" i="20"/>
  <c r="M916" i="20"/>
  <c r="M1298" i="20"/>
  <c r="M103" i="20"/>
  <c r="M455" i="20"/>
  <c r="M406" i="20"/>
  <c r="M272" i="20"/>
  <c r="M1059" i="20"/>
  <c r="M738" i="20"/>
  <c r="M529" i="20"/>
  <c r="M590" i="20"/>
  <c r="M1405" i="20"/>
  <c r="M699" i="20"/>
  <c r="M969" i="20"/>
  <c r="M217" i="20"/>
  <c r="M557" i="20"/>
  <c r="M509" i="20"/>
  <c r="M139" i="20"/>
  <c r="M928" i="20"/>
  <c r="M1338" i="20"/>
  <c r="M1395" i="20"/>
  <c r="M537" i="20"/>
  <c r="M1061" i="20"/>
  <c r="M580" i="20"/>
  <c r="M411" i="20"/>
  <c r="M958" i="20"/>
  <c r="M416" i="20"/>
  <c r="M1094" i="20"/>
  <c r="M715" i="20"/>
  <c r="M568" i="20"/>
  <c r="M1188" i="20"/>
  <c r="M1044" i="20"/>
  <c r="M192" i="20"/>
  <c r="M805" i="20"/>
  <c r="M1494" i="20"/>
  <c r="M576" i="20"/>
  <c r="M1456" i="20"/>
  <c r="M15" i="20"/>
  <c r="M1469" i="20"/>
  <c r="M610" i="20"/>
  <c r="M1280" i="20"/>
  <c r="M208" i="20"/>
  <c r="M1063" i="20"/>
  <c r="M1284" i="20"/>
  <c r="M364" i="20"/>
  <c r="M1125" i="20"/>
  <c r="M1205" i="20"/>
  <c r="M155" i="20"/>
  <c r="M1453" i="20"/>
  <c r="M1408" i="20"/>
  <c r="M1232" i="20"/>
  <c r="M663" i="20"/>
  <c r="M1492" i="20"/>
  <c r="M755" i="20"/>
  <c r="M143" i="20"/>
  <c r="M1249" i="20"/>
  <c r="M739" i="20"/>
  <c r="M1003" i="20"/>
  <c r="M1117" i="20"/>
  <c r="M88" i="20"/>
  <c r="M937" i="20"/>
  <c r="M462" i="20"/>
  <c r="M158" i="20"/>
  <c r="M562" i="20"/>
  <c r="M1115" i="20"/>
  <c r="M831" i="20"/>
  <c r="M1241" i="20"/>
  <c r="M93" i="20"/>
  <c r="M1282" i="20"/>
  <c r="M499" i="20"/>
  <c r="M1123" i="20"/>
  <c r="M41" i="20"/>
  <c r="M991" i="20"/>
  <c r="M134" i="20"/>
  <c r="M685" i="20"/>
  <c r="M550" i="20"/>
  <c r="M295" i="20"/>
  <c r="M418" i="20"/>
  <c r="M259" i="20"/>
  <c r="M370" i="20"/>
  <c r="M1371" i="20"/>
  <c r="M1237" i="20"/>
  <c r="M382" i="20"/>
  <c r="M1037" i="20"/>
  <c r="M1129" i="20"/>
  <c r="M1182" i="20"/>
  <c r="M1012" i="20"/>
  <c r="M759" i="20"/>
  <c r="M351" i="20"/>
  <c r="M258" i="20"/>
  <c r="M1264" i="20"/>
  <c r="M118" i="20"/>
  <c r="M477" i="20"/>
  <c r="M63" i="20"/>
  <c r="M1363" i="20"/>
  <c r="M1482" i="20"/>
  <c r="M1294" i="20"/>
  <c r="M133" i="20"/>
  <c r="M766" i="20"/>
  <c r="M1506" i="20"/>
  <c r="M43" i="20"/>
  <c r="M1163" i="20"/>
  <c r="M1504" i="20"/>
  <c r="M897" i="20"/>
  <c r="M160" i="20"/>
  <c r="M605" i="20"/>
  <c r="M1076" i="20"/>
  <c r="M549" i="20"/>
  <c r="M1498" i="20"/>
  <c r="M1114" i="20"/>
  <c r="M1387" i="20"/>
  <c r="M20" i="20"/>
  <c r="M1228" i="20"/>
  <c r="M1165" i="20"/>
  <c r="M450" i="20"/>
  <c r="M630" i="20"/>
  <c r="M504" i="20"/>
  <c r="M286" i="20"/>
  <c r="M1449" i="20"/>
  <c r="M30" i="20"/>
  <c r="M487" i="20"/>
  <c r="M461" i="20"/>
  <c r="M1380" i="20"/>
  <c r="M1403" i="20"/>
  <c r="M626" i="20"/>
  <c r="M497" i="20"/>
  <c r="M80" i="20"/>
  <c r="M903" i="20"/>
  <c r="M429" i="20"/>
  <c r="M1337" i="20"/>
  <c r="M452" i="20"/>
  <c r="M533" i="20"/>
  <c r="M1042" i="20"/>
  <c r="M760" i="20"/>
  <c r="M270" i="20"/>
  <c r="M238" i="20"/>
  <c r="M313" i="20"/>
  <c r="M615" i="20"/>
  <c r="M718" i="20"/>
  <c r="M551" i="20"/>
  <c r="M1133" i="20"/>
  <c r="M181" i="20"/>
  <c r="M476" i="20"/>
  <c r="M84" i="20"/>
  <c r="M1344" i="20"/>
  <c r="M67" i="20"/>
  <c r="M934" i="20"/>
  <c r="M1343" i="20"/>
  <c r="M472" i="20"/>
  <c r="M1221" i="20"/>
  <c r="M1039" i="20"/>
  <c r="M1252" i="20"/>
  <c r="M1485" i="20"/>
  <c r="M1137" i="20"/>
  <c r="M1315" i="20"/>
  <c r="M117" i="20"/>
  <c r="M824" i="20"/>
  <c r="M873" i="20"/>
  <c r="M1113" i="20"/>
  <c r="M1472" i="20"/>
  <c r="M978" i="20"/>
  <c r="M16" i="20"/>
  <c r="M1043" i="20"/>
  <c r="M174" i="20"/>
  <c r="M1305" i="20"/>
  <c r="M783" i="20"/>
  <c r="M878" i="20"/>
  <c r="M1265" i="20"/>
  <c r="M621" i="20"/>
  <c r="M188" i="20"/>
  <c r="M321" i="20"/>
  <c r="M965" i="20"/>
  <c r="M914" i="20"/>
  <c r="M694" i="20"/>
  <c r="M33" i="20"/>
  <c r="M689" i="20"/>
  <c r="M803" i="20"/>
  <c r="M108" i="20"/>
  <c r="M724" i="20"/>
  <c r="M65" i="20"/>
  <c r="M176" i="20"/>
  <c r="M119" i="20"/>
  <c r="M1471" i="20"/>
  <c r="M635" i="20"/>
  <c r="M358" i="20"/>
  <c r="M419" i="20"/>
  <c r="M426" i="20"/>
  <c r="M1459" i="20"/>
  <c r="M637" i="20"/>
  <c r="M1402" i="20"/>
  <c r="M939" i="20"/>
  <c r="M516" i="20"/>
  <c r="M951" i="20"/>
  <c r="M90" i="20"/>
  <c r="M913" i="20"/>
  <c r="M767" i="20"/>
  <c r="M336" i="20"/>
  <c r="M825" i="20"/>
  <c r="M624" i="20"/>
  <c r="M921" i="20"/>
  <c r="M943" i="20"/>
  <c r="M655" i="20"/>
  <c r="M1290" i="20"/>
  <c r="M1447" i="20"/>
  <c r="M482" i="20"/>
  <c r="M1096" i="20"/>
  <c r="M333" i="20"/>
  <c r="M320" i="20"/>
  <c r="M395" i="20"/>
  <c r="M467" i="20"/>
  <c r="M966" i="20"/>
  <c r="M201" i="20"/>
  <c r="M1068" i="20"/>
  <c r="M860" i="20"/>
  <c r="M1488" i="20"/>
  <c r="M736" i="20"/>
  <c r="M552" i="20"/>
  <c r="M811" i="20"/>
  <c r="M1201" i="20"/>
  <c r="M1313" i="20"/>
  <c r="M345" i="20"/>
  <c r="M227" i="20"/>
  <c r="M380" i="20"/>
  <c r="M659" i="20"/>
  <c r="M1335" i="20"/>
  <c r="M1272" i="20"/>
  <c r="M931" i="20"/>
  <c r="M427" i="20"/>
  <c r="M1141" i="20"/>
  <c r="M1406" i="20"/>
  <c r="M48" i="20"/>
  <c r="M344" i="20"/>
  <c r="M126" i="20"/>
  <c r="M972" i="20"/>
  <c r="M582" i="20"/>
  <c r="M1450" i="20"/>
  <c r="M1208" i="20"/>
  <c r="M1271" i="20"/>
  <c r="M690" i="20"/>
  <c r="M1437" i="20"/>
  <c r="M797" i="20"/>
  <c r="M1421" i="20"/>
  <c r="M95" i="20"/>
  <c r="M1026" i="20"/>
  <c r="M101" i="20"/>
  <c r="M751" i="20"/>
  <c r="M47" i="20"/>
  <c r="M465" i="20"/>
  <c r="M1128" i="20"/>
  <c r="M574" i="20"/>
  <c r="M214" i="20"/>
  <c r="M1209" i="20"/>
  <c r="M248" i="20"/>
  <c r="M866" i="20"/>
  <c r="M543" i="20"/>
  <c r="M581" i="20"/>
  <c r="M94" i="20"/>
  <c r="M1358" i="20"/>
  <c r="M172" i="20"/>
  <c r="M230" i="20"/>
  <c r="M1135" i="20"/>
  <c r="M309" i="20"/>
  <c r="M804" i="20"/>
  <c r="M1439" i="20"/>
  <c r="M136" i="20"/>
  <c r="M933" i="20"/>
  <c r="M195" i="20"/>
  <c r="M442" i="20"/>
  <c r="M1213" i="20"/>
  <c r="M944" i="20"/>
  <c r="M1120" i="20"/>
  <c r="M1473" i="20"/>
  <c r="M38" i="20"/>
  <c r="M919" i="20"/>
  <c r="M556" i="20"/>
  <c r="M1353" i="20"/>
  <c r="M1310" i="20"/>
  <c r="M421" i="20"/>
  <c r="M325" i="20"/>
  <c r="M1314" i="20"/>
  <c r="M898" i="20"/>
  <c r="M161" i="20"/>
  <c r="M478" i="20"/>
  <c r="M847" i="20"/>
  <c r="M587" i="20"/>
  <c r="M867" i="20"/>
  <c r="M1431" i="20"/>
  <c r="M24" i="20"/>
  <c r="M746" i="20"/>
  <c r="M1289" i="20"/>
  <c r="M180" i="20"/>
  <c r="M177" i="20"/>
  <c r="M68" i="20"/>
  <c r="M684" i="20"/>
  <c r="M148" i="20"/>
  <c r="M125" i="20"/>
  <c r="M586" i="20"/>
  <c r="M1198" i="20"/>
  <c r="M1226" i="20"/>
  <c r="M1460" i="20"/>
  <c r="M82" i="20"/>
  <c r="M410" i="20"/>
  <c r="M54" i="20"/>
  <c r="M856" i="20"/>
  <c r="M799" i="20"/>
  <c r="M1077" i="20"/>
  <c r="M1200" i="20"/>
  <c r="M1170" i="20"/>
  <c r="M658" i="20"/>
  <c r="M293" i="20"/>
  <c r="M384" i="20"/>
  <c r="M620" i="20"/>
  <c r="M373" i="20"/>
  <c r="M1224" i="20"/>
  <c r="M1190" i="20"/>
  <c r="M1199" i="20"/>
  <c r="M1445" i="20"/>
  <c r="M600" i="20"/>
  <c r="M55" i="20"/>
  <c r="M1500" i="20"/>
  <c r="M454" i="20"/>
  <c r="M742" i="20"/>
  <c r="M1505" i="20"/>
  <c r="M365" i="20"/>
  <c r="M682" i="20"/>
  <c r="M64" i="20"/>
  <c r="M1324" i="20"/>
  <c r="M242" i="20"/>
  <c r="M1384" i="20"/>
  <c r="M1382" i="20"/>
  <c r="M399" i="20"/>
  <c r="M906" i="20"/>
  <c r="M1361" i="20"/>
  <c r="M1109" i="20"/>
  <c r="M1351" i="20"/>
  <c r="M189" i="20"/>
  <c r="M819" i="20"/>
  <c r="M675" i="20"/>
  <c r="M1075" i="20"/>
  <c r="M636" i="20"/>
  <c r="M546" i="20"/>
  <c r="M754" i="20"/>
  <c r="M1359" i="20"/>
  <c r="M1054" i="20"/>
  <c r="M58" i="20"/>
  <c r="M1020" i="20"/>
  <c r="M1230" i="20"/>
  <c r="M945" i="20"/>
  <c r="M1389" i="20"/>
  <c r="M735" i="20"/>
  <c r="M1323" i="20"/>
  <c r="M1278" i="20"/>
  <c r="M888" i="20"/>
  <c r="M164" i="20"/>
  <c r="M924" i="20"/>
  <c r="M844" i="20"/>
  <c r="M781" i="20"/>
  <c r="M952" i="20"/>
  <c r="M393" i="20"/>
  <c r="M729" i="20"/>
  <c r="M723" i="20"/>
  <c r="M1014" i="20"/>
  <c r="M264" i="20"/>
  <c r="M1142" i="20"/>
  <c r="M330" i="20"/>
  <c r="M1106" i="20"/>
  <c r="M603" i="20"/>
  <c r="M401" i="20"/>
  <c r="M538" i="20"/>
  <c r="M1098" i="20"/>
  <c r="M132" i="20"/>
  <c r="M1086" i="20"/>
  <c r="M252" i="20"/>
  <c r="M317" i="20"/>
  <c r="M356" i="20"/>
  <c r="M796" i="20"/>
  <c r="M1062" i="20"/>
  <c r="M531" i="20"/>
  <c r="M267" i="20"/>
  <c r="M1429" i="20"/>
  <c r="M1511" i="20"/>
  <c r="M839" i="20"/>
  <c r="M826" i="20"/>
  <c r="M1225" i="20"/>
  <c r="M1193" i="20"/>
  <c r="M434" i="20"/>
  <c r="M964" i="20"/>
  <c r="M343" i="20"/>
  <c r="M381" i="20"/>
  <c r="M1509" i="20"/>
  <c r="M1184" i="20"/>
  <c r="M1300" i="20"/>
  <c r="M412" i="20"/>
  <c r="M1499" i="20"/>
  <c r="M1309" i="20"/>
  <c r="M460" i="20"/>
  <c r="M1013" i="20"/>
  <c r="M710" i="20"/>
  <c r="M728" i="20"/>
  <c r="M1369" i="20"/>
  <c r="M1046" i="20"/>
  <c r="M261" i="20"/>
  <c r="M269" i="20"/>
  <c r="M1503" i="20"/>
  <c r="M548" i="20"/>
  <c r="M69" i="20"/>
  <c r="M1452" i="20"/>
  <c r="M650" i="20"/>
  <c r="M554" i="20"/>
  <c r="M733" i="20"/>
  <c r="M106" i="20"/>
  <c r="M525" i="20"/>
  <c r="M197" i="20"/>
  <c r="M1269" i="20"/>
  <c r="M185" i="20"/>
  <c r="M1401" i="20"/>
  <c r="M942" i="20"/>
  <c r="M975" i="20"/>
  <c r="M27" i="20"/>
  <c r="M1378" i="20"/>
  <c r="M1407" i="20"/>
  <c r="M1433" i="20"/>
  <c r="M1398" i="20"/>
  <c r="M218" i="20"/>
  <c r="M1356" i="20"/>
  <c r="M338" i="20"/>
  <c r="M417" i="20"/>
  <c r="M840" i="20"/>
  <c r="M490" i="20"/>
  <c r="M1454" i="20"/>
  <c r="M794" i="20"/>
  <c r="M845" i="20"/>
  <c r="M816" i="20"/>
  <c r="M1468" i="20"/>
  <c r="M1461" i="20"/>
  <c r="M900" i="20"/>
  <c r="M823" i="20"/>
  <c r="M1285" i="20"/>
  <c r="M793" i="20"/>
  <c r="M980" i="20"/>
  <c r="M998" i="20"/>
  <c r="M223" i="20"/>
  <c r="M925" i="20"/>
  <c r="M1242" i="20"/>
  <c r="M1177" i="20"/>
  <c r="M623" i="20"/>
  <c r="M769" i="20"/>
  <c r="M342" i="20"/>
  <c r="M929" i="20"/>
  <c r="M1296" i="20"/>
  <c r="M716" i="20"/>
  <c r="M1377" i="20"/>
  <c r="M1158" i="20"/>
  <c r="M1365" i="20"/>
  <c r="M394" i="20"/>
  <c r="M1470" i="20"/>
  <c r="M806" i="20"/>
  <c r="M318" i="20"/>
  <c r="M51" i="20"/>
  <c r="M1024" i="20"/>
  <c r="M1180" i="20"/>
  <c r="M396" i="20"/>
  <c r="M239" i="20"/>
  <c r="M308" i="20"/>
  <c r="M776" i="20"/>
  <c r="M987" i="20"/>
  <c r="M957" i="20"/>
  <c r="M506" i="20"/>
  <c r="M749" i="20"/>
  <c r="M127" i="20"/>
  <c r="M977" i="20"/>
  <c r="M1366" i="20"/>
  <c r="M740" i="20"/>
  <c r="M748" i="20"/>
  <c r="M207" i="20"/>
  <c r="M290" i="20"/>
  <c r="M1064" i="20"/>
  <c r="M1154" i="20"/>
  <c r="M232" i="20"/>
  <c r="M1111" i="20"/>
  <c r="M296" i="20"/>
  <c r="M1255" i="20"/>
  <c r="M880" i="20"/>
  <c r="M517" i="20"/>
  <c r="M494" i="20"/>
  <c r="M372" i="20"/>
  <c r="M1009" i="20"/>
  <c r="M887" i="20"/>
  <c r="M294" i="20"/>
  <c r="M131" i="20"/>
  <c r="M1185" i="20"/>
  <c r="M1053" i="20"/>
  <c r="M319" i="20"/>
  <c r="M144" i="20"/>
  <c r="M614" i="20"/>
  <c r="M404" i="20"/>
  <c r="M1204" i="20"/>
  <c r="M196" i="20"/>
  <c r="M979" i="20"/>
  <c r="M652" i="20"/>
  <c r="M592" i="20"/>
  <c r="M875" i="20"/>
  <c r="M1322" i="20"/>
  <c r="M1311" i="20"/>
  <c r="M324" i="20"/>
  <c r="M233" i="20"/>
  <c r="M464" i="20"/>
  <c r="M243" i="20"/>
  <c r="M1081" i="20"/>
  <c r="M770" i="20"/>
  <c r="M123" i="20"/>
  <c r="M910" i="20"/>
  <c r="M1051" i="20"/>
  <c r="M436" i="20"/>
  <c r="M608" i="20"/>
  <c r="M46" i="20"/>
  <c r="M415" i="20"/>
  <c r="M511" i="20"/>
  <c r="M727" i="20"/>
  <c r="M1104" i="20"/>
  <c r="M275" i="20"/>
  <c r="M671" i="20"/>
  <c r="M1390" i="20"/>
  <c r="M70" i="20"/>
  <c r="M311" i="20"/>
  <c r="M790" i="20"/>
  <c r="M1231" i="20"/>
  <c r="M1206" i="20"/>
  <c r="M1220" i="20"/>
  <c r="M1286" i="20"/>
  <c r="M665" i="20"/>
  <c r="M915" i="20"/>
  <c r="M861" i="20"/>
  <c r="M387" i="20"/>
  <c r="M305" i="20"/>
  <c r="M1029" i="20"/>
  <c r="M256" i="20"/>
  <c r="M989" i="20"/>
  <c r="M798" i="20"/>
  <c r="M447" i="20"/>
  <c r="M113" i="20"/>
  <c r="M353" i="20"/>
  <c r="M997" i="20"/>
  <c r="M789" i="20"/>
  <c r="M676" i="20"/>
  <c r="M114" i="20"/>
  <c r="M704" i="20"/>
  <c r="M667" i="20"/>
  <c r="M719" i="20"/>
  <c r="M717" i="20"/>
  <c r="M229" i="20"/>
  <c r="M205" i="20"/>
  <c r="M1171" i="20"/>
  <c r="M515" i="20"/>
  <c r="M111" i="20"/>
  <c r="M1090" i="20"/>
  <c r="M112" i="20"/>
  <c r="M1400" i="20"/>
  <c r="M145" i="20"/>
  <c r="M647" i="20"/>
  <c r="M622" i="20"/>
  <c r="M1299" i="20"/>
  <c r="M584" i="20"/>
  <c r="M577" i="20"/>
  <c r="M688" i="20"/>
  <c r="M936" i="20"/>
  <c r="M691" i="20"/>
  <c r="M868" i="20"/>
  <c r="M1346" i="20"/>
  <c r="M332" i="20"/>
  <c r="M340" i="20"/>
  <c r="M1295" i="20"/>
  <c r="M228" i="20"/>
  <c r="M468" i="20"/>
  <c r="M66" i="20"/>
  <c r="M955" i="20"/>
  <c r="M1212" i="20"/>
  <c r="M678" i="20"/>
  <c r="M73" i="20"/>
  <c r="M598" i="20"/>
  <c r="M1263" i="20"/>
  <c r="M1016" i="20"/>
  <c r="M369" i="20"/>
  <c r="M612" i="20"/>
  <c r="M1340" i="20"/>
  <c r="M122" i="20"/>
  <c r="M1256" i="20"/>
  <c r="M1308" i="20"/>
  <c r="M940" i="20"/>
  <c r="M1034" i="20"/>
  <c r="M206" i="20"/>
  <c r="M869" i="20"/>
  <c r="M297" i="20"/>
  <c r="M1197" i="20"/>
  <c r="M1110" i="20"/>
  <c r="M851" i="20"/>
  <c r="M649" i="20"/>
  <c r="M778" i="20"/>
  <c r="M596" i="20"/>
  <c r="M1088" i="20"/>
  <c r="M1345" i="20"/>
  <c r="M307" i="20"/>
  <c r="M558" i="20"/>
  <c r="M1333" i="20"/>
  <c r="M904" i="20"/>
  <c r="M285" i="20"/>
  <c r="M858" i="20"/>
  <c r="M1021" i="20"/>
  <c r="M1354" i="20"/>
  <c r="M905" i="20"/>
  <c r="M1174" i="20"/>
  <c r="M341" i="20"/>
  <c r="M137" i="20"/>
  <c r="M870" i="20"/>
  <c r="M734" i="20"/>
  <c r="M1149" i="20"/>
  <c r="M700" i="20"/>
  <c r="M1139" i="20"/>
  <c r="M1072" i="20"/>
  <c r="M390" i="20"/>
  <c r="M1066" i="20"/>
  <c r="M661" i="20"/>
  <c r="M1414" i="20"/>
  <c r="M1038" i="20"/>
  <c r="M1266" i="20"/>
  <c r="M1147" i="20"/>
  <c r="M1457" i="20"/>
  <c r="M105" i="20"/>
  <c r="M737" i="20"/>
  <c r="M545" i="20"/>
  <c r="M147" i="20"/>
  <c r="M654" i="20"/>
  <c r="M1258" i="20"/>
  <c r="M1031" i="20"/>
  <c r="M135" i="20"/>
  <c r="M618" i="20"/>
  <c r="M570" i="20"/>
  <c r="M130" i="20"/>
  <c r="M1440" i="20"/>
  <c r="M632" i="20"/>
  <c r="M1247" i="20"/>
  <c r="M542" i="20"/>
  <c r="M1079" i="20"/>
  <c r="M932" i="20"/>
  <c r="M1019" i="20"/>
  <c r="M518" i="20"/>
  <c r="M392" i="20"/>
  <c r="M899" i="20"/>
  <c r="M301" i="20"/>
  <c r="M852" i="20"/>
  <c r="M17" i="20"/>
  <c r="M1187" i="20"/>
  <c r="M843" i="20"/>
  <c r="M1330" i="20"/>
  <c r="M696" i="20"/>
  <c r="M1082" i="20"/>
  <c r="M414" i="20"/>
  <c r="M651" i="20"/>
  <c r="M1178" i="20"/>
  <c r="M1145" i="20"/>
  <c r="M1210" i="20"/>
  <c r="M110" i="20"/>
  <c r="M629" i="20"/>
  <c r="M323" i="20"/>
  <c r="M121" i="20"/>
  <c r="M489" i="20"/>
  <c r="M129" i="20"/>
  <c r="M368" i="20"/>
  <c r="M473" i="20"/>
  <c r="M153" i="20"/>
  <c r="M1466" i="20"/>
  <c r="M449" i="20"/>
  <c r="M128" i="20"/>
  <c r="M219" i="20"/>
  <c r="M762" i="20"/>
  <c r="M1436" i="20"/>
  <c r="M289" i="20"/>
  <c r="M784" i="20"/>
  <c r="M1316" i="20"/>
  <c r="M198" i="20"/>
  <c r="M96" i="20"/>
  <c r="M1514" i="20"/>
  <c r="M1268" i="20"/>
  <c r="M773" i="20"/>
  <c r="M376" i="20"/>
  <c r="M1415" i="20"/>
  <c r="M1222" i="20"/>
  <c r="M495" i="20"/>
  <c r="M1112" i="20"/>
  <c r="M56" i="20"/>
  <c r="M1508" i="20"/>
  <c r="M1223" i="20"/>
  <c r="M894" i="20"/>
  <c r="M597" i="20"/>
  <c r="M1474" i="20"/>
  <c r="M194" i="20"/>
  <c r="M37" i="20"/>
  <c r="M594" i="20"/>
  <c r="M566" i="20"/>
  <c r="M708" i="20"/>
  <c r="M235" i="20"/>
  <c r="M45" i="20"/>
  <c r="M907" i="20"/>
  <c r="M1045" i="20"/>
  <c r="M375" i="20"/>
  <c r="M76" i="20"/>
  <c r="M1218" i="20"/>
  <c r="M881" i="20"/>
  <c r="M170" i="20"/>
  <c r="M363" i="20"/>
  <c r="M962" i="20"/>
  <c r="M889" i="20"/>
  <c r="M360" i="20"/>
  <c r="M1032" i="20"/>
  <c r="M1404" i="20"/>
  <c r="M1167" i="20"/>
  <c r="M1326" i="20"/>
  <c r="M633" i="20"/>
  <c r="M1312" i="20"/>
  <c r="M1487" i="20"/>
  <c r="M606" i="20"/>
  <c r="M950" i="20"/>
  <c r="M895" i="20"/>
  <c r="M486" i="20"/>
  <c r="M481" i="20"/>
  <c r="M199" i="20"/>
  <c r="M876" i="20"/>
  <c r="M1168" i="20"/>
  <c r="M488" i="20"/>
  <c r="M922" i="20"/>
  <c r="M1015" i="20"/>
  <c r="M300" i="20"/>
  <c r="M1073" i="20"/>
  <c r="M961" i="20"/>
  <c r="M930" i="20"/>
  <c r="M642" i="20"/>
  <c r="M706" i="20"/>
  <c r="M949" i="20"/>
  <c r="M1425" i="20"/>
  <c r="M763" i="20"/>
  <c r="M359" i="20"/>
  <c r="M507" i="20"/>
  <c r="M237" i="20"/>
  <c r="M795" i="20"/>
  <c r="M75" i="20"/>
  <c r="M1248" i="20"/>
  <c r="M883" i="20"/>
  <c r="M1458" i="20"/>
  <c r="M744" i="20"/>
  <c r="M1427" i="20"/>
  <c r="M1329" i="20"/>
  <c r="M1238" i="20"/>
  <c r="M480" i="20"/>
  <c r="M834" i="20"/>
  <c r="M559" i="20"/>
  <c r="M1233" i="20"/>
  <c r="M1332" i="20"/>
  <c r="M648" i="20"/>
  <c r="M423" i="20"/>
  <c r="M532" i="20"/>
  <c r="M857" i="20"/>
  <c r="M335" i="20"/>
  <c r="M687" i="20"/>
  <c r="M726" i="20"/>
  <c r="M171" i="20"/>
  <c r="M902" i="20"/>
  <c r="M350" i="20"/>
  <c r="M761" i="20"/>
  <c r="M19" i="20"/>
  <c r="M283" i="20"/>
  <c r="M613" i="20"/>
  <c r="M750" i="20"/>
  <c r="M1307" i="20"/>
  <c r="M352" i="20"/>
  <c r="M498" i="20"/>
  <c r="M820" i="20"/>
  <c r="M780" i="20"/>
  <c r="M303" i="20"/>
  <c r="M115" i="20"/>
  <c r="M1379" i="20"/>
  <c r="M378" i="20"/>
  <c r="M1394" i="20"/>
  <c r="M1131" i="20"/>
  <c r="M585" i="20"/>
  <c r="M173" i="20"/>
  <c r="M22" i="20"/>
  <c r="M83" i="20"/>
  <c r="M1495" i="20"/>
  <c r="M62" i="20"/>
  <c r="M1245" i="20"/>
  <c r="M814" i="20"/>
  <c r="M1448" i="20"/>
  <c r="M1030" i="20"/>
  <c r="M377" i="20"/>
  <c r="M443" i="20"/>
  <c r="M500" i="20"/>
  <c r="M1441" i="20"/>
  <c r="M1496" i="20"/>
  <c r="M1162" i="20"/>
  <c r="M859" i="20"/>
  <c r="M561" i="20"/>
  <c r="M1214" i="20"/>
  <c r="M1211" i="20"/>
  <c r="M1010" i="20"/>
  <c r="M216" i="20"/>
  <c r="M1022" i="20"/>
  <c r="M1103" i="20"/>
  <c r="M190" i="20"/>
  <c r="M391" i="20"/>
  <c r="M202" i="20"/>
  <c r="M31" i="20"/>
  <c r="M863" i="20"/>
  <c r="M405" i="20"/>
  <c r="M99" i="20"/>
  <c r="M1100" i="20"/>
  <c r="M879" i="20"/>
  <c r="M1493" i="20"/>
  <c r="M1480" i="20"/>
  <c r="M703" i="20"/>
  <c r="M221" i="20"/>
  <c r="M347" i="20"/>
  <c r="M912" i="20"/>
  <c r="M1025" i="20"/>
  <c r="M116" i="20"/>
  <c r="M1018" i="20"/>
  <c r="M1004" i="20"/>
  <c r="M1036" i="20"/>
  <c r="M745" i="20"/>
  <c r="M471" i="20"/>
  <c r="M23" i="20"/>
  <c r="M39" i="20"/>
  <c r="M641" i="20"/>
  <c r="M448" i="20"/>
  <c r="M1486" i="20"/>
  <c r="M435" i="20"/>
  <c r="M705" i="20"/>
  <c r="M292" i="20"/>
  <c r="M835" i="20"/>
  <c r="M1476" i="20"/>
  <c r="M26" i="20"/>
  <c r="M702" i="20"/>
  <c r="M1320" i="20"/>
  <c r="M329" i="20"/>
  <c r="M1143" i="20"/>
  <c r="M505" i="20"/>
  <c r="M371" i="20"/>
  <c r="M832" i="20"/>
  <c r="M1297" i="20"/>
  <c r="M827" i="20"/>
  <c r="M662" i="20"/>
  <c r="M91" i="20"/>
  <c r="M1375" i="20"/>
  <c r="M262" i="20"/>
  <c r="M1124" i="20"/>
  <c r="M245" i="20"/>
  <c r="M1250" i="20"/>
  <c r="M1424" i="20"/>
  <c r="M1360" i="20"/>
  <c r="M430" i="20"/>
  <c r="M1070" i="20"/>
  <c r="M1144" i="20"/>
  <c r="M1121" i="20"/>
  <c r="M1107" i="20"/>
  <c r="M695" i="20"/>
  <c r="M1422" i="20"/>
  <c r="M484" i="20"/>
  <c r="M813" i="20"/>
  <c r="M787" i="20"/>
  <c r="M1102" i="20"/>
  <c r="M1116" i="20"/>
  <c r="M1385" i="20"/>
  <c r="M807" i="20"/>
  <c r="M741" i="20"/>
  <c r="M383" i="20"/>
  <c r="M1172" i="20"/>
  <c r="M492" i="20"/>
  <c r="M1084" i="20"/>
  <c r="M1463" i="20"/>
  <c r="M211" i="20"/>
  <c r="M1122" i="20"/>
  <c r="M1276" i="20"/>
  <c r="M631" i="20"/>
  <c r="M1420" i="20"/>
  <c r="M315" i="20"/>
  <c r="M1383" i="20"/>
  <c r="M909" i="20"/>
  <c r="M1155" i="20"/>
  <c r="M1227" i="20"/>
  <c r="M501" i="20"/>
  <c r="M291" i="20"/>
  <c r="M1510" i="20"/>
  <c r="M25" i="20"/>
  <c r="M36" i="20"/>
  <c r="M680" i="20"/>
  <c r="M1279" i="20"/>
  <c r="M1179" i="20"/>
  <c r="M1273" i="20"/>
  <c r="M609" i="20"/>
  <c r="M1002" i="20"/>
  <c r="M1006" i="20"/>
  <c r="M78" i="20"/>
  <c r="M354" i="20"/>
  <c r="M109" i="20"/>
  <c r="M213" i="20"/>
  <c r="M1047" i="20"/>
  <c r="M1235" i="20"/>
  <c r="M848" i="20"/>
  <c r="M569" i="20"/>
  <c r="M175" i="20"/>
  <c r="M1173" i="20"/>
  <c r="M619" i="20"/>
  <c r="M1372" i="20"/>
  <c r="M1373" i="20"/>
  <c r="M1194" i="20"/>
  <c r="M1484" i="20"/>
  <c r="M853" i="20"/>
  <c r="M326" i="20"/>
  <c r="M540" i="20"/>
  <c r="M1049" i="20"/>
  <c r="M247" i="20"/>
  <c r="M1078" i="20"/>
  <c r="M571" i="20"/>
  <c r="M886" i="20"/>
  <c r="M1321" i="20"/>
  <c r="M602" i="20"/>
  <c r="M954" i="20"/>
  <c r="M524" i="20"/>
  <c r="M800" i="20"/>
  <c r="M563" i="20"/>
  <c r="M1058" i="20"/>
  <c r="M595" i="20"/>
  <c r="M200" i="20"/>
  <c r="M1065" i="20"/>
  <c r="M310" i="20"/>
  <c r="M403" i="20"/>
  <c r="M681" i="20"/>
  <c r="M1056" i="20"/>
  <c r="M254" i="20"/>
  <c r="M865" i="20"/>
  <c r="M508" i="20"/>
  <c r="M668" i="20"/>
  <c r="M683" i="20"/>
  <c r="M1334" i="20"/>
  <c r="M273" i="20"/>
  <c r="M1259" i="20"/>
  <c r="M884" i="20"/>
  <c r="M953" i="20"/>
  <c r="M673" i="20"/>
  <c r="M456" i="20"/>
  <c r="M628" i="20"/>
  <c r="M565" i="20"/>
  <c r="M534" i="20"/>
  <c r="M287" i="20"/>
  <c r="M541" i="20"/>
  <c r="M1301" i="20"/>
  <c r="M1357" i="20"/>
  <c r="M539" i="20"/>
  <c r="M1186" i="20"/>
  <c r="M528" i="20"/>
  <c r="M183" i="20"/>
  <c r="M1028" i="20"/>
  <c r="M1275" i="20"/>
  <c r="M1127" i="20"/>
  <c r="M124" i="20"/>
  <c r="M526" i="20"/>
  <c r="M97" i="20"/>
  <c r="M971" i="20"/>
  <c r="M187" i="20"/>
  <c r="M163" i="20"/>
  <c r="M149" i="20"/>
  <c r="M437" i="20"/>
  <c r="M77" i="20"/>
  <c r="M725" i="20"/>
  <c r="M589" i="20"/>
  <c r="M1430" i="20"/>
  <c r="M278" i="20"/>
  <c r="M947" i="20"/>
  <c r="M578" i="20"/>
  <c r="M871" i="20"/>
  <c r="M1217" i="20"/>
  <c r="M990" i="20"/>
  <c r="M1419" i="20"/>
  <c r="J49" i="20"/>
  <c r="J625" i="20"/>
  <c r="J1213" i="20"/>
  <c r="J1107" i="20"/>
  <c r="J1493" i="20"/>
  <c r="J924" i="20"/>
  <c r="J1407" i="20"/>
  <c r="J934" i="20"/>
  <c r="J416" i="20"/>
  <c r="J947" i="20"/>
  <c r="J829" i="20"/>
  <c r="J803" i="20"/>
  <c r="J485" i="20"/>
  <c r="J259" i="20"/>
  <c r="J1287" i="20"/>
  <c r="J86" i="20"/>
  <c r="J136" i="20"/>
  <c r="J374" i="20"/>
  <c r="J1026" i="20"/>
  <c r="J904" i="20"/>
  <c r="J186" i="20"/>
  <c r="J124" i="20"/>
  <c r="J595" i="20"/>
  <c r="J758" i="20"/>
  <c r="J668" i="20"/>
  <c r="J741" i="20"/>
  <c r="J709" i="20"/>
  <c r="J573" i="20"/>
  <c r="J856" i="20"/>
  <c r="J834" i="20"/>
  <c r="J75" i="20"/>
  <c r="J952" i="20"/>
  <c r="J1446" i="20"/>
  <c r="J1009" i="20"/>
  <c r="J603" i="20"/>
  <c r="J1189" i="20"/>
  <c r="J1319" i="20"/>
  <c r="J89" i="20"/>
  <c r="J286" i="20"/>
  <c r="J1511" i="20"/>
  <c r="J666" i="20"/>
  <c r="J902" i="20"/>
  <c r="J423" i="20"/>
  <c r="J453" i="20"/>
  <c r="J506" i="20"/>
  <c r="J320" i="20"/>
  <c r="J1394" i="20"/>
  <c r="J352" i="20"/>
  <c r="J1442" i="20"/>
  <c r="J519" i="20"/>
  <c r="J516" i="20"/>
  <c r="J1304" i="20"/>
  <c r="J1116" i="20"/>
  <c r="J676" i="20"/>
  <c r="J1331" i="20"/>
  <c r="J775" i="20"/>
  <c r="J293" i="20"/>
  <c r="J444" i="20"/>
  <c r="J258" i="20"/>
  <c r="J1082" i="20"/>
  <c r="J245" i="20"/>
  <c r="J1329" i="20"/>
  <c r="J587" i="20"/>
  <c r="J262" i="20"/>
  <c r="J396" i="20"/>
  <c r="J739" i="20"/>
  <c r="J60" i="20"/>
  <c r="J1386" i="20"/>
  <c r="J394" i="20"/>
  <c r="J146" i="20"/>
  <c r="J1251" i="20"/>
  <c r="J539" i="20"/>
  <c r="J978" i="20"/>
  <c r="J532" i="20"/>
  <c r="J111" i="20"/>
  <c r="J241" i="20"/>
  <c r="J147" i="20"/>
  <c r="J79" i="20"/>
  <c r="J1278" i="20"/>
  <c r="J42" i="20"/>
  <c r="J354" i="20"/>
  <c r="J669" i="20"/>
  <c r="J1514" i="20"/>
  <c r="J15" i="20"/>
  <c r="J751" i="20"/>
  <c r="J874" i="20"/>
  <c r="J588" i="20"/>
  <c r="J968" i="20"/>
  <c r="J1000" i="20"/>
  <c r="J406" i="20"/>
  <c r="J1381" i="20"/>
  <c r="J470" i="20"/>
  <c r="J387" i="20"/>
  <c r="J515" i="20"/>
  <c r="J1064" i="20"/>
  <c r="J564" i="20"/>
  <c r="J108" i="20"/>
  <c r="J627" i="20"/>
  <c r="J848" i="20"/>
  <c r="J646" i="20"/>
  <c r="J877" i="20"/>
  <c r="J817" i="20"/>
  <c r="J1285" i="20"/>
  <c r="J577" i="20"/>
  <c r="J196" i="20"/>
  <c r="J891" i="20"/>
  <c r="J811" i="20"/>
  <c r="J1315" i="20"/>
  <c r="J825" i="20"/>
  <c r="J977" i="20"/>
  <c r="J340" i="20"/>
  <c r="J901" i="20"/>
  <c r="J810" i="20"/>
  <c r="J364" i="20"/>
  <c r="J139" i="20"/>
  <c r="J636" i="20"/>
  <c r="J765" i="20"/>
  <c r="J1072" i="20"/>
  <c r="J131" i="20"/>
  <c r="J243" i="20"/>
  <c r="J113" i="20"/>
  <c r="J560" i="20"/>
  <c r="J1239" i="20"/>
  <c r="J563" i="20"/>
  <c r="J713" i="20"/>
  <c r="J1414" i="20"/>
  <c r="J1335" i="20"/>
  <c r="J418" i="20"/>
  <c r="J283" i="20"/>
  <c r="J710" i="20"/>
  <c r="J614" i="20"/>
  <c r="J187" i="20"/>
  <c r="J1482" i="20"/>
  <c r="J51" i="20"/>
  <c r="J1405" i="20"/>
  <c r="J1510" i="20"/>
  <c r="J599" i="20"/>
  <c r="J1290" i="20"/>
  <c r="J85" i="20"/>
  <c r="J437" i="20"/>
  <c r="J69" i="20"/>
  <c r="J1255" i="20"/>
  <c r="J1401" i="20"/>
  <c r="J738" i="20"/>
  <c r="J1425" i="20"/>
  <c r="J712" i="20"/>
  <c r="J98" i="20"/>
  <c r="J1162" i="20"/>
  <c r="J1087" i="20"/>
  <c r="J492" i="20"/>
  <c r="J1454" i="20"/>
  <c r="J932" i="20"/>
  <c r="J1445" i="20"/>
  <c r="J460" i="20"/>
  <c r="J321" i="20"/>
  <c r="J330" i="20"/>
  <c r="J315" i="20"/>
  <c r="J746" i="20"/>
  <c r="J210" i="20"/>
  <c r="J1472" i="20"/>
  <c r="J1256" i="20"/>
  <c r="J425" i="20"/>
  <c r="J1348" i="20"/>
  <c r="J1048" i="20"/>
  <c r="J730" i="20"/>
  <c r="J206" i="20"/>
  <c r="J31" i="20"/>
  <c r="J693" i="20"/>
  <c r="J857" i="20"/>
  <c r="J1091" i="20"/>
  <c r="J459" i="20"/>
  <c r="J457" i="20"/>
  <c r="J926" i="20"/>
  <c r="J1228" i="20"/>
  <c r="J670" i="20"/>
  <c r="J67" i="20"/>
  <c r="J53" i="20"/>
  <c r="J753" i="20"/>
  <c r="J1142" i="20"/>
  <c r="J219" i="20"/>
  <c r="J1473" i="20"/>
  <c r="J472" i="20"/>
  <c r="J37" i="20"/>
  <c r="J1452" i="20"/>
  <c r="J616" i="20"/>
  <c r="J1108" i="20"/>
  <c r="J1512" i="20"/>
  <c r="J813" i="20"/>
  <c r="J674" i="20"/>
  <c r="J1427" i="20"/>
  <c r="J1061" i="20"/>
  <c r="J547" i="20"/>
  <c r="J325" i="20"/>
  <c r="J863" i="20"/>
  <c r="J171" i="20"/>
  <c r="J1351" i="20"/>
  <c r="J680" i="20"/>
  <c r="J1112" i="20"/>
  <c r="J1136" i="20"/>
  <c r="J1012" i="20"/>
  <c r="J800" i="20"/>
  <c r="J543" i="20"/>
  <c r="J1081" i="20"/>
  <c r="J540" i="20"/>
  <c r="J983" i="20"/>
  <c r="J916" i="20"/>
  <c r="J61" i="20"/>
  <c r="J576" i="20"/>
  <c r="J343" i="20"/>
  <c r="J1183" i="20"/>
  <c r="J391" i="20"/>
  <c r="J35" i="20"/>
  <c r="J812" i="20"/>
  <c r="J1337" i="20"/>
  <c r="J141" i="20"/>
  <c r="J847" i="20"/>
  <c r="J253" i="20"/>
  <c r="J719" i="20"/>
  <c r="J998" i="20"/>
  <c r="J801" i="20"/>
  <c r="J461" i="20"/>
  <c r="J1047" i="20"/>
  <c r="J168" i="20"/>
  <c r="J29" i="20"/>
  <c r="J341" i="20"/>
  <c r="J408" i="20"/>
  <c r="J629" i="20"/>
  <c r="J481" i="20"/>
  <c r="J110" i="20"/>
  <c r="J884" i="20"/>
  <c r="J308" i="20"/>
  <c r="J1479" i="20"/>
  <c r="J552" i="20"/>
  <c r="J178" i="20"/>
  <c r="J1447" i="20"/>
  <c r="J1053" i="20"/>
  <c r="J531" i="20"/>
  <c r="J339" i="20"/>
  <c r="J1372" i="20"/>
  <c r="J555" i="20"/>
  <c r="J275" i="20"/>
  <c r="J1420" i="20"/>
  <c r="J1338" i="20"/>
  <c r="J217" i="20"/>
  <c r="J1323" i="20"/>
  <c r="J333" i="20"/>
  <c r="J278" i="20"/>
  <c r="J896" i="20"/>
  <c r="J824" i="20"/>
  <c r="J1314" i="20"/>
  <c r="J246" i="20"/>
  <c r="J750" i="20"/>
  <c r="J773" i="20"/>
  <c r="J1500" i="20"/>
  <c r="J1024" i="20"/>
  <c r="J726" i="20"/>
  <c r="J1440" i="20"/>
  <c r="J254" i="20"/>
  <c r="J103" i="20"/>
  <c r="J809" i="20"/>
  <c r="J334" i="20"/>
  <c r="J733" i="20"/>
  <c r="J371" i="20"/>
  <c r="J329" i="20"/>
  <c r="J976" i="20"/>
  <c r="J1396" i="20"/>
  <c r="J703" i="20"/>
  <c r="J1334" i="20"/>
  <c r="J1261" i="20"/>
  <c r="J19" i="20"/>
  <c r="J1031" i="20"/>
  <c r="J764" i="20"/>
  <c r="J1029" i="20"/>
  <c r="J1258" i="20"/>
  <c r="J828" i="20"/>
  <c r="J1380" i="20"/>
  <c r="J390" i="20"/>
  <c r="J64" i="20"/>
  <c r="J24" i="20"/>
  <c r="J1367" i="20"/>
  <c r="J1464" i="20"/>
  <c r="J769" i="20"/>
  <c r="J1497" i="20"/>
  <c r="J981" i="20"/>
  <c r="J915" i="20"/>
  <c r="J835" i="20"/>
  <c r="J538" i="20"/>
  <c r="J622" i="20"/>
  <c r="J566" i="20"/>
  <c r="J509" i="20"/>
  <c r="J316" i="20"/>
  <c r="J722" i="20"/>
  <c r="J502" i="20"/>
  <c r="J550" i="20"/>
  <c r="J242" i="20"/>
  <c r="J1280" i="20"/>
  <c r="J1154" i="20"/>
  <c r="J735" i="20"/>
  <c r="J169" i="20"/>
  <c r="J1435" i="20"/>
  <c r="J1163" i="20"/>
  <c r="J1303" i="20"/>
  <c r="J572" i="20"/>
  <c r="J1150" i="20"/>
  <c r="J1362" i="20"/>
  <c r="J697" i="20"/>
  <c r="J1229" i="20"/>
  <c r="J973" i="20"/>
  <c r="J264" i="20"/>
  <c r="J288" i="20"/>
  <c r="J822" i="20"/>
  <c r="J1103" i="20"/>
  <c r="J1476" i="20"/>
  <c r="J90" i="20"/>
  <c r="J22" i="20"/>
  <c r="J1078" i="20"/>
  <c r="J72" i="20"/>
  <c r="J1101" i="20"/>
  <c r="J203" i="20"/>
  <c r="J1444" i="20"/>
  <c r="J1172" i="20"/>
  <c r="J157" i="20"/>
  <c r="J1395" i="20"/>
  <c r="J213" i="20"/>
  <c r="J894" i="20"/>
  <c r="J1392" i="20"/>
  <c r="J1177" i="20"/>
  <c r="J1034" i="20"/>
  <c r="J233" i="20"/>
  <c r="J1037" i="20"/>
  <c r="J309" i="20"/>
  <c r="J1146" i="20"/>
  <c r="J455" i="20"/>
  <c r="J21" i="20"/>
  <c r="J1324" i="20"/>
  <c r="J520" i="20"/>
  <c r="J355" i="20"/>
  <c r="J467" i="20"/>
  <c r="J903" i="20"/>
  <c r="J342" i="20"/>
  <c r="J1071" i="20"/>
  <c r="J220" i="20"/>
  <c r="J580" i="20"/>
  <c r="J1218" i="20"/>
  <c r="J468" i="20"/>
  <c r="J1094" i="20"/>
  <c r="J493" i="20"/>
  <c r="J115" i="20"/>
  <c r="J790" i="20"/>
  <c r="J852" i="20"/>
  <c r="J1006" i="20"/>
  <c r="J766" i="20"/>
  <c r="J473" i="20"/>
  <c r="J567" i="20"/>
  <c r="J179" i="20"/>
  <c r="J860" i="20"/>
  <c r="J1361" i="20"/>
  <c r="J608" i="20"/>
  <c r="J123" i="20"/>
  <c r="J886" i="20"/>
  <c r="J664" i="20"/>
  <c r="J1296" i="20"/>
  <c r="J152" i="20"/>
  <c r="J638" i="20"/>
  <c r="J490" i="20"/>
  <c r="J1143" i="20"/>
  <c r="J1092" i="20"/>
  <c r="J356" i="20"/>
  <c r="J897" i="20"/>
  <c r="J593" i="20"/>
  <c r="J888" i="20"/>
  <c r="J427" i="20"/>
  <c r="J1325" i="20"/>
  <c r="J197" i="20"/>
  <c r="J1013" i="20"/>
  <c r="J368" i="20"/>
  <c r="J544" i="20"/>
  <c r="J747" i="20"/>
  <c r="J495" i="20"/>
  <c r="J1106" i="20"/>
  <c r="J748" i="20"/>
  <c r="J1180" i="20"/>
  <c r="J400" i="20"/>
  <c r="J734" i="20"/>
  <c r="J875" i="20"/>
  <c r="J1302" i="20"/>
  <c r="J851" i="20"/>
  <c r="J723" i="20"/>
  <c r="J637" i="20"/>
  <c r="J737" i="20"/>
  <c r="J621" i="20"/>
  <c r="J501" i="20"/>
  <c r="J1355" i="20"/>
  <c r="J449" i="20"/>
  <c r="J556" i="20"/>
  <c r="J1207" i="20"/>
  <c r="J367" i="20"/>
  <c r="J1374" i="20"/>
  <c r="J1123" i="20"/>
  <c r="J177" i="20"/>
  <c r="J867" i="20"/>
  <c r="J393" i="20"/>
  <c r="J1503" i="20"/>
  <c r="J1055" i="20"/>
  <c r="J193" i="20"/>
  <c r="J1461" i="20"/>
  <c r="J174" i="20"/>
  <c r="J1105" i="20"/>
  <c r="J1042" i="20"/>
  <c r="J188" i="20"/>
  <c r="J967" i="20"/>
  <c r="J163" i="20"/>
  <c r="J348" i="20"/>
  <c r="J1262" i="20"/>
  <c r="J1002" i="20"/>
  <c r="J568" i="20"/>
  <c r="J129" i="20"/>
  <c r="J583" i="20"/>
  <c r="J1297" i="20"/>
  <c r="J777" i="20"/>
  <c r="J1340" i="20"/>
  <c r="J946" i="20"/>
  <c r="J663" i="20"/>
  <c r="J287" i="20"/>
  <c r="J1498" i="20"/>
  <c r="J45" i="20"/>
  <c r="J56" i="20"/>
  <c r="J376" i="20"/>
  <c r="J181" i="20"/>
  <c r="J84" i="20"/>
  <c r="J1359" i="20"/>
  <c r="J221" i="20"/>
  <c r="J631" i="20"/>
  <c r="J820" i="20"/>
  <c r="J779" i="20"/>
  <c r="J997" i="20"/>
  <c r="J721" i="20"/>
  <c r="J837" i="20"/>
  <c r="J361" i="20"/>
  <c r="J604" i="20"/>
  <c r="J300" i="20"/>
  <c r="J413" i="20"/>
  <c r="J1192" i="20"/>
  <c r="J1176" i="20"/>
  <c r="J420" i="20"/>
  <c r="J527" i="20"/>
  <c r="J1032" i="20"/>
  <c r="J336" i="20"/>
  <c r="J109" i="20"/>
  <c r="J1257" i="20"/>
  <c r="J1460" i="20"/>
  <c r="J771" i="20"/>
  <c r="J832" i="20"/>
  <c r="J257" i="20"/>
  <c r="J705" i="20"/>
  <c r="J104" i="20"/>
  <c r="J1234" i="20"/>
  <c r="J155" i="20"/>
  <c r="J175" i="20"/>
  <c r="J548" i="20"/>
  <c r="J612" i="20"/>
  <c r="J153" i="20"/>
  <c r="J767" i="20"/>
  <c r="J781" i="20"/>
  <c r="J446" i="20"/>
  <c r="J1432" i="20"/>
  <c r="J1433" i="20"/>
  <c r="J317" i="20"/>
  <c r="J914" i="20"/>
  <c r="J788" i="20"/>
  <c r="J312" i="20"/>
  <c r="J949" i="20"/>
  <c r="J160" i="20"/>
  <c r="J430" i="20"/>
  <c r="J137" i="20"/>
  <c r="J1110" i="20"/>
  <c r="J54" i="20"/>
  <c r="J1201" i="20"/>
  <c r="J850" i="20"/>
  <c r="J1017" i="20"/>
  <c r="J1164" i="20"/>
  <c r="J979" i="20"/>
  <c r="J299" i="20"/>
  <c r="J686" i="20"/>
  <c r="J252" i="20"/>
  <c r="J328" i="20"/>
  <c r="J517" i="20"/>
  <c r="J130" i="20"/>
  <c r="J935" i="20"/>
  <c r="J665" i="20"/>
  <c r="J1344" i="20"/>
  <c r="J772" i="20"/>
  <c r="J1219" i="20"/>
  <c r="J743" i="20"/>
  <c r="J964" i="20"/>
  <c r="J1429" i="20"/>
  <c r="J740" i="20"/>
  <c r="J925" i="20"/>
  <c r="J346" i="20"/>
  <c r="J106" i="20"/>
  <c r="J134" i="20"/>
  <c r="J140" i="20"/>
  <c r="J1039" i="20"/>
  <c r="J268" i="20"/>
  <c r="J1436" i="20"/>
  <c r="J96" i="20"/>
  <c r="J530" i="20"/>
  <c r="J1005" i="20"/>
  <c r="J230" i="20"/>
  <c r="J1025" i="20"/>
  <c r="J1382" i="20"/>
  <c r="J122" i="20"/>
  <c r="J305" i="20"/>
  <c r="J412" i="20"/>
  <c r="J235" i="20"/>
  <c r="J955" i="20"/>
  <c r="J1441" i="20"/>
  <c r="J922" i="20"/>
  <c r="J838" i="20"/>
  <c r="J39" i="20"/>
  <c r="J842" i="20"/>
  <c r="J17" i="20"/>
  <c r="J162" i="20"/>
  <c r="J161" i="20"/>
  <c r="J91" i="20"/>
  <c r="J165" i="20"/>
  <c r="J386" i="20"/>
  <c r="J1093" i="20"/>
  <c r="J1283" i="20"/>
  <c r="J521" i="20"/>
  <c r="J173" i="20"/>
  <c r="J434" i="20"/>
  <c r="J700" i="20"/>
  <c r="J41" i="20"/>
  <c r="J715" i="20"/>
  <c r="J1187" i="20"/>
  <c r="J505" i="20"/>
  <c r="J486" i="20"/>
  <c r="J322" i="20"/>
  <c r="J1008" i="20"/>
  <c r="J144" i="20"/>
  <c r="J999" i="20"/>
  <c r="J310" i="20"/>
  <c r="J929" i="20"/>
  <c r="J650" i="20"/>
  <c r="J1474" i="20"/>
  <c r="J691" i="20"/>
  <c r="J1208" i="20"/>
  <c r="J120" i="20"/>
  <c r="J1289" i="20"/>
  <c r="J525" i="20"/>
  <c r="J369" i="20"/>
  <c r="J845" i="20"/>
  <c r="J1077" i="20"/>
  <c r="J132" i="20"/>
  <c r="J635" i="20"/>
  <c r="J642" i="20"/>
  <c r="J950" i="20"/>
  <c r="J619" i="20"/>
  <c r="J575" i="20"/>
  <c r="J760" i="20"/>
  <c r="J1416" i="20"/>
  <c r="J1202" i="20"/>
  <c r="J240" i="20"/>
  <c r="J223" i="20"/>
  <c r="J804" i="20"/>
  <c r="J1333" i="20"/>
  <c r="J630" i="20"/>
  <c r="J417" i="20"/>
  <c r="J687" i="20"/>
  <c r="J357" i="20"/>
  <c r="J231" i="20"/>
  <c r="J40" i="20"/>
  <c r="J119" i="20"/>
  <c r="J170" i="20"/>
  <c r="J776" i="20"/>
  <c r="J227" i="20"/>
  <c r="J291" i="20"/>
  <c r="J199" i="20"/>
  <c r="J1076" i="20"/>
  <c r="J1499" i="20"/>
  <c r="J762" i="20"/>
  <c r="J1356" i="20"/>
  <c r="J841" i="20"/>
  <c r="J1049" i="20"/>
  <c r="J1360" i="20"/>
  <c r="J655" i="20"/>
  <c r="J529" i="20"/>
  <c r="J482" i="20"/>
  <c r="J214" i="20"/>
  <c r="J1130" i="20"/>
  <c r="J1413" i="20"/>
  <c r="J1022" i="20"/>
  <c r="J443" i="20"/>
  <c r="J1114" i="20"/>
  <c r="J1119" i="20"/>
  <c r="J1506" i="20"/>
  <c r="J358" i="20"/>
  <c r="J503" i="20"/>
  <c r="J1166" i="20"/>
  <c r="J1295" i="20"/>
  <c r="J1113" i="20"/>
  <c r="J1513" i="20"/>
  <c r="J718" i="20"/>
  <c r="J1284" i="20"/>
  <c r="J1489" i="20"/>
  <c r="J996" i="20"/>
  <c r="J1259" i="20"/>
  <c r="J1132" i="20"/>
  <c r="J906" i="20"/>
  <c r="J189" i="20"/>
  <c r="J87" i="20"/>
  <c r="J943" i="20"/>
  <c r="J699" i="20"/>
  <c r="J224" i="20"/>
  <c r="J405" i="20"/>
  <c r="J247" i="20"/>
  <c r="J695" i="20"/>
  <c r="J71" i="20"/>
  <c r="J590" i="20"/>
  <c r="J1190" i="20"/>
  <c r="J1097" i="20"/>
  <c r="J959" i="20"/>
  <c r="J458" i="20"/>
  <c r="J537" i="20"/>
  <c r="J683" i="20"/>
  <c r="J1271" i="20"/>
  <c r="J92" i="20"/>
  <c r="J402" i="20"/>
  <c r="J1267" i="20"/>
  <c r="J201" i="20"/>
  <c r="J562" i="20"/>
  <c r="J1250" i="20"/>
  <c r="J839" i="20"/>
  <c r="J694" i="20"/>
  <c r="J1188" i="20"/>
  <c r="J1217" i="20"/>
  <c r="J27" i="20"/>
  <c r="J597" i="20"/>
  <c r="J1169" i="20"/>
  <c r="J617" i="20"/>
  <c r="J685" i="20"/>
  <c r="J256" i="20"/>
  <c r="J987" i="20"/>
  <c r="J319" i="20"/>
  <c r="J422" i="20"/>
  <c r="J795" i="20"/>
  <c r="J289" i="20"/>
  <c r="J652" i="20"/>
  <c r="J716" i="20"/>
  <c r="J1368" i="20"/>
  <c r="J798" i="20"/>
  <c r="J1404" i="20"/>
  <c r="J284" i="20"/>
  <c r="J1501" i="20"/>
  <c r="J249" i="20"/>
  <c r="J1397" i="20"/>
  <c r="J1127" i="20"/>
  <c r="J118" i="20"/>
  <c r="J672" i="20"/>
  <c r="J819" i="20"/>
  <c r="J728" i="20"/>
  <c r="J34" i="20"/>
  <c r="J1320" i="20"/>
  <c r="J927" i="20"/>
  <c r="J1377" i="20"/>
  <c r="J1459" i="20"/>
  <c r="J1491" i="20"/>
  <c r="J1346" i="20"/>
  <c r="J899" i="20"/>
  <c r="J707" i="20"/>
  <c r="J466" i="20"/>
  <c r="J307" i="20"/>
  <c r="J1390" i="20"/>
  <c r="J313" i="20"/>
  <c r="J1194" i="20"/>
  <c r="J431" i="20"/>
  <c r="J18" i="20"/>
  <c r="J1015" i="20"/>
  <c r="J1465" i="20"/>
  <c r="J204" i="20"/>
  <c r="J830" i="20"/>
  <c r="J97" i="20"/>
  <c r="J349" i="20"/>
  <c r="J571" i="20"/>
  <c r="J279" i="20"/>
  <c r="J1463" i="20"/>
  <c r="J1305" i="20"/>
  <c r="J786" i="20"/>
  <c r="J385" i="20"/>
  <c r="J844" i="20"/>
  <c r="J133" i="20"/>
  <c r="J512" i="20"/>
  <c r="J1366" i="20"/>
  <c r="J1243" i="20"/>
  <c r="J592" i="20"/>
  <c r="J549" i="20"/>
  <c r="J411" i="20"/>
  <c r="J1174" i="20"/>
  <c r="J1066" i="20"/>
  <c r="J698" i="20"/>
  <c r="J154" i="20"/>
  <c r="J1027" i="20"/>
  <c r="J48" i="20"/>
  <c r="J200" i="20"/>
  <c r="J198" i="20"/>
  <c r="J236" i="20"/>
  <c r="J511" i="20"/>
  <c r="J942" i="20"/>
  <c r="J414" i="20"/>
  <c r="J1481" i="20"/>
  <c r="J81" i="20"/>
  <c r="J46" i="20"/>
  <c r="J610" i="20"/>
  <c r="J958" i="20"/>
  <c r="J910" i="20"/>
  <c r="J1043" i="20"/>
  <c r="J1080" i="20"/>
  <c r="J1467" i="20"/>
  <c r="J589" i="20"/>
  <c r="J1349" i="20"/>
  <c r="J937" i="20"/>
  <c r="J1100" i="20"/>
  <c r="J480" i="20"/>
  <c r="J985" i="20"/>
  <c r="J1175" i="20"/>
  <c r="J1418" i="20"/>
  <c r="J1371" i="20"/>
  <c r="J38" i="20"/>
  <c r="J127" i="20"/>
  <c r="J504" i="20"/>
  <c r="J864" i="20"/>
  <c r="J1370" i="20"/>
  <c r="J633" i="20"/>
  <c r="J273" i="20"/>
  <c r="J546" i="20"/>
  <c r="J1168" i="20"/>
  <c r="J1058" i="20"/>
  <c r="J1398" i="20"/>
  <c r="J1199" i="20"/>
  <c r="J724" i="20"/>
  <c r="J209" i="20"/>
  <c r="J1004" i="20"/>
  <c r="J969" i="20"/>
  <c r="J908" i="20"/>
  <c r="J898" i="20"/>
  <c r="J102" i="20"/>
  <c r="J1248" i="20"/>
  <c r="J452" i="20"/>
  <c r="J121" i="20"/>
  <c r="J1214" i="20"/>
  <c r="J1507" i="20"/>
  <c r="J1443" i="20"/>
  <c r="J1131" i="20"/>
  <c r="J1115" i="20"/>
  <c r="J586" i="20"/>
  <c r="J234" i="20"/>
  <c r="J1041" i="20"/>
  <c r="J971" i="20"/>
  <c r="J802" i="20"/>
  <c r="J432" i="20"/>
  <c r="J74" i="20"/>
  <c r="J380" i="20"/>
  <c r="J821" i="20"/>
  <c r="J1240" i="20"/>
  <c r="J1318" i="20"/>
  <c r="J508" i="20"/>
  <c r="J1307" i="20"/>
  <c r="J276" i="20"/>
  <c r="J1400" i="20"/>
  <c r="J43" i="20"/>
  <c r="J1504" i="20"/>
  <c r="J994" i="20"/>
  <c r="J744" i="20"/>
  <c r="J1273" i="20"/>
  <c r="J673" i="20"/>
  <c r="J478" i="20"/>
  <c r="J469" i="20"/>
  <c r="J1086" i="20"/>
  <c r="J895" i="20"/>
  <c r="J682" i="20"/>
  <c r="J66" i="20"/>
  <c r="J881" i="20"/>
  <c r="J335" i="20"/>
  <c r="J272" i="20"/>
  <c r="J1010" i="20"/>
  <c r="J440" i="20"/>
  <c r="J194" i="20"/>
  <c r="J805" i="20"/>
  <c r="J1406" i="20"/>
  <c r="J195" i="20"/>
  <c r="J381" i="20"/>
  <c r="J513" i="20"/>
  <c r="J569" i="20"/>
  <c r="J787" i="20"/>
  <c r="J83" i="20"/>
  <c r="J433" i="20"/>
  <c r="J653" i="20"/>
  <c r="J151" i="20"/>
  <c r="J752" i="20"/>
  <c r="J80" i="20"/>
  <c r="J1336" i="20"/>
  <c r="J1209" i="20"/>
  <c r="J190" i="20"/>
  <c r="J1376" i="20"/>
  <c r="J20" i="20"/>
  <c r="J426" i="20"/>
  <c r="J237" i="20"/>
  <c r="J1215" i="20"/>
  <c r="J823" i="20"/>
  <c r="J648" i="20"/>
  <c r="J494" i="20"/>
  <c r="J359" i="20"/>
  <c r="J792" i="20"/>
  <c r="J855" i="20"/>
  <c r="J1468" i="20"/>
  <c r="J1409" i="20"/>
  <c r="J1224" i="20"/>
  <c r="J68" i="20"/>
  <c r="J436" i="20"/>
  <c r="J667" i="20"/>
  <c r="J347" i="20"/>
  <c r="J585" i="20"/>
  <c r="J854" i="20"/>
  <c r="J840" i="20"/>
  <c r="J613" i="20"/>
  <c r="J1316" i="20"/>
  <c r="J180" i="20"/>
  <c r="J100" i="20"/>
  <c r="J659" i="20"/>
  <c r="J1109" i="20"/>
  <c r="J1347" i="20"/>
  <c r="J1408" i="20"/>
  <c r="J331" i="20"/>
  <c r="J784" i="20"/>
  <c r="J1339" i="20"/>
  <c r="J1332" i="20"/>
  <c r="J1300" i="20"/>
  <c r="J1198" i="20"/>
  <c r="J294" i="20"/>
  <c r="J1171" i="20"/>
  <c r="J1014" i="20"/>
  <c r="J827" i="20"/>
  <c r="J591" i="20"/>
  <c r="J1264" i="20"/>
  <c r="J1200" i="20"/>
  <c r="J1494" i="20"/>
  <c r="J370" i="20"/>
  <c r="J409" i="20"/>
  <c r="J1140" i="20"/>
  <c r="J1310" i="20"/>
  <c r="J1060" i="20"/>
  <c r="J326" i="20"/>
  <c r="J1011" i="20"/>
  <c r="J836" i="20"/>
  <c r="J1426" i="20"/>
  <c r="J584" i="20"/>
  <c r="J1205" i="20"/>
  <c r="J944" i="20"/>
  <c r="J853" i="20"/>
  <c r="J296" i="20"/>
  <c r="J138" i="20"/>
  <c r="J462" i="20"/>
  <c r="J696" i="20"/>
  <c r="J1365" i="20"/>
  <c r="J990" i="20"/>
  <c r="J1182" i="20"/>
  <c r="J545" i="20"/>
  <c r="J167" i="20"/>
  <c r="J1252" i="20"/>
  <c r="J1415" i="20"/>
  <c r="J534" i="20"/>
  <c r="J215" i="20"/>
  <c r="J1254" i="20"/>
  <c r="J951" i="20"/>
  <c r="J945" i="20"/>
  <c r="J634" i="20"/>
  <c r="J1253" i="20"/>
  <c r="J893" i="20"/>
  <c r="J1419" i="20"/>
  <c r="J797" i="20"/>
  <c r="J487" i="20"/>
  <c r="J1040" i="20"/>
  <c r="J956" i="20"/>
  <c r="J1268" i="20"/>
  <c r="J518" i="20"/>
  <c r="J736" i="20"/>
  <c r="J596" i="20"/>
  <c r="J1102" i="20"/>
  <c r="J1247" i="20"/>
  <c r="J1298" i="20"/>
  <c r="J1249" i="20"/>
  <c r="J1306" i="20"/>
  <c r="J78" i="20"/>
  <c r="J921" i="20"/>
  <c r="J1486" i="20"/>
  <c r="J142" i="20"/>
  <c r="J410" i="20"/>
  <c r="J1147" i="20"/>
  <c r="J435" i="20"/>
  <c r="J1178" i="20"/>
  <c r="J47" i="20"/>
  <c r="J923" i="20"/>
  <c r="J36" i="20"/>
  <c r="J28" i="20"/>
  <c r="J1085" i="20"/>
  <c r="J1088" i="20"/>
  <c r="J62" i="20"/>
  <c r="J1410" i="20"/>
  <c r="J183" i="20"/>
  <c r="J1185" i="20"/>
  <c r="J489" i="20"/>
  <c r="J1471" i="20"/>
  <c r="J25" i="20"/>
  <c r="J1292" i="20"/>
  <c r="J1125" i="20"/>
  <c r="J1342" i="20"/>
  <c r="J928" i="20"/>
  <c r="J535" i="20"/>
  <c r="J1483" i="20"/>
  <c r="J1225" i="20"/>
  <c r="J1021" i="20"/>
  <c r="J1241" i="20"/>
  <c r="J878" i="20"/>
  <c r="J941" i="20"/>
  <c r="J1235" i="20"/>
  <c r="J1232" i="20"/>
  <c r="J717" i="20"/>
  <c r="J957" i="20"/>
  <c r="J344" i="20"/>
  <c r="J1458" i="20"/>
  <c r="J1145" i="20"/>
  <c r="J1069" i="20"/>
  <c r="J318" i="20"/>
  <c r="J1357" i="20"/>
  <c r="J759" i="20"/>
  <c r="J632" i="20"/>
  <c r="J464" i="20"/>
  <c r="J1007" i="20"/>
  <c r="J143" i="20"/>
  <c r="J1221" i="20"/>
  <c r="J1263" i="20"/>
  <c r="J1288" i="20"/>
  <c r="J1227" i="20"/>
  <c r="J1417" i="20"/>
  <c r="J639" i="20"/>
  <c r="J1186" i="20"/>
  <c r="J756" i="20"/>
  <c r="J1470" i="20"/>
  <c r="J1430" i="20"/>
  <c r="J1135" i="20"/>
  <c r="J607" i="20"/>
  <c r="J814" i="20"/>
  <c r="J1327" i="20"/>
  <c r="J1424" i="20"/>
  <c r="J938" i="20"/>
  <c r="J1152" i="20"/>
  <c r="J598" i="20"/>
  <c r="J1068" i="20"/>
  <c r="J1341" i="20"/>
  <c r="J618" i="20"/>
  <c r="J1063" i="20"/>
  <c r="J337" i="20"/>
  <c r="J843" i="20"/>
  <c r="J970" i="20"/>
  <c r="J1020" i="20"/>
  <c r="J281" i="20"/>
  <c r="J1451" i="20"/>
  <c r="J1230" i="20"/>
  <c r="J574" i="20"/>
  <c r="J704" i="20"/>
  <c r="J303" i="20"/>
  <c r="J1236" i="20"/>
  <c r="J1195" i="20"/>
  <c r="J248" i="20"/>
  <c r="J496" i="20"/>
  <c r="J1488" i="20"/>
  <c r="J1044" i="20"/>
  <c r="J1379" i="20"/>
  <c r="J1509" i="20"/>
  <c r="J692" i="20"/>
  <c r="J1111" i="20"/>
  <c r="J649" i="20"/>
  <c r="J869" i="20"/>
  <c r="J1139" i="20"/>
  <c r="J551" i="20"/>
  <c r="J1345" i="20"/>
  <c r="J731" i="20"/>
  <c r="J858" i="20"/>
  <c r="J831" i="20"/>
  <c r="J816" i="20"/>
  <c r="J1387" i="20"/>
  <c r="J450" i="20"/>
  <c r="J208" i="20"/>
  <c r="J1275" i="20"/>
  <c r="J1330" i="20"/>
  <c r="J263" i="20"/>
  <c r="J1422" i="20"/>
  <c r="J1036" i="20"/>
  <c r="J298" i="20"/>
  <c r="J1003" i="20"/>
  <c r="J644" i="20"/>
  <c r="J917" i="20"/>
  <c r="J159" i="20"/>
  <c r="J465" i="20"/>
  <c r="J865" i="20"/>
  <c r="J148" i="20"/>
  <c r="J1294" i="20"/>
  <c r="J1388" i="20"/>
  <c r="J232" i="20"/>
  <c r="J647" i="20"/>
  <c r="J889" i="20"/>
  <c r="J1134" i="20"/>
  <c r="J1505" i="20"/>
  <c r="J1157" i="20"/>
  <c r="J542" i="20"/>
  <c r="J323" i="20"/>
  <c r="J761" i="20"/>
  <c r="J755" i="20"/>
  <c r="J643" i="20"/>
  <c r="J1065" i="20"/>
  <c r="J451" i="20"/>
  <c r="J424" i="20"/>
  <c r="J768" i="20"/>
  <c r="J1343" i="20"/>
  <c r="J70" i="20"/>
  <c r="J1222" i="20"/>
  <c r="J514" i="20"/>
  <c r="J499" i="20"/>
  <c r="J1033" i="20"/>
  <c r="J1067" i="20"/>
  <c r="J1167" i="20"/>
  <c r="J421" i="20"/>
  <c r="J1301" i="20"/>
  <c r="J463" i="20"/>
  <c r="J1038" i="20"/>
  <c r="J1358" i="20"/>
  <c r="J30" i="20"/>
  <c r="J438" i="20"/>
  <c r="J1148" i="20"/>
  <c r="J1439" i="20"/>
  <c r="J1260" i="20"/>
  <c r="J1173" i="20"/>
  <c r="J1373" i="20"/>
  <c r="J55" i="20"/>
  <c r="J304" i="20"/>
  <c r="J378" i="20"/>
  <c r="J1279" i="20"/>
  <c r="J238" i="20"/>
  <c r="J1385" i="20"/>
  <c r="J859" i="20"/>
  <c r="J965" i="20"/>
  <c r="J1375" i="20"/>
  <c r="J783" i="20"/>
  <c r="J479" i="20"/>
  <c r="J611" i="20"/>
  <c r="J882" i="20"/>
  <c r="J660" i="20"/>
  <c r="J477" i="20"/>
  <c r="J476" i="20"/>
  <c r="J1124" i="20"/>
  <c r="J205" i="20"/>
  <c r="J995" i="20"/>
  <c r="J265" i="20"/>
  <c r="J225" i="20"/>
  <c r="J166" i="20"/>
  <c r="J345" i="20"/>
  <c r="J1210" i="20"/>
  <c r="J158" i="20"/>
  <c r="J1265" i="20"/>
  <c r="J640" i="20"/>
  <c r="J1018" i="20"/>
  <c r="J1056" i="20"/>
  <c r="J1272" i="20"/>
  <c r="J82" i="20"/>
  <c r="J311" i="20"/>
  <c r="J620" i="20"/>
  <c r="J500" i="20"/>
  <c r="J1502" i="20"/>
  <c r="J794" i="20"/>
  <c r="J392" i="20"/>
  <c r="J600" i="20"/>
  <c r="J498" i="20"/>
  <c r="J1149" i="20"/>
  <c r="J1153" i="20"/>
  <c r="J1393" i="20"/>
  <c r="J483" i="20"/>
  <c r="J260" i="20"/>
  <c r="J1309" i="20"/>
  <c r="J1001" i="20"/>
  <c r="J1057" i="20"/>
  <c r="J873" i="20"/>
  <c r="J657" i="20"/>
  <c r="J1363" i="20"/>
  <c r="J211" i="20"/>
  <c r="J1212" i="20"/>
  <c r="J267" i="20"/>
  <c r="J554" i="20"/>
  <c r="J1117" i="20"/>
  <c r="J742" i="20"/>
  <c r="J602" i="20"/>
  <c r="J883" i="20"/>
  <c r="J988" i="20"/>
  <c r="J1449" i="20"/>
  <c r="J615" i="20"/>
  <c r="J44" i="20"/>
  <c r="J16" i="20"/>
  <c r="J192" i="20"/>
  <c r="J382" i="20"/>
  <c r="J150" i="20"/>
  <c r="J377" i="20"/>
  <c r="J1383" i="20"/>
  <c r="J58" i="20"/>
  <c r="J936" i="20"/>
  <c r="J1237" i="20"/>
  <c r="J128" i="20"/>
  <c r="J1462" i="20"/>
  <c r="J389" i="20"/>
  <c r="J1158" i="20"/>
  <c r="J871" i="20"/>
  <c r="J541" i="20"/>
  <c r="J285" i="20"/>
  <c r="J448" i="20"/>
  <c r="J1277" i="20"/>
  <c r="J1084" i="20"/>
  <c r="J1485" i="20"/>
  <c r="J50" i="20"/>
  <c r="J1226" i="20"/>
  <c r="J441" i="20"/>
  <c r="J350" i="20"/>
  <c r="J1384" i="20"/>
  <c r="J73" i="20"/>
  <c r="J826" i="20"/>
  <c r="J116" i="20"/>
  <c r="J419" i="20"/>
  <c r="J415" i="20"/>
  <c r="J789" i="20"/>
  <c r="J397" i="20"/>
  <c r="J565" i="20"/>
  <c r="J360" i="20"/>
  <c r="J684" i="20"/>
  <c r="J488" i="20"/>
  <c r="J966" i="20"/>
  <c r="J1159" i="20"/>
  <c r="J1369" i="20"/>
  <c r="J57" i="20"/>
  <c r="J651" i="20"/>
  <c r="J690" i="20"/>
  <c r="J398" i="20"/>
  <c r="J1322" i="20"/>
  <c r="J930" i="20"/>
  <c r="J706" i="20"/>
  <c r="J849" i="20"/>
  <c r="J1353" i="20"/>
  <c r="J601" i="20"/>
  <c r="J65" i="20"/>
  <c r="J216" i="20"/>
  <c r="J428" i="20"/>
  <c r="J403" i="20"/>
  <c r="J1121" i="20"/>
  <c r="J1484" i="20"/>
  <c r="J327" i="20"/>
  <c r="J1062" i="20"/>
  <c r="J1378" i="20"/>
  <c r="J986" i="20"/>
  <c r="J791" i="20"/>
  <c r="J1276" i="20"/>
  <c r="J1453" i="20"/>
  <c r="J182" i="20"/>
  <c r="J1016" i="20"/>
  <c r="J277" i="20"/>
  <c r="J807" i="20"/>
  <c r="J156" i="20"/>
  <c r="J1030" i="20"/>
  <c r="J1364" i="20"/>
  <c r="J1070" i="20"/>
  <c r="J909" i="20"/>
  <c r="J353" i="20"/>
  <c r="J229" i="20"/>
  <c r="J1138" i="20"/>
  <c r="J1286" i="20"/>
  <c r="J270" i="20"/>
  <c r="J1144" i="20"/>
  <c r="J383" i="20"/>
  <c r="J948" i="20"/>
  <c r="J982" i="20"/>
  <c r="J1431" i="20"/>
  <c r="J1073" i="20"/>
  <c r="J862" i="20"/>
  <c r="J1133" i="20"/>
  <c r="J135" i="20"/>
  <c r="J292" i="20"/>
  <c r="J1203" i="20"/>
  <c r="J445" i="20"/>
  <c r="J749" i="20"/>
  <c r="J99" i="20"/>
  <c r="J866" i="20"/>
  <c r="J101" i="20"/>
  <c r="J1090" i="20"/>
  <c r="J338" i="20"/>
  <c r="J975" i="20"/>
  <c r="J818" i="20"/>
  <c r="J1269" i="20"/>
  <c r="J1231" i="20"/>
  <c r="J491" i="20"/>
  <c r="J1019" i="20"/>
  <c r="J1238" i="20"/>
  <c r="J1054" i="20"/>
  <c r="J980" i="20"/>
  <c r="J1096" i="20"/>
  <c r="J1141" i="20"/>
  <c r="J953" i="20"/>
  <c r="J324" i="20"/>
  <c r="J911" i="20"/>
  <c r="J442" i="20"/>
  <c r="J962" i="20"/>
  <c r="J1179" i="20"/>
  <c r="J677" i="20"/>
  <c r="J1045" i="20"/>
  <c r="J1326" i="20"/>
  <c r="J1328" i="20"/>
  <c r="J833" i="20"/>
  <c r="J255" i="20"/>
  <c r="J757" i="20"/>
  <c r="J474" i="20"/>
  <c r="J297" i="20"/>
  <c r="J984" i="20"/>
  <c r="J609" i="20"/>
  <c r="J654" i="20"/>
  <c r="J471" i="20"/>
  <c r="J1184" i="20"/>
  <c r="J861" i="20"/>
  <c r="J280" i="20"/>
  <c r="J872" i="20"/>
  <c r="J806" i="20"/>
  <c r="J778" i="20"/>
  <c r="J606" i="20"/>
  <c r="J375" i="20"/>
  <c r="J892" i="20"/>
  <c r="J782" i="20"/>
  <c r="J1220" i="20"/>
  <c r="J1389" i="20"/>
  <c r="J1437" i="20"/>
  <c r="J1079" i="20"/>
  <c r="J961" i="20"/>
  <c r="J1052" i="20"/>
  <c r="J510" i="20"/>
  <c r="J1495" i="20"/>
  <c r="J226" i="20"/>
  <c r="J1242" i="20"/>
  <c r="J624" i="20"/>
  <c r="J745" i="20"/>
  <c r="J244" i="20"/>
  <c r="J890" i="20"/>
  <c r="J763" i="20"/>
  <c r="J1118" i="20"/>
  <c r="J626" i="20"/>
  <c r="J1193" i="20"/>
  <c r="J1244" i="20"/>
  <c r="J1122" i="20"/>
  <c r="J1151" i="20"/>
  <c r="J714" i="20"/>
  <c r="J363" i="20"/>
  <c r="J1098" i="20"/>
  <c r="J1074" i="20"/>
  <c r="J1281" i="20"/>
  <c r="J1311" i="20"/>
  <c r="J366" i="20"/>
  <c r="J1155" i="20"/>
  <c r="J164" i="20"/>
  <c r="J1312" i="20"/>
  <c r="J939" i="20"/>
  <c r="J145" i="20"/>
  <c r="J523" i="20"/>
  <c r="J661" i="20"/>
  <c r="J77" i="20"/>
  <c r="J808" i="20"/>
  <c r="J290" i="20"/>
  <c r="J373" i="20"/>
  <c r="J447" i="20"/>
  <c r="J149" i="20"/>
  <c r="J900" i="20"/>
  <c r="J931" i="20"/>
  <c r="J1490" i="20"/>
  <c r="J314" i="20"/>
  <c r="J711" i="20"/>
  <c r="J1487" i="20"/>
  <c r="J989" i="20"/>
  <c r="J507" i="20"/>
  <c r="J954" i="20"/>
  <c r="J645" i="20"/>
  <c r="J1496" i="20"/>
  <c r="J384" i="20"/>
  <c r="J912" i="20"/>
  <c r="J1350" i="20"/>
  <c r="J332" i="20"/>
  <c r="J302" i="20"/>
  <c r="J920" i="20"/>
  <c r="J1421" i="20"/>
  <c r="J963" i="20"/>
  <c r="J395" i="20"/>
  <c r="J93" i="20"/>
  <c r="J732" i="20"/>
  <c r="J1233" i="20"/>
  <c r="J1423" i="20"/>
  <c r="J1411" i="20"/>
  <c r="J785" i="20"/>
  <c r="J88" i="20"/>
  <c r="J1428" i="20"/>
  <c r="J372" i="20"/>
  <c r="J439" i="20"/>
  <c r="J662" i="20"/>
  <c r="J780" i="20"/>
  <c r="J184" i="20"/>
  <c r="J484" i="20"/>
  <c r="J222" i="20"/>
  <c r="J1299" i="20"/>
  <c r="J1246" i="20"/>
  <c r="J688" i="20"/>
  <c r="J919" i="20"/>
  <c r="J105" i="20"/>
  <c r="J702" i="20"/>
  <c r="J868" i="20"/>
  <c r="J1354" i="20"/>
  <c r="J295" i="20"/>
  <c r="J107" i="20"/>
  <c r="J1126" i="20"/>
  <c r="J33" i="20"/>
  <c r="J379" i="20"/>
  <c r="J351" i="20"/>
  <c r="J1211" i="20"/>
  <c r="J1160" i="20"/>
  <c r="J605" i="20"/>
  <c r="J1403" i="20"/>
  <c r="J885" i="20"/>
  <c r="J207" i="20"/>
  <c r="J125" i="20"/>
  <c r="J1191" i="20"/>
  <c r="J95" i="20"/>
  <c r="J172" i="20"/>
  <c r="J401" i="20"/>
  <c r="J725" i="20"/>
  <c r="J429" i="20"/>
  <c r="J1448" i="20"/>
  <c r="J594" i="20"/>
  <c r="J251" i="20"/>
  <c r="J679" i="20"/>
  <c r="J1137" i="20"/>
  <c r="J1274" i="20"/>
  <c r="J407" i="20"/>
  <c r="J1266" i="20"/>
  <c r="J1120" i="20"/>
  <c r="J1475" i="20"/>
  <c r="J1046" i="20"/>
  <c r="J528" i="20"/>
  <c r="J876" i="20"/>
  <c r="J32" i="20"/>
  <c r="J212" i="20"/>
  <c r="J1206" i="20"/>
  <c r="J913" i="20"/>
  <c r="J117" i="20"/>
  <c r="J1129" i="20"/>
  <c r="J1128" i="20"/>
  <c r="J261" i="20"/>
  <c r="J23" i="20"/>
  <c r="J388" i="20"/>
  <c r="J1352" i="20"/>
  <c r="J1035" i="20"/>
  <c r="J1204" i="20"/>
  <c r="J176" i="20"/>
  <c r="J1181" i="20"/>
  <c r="J1170" i="20"/>
  <c r="J1223" i="20"/>
  <c r="J1391" i="20"/>
  <c r="J533" i="20"/>
  <c r="J1075" i="20"/>
  <c r="J1313" i="20"/>
  <c r="J870" i="20"/>
  <c r="J456" i="20"/>
  <c r="J228" i="20"/>
  <c r="J126" i="20"/>
  <c r="J526" i="20"/>
  <c r="J266" i="20"/>
  <c r="J846" i="20"/>
  <c r="J76" i="20"/>
  <c r="J708" i="20"/>
  <c r="J1434" i="20"/>
  <c r="J1051" i="20"/>
  <c r="J701" i="20"/>
  <c r="J1083" i="20"/>
  <c r="J26" i="20"/>
  <c r="J578" i="20"/>
  <c r="J1095" i="20"/>
  <c r="J185" i="20"/>
  <c r="J1492" i="20"/>
  <c r="J59" i="20"/>
  <c r="J52" i="20"/>
  <c r="J1282" i="20"/>
  <c r="J1477" i="20"/>
  <c r="J1293" i="20"/>
  <c r="J628" i="20"/>
  <c r="J656" i="20"/>
  <c r="J365" i="20"/>
  <c r="J905" i="20"/>
  <c r="J774" i="20"/>
  <c r="J202" i="20"/>
  <c r="J94" i="20"/>
  <c r="J974" i="20"/>
  <c r="J729" i="20"/>
  <c r="J112" i="20"/>
  <c r="J536" i="20"/>
  <c r="J815" i="20"/>
  <c r="J553" i="20"/>
  <c r="J558" i="20"/>
  <c r="J250" i="20"/>
  <c r="J1104" i="20"/>
  <c r="J404" i="20"/>
  <c r="J524" i="20"/>
  <c r="J269" i="20"/>
  <c r="J1196" i="20"/>
  <c r="J1089" i="20"/>
  <c r="J274" i="20"/>
  <c r="J623" i="20"/>
  <c r="J1399" i="20"/>
  <c r="J754" i="20"/>
  <c r="J940" i="20"/>
  <c r="J887" i="20"/>
  <c r="J475" i="20"/>
  <c r="J570" i="20"/>
  <c r="J362" i="20"/>
  <c r="J301" i="20"/>
  <c r="J960" i="20"/>
  <c r="J727" i="20"/>
  <c r="J658" i="20"/>
  <c r="J796" i="20"/>
  <c r="J972" i="20"/>
  <c r="J1456" i="20"/>
  <c r="J271" i="20"/>
  <c r="J879" i="20"/>
  <c r="J1165" i="20"/>
  <c r="J579" i="20"/>
  <c r="J1508" i="20"/>
  <c r="J671" i="20"/>
  <c r="J1156" i="20"/>
  <c r="J1099" i="20"/>
  <c r="J1450" i="20"/>
  <c r="J239" i="20"/>
  <c r="J581" i="20"/>
  <c r="J1291" i="20"/>
  <c r="J559" i="20"/>
  <c r="J114" i="20"/>
  <c r="J1216" i="20"/>
  <c r="J880" i="20"/>
  <c r="J720" i="20"/>
  <c r="J689" i="20"/>
  <c r="J1028" i="20"/>
  <c r="J1023" i="20"/>
  <c r="J1469" i="20"/>
  <c r="J557" i="20"/>
  <c r="J907" i="20"/>
  <c r="J1050" i="20"/>
  <c r="J991" i="20"/>
  <c r="J1412" i="20"/>
  <c r="J1466" i="20"/>
  <c r="J1059" i="20"/>
  <c r="J799" i="20"/>
  <c r="J933" i="20"/>
  <c r="J399" i="20"/>
  <c r="J1245" i="20"/>
  <c r="J1478" i="20"/>
  <c r="J1197" i="20"/>
  <c r="J770" i="20"/>
  <c r="J218" i="20"/>
  <c r="J681" i="20"/>
  <c r="J191" i="20"/>
  <c r="J993" i="20"/>
  <c r="J1308" i="20"/>
  <c r="J918" i="20"/>
  <c r="J282" i="20"/>
  <c r="J1455" i="20"/>
  <c r="J1438" i="20"/>
  <c r="J1457" i="20"/>
  <c r="J1480" i="20"/>
  <c r="J306" i="20"/>
  <c r="J1402" i="20"/>
  <c r="J675" i="20"/>
  <c r="J522" i="20"/>
  <c r="J1321" i="20"/>
  <c r="J678" i="20"/>
  <c r="J1317" i="20"/>
  <c r="J992" i="20"/>
  <c r="J1270" i="20"/>
  <c r="J497" i="20"/>
  <c r="J793" i="20"/>
  <c r="J641" i="20"/>
  <c r="J561" i="20"/>
  <c r="J1161" i="20"/>
  <c r="J454" i="20"/>
  <c r="J63" i="20"/>
  <c r="J582" i="20"/>
  <c r="R44" i="38"/>
  <c r="D15" i="20" a="1"/>
  <c r="O35" i="20"/>
  <c r="O36" i="20" s="1"/>
  <c r="O37" i="20" s="1"/>
  <c r="O38" i="20" s="1"/>
  <c r="O39" i="20" s="1"/>
  <c r="O40" i="20" s="1"/>
  <c r="O41" i="20" s="1"/>
  <c r="O42" i="20" s="1"/>
  <c r="O43" i="20" s="1"/>
  <c r="O44" i="20" s="1"/>
  <c r="O45" i="20" s="1"/>
  <c r="O46" i="20" s="1"/>
  <c r="O47" i="20" s="1"/>
  <c r="O48" i="20" s="1"/>
  <c r="O49" i="20" s="1"/>
  <c r="O50" i="20" s="1"/>
  <c r="O51" i="20" s="1"/>
  <c r="O52" i="20" s="1"/>
  <c r="O53" i="20" s="1"/>
  <c r="O54" i="20" s="1"/>
  <c r="O55" i="20" s="1"/>
  <c r="O56" i="20" s="1"/>
  <c r="O57" i="20" s="1"/>
  <c r="O58" i="20" s="1"/>
  <c r="O59" i="20" s="1"/>
  <c r="O60" i="20" s="1"/>
  <c r="O61" i="20" s="1"/>
  <c r="O62" i="20" s="1"/>
  <c r="O63" i="20" s="1"/>
  <c r="O64" i="20" s="1"/>
  <c r="O65" i="20" s="1"/>
  <c r="O66" i="20" s="1"/>
  <c r="O67" i="20" s="1"/>
  <c r="O68" i="20" s="1"/>
  <c r="O69" i="20" s="1"/>
  <c r="O70" i="20" s="1"/>
  <c r="O71" i="20" s="1"/>
  <c r="O72" i="20" s="1"/>
  <c r="O73" i="20" s="1"/>
  <c r="O74" i="20" s="1"/>
  <c r="O75" i="20" s="1"/>
  <c r="O76" i="20" s="1"/>
  <c r="O77" i="20" s="1"/>
  <c r="O78" i="20" s="1"/>
  <c r="O79" i="20" s="1"/>
  <c r="O80" i="20" s="1"/>
  <c r="O81" i="20" s="1"/>
  <c r="O82" i="20" s="1"/>
  <c r="O83" i="20" s="1"/>
  <c r="O84" i="20" s="1"/>
  <c r="O85" i="20" s="1"/>
  <c r="O86" i="20" s="1"/>
  <c r="O87" i="20" s="1"/>
  <c r="O88" i="20" s="1"/>
  <c r="O89" i="20" s="1"/>
  <c r="O90" i="20" s="1"/>
  <c r="O91" i="20" s="1"/>
  <c r="O92" i="20" s="1"/>
  <c r="O93" i="20" s="1"/>
  <c r="O94" i="20" s="1"/>
  <c r="O95" i="20" s="1"/>
  <c r="O96" i="20" s="1"/>
  <c r="O97" i="20" s="1"/>
  <c r="O98" i="20" s="1"/>
  <c r="O99" i="20" s="1"/>
  <c r="O100" i="20" s="1"/>
  <c r="O101" i="20" s="1"/>
  <c r="O102" i="20" s="1"/>
  <c r="O103" i="20" s="1"/>
  <c r="O104" i="20" s="1"/>
  <c r="O105" i="20" s="1"/>
  <c r="O106" i="20" s="1"/>
  <c r="O107" i="20" s="1"/>
  <c r="O108" i="20" s="1"/>
  <c r="O109" i="20" s="1"/>
  <c r="O110" i="20" s="1"/>
  <c r="O111" i="20" s="1"/>
  <c r="O112" i="20" s="1"/>
  <c r="O113" i="20" s="1"/>
  <c r="O114" i="20" s="1"/>
  <c r="O115" i="20" s="1"/>
  <c r="O116" i="20" s="1"/>
  <c r="O117" i="20" s="1"/>
  <c r="O118" i="20" s="1"/>
  <c r="O119" i="20" s="1"/>
  <c r="O120" i="20" s="1"/>
  <c r="O121" i="20" s="1"/>
  <c r="O122" i="20" s="1"/>
  <c r="O123" i="20" s="1"/>
  <c r="O124" i="20" s="1"/>
  <c r="O125" i="20" s="1"/>
  <c r="O126" i="20" s="1"/>
  <c r="O127" i="20" s="1"/>
  <c r="O128" i="20" s="1"/>
  <c r="O129" i="20" s="1"/>
  <c r="O130" i="20" s="1"/>
  <c r="O131" i="20" s="1"/>
  <c r="O132" i="20" s="1"/>
  <c r="O133" i="20" s="1"/>
  <c r="O134" i="20" s="1"/>
  <c r="O135" i="20" s="1"/>
  <c r="O136" i="20" s="1"/>
  <c r="O137" i="20" s="1"/>
  <c r="O138" i="20" s="1"/>
  <c r="O139" i="20" s="1"/>
  <c r="O140" i="20" s="1"/>
  <c r="O141" i="20" s="1"/>
  <c r="O142" i="20" s="1"/>
  <c r="O143" i="20" s="1"/>
  <c r="O144" i="20" s="1"/>
  <c r="O145" i="20" s="1"/>
  <c r="O146" i="20" s="1"/>
  <c r="O147" i="20" s="1"/>
  <c r="O148" i="20" s="1"/>
  <c r="O149" i="20" s="1"/>
  <c r="O150" i="20" s="1"/>
  <c r="O151" i="20" s="1"/>
  <c r="O152" i="20" s="1"/>
  <c r="O153" i="20" s="1"/>
  <c r="O154" i="20" s="1"/>
  <c r="O155" i="20" s="1"/>
  <c r="O156" i="20" s="1"/>
  <c r="O157" i="20" s="1"/>
  <c r="O158" i="20" s="1"/>
  <c r="O159" i="20" s="1"/>
  <c r="O160" i="20" s="1"/>
  <c r="O161" i="20" s="1"/>
  <c r="O162" i="20" s="1"/>
  <c r="O163" i="20" s="1"/>
  <c r="O164" i="20" s="1"/>
  <c r="O165" i="20" s="1"/>
  <c r="O166" i="20" s="1"/>
  <c r="O167" i="20" s="1"/>
  <c r="O168" i="20" s="1"/>
  <c r="O169" i="20" s="1"/>
  <c r="O170" i="20" s="1"/>
  <c r="O171" i="20" s="1"/>
  <c r="O172" i="20" s="1"/>
  <c r="O173" i="20" s="1"/>
  <c r="O174" i="20" s="1"/>
  <c r="O175" i="20" s="1"/>
  <c r="O176" i="20" s="1"/>
  <c r="O177" i="20" s="1"/>
  <c r="O178" i="20" s="1"/>
  <c r="O179" i="20" s="1"/>
  <c r="O180" i="20" s="1"/>
  <c r="O181" i="20" s="1"/>
  <c r="O182" i="20" s="1"/>
  <c r="O183" i="20" s="1"/>
  <c r="O184" i="20" s="1"/>
  <c r="O185" i="20" s="1"/>
  <c r="O186" i="20" s="1"/>
  <c r="O187" i="20" s="1"/>
  <c r="O188" i="20" s="1"/>
  <c r="O189" i="20" s="1"/>
  <c r="O190" i="20" s="1"/>
  <c r="O191" i="20" s="1"/>
  <c r="O192" i="20" s="1"/>
  <c r="O193" i="20" s="1"/>
  <c r="O194" i="20" s="1"/>
  <c r="O195" i="20" s="1"/>
  <c r="O196" i="20" s="1"/>
  <c r="O197" i="20" s="1"/>
  <c r="O198" i="20" s="1"/>
  <c r="O199" i="20" s="1"/>
  <c r="O200" i="20" s="1"/>
  <c r="O201" i="20" s="1"/>
  <c r="O202" i="20" s="1"/>
  <c r="O203" i="20" s="1"/>
  <c r="O204" i="20" s="1"/>
  <c r="O205" i="20" s="1"/>
  <c r="O206" i="20" s="1"/>
  <c r="O207" i="20" s="1"/>
  <c r="O208" i="20" s="1"/>
  <c r="O209" i="20" s="1"/>
  <c r="O210" i="20" s="1"/>
  <c r="O211" i="20" s="1"/>
  <c r="O212" i="20" s="1"/>
  <c r="O213" i="20" s="1"/>
  <c r="O214" i="20" s="1"/>
  <c r="O215" i="20" s="1"/>
  <c r="O216" i="20" s="1"/>
  <c r="O217" i="20" s="1"/>
  <c r="O218" i="20" s="1"/>
  <c r="O219" i="20" s="1"/>
  <c r="O220" i="20" s="1"/>
  <c r="O221" i="20" s="1"/>
  <c r="O222" i="20" s="1"/>
  <c r="O223" i="20" s="1"/>
  <c r="O224" i="20" s="1"/>
  <c r="O225" i="20" s="1"/>
  <c r="O226" i="20" s="1"/>
  <c r="O227" i="20" s="1"/>
  <c r="O228" i="20" s="1"/>
  <c r="O229" i="20" s="1"/>
  <c r="O230" i="20" s="1"/>
  <c r="O231" i="20" s="1"/>
  <c r="O232" i="20" s="1"/>
  <c r="O233" i="20" s="1"/>
  <c r="O234" i="20" s="1"/>
  <c r="O235" i="20" s="1"/>
  <c r="O236" i="20" s="1"/>
  <c r="O237" i="20" s="1"/>
  <c r="O238" i="20" s="1"/>
  <c r="O239" i="20" s="1"/>
  <c r="O240" i="20" s="1"/>
  <c r="O241" i="20" s="1"/>
  <c r="O242" i="20" s="1"/>
  <c r="O243" i="20" s="1"/>
  <c r="O244" i="20" s="1"/>
  <c r="O245" i="20" s="1"/>
  <c r="O246" i="20" s="1"/>
  <c r="O247" i="20" s="1"/>
  <c r="O248" i="20" s="1"/>
  <c r="O249" i="20" s="1"/>
  <c r="O250" i="20" s="1"/>
  <c r="O251" i="20" s="1"/>
  <c r="O252" i="20" s="1"/>
  <c r="O253" i="20" s="1"/>
  <c r="O254" i="20" s="1"/>
  <c r="O255" i="20" s="1"/>
  <c r="O256" i="20" s="1"/>
  <c r="O257" i="20" s="1"/>
  <c r="O258" i="20" s="1"/>
  <c r="O259" i="20" s="1"/>
  <c r="O260" i="20" s="1"/>
  <c r="O261" i="20" s="1"/>
  <c r="O262" i="20" s="1"/>
  <c r="O263" i="20" s="1"/>
  <c r="O264" i="20" s="1"/>
  <c r="O265" i="20" s="1"/>
  <c r="O266" i="20" s="1"/>
  <c r="O267" i="20" s="1"/>
  <c r="O268" i="20" s="1"/>
  <c r="O269" i="20" s="1"/>
  <c r="O270" i="20" s="1"/>
  <c r="O271" i="20" s="1"/>
  <c r="O272" i="20" s="1"/>
  <c r="O273" i="20" s="1"/>
  <c r="O274" i="20" s="1"/>
  <c r="O275" i="20" s="1"/>
  <c r="O276" i="20" s="1"/>
  <c r="O277" i="20" s="1"/>
  <c r="O278" i="20" s="1"/>
  <c r="O279" i="20" s="1"/>
  <c r="O280" i="20" s="1"/>
  <c r="O281" i="20" s="1"/>
  <c r="O282" i="20" s="1"/>
  <c r="O283" i="20" s="1"/>
  <c r="O284" i="20" s="1"/>
  <c r="O285" i="20" s="1"/>
  <c r="O286" i="20" s="1"/>
  <c r="O287" i="20" s="1"/>
  <c r="O288" i="20" s="1"/>
  <c r="O289" i="20" s="1"/>
  <c r="O290" i="20" s="1"/>
  <c r="O291" i="20" s="1"/>
  <c r="O292" i="20" s="1"/>
  <c r="O293" i="20" s="1"/>
  <c r="O294" i="20" s="1"/>
  <c r="O295" i="20" s="1"/>
  <c r="O296" i="20" s="1"/>
  <c r="O297" i="20" s="1"/>
  <c r="O298" i="20" s="1"/>
  <c r="O299" i="20" s="1"/>
  <c r="O300" i="20" s="1"/>
  <c r="O301" i="20" s="1"/>
  <c r="O302" i="20" s="1"/>
  <c r="O303" i="20" s="1"/>
  <c r="O304" i="20" s="1"/>
  <c r="O305" i="20" s="1"/>
  <c r="O306" i="20" s="1"/>
  <c r="O307" i="20" s="1"/>
  <c r="O308" i="20" s="1"/>
  <c r="O309" i="20" s="1"/>
  <c r="O310" i="20" s="1"/>
  <c r="O311" i="20" s="1"/>
  <c r="O312" i="20" s="1"/>
  <c r="O313" i="20" s="1"/>
  <c r="O314" i="20" s="1"/>
  <c r="O315" i="20" s="1"/>
  <c r="O316" i="20" s="1"/>
  <c r="O317" i="20" s="1"/>
  <c r="O318" i="20" s="1"/>
  <c r="O319" i="20" s="1"/>
  <c r="O320" i="20" s="1"/>
  <c r="O321" i="20" s="1"/>
  <c r="O322" i="20" s="1"/>
  <c r="O323" i="20" s="1"/>
  <c r="O324" i="20" s="1"/>
  <c r="O325" i="20" s="1"/>
  <c r="O326" i="20" s="1"/>
  <c r="O327" i="20" s="1"/>
  <c r="O328" i="20" s="1"/>
  <c r="O329" i="20" s="1"/>
  <c r="O330" i="20" s="1"/>
  <c r="O331" i="20" s="1"/>
  <c r="O332" i="20" s="1"/>
  <c r="O333" i="20" s="1"/>
  <c r="O334" i="20" s="1"/>
  <c r="O335" i="20" s="1"/>
  <c r="O336" i="20" s="1"/>
  <c r="O337" i="20" s="1"/>
  <c r="O338" i="20" s="1"/>
  <c r="O339" i="20" s="1"/>
  <c r="O340" i="20" s="1"/>
  <c r="O341" i="20" s="1"/>
  <c r="O342" i="20" s="1"/>
  <c r="O343" i="20" s="1"/>
  <c r="O344" i="20" s="1"/>
  <c r="O345" i="20" s="1"/>
  <c r="O346" i="20" s="1"/>
  <c r="O347" i="20" s="1"/>
  <c r="O348" i="20" s="1"/>
  <c r="O349" i="20" s="1"/>
  <c r="O350" i="20" s="1"/>
  <c r="O351" i="20" s="1"/>
  <c r="O352" i="20" s="1"/>
  <c r="O353" i="20" s="1"/>
  <c r="O354" i="20" s="1"/>
  <c r="O355" i="20" s="1"/>
  <c r="O356" i="20" s="1"/>
  <c r="O357" i="20" s="1"/>
  <c r="O358" i="20" s="1"/>
  <c r="O359" i="20" s="1"/>
  <c r="O360" i="20" s="1"/>
  <c r="O361" i="20" s="1"/>
  <c r="O362" i="20" s="1"/>
  <c r="O363" i="20" s="1"/>
  <c r="O364" i="20" s="1"/>
  <c r="O365" i="20" s="1"/>
  <c r="O366" i="20" s="1"/>
  <c r="O367" i="20" s="1"/>
  <c r="O368" i="20" s="1"/>
  <c r="O369" i="20" s="1"/>
  <c r="O370" i="20" s="1"/>
  <c r="O371" i="20" s="1"/>
  <c r="O372" i="20" s="1"/>
  <c r="O373" i="20" s="1"/>
  <c r="O374" i="20" s="1"/>
  <c r="O375" i="20" s="1"/>
  <c r="O376" i="20" s="1"/>
  <c r="O377" i="20" s="1"/>
  <c r="O378" i="20" s="1"/>
  <c r="O379" i="20" s="1"/>
  <c r="O380" i="20" s="1"/>
  <c r="O381" i="20" s="1"/>
  <c r="O382" i="20" s="1"/>
  <c r="O383" i="20" s="1"/>
  <c r="O384" i="20" s="1"/>
  <c r="O385" i="20" s="1"/>
  <c r="O386" i="20" s="1"/>
  <c r="O387" i="20" s="1"/>
  <c r="O388" i="20" s="1"/>
  <c r="O389" i="20" s="1"/>
  <c r="O390" i="20" s="1"/>
  <c r="O391" i="20" s="1"/>
  <c r="O392" i="20" s="1"/>
  <c r="O393" i="20" s="1"/>
  <c r="O394" i="20" s="1"/>
  <c r="O395" i="20" s="1"/>
  <c r="O396" i="20" s="1"/>
  <c r="O397" i="20" s="1"/>
  <c r="O398" i="20" s="1"/>
  <c r="O399" i="20" s="1"/>
  <c r="O400" i="20" s="1"/>
  <c r="O401" i="20" s="1"/>
  <c r="O402" i="20" s="1"/>
  <c r="O403" i="20" s="1"/>
  <c r="O404" i="20" s="1"/>
  <c r="O405" i="20" s="1"/>
  <c r="O406" i="20" s="1"/>
  <c r="O407" i="20" s="1"/>
  <c r="O408" i="20" s="1"/>
  <c r="O409" i="20" s="1"/>
  <c r="O410" i="20" s="1"/>
  <c r="O411" i="20" s="1"/>
  <c r="O412" i="20" s="1"/>
  <c r="O413" i="20" s="1"/>
  <c r="O414" i="20" s="1"/>
  <c r="O415" i="20" s="1"/>
  <c r="O416" i="20" s="1"/>
  <c r="O417" i="20" s="1"/>
  <c r="O418" i="20" s="1"/>
  <c r="O419" i="20" s="1"/>
  <c r="O420" i="20" s="1"/>
  <c r="O421" i="20" s="1"/>
  <c r="O422" i="20" s="1"/>
  <c r="O423" i="20" s="1"/>
  <c r="O424" i="20" s="1"/>
  <c r="O425" i="20" s="1"/>
  <c r="O426" i="20" s="1"/>
  <c r="O427" i="20" s="1"/>
  <c r="O428" i="20" s="1"/>
  <c r="O429" i="20" s="1"/>
  <c r="O430" i="20" s="1"/>
  <c r="O431" i="20" s="1"/>
  <c r="O432" i="20" s="1"/>
  <c r="O433" i="20" s="1"/>
  <c r="O434" i="20" s="1"/>
  <c r="O435" i="20" s="1"/>
  <c r="O436" i="20" s="1"/>
  <c r="O437" i="20" s="1"/>
  <c r="O438" i="20" s="1"/>
  <c r="O439" i="20" s="1"/>
  <c r="O440" i="20" s="1"/>
  <c r="O441" i="20" s="1"/>
  <c r="O442" i="20" s="1"/>
  <c r="O443" i="20" s="1"/>
  <c r="O444" i="20" s="1"/>
  <c r="O445" i="20" s="1"/>
  <c r="O446" i="20" s="1"/>
  <c r="O447" i="20" s="1"/>
  <c r="O448" i="20" s="1"/>
  <c r="O449" i="20" s="1"/>
  <c r="O450" i="20" s="1"/>
  <c r="O451" i="20" s="1"/>
  <c r="O452" i="20" s="1"/>
  <c r="O453" i="20" s="1"/>
  <c r="O454" i="20" s="1"/>
  <c r="O455" i="20" s="1"/>
  <c r="O456" i="20" s="1"/>
  <c r="O457" i="20" s="1"/>
  <c r="O458" i="20" s="1"/>
  <c r="O459" i="20" s="1"/>
  <c r="O460" i="20" s="1"/>
  <c r="O461" i="20" s="1"/>
  <c r="O462" i="20" s="1"/>
  <c r="O463" i="20" s="1"/>
  <c r="O464" i="20" s="1"/>
  <c r="O465" i="20" s="1"/>
  <c r="O466" i="20" s="1"/>
  <c r="O467" i="20" s="1"/>
  <c r="O468" i="20" s="1"/>
  <c r="O469" i="20" s="1"/>
  <c r="O470" i="20" s="1"/>
  <c r="O471" i="20" s="1"/>
  <c r="O472" i="20" s="1"/>
  <c r="O473" i="20" s="1"/>
  <c r="O474" i="20" s="1"/>
  <c r="O475" i="20" s="1"/>
  <c r="O476" i="20" s="1"/>
  <c r="O477" i="20" s="1"/>
  <c r="O478" i="20" s="1"/>
  <c r="O479" i="20" s="1"/>
  <c r="O480" i="20" s="1"/>
  <c r="O481" i="20" s="1"/>
  <c r="O482" i="20" s="1"/>
  <c r="O483" i="20" s="1"/>
  <c r="O484" i="20" s="1"/>
  <c r="O485" i="20" s="1"/>
  <c r="O486" i="20" s="1"/>
  <c r="O487" i="20" s="1"/>
  <c r="O488" i="20" s="1"/>
  <c r="O489" i="20" s="1"/>
  <c r="O490" i="20" s="1"/>
  <c r="O491" i="20" s="1"/>
  <c r="O492" i="20" s="1"/>
  <c r="O493" i="20" s="1"/>
  <c r="O494" i="20" s="1"/>
  <c r="O495" i="20" s="1"/>
  <c r="O496" i="20" s="1"/>
  <c r="O497" i="20" s="1"/>
  <c r="O498" i="20" s="1"/>
  <c r="O499" i="20" s="1"/>
  <c r="O500" i="20" s="1"/>
  <c r="O501" i="20" s="1"/>
  <c r="O502" i="20" s="1"/>
  <c r="O503" i="20" s="1"/>
  <c r="O504" i="20" s="1"/>
  <c r="O505" i="20" s="1"/>
  <c r="O506" i="20" s="1"/>
  <c r="O507" i="20" s="1"/>
  <c r="O508" i="20" s="1"/>
  <c r="O509" i="20" s="1"/>
  <c r="O510" i="20" s="1"/>
  <c r="O511" i="20" s="1"/>
  <c r="O512" i="20" s="1"/>
  <c r="O513" i="20" s="1"/>
  <c r="O514" i="20" s="1"/>
  <c r="O515" i="20" s="1"/>
  <c r="O516" i="20" s="1"/>
  <c r="O517" i="20" s="1"/>
  <c r="O518" i="20" s="1"/>
  <c r="O519" i="20" s="1"/>
  <c r="O520" i="20" s="1"/>
  <c r="O521" i="20" s="1"/>
  <c r="O522" i="20" s="1"/>
  <c r="O523" i="20" s="1"/>
  <c r="O524" i="20" s="1"/>
  <c r="O525" i="20" s="1"/>
  <c r="O526" i="20" s="1"/>
  <c r="O527" i="20" s="1"/>
  <c r="O528" i="20" s="1"/>
  <c r="O529" i="20" s="1"/>
  <c r="O530" i="20" s="1"/>
  <c r="O531" i="20" s="1"/>
  <c r="O532" i="20" s="1"/>
  <c r="O533" i="20" s="1"/>
  <c r="O534" i="20" s="1"/>
  <c r="O535" i="20" s="1"/>
  <c r="O536" i="20" s="1"/>
  <c r="O537" i="20" s="1"/>
  <c r="O538" i="20" s="1"/>
  <c r="O539" i="20" s="1"/>
  <c r="O540" i="20" s="1"/>
  <c r="O541" i="20" s="1"/>
  <c r="O542" i="20" s="1"/>
  <c r="O543" i="20" s="1"/>
  <c r="O544" i="20" s="1"/>
  <c r="O545" i="20" s="1"/>
  <c r="O546" i="20" s="1"/>
  <c r="O547" i="20" s="1"/>
  <c r="O548" i="20" s="1"/>
  <c r="O549" i="20" s="1"/>
  <c r="O550" i="20" s="1"/>
  <c r="O551" i="20" s="1"/>
  <c r="O552" i="20" s="1"/>
  <c r="O553" i="20" s="1"/>
  <c r="O554" i="20" s="1"/>
  <c r="O555" i="20" s="1"/>
  <c r="O556" i="20" s="1"/>
  <c r="O557" i="20" s="1"/>
  <c r="O558" i="20" s="1"/>
  <c r="O559" i="20" s="1"/>
  <c r="O560" i="20" s="1"/>
  <c r="O561" i="20" s="1"/>
  <c r="O562" i="20" s="1"/>
  <c r="O563" i="20" s="1"/>
  <c r="O564" i="20" s="1"/>
  <c r="O565" i="20" s="1"/>
  <c r="O566" i="20" s="1"/>
  <c r="O567" i="20" s="1"/>
  <c r="O568" i="20" s="1"/>
  <c r="O569" i="20" s="1"/>
  <c r="O570" i="20" s="1"/>
  <c r="O571" i="20" s="1"/>
  <c r="O572" i="20" s="1"/>
  <c r="O573" i="20" s="1"/>
  <c r="O574" i="20" s="1"/>
  <c r="O575" i="20" s="1"/>
  <c r="O576" i="20" s="1"/>
  <c r="O577" i="20" s="1"/>
  <c r="O578" i="20" s="1"/>
  <c r="O579" i="20" s="1"/>
  <c r="O580" i="20" s="1"/>
  <c r="O581" i="20" s="1"/>
  <c r="O582" i="20" s="1"/>
  <c r="O583" i="20" s="1"/>
  <c r="O584" i="20" s="1"/>
  <c r="O585" i="20" s="1"/>
  <c r="O586" i="20" s="1"/>
  <c r="O587" i="20" s="1"/>
  <c r="O588" i="20" s="1"/>
  <c r="O589" i="20" s="1"/>
  <c r="O590" i="20" s="1"/>
  <c r="O591" i="20" s="1"/>
  <c r="O592" i="20" s="1"/>
  <c r="O593" i="20" s="1"/>
  <c r="O594" i="20" s="1"/>
  <c r="O595" i="20" s="1"/>
  <c r="O596" i="20" s="1"/>
  <c r="O597" i="20" s="1"/>
  <c r="O598" i="20" s="1"/>
  <c r="O599" i="20" s="1"/>
  <c r="O600" i="20" s="1"/>
  <c r="O601" i="20" s="1"/>
  <c r="O602" i="20" s="1"/>
  <c r="O603" i="20" s="1"/>
  <c r="O604" i="20" s="1"/>
  <c r="O605" i="20" s="1"/>
  <c r="O606" i="20" s="1"/>
  <c r="O607" i="20" s="1"/>
  <c r="O608" i="20" s="1"/>
  <c r="O609" i="20" s="1"/>
  <c r="O610" i="20" s="1"/>
  <c r="O611" i="20" s="1"/>
  <c r="O612" i="20" s="1"/>
  <c r="O613" i="20" s="1"/>
  <c r="O614" i="20" s="1"/>
  <c r="O615" i="20" s="1"/>
  <c r="O616" i="20" s="1"/>
  <c r="O617" i="20" s="1"/>
  <c r="O618" i="20" s="1"/>
  <c r="O619" i="20" s="1"/>
  <c r="O620" i="20" s="1"/>
  <c r="O621" i="20" s="1"/>
  <c r="O622" i="20" s="1"/>
  <c r="O623" i="20" s="1"/>
  <c r="O624" i="20" s="1"/>
  <c r="O625" i="20" s="1"/>
  <c r="O626" i="20" s="1"/>
  <c r="O627" i="20" s="1"/>
  <c r="O628" i="20" s="1"/>
  <c r="O629" i="20" s="1"/>
  <c r="O630" i="20" s="1"/>
  <c r="O631" i="20" s="1"/>
  <c r="O632" i="20" s="1"/>
  <c r="O633" i="20" s="1"/>
  <c r="O634" i="20" s="1"/>
  <c r="O635" i="20" s="1"/>
  <c r="O636" i="20" s="1"/>
  <c r="O637" i="20" s="1"/>
  <c r="O638" i="20" s="1"/>
  <c r="O639" i="20" s="1"/>
  <c r="O640" i="20" s="1"/>
  <c r="O641" i="20" s="1"/>
  <c r="O642" i="20" s="1"/>
  <c r="O643" i="20" s="1"/>
  <c r="O644" i="20" s="1"/>
  <c r="O645" i="20" s="1"/>
  <c r="O646" i="20" s="1"/>
  <c r="O647" i="20" s="1"/>
  <c r="O648" i="20" s="1"/>
  <c r="O649" i="20" s="1"/>
  <c r="O650" i="20" s="1"/>
  <c r="O651" i="20" s="1"/>
  <c r="O652" i="20" s="1"/>
  <c r="O653" i="20" s="1"/>
  <c r="O654" i="20" s="1"/>
  <c r="O655" i="20" s="1"/>
  <c r="O656" i="20" s="1"/>
  <c r="O657" i="20" s="1"/>
  <c r="O658" i="20" s="1"/>
  <c r="O659" i="20" s="1"/>
  <c r="O660" i="20" s="1"/>
  <c r="O661" i="20" s="1"/>
  <c r="O662" i="20" s="1"/>
  <c r="O663" i="20" s="1"/>
  <c r="O664" i="20" s="1"/>
  <c r="O665" i="20" s="1"/>
  <c r="O666" i="20" s="1"/>
  <c r="O667" i="20" s="1"/>
  <c r="O668" i="20" s="1"/>
  <c r="O669" i="20" s="1"/>
  <c r="O670" i="20" s="1"/>
  <c r="O671" i="20" s="1"/>
  <c r="O672" i="20" s="1"/>
  <c r="O673" i="20" s="1"/>
  <c r="O674" i="20" s="1"/>
  <c r="O675" i="20" s="1"/>
  <c r="O676" i="20" s="1"/>
  <c r="O677" i="20" s="1"/>
  <c r="O678" i="20" s="1"/>
  <c r="O679" i="20" s="1"/>
  <c r="O680" i="20" s="1"/>
  <c r="O681" i="20" s="1"/>
  <c r="O682" i="20" s="1"/>
  <c r="O683" i="20" s="1"/>
  <c r="O684" i="20" s="1"/>
  <c r="O685" i="20" s="1"/>
  <c r="O686" i="20" s="1"/>
  <c r="O687" i="20" s="1"/>
  <c r="O688" i="20" s="1"/>
  <c r="O689" i="20" s="1"/>
  <c r="O690" i="20" s="1"/>
  <c r="O691" i="20" s="1"/>
  <c r="O692" i="20" s="1"/>
  <c r="O693" i="20" s="1"/>
  <c r="O694" i="20" s="1"/>
  <c r="O695" i="20" s="1"/>
  <c r="O696" i="20" s="1"/>
  <c r="O697" i="20" s="1"/>
  <c r="O698" i="20" s="1"/>
  <c r="O699" i="20" s="1"/>
  <c r="O700" i="20" s="1"/>
  <c r="O701" i="20" s="1"/>
  <c r="O702" i="20" s="1"/>
  <c r="O703" i="20" s="1"/>
  <c r="O704" i="20" s="1"/>
  <c r="O705" i="20" s="1"/>
  <c r="O706" i="20" s="1"/>
  <c r="O707" i="20" s="1"/>
  <c r="O708" i="20" s="1"/>
  <c r="O709" i="20" s="1"/>
  <c r="O710" i="20" s="1"/>
  <c r="O711" i="20" s="1"/>
  <c r="O712" i="20" s="1"/>
  <c r="O713" i="20" s="1"/>
  <c r="O714" i="20" s="1"/>
  <c r="O715" i="20" s="1"/>
  <c r="O716" i="20" s="1"/>
  <c r="O717" i="20" s="1"/>
  <c r="O718" i="20" s="1"/>
  <c r="O719" i="20" s="1"/>
  <c r="O720" i="20" s="1"/>
  <c r="O721" i="20" s="1"/>
  <c r="O722" i="20" s="1"/>
  <c r="O723" i="20" s="1"/>
  <c r="O724" i="20" s="1"/>
  <c r="O725" i="20" s="1"/>
  <c r="O726" i="20" s="1"/>
  <c r="O727" i="20" s="1"/>
  <c r="O728" i="20" s="1"/>
  <c r="O729" i="20" s="1"/>
  <c r="O730" i="20" s="1"/>
  <c r="O731" i="20" s="1"/>
  <c r="O732" i="20" s="1"/>
  <c r="O733" i="20" s="1"/>
  <c r="O734" i="20" s="1"/>
  <c r="O735" i="20" s="1"/>
  <c r="O736" i="20" s="1"/>
  <c r="O737" i="20" s="1"/>
  <c r="O738" i="20" s="1"/>
  <c r="O739" i="20" s="1"/>
  <c r="O740" i="20" s="1"/>
  <c r="O741" i="20" s="1"/>
  <c r="O742" i="20" s="1"/>
  <c r="O743" i="20" s="1"/>
  <c r="O744" i="20" s="1"/>
  <c r="O745" i="20" s="1"/>
  <c r="O746" i="20" s="1"/>
  <c r="O747" i="20" s="1"/>
  <c r="O748" i="20" s="1"/>
  <c r="O749" i="20" s="1"/>
  <c r="O750" i="20" s="1"/>
  <c r="O751" i="20" s="1"/>
  <c r="O752" i="20" s="1"/>
  <c r="O753" i="20" s="1"/>
  <c r="O754" i="20" s="1"/>
  <c r="O755" i="20" s="1"/>
  <c r="O756" i="20" s="1"/>
  <c r="O757" i="20" s="1"/>
  <c r="O758" i="20" s="1"/>
  <c r="O759" i="20" s="1"/>
  <c r="O760" i="20" s="1"/>
  <c r="O761" i="20" s="1"/>
  <c r="O762" i="20" s="1"/>
  <c r="O763" i="20" s="1"/>
  <c r="O764" i="20" s="1"/>
  <c r="O765" i="20" s="1"/>
  <c r="O766" i="20" s="1"/>
  <c r="O767" i="20" s="1"/>
  <c r="O768" i="20" s="1"/>
  <c r="O769" i="20" s="1"/>
  <c r="O770" i="20" s="1"/>
  <c r="O771" i="20" s="1"/>
  <c r="O772" i="20" s="1"/>
  <c r="O773" i="20" s="1"/>
  <c r="O774" i="20" s="1"/>
  <c r="O775" i="20" s="1"/>
  <c r="O776" i="20" s="1"/>
  <c r="O777" i="20" s="1"/>
  <c r="O778" i="20" s="1"/>
  <c r="O779" i="20" s="1"/>
  <c r="O780" i="20" s="1"/>
  <c r="O781" i="20" s="1"/>
  <c r="O782" i="20" s="1"/>
  <c r="O783" i="20" s="1"/>
  <c r="O784" i="20" s="1"/>
  <c r="O785" i="20" s="1"/>
  <c r="O786" i="20" s="1"/>
  <c r="O787" i="20" s="1"/>
  <c r="O788" i="20" s="1"/>
  <c r="O789" i="20" s="1"/>
  <c r="O790" i="20" s="1"/>
  <c r="O791" i="20" s="1"/>
  <c r="O792" i="20" s="1"/>
  <c r="O793" i="20" s="1"/>
  <c r="O794" i="20" s="1"/>
  <c r="O795" i="20" s="1"/>
  <c r="O796" i="20" s="1"/>
  <c r="O797" i="20" s="1"/>
  <c r="O798" i="20" s="1"/>
  <c r="O799" i="20" s="1"/>
  <c r="O800" i="20" s="1"/>
  <c r="O801" i="20" s="1"/>
  <c r="O802" i="20" s="1"/>
  <c r="O803" i="20" s="1"/>
  <c r="O804" i="20" s="1"/>
  <c r="O805" i="20" s="1"/>
  <c r="O806" i="20" s="1"/>
  <c r="O807" i="20" s="1"/>
  <c r="O808" i="20" s="1"/>
  <c r="O809" i="20" s="1"/>
  <c r="O810" i="20" s="1"/>
  <c r="O811" i="20" s="1"/>
  <c r="O812" i="20" s="1"/>
  <c r="O813" i="20" s="1"/>
  <c r="O814" i="20" s="1"/>
  <c r="O815" i="20" s="1"/>
  <c r="O816" i="20" s="1"/>
  <c r="O817" i="20" s="1"/>
  <c r="O818" i="20" s="1"/>
  <c r="O819" i="20" s="1"/>
  <c r="O820" i="20" s="1"/>
  <c r="O821" i="20" s="1"/>
  <c r="O822" i="20" s="1"/>
  <c r="O823" i="20" s="1"/>
  <c r="O824" i="20" s="1"/>
  <c r="O825" i="20" s="1"/>
  <c r="O826" i="20" s="1"/>
  <c r="O827" i="20" s="1"/>
  <c r="O828" i="20" s="1"/>
  <c r="O829" i="20" s="1"/>
  <c r="O830" i="20" s="1"/>
  <c r="O831" i="20" s="1"/>
  <c r="O832" i="20" s="1"/>
  <c r="O833" i="20" s="1"/>
  <c r="O834" i="20" s="1"/>
  <c r="O835" i="20" s="1"/>
  <c r="O836" i="20" s="1"/>
  <c r="O837" i="20" s="1"/>
  <c r="O838" i="20" s="1"/>
  <c r="O839" i="20" s="1"/>
  <c r="O840" i="20" s="1"/>
  <c r="O841" i="20" s="1"/>
  <c r="O842" i="20" s="1"/>
  <c r="O843" i="20" s="1"/>
  <c r="O844" i="20" s="1"/>
  <c r="O845" i="20" s="1"/>
  <c r="O846" i="20" s="1"/>
  <c r="O847" i="20" s="1"/>
  <c r="O848" i="20" s="1"/>
  <c r="O849" i="20" s="1"/>
  <c r="O850" i="20" s="1"/>
  <c r="O851" i="20" s="1"/>
  <c r="O852" i="20" s="1"/>
  <c r="O853" i="20" s="1"/>
  <c r="O854" i="20" s="1"/>
  <c r="O855" i="20" s="1"/>
  <c r="O856" i="20" s="1"/>
  <c r="O857" i="20" s="1"/>
  <c r="O858" i="20" s="1"/>
  <c r="O859" i="20" s="1"/>
  <c r="O860" i="20" s="1"/>
  <c r="O861" i="20" s="1"/>
  <c r="O862" i="20" s="1"/>
  <c r="O863" i="20" s="1"/>
  <c r="O864" i="20" s="1"/>
  <c r="O865" i="20" s="1"/>
  <c r="O866" i="20" s="1"/>
  <c r="O867" i="20" s="1"/>
  <c r="O868" i="20" s="1"/>
  <c r="O869" i="20" s="1"/>
  <c r="O870" i="20" s="1"/>
  <c r="O871" i="20" s="1"/>
  <c r="O872" i="20" s="1"/>
  <c r="O873" i="20" s="1"/>
  <c r="O874" i="20" s="1"/>
  <c r="O875" i="20" s="1"/>
  <c r="O876" i="20" s="1"/>
  <c r="O877" i="20" s="1"/>
  <c r="O878" i="20" s="1"/>
  <c r="O879" i="20" s="1"/>
  <c r="O880" i="20" s="1"/>
  <c r="O881" i="20" s="1"/>
  <c r="O882" i="20" s="1"/>
  <c r="O883" i="20" s="1"/>
  <c r="O884" i="20" s="1"/>
  <c r="O885" i="20" s="1"/>
  <c r="O886" i="20" s="1"/>
  <c r="O887" i="20" s="1"/>
  <c r="O888" i="20" s="1"/>
  <c r="O889" i="20" s="1"/>
  <c r="O890" i="20" s="1"/>
  <c r="O891" i="20" s="1"/>
  <c r="O892" i="20" s="1"/>
  <c r="O893" i="20" s="1"/>
  <c r="O894" i="20" s="1"/>
  <c r="O895" i="20" s="1"/>
  <c r="O896" i="20" s="1"/>
  <c r="O897" i="20" s="1"/>
  <c r="O898" i="20" s="1"/>
  <c r="O899" i="20" s="1"/>
  <c r="O900" i="20" s="1"/>
  <c r="O901" i="20" s="1"/>
  <c r="O902" i="20" s="1"/>
  <c r="O903" i="20" s="1"/>
  <c r="O904" i="20" s="1"/>
  <c r="O905" i="20" s="1"/>
  <c r="O906" i="20" s="1"/>
  <c r="O907" i="20" s="1"/>
  <c r="O908" i="20" s="1"/>
  <c r="O909" i="20" s="1"/>
  <c r="O910" i="20" s="1"/>
  <c r="O911" i="20" s="1"/>
  <c r="O912" i="20" s="1"/>
  <c r="O913" i="20" s="1"/>
  <c r="O914" i="20" s="1"/>
  <c r="O915" i="20" s="1"/>
  <c r="O916" i="20" s="1"/>
  <c r="O917" i="20" s="1"/>
  <c r="O918" i="20" s="1"/>
  <c r="O919" i="20" s="1"/>
  <c r="O920" i="20" s="1"/>
  <c r="O921" i="20" s="1"/>
  <c r="O922" i="20" s="1"/>
  <c r="O923" i="20" s="1"/>
  <c r="O924" i="20" s="1"/>
  <c r="O925" i="20" s="1"/>
  <c r="O926" i="20" s="1"/>
  <c r="O927" i="20" s="1"/>
  <c r="O928" i="20" s="1"/>
  <c r="O929" i="20" s="1"/>
  <c r="O930" i="20" s="1"/>
  <c r="O931" i="20" s="1"/>
  <c r="O932" i="20" s="1"/>
  <c r="O933" i="20" s="1"/>
  <c r="O934" i="20" s="1"/>
  <c r="O935" i="20" s="1"/>
  <c r="O936" i="20" s="1"/>
  <c r="O937" i="20" s="1"/>
  <c r="O938" i="20" s="1"/>
  <c r="O939" i="20" s="1"/>
  <c r="O940" i="20" s="1"/>
  <c r="O941" i="20" s="1"/>
  <c r="O942" i="20" s="1"/>
  <c r="O943" i="20" s="1"/>
  <c r="O944" i="20" s="1"/>
  <c r="O945" i="20" s="1"/>
  <c r="O946" i="20" s="1"/>
  <c r="O947" i="20" s="1"/>
  <c r="O948" i="20" s="1"/>
  <c r="O949" i="20" s="1"/>
  <c r="O950" i="20" s="1"/>
  <c r="O951" i="20" s="1"/>
  <c r="O952" i="20" s="1"/>
  <c r="O953" i="20" s="1"/>
  <c r="O954" i="20" s="1"/>
  <c r="O955" i="20" s="1"/>
  <c r="O956" i="20" s="1"/>
  <c r="O957" i="20" s="1"/>
  <c r="O958" i="20" s="1"/>
  <c r="O959" i="20" s="1"/>
  <c r="O960" i="20" s="1"/>
  <c r="O961" i="20" s="1"/>
  <c r="O962" i="20" s="1"/>
  <c r="O963" i="20" s="1"/>
  <c r="O964" i="20" s="1"/>
  <c r="O965" i="20" s="1"/>
  <c r="O966" i="20" s="1"/>
  <c r="O967" i="20" s="1"/>
  <c r="O968" i="20" s="1"/>
  <c r="O969" i="20" s="1"/>
  <c r="O970" i="20" s="1"/>
  <c r="O971" i="20" s="1"/>
  <c r="O972" i="20" s="1"/>
  <c r="O973" i="20" s="1"/>
  <c r="O974" i="20" s="1"/>
  <c r="O975" i="20" s="1"/>
  <c r="O976" i="20" s="1"/>
  <c r="O977" i="20" s="1"/>
  <c r="O978" i="20" s="1"/>
  <c r="O979" i="20" s="1"/>
  <c r="O980" i="20" s="1"/>
  <c r="O981" i="20" s="1"/>
  <c r="O982" i="20" s="1"/>
  <c r="O983" i="20" s="1"/>
  <c r="O984" i="20" s="1"/>
  <c r="O985" i="20" s="1"/>
  <c r="O986" i="20" s="1"/>
  <c r="O987" i="20" s="1"/>
  <c r="O988" i="20" s="1"/>
  <c r="O989" i="20" s="1"/>
  <c r="O990" i="20" s="1"/>
  <c r="O991" i="20" s="1"/>
  <c r="O992" i="20" s="1"/>
  <c r="O993" i="20" s="1"/>
  <c r="O994" i="20" s="1"/>
  <c r="O995" i="20" s="1"/>
  <c r="O996" i="20" s="1"/>
  <c r="O997" i="20" s="1"/>
  <c r="O998" i="20" s="1"/>
  <c r="O999" i="20" s="1"/>
  <c r="O1000" i="20" s="1"/>
  <c r="O1001" i="20" s="1"/>
  <c r="O1002" i="20" s="1"/>
  <c r="O1003" i="20" s="1"/>
  <c r="O1004" i="20" s="1"/>
  <c r="O1005" i="20" s="1"/>
  <c r="O1006" i="20" s="1"/>
  <c r="O1007" i="20" s="1"/>
  <c r="O1008" i="20" s="1"/>
  <c r="O1009" i="20" s="1"/>
  <c r="O1010" i="20" s="1"/>
  <c r="O1011" i="20" s="1"/>
  <c r="O1012" i="20" s="1"/>
  <c r="O1013" i="20" s="1"/>
  <c r="O1014" i="20" s="1"/>
  <c r="O1015" i="20" s="1"/>
  <c r="O1016" i="20" s="1"/>
  <c r="O1017" i="20" s="1"/>
  <c r="O1018" i="20" s="1"/>
  <c r="O1019" i="20" s="1"/>
  <c r="O1020" i="20" s="1"/>
  <c r="O1021" i="20" s="1"/>
  <c r="O1022" i="20" s="1"/>
  <c r="O1023" i="20" s="1"/>
  <c r="O1024" i="20" s="1"/>
  <c r="O1025" i="20" s="1"/>
  <c r="O1026" i="20" s="1"/>
  <c r="O1027" i="20" s="1"/>
  <c r="O1028" i="20" s="1"/>
  <c r="O1029" i="20" s="1"/>
  <c r="O1030" i="20" s="1"/>
  <c r="O1031" i="20" s="1"/>
  <c r="O1032" i="20" s="1"/>
  <c r="O1033" i="20" s="1"/>
  <c r="O1034" i="20" s="1"/>
  <c r="O1035" i="20" s="1"/>
  <c r="O1036" i="20" s="1"/>
  <c r="O1037" i="20" s="1"/>
  <c r="O1038" i="20" s="1"/>
  <c r="O1039" i="20" s="1"/>
  <c r="O1040" i="20" s="1"/>
  <c r="O1041" i="20" s="1"/>
  <c r="O1042" i="20" s="1"/>
  <c r="O1043" i="20" s="1"/>
  <c r="O1044" i="20" s="1"/>
  <c r="O1045" i="20" s="1"/>
  <c r="O1046" i="20" s="1"/>
  <c r="O1047" i="20" s="1"/>
  <c r="O1048" i="20" s="1"/>
  <c r="O1049" i="20" s="1"/>
  <c r="O1050" i="20" s="1"/>
  <c r="O1051" i="20" s="1"/>
  <c r="O1052" i="20" s="1"/>
  <c r="O1053" i="20" s="1"/>
  <c r="O1054" i="20" s="1"/>
  <c r="O1055" i="20" s="1"/>
  <c r="O1056" i="20" s="1"/>
  <c r="O1057" i="20" s="1"/>
  <c r="O1058" i="20" s="1"/>
  <c r="O1059" i="20" s="1"/>
  <c r="O1060" i="20" s="1"/>
  <c r="O1061" i="20" s="1"/>
  <c r="O1062" i="20" s="1"/>
  <c r="O1063" i="20" s="1"/>
  <c r="O1064" i="20" s="1"/>
  <c r="O1065" i="20" s="1"/>
  <c r="O1066" i="20" s="1"/>
  <c r="O1067" i="20" s="1"/>
  <c r="O1068" i="20" s="1"/>
  <c r="O1069" i="20" s="1"/>
  <c r="O1070" i="20" s="1"/>
  <c r="O1071" i="20" s="1"/>
  <c r="O1072" i="20" s="1"/>
  <c r="O1073" i="20" s="1"/>
  <c r="O1074" i="20" s="1"/>
  <c r="O1075" i="20" s="1"/>
  <c r="O1076" i="20" s="1"/>
  <c r="O1077" i="20" s="1"/>
  <c r="O1078" i="20" s="1"/>
  <c r="O1079" i="20" s="1"/>
  <c r="O1080" i="20" s="1"/>
  <c r="O1081" i="20" s="1"/>
  <c r="O1082" i="20" s="1"/>
  <c r="O1083" i="20" s="1"/>
  <c r="O1084" i="20" s="1"/>
  <c r="O1085" i="20" s="1"/>
  <c r="O1086" i="20" s="1"/>
  <c r="O1087" i="20" s="1"/>
  <c r="O1088" i="20" s="1"/>
  <c r="O1089" i="20" s="1"/>
  <c r="O1090" i="20" s="1"/>
  <c r="O1091" i="20" s="1"/>
  <c r="O1092" i="20" s="1"/>
  <c r="O1093" i="20" s="1"/>
  <c r="O1094" i="20" s="1"/>
  <c r="O1095" i="20" s="1"/>
  <c r="O1096" i="20" s="1"/>
  <c r="O1097" i="20" s="1"/>
  <c r="O1098" i="20" s="1"/>
  <c r="O1099" i="20" s="1"/>
  <c r="O1100" i="20" s="1"/>
  <c r="O1101" i="20" s="1"/>
  <c r="O1102" i="20" s="1"/>
  <c r="O1103" i="20" s="1"/>
  <c r="O1104" i="20" s="1"/>
  <c r="O1105" i="20" s="1"/>
  <c r="O1106" i="20" s="1"/>
  <c r="O1107" i="20" s="1"/>
  <c r="O1108" i="20" s="1"/>
  <c r="O1109" i="20" s="1"/>
  <c r="O1110" i="20" s="1"/>
  <c r="O1111" i="20" s="1"/>
  <c r="O1112" i="20" s="1"/>
  <c r="O1113" i="20" s="1"/>
  <c r="O1114" i="20" s="1"/>
  <c r="O1115" i="20" s="1"/>
  <c r="O1116" i="20" s="1"/>
  <c r="O1117" i="20" s="1"/>
  <c r="O1118" i="20" s="1"/>
  <c r="O1119" i="20" s="1"/>
  <c r="O1120" i="20" s="1"/>
  <c r="O1121" i="20" s="1"/>
  <c r="O1122" i="20" s="1"/>
  <c r="O1123" i="20" s="1"/>
  <c r="O1124" i="20" s="1"/>
  <c r="O1125" i="20" s="1"/>
  <c r="O1126" i="20" s="1"/>
  <c r="O1127" i="20" s="1"/>
  <c r="O1128" i="20" s="1"/>
  <c r="O1129" i="20" s="1"/>
  <c r="O1130" i="20" s="1"/>
  <c r="O1131" i="20" s="1"/>
  <c r="O1132" i="20" s="1"/>
  <c r="O1133" i="20" s="1"/>
  <c r="O1134" i="20" s="1"/>
  <c r="O1135" i="20" s="1"/>
  <c r="O1136" i="20" s="1"/>
  <c r="O1137" i="20" s="1"/>
  <c r="O1138" i="20" s="1"/>
  <c r="O1139" i="20" s="1"/>
  <c r="O1140" i="20" s="1"/>
  <c r="O1141" i="20" s="1"/>
  <c r="O1142" i="20" s="1"/>
  <c r="O1143" i="20" s="1"/>
  <c r="O1144" i="20" s="1"/>
  <c r="O1145" i="20" s="1"/>
  <c r="O1146" i="20" s="1"/>
  <c r="O1147" i="20" s="1"/>
  <c r="O1148" i="20" s="1"/>
  <c r="O1149" i="20" s="1"/>
  <c r="O1150" i="20" s="1"/>
  <c r="O1151" i="20" s="1"/>
  <c r="O1152" i="20" s="1"/>
  <c r="O1153" i="20" s="1"/>
  <c r="O1154" i="20" s="1"/>
  <c r="O1155" i="20" s="1"/>
  <c r="O1156" i="20" s="1"/>
  <c r="O1157" i="20" s="1"/>
  <c r="O1158" i="20" s="1"/>
  <c r="O1159" i="20" s="1"/>
  <c r="O1160" i="20" s="1"/>
  <c r="O1161" i="20" s="1"/>
  <c r="O1162" i="20" s="1"/>
  <c r="O1163" i="20" s="1"/>
  <c r="O1164" i="20" s="1"/>
  <c r="O1165" i="20" s="1"/>
  <c r="O1166" i="20" s="1"/>
  <c r="O1167" i="20" s="1"/>
  <c r="O1168" i="20" s="1"/>
  <c r="O1169" i="20" s="1"/>
  <c r="O1170" i="20" s="1"/>
  <c r="O1171" i="20" s="1"/>
  <c r="O1172" i="20" s="1"/>
  <c r="O1173" i="20" s="1"/>
  <c r="O1174" i="20" s="1"/>
  <c r="O1175" i="20" s="1"/>
  <c r="O1176" i="20" s="1"/>
  <c r="O1177" i="20" s="1"/>
  <c r="O1178" i="20" s="1"/>
  <c r="O1179" i="20" s="1"/>
  <c r="O1180" i="20" s="1"/>
  <c r="O1181" i="20" s="1"/>
  <c r="O1182" i="20" s="1"/>
  <c r="O1183" i="20" s="1"/>
  <c r="O1184" i="20" s="1"/>
  <c r="O1185" i="20" s="1"/>
  <c r="O1186" i="20" s="1"/>
  <c r="O1187" i="20" s="1"/>
  <c r="O1188" i="20" s="1"/>
  <c r="O1189" i="20" s="1"/>
  <c r="O1190" i="20" s="1"/>
  <c r="O1191" i="20" s="1"/>
  <c r="O1192" i="20" s="1"/>
  <c r="O1193" i="20" s="1"/>
  <c r="O1194" i="20" s="1"/>
  <c r="O1195" i="20" s="1"/>
  <c r="O1196" i="20" s="1"/>
  <c r="O1197" i="20" s="1"/>
  <c r="O1198" i="20" s="1"/>
  <c r="O1199" i="20" s="1"/>
  <c r="O1200" i="20" s="1"/>
  <c r="O1201" i="20" s="1"/>
  <c r="O1202" i="20" s="1"/>
  <c r="O1203" i="20" s="1"/>
  <c r="O1204" i="20" s="1"/>
  <c r="O1205" i="20" s="1"/>
  <c r="O1206" i="20" s="1"/>
  <c r="O1207" i="20" s="1"/>
  <c r="O1208" i="20" s="1"/>
  <c r="O1209" i="20" s="1"/>
  <c r="O1210" i="20" s="1"/>
  <c r="O1211" i="20" s="1"/>
  <c r="O1212" i="20" s="1"/>
  <c r="O1213" i="20" s="1"/>
  <c r="O1214" i="20" s="1"/>
  <c r="O1215" i="20" s="1"/>
  <c r="O1216" i="20" s="1"/>
  <c r="O1217" i="20" s="1"/>
  <c r="O1218" i="20" s="1"/>
  <c r="O1219" i="20" s="1"/>
  <c r="O1220" i="20" s="1"/>
  <c r="O1221" i="20" s="1"/>
  <c r="O1222" i="20" s="1"/>
  <c r="O1223" i="20" s="1"/>
  <c r="O1224" i="20" s="1"/>
  <c r="O1225" i="20" s="1"/>
  <c r="O1226" i="20" s="1"/>
  <c r="O1227" i="20" s="1"/>
  <c r="O1228" i="20" s="1"/>
  <c r="O1229" i="20" s="1"/>
  <c r="O1230" i="20" s="1"/>
  <c r="O1231" i="20" s="1"/>
  <c r="O1232" i="20" s="1"/>
  <c r="O1233" i="20" s="1"/>
  <c r="O1234" i="20" s="1"/>
  <c r="O1235" i="20" s="1"/>
  <c r="O1236" i="20" s="1"/>
  <c r="O1237" i="20" s="1"/>
  <c r="O1238" i="20" s="1"/>
  <c r="O1239" i="20" s="1"/>
  <c r="O1240" i="20" s="1"/>
  <c r="O1241" i="20" s="1"/>
  <c r="O1242" i="20" s="1"/>
  <c r="O1243" i="20" s="1"/>
  <c r="O1244" i="20" s="1"/>
  <c r="O1245" i="20" s="1"/>
  <c r="O1246" i="20" s="1"/>
  <c r="O1247" i="20" s="1"/>
  <c r="O1248" i="20" s="1"/>
  <c r="O1249" i="20" s="1"/>
  <c r="O1250" i="20" s="1"/>
  <c r="O1251" i="20" s="1"/>
  <c r="O1252" i="20" s="1"/>
  <c r="O1253" i="20" s="1"/>
  <c r="O1254" i="20" s="1"/>
  <c r="O1255" i="20" s="1"/>
  <c r="O1256" i="20" s="1"/>
  <c r="O1257" i="20" s="1"/>
  <c r="O1258" i="20" s="1"/>
  <c r="O1259" i="20" s="1"/>
  <c r="O1260" i="20" s="1"/>
  <c r="O1261" i="20" s="1"/>
  <c r="O1262" i="20" s="1"/>
  <c r="O1263" i="20" s="1"/>
  <c r="O1264" i="20" s="1"/>
  <c r="O1265" i="20" s="1"/>
  <c r="O1266" i="20" s="1"/>
  <c r="O1267" i="20" s="1"/>
  <c r="O1268" i="20" s="1"/>
  <c r="O1269" i="20" s="1"/>
  <c r="O1270" i="20" s="1"/>
  <c r="O1271" i="20" s="1"/>
  <c r="O1272" i="20" s="1"/>
  <c r="O1273" i="20" s="1"/>
  <c r="O1274" i="20" s="1"/>
  <c r="O1275" i="20" s="1"/>
  <c r="O1276" i="20" s="1"/>
  <c r="O1277" i="20" s="1"/>
  <c r="O1278" i="20" s="1"/>
  <c r="O1279" i="20" s="1"/>
  <c r="O1280" i="20" s="1"/>
  <c r="O1281" i="20" s="1"/>
  <c r="O1282" i="20" s="1"/>
  <c r="O1283" i="20" s="1"/>
  <c r="O1284" i="20" s="1"/>
  <c r="O1285" i="20" s="1"/>
  <c r="O1286" i="20" s="1"/>
  <c r="O1287" i="20" s="1"/>
  <c r="O1288" i="20" s="1"/>
  <c r="O1289" i="20" s="1"/>
  <c r="O1290" i="20" s="1"/>
  <c r="O1291" i="20" s="1"/>
  <c r="O1292" i="20" s="1"/>
  <c r="O1293" i="20" s="1"/>
  <c r="O1294" i="20" s="1"/>
  <c r="O1295" i="20" s="1"/>
  <c r="O1296" i="20" s="1"/>
  <c r="O1297" i="20" s="1"/>
  <c r="O1298" i="20" s="1"/>
  <c r="O1299" i="20" s="1"/>
  <c r="O1300" i="20" s="1"/>
  <c r="O1301" i="20" s="1"/>
  <c r="O1302" i="20" s="1"/>
  <c r="O1303" i="20" s="1"/>
  <c r="O1304" i="20" s="1"/>
  <c r="O1305" i="20" s="1"/>
  <c r="O1306" i="20" s="1"/>
  <c r="O1307" i="20" s="1"/>
  <c r="O1308" i="20" s="1"/>
  <c r="O1309" i="20" s="1"/>
  <c r="O1310" i="20" s="1"/>
  <c r="O1311" i="20" s="1"/>
  <c r="O1312" i="20" s="1"/>
  <c r="O1313" i="20" s="1"/>
  <c r="O1314" i="20" s="1"/>
  <c r="O1315" i="20" s="1"/>
  <c r="O1316" i="20" s="1"/>
  <c r="O1317" i="20" s="1"/>
  <c r="O1318" i="20" s="1"/>
  <c r="O1319" i="20" s="1"/>
  <c r="O1320" i="20" s="1"/>
  <c r="O1321" i="20" s="1"/>
  <c r="O1322" i="20" s="1"/>
  <c r="O1323" i="20" s="1"/>
  <c r="O1324" i="20" s="1"/>
  <c r="O1325" i="20" s="1"/>
  <c r="O1326" i="20" s="1"/>
  <c r="O1327" i="20" s="1"/>
  <c r="O1328" i="20" s="1"/>
  <c r="O1329" i="20" s="1"/>
  <c r="O1330" i="20" s="1"/>
  <c r="O1331" i="20" s="1"/>
  <c r="O1332" i="20" s="1"/>
  <c r="O1333" i="20" s="1"/>
  <c r="O1334" i="20" s="1"/>
  <c r="O1335" i="20" s="1"/>
  <c r="O1336" i="20" s="1"/>
  <c r="O1337" i="20" s="1"/>
  <c r="O1338" i="20" s="1"/>
  <c r="O1339" i="20" s="1"/>
  <c r="O1340" i="20" s="1"/>
  <c r="O1341" i="20" s="1"/>
  <c r="O1342" i="20" s="1"/>
  <c r="O1343" i="20" s="1"/>
  <c r="O1344" i="20" s="1"/>
  <c r="O1345" i="20" s="1"/>
  <c r="O1346" i="20" s="1"/>
  <c r="O1347" i="20" s="1"/>
  <c r="O1348" i="20" s="1"/>
  <c r="O1349" i="20" s="1"/>
  <c r="O1350" i="20" s="1"/>
  <c r="O1351" i="20" s="1"/>
  <c r="O1352" i="20" s="1"/>
  <c r="O1353" i="20" s="1"/>
  <c r="O1354" i="20" s="1"/>
  <c r="O1355" i="20" s="1"/>
  <c r="O1356" i="20" s="1"/>
  <c r="O1357" i="20" s="1"/>
  <c r="O1358" i="20" s="1"/>
  <c r="O1359" i="20" s="1"/>
  <c r="O1360" i="20" s="1"/>
  <c r="O1361" i="20" s="1"/>
  <c r="O1362" i="20" s="1"/>
  <c r="O1363" i="20" s="1"/>
  <c r="O1364" i="20" s="1"/>
  <c r="O1365" i="20" s="1"/>
  <c r="O1366" i="20" s="1"/>
  <c r="O1367" i="20" s="1"/>
  <c r="O1368" i="20" s="1"/>
  <c r="O1369" i="20" s="1"/>
  <c r="O1370" i="20" s="1"/>
  <c r="O1371" i="20" s="1"/>
  <c r="O1372" i="20" s="1"/>
  <c r="O1373" i="20" s="1"/>
  <c r="O1374" i="20" s="1"/>
  <c r="O1375" i="20" s="1"/>
  <c r="O1376" i="20" s="1"/>
  <c r="O1377" i="20" s="1"/>
  <c r="O1378" i="20" s="1"/>
  <c r="O1379" i="20" s="1"/>
  <c r="O1380" i="20" s="1"/>
  <c r="O1381" i="20" s="1"/>
  <c r="O1382" i="20" s="1"/>
  <c r="O1383" i="20" s="1"/>
  <c r="O1384" i="20" s="1"/>
  <c r="O1385" i="20" s="1"/>
  <c r="O1386" i="20" s="1"/>
  <c r="O1387" i="20" s="1"/>
  <c r="O1388" i="20" s="1"/>
  <c r="O1389" i="20" s="1"/>
  <c r="O1390" i="20" s="1"/>
  <c r="O1391" i="20" s="1"/>
  <c r="O1392" i="20" s="1"/>
  <c r="O1393" i="20" s="1"/>
  <c r="O1394" i="20" s="1"/>
  <c r="O1395" i="20" s="1"/>
  <c r="O1396" i="20" s="1"/>
  <c r="O1397" i="20" s="1"/>
  <c r="O1398" i="20" s="1"/>
  <c r="O1399" i="20" s="1"/>
  <c r="O1400" i="20" s="1"/>
  <c r="O1401" i="20" s="1"/>
  <c r="O1402" i="20" s="1"/>
  <c r="O1403" i="20" s="1"/>
  <c r="O1404" i="20" s="1"/>
  <c r="O1405" i="20" s="1"/>
  <c r="O1406" i="20" s="1"/>
  <c r="O1407" i="20" s="1"/>
  <c r="O1408" i="20" s="1"/>
  <c r="O1409" i="20" s="1"/>
  <c r="O1410" i="20" s="1"/>
  <c r="O1411" i="20" s="1"/>
  <c r="O1412" i="20" s="1"/>
  <c r="O1413" i="20" s="1"/>
  <c r="O1414" i="20" s="1"/>
  <c r="O1415" i="20" s="1"/>
  <c r="O1416" i="20" s="1"/>
  <c r="O1417" i="20" s="1"/>
  <c r="O1418" i="20" s="1"/>
  <c r="O1419" i="20" s="1"/>
  <c r="O1420" i="20" s="1"/>
  <c r="O1421" i="20" s="1"/>
  <c r="O1422" i="20" s="1"/>
  <c r="O1423" i="20" s="1"/>
  <c r="O1424" i="20" s="1"/>
  <c r="O1425" i="20" s="1"/>
  <c r="O1426" i="20" s="1"/>
  <c r="O1427" i="20" s="1"/>
  <c r="O1428" i="20" s="1"/>
  <c r="O1429" i="20" s="1"/>
  <c r="O1430" i="20" s="1"/>
  <c r="O1431" i="20" s="1"/>
  <c r="O1432" i="20" s="1"/>
  <c r="O1433" i="20" s="1"/>
  <c r="O1434" i="20" s="1"/>
  <c r="O1435" i="20" s="1"/>
  <c r="O1436" i="20" s="1"/>
  <c r="O1437" i="20" s="1"/>
  <c r="O1438" i="20" s="1"/>
  <c r="O1439" i="20" s="1"/>
  <c r="O1440" i="20" s="1"/>
  <c r="O1441" i="20" s="1"/>
  <c r="O1442" i="20" s="1"/>
  <c r="O1443" i="20" s="1"/>
  <c r="O1444" i="20" s="1"/>
  <c r="O1445" i="20" s="1"/>
  <c r="O1446" i="20" s="1"/>
  <c r="O1447" i="20" s="1"/>
  <c r="O1448" i="20" s="1"/>
  <c r="O1449" i="20" s="1"/>
  <c r="O1450" i="20" s="1"/>
  <c r="O1451" i="20" s="1"/>
  <c r="O1452" i="20" s="1"/>
  <c r="O1453" i="20" s="1"/>
  <c r="O1454" i="20" s="1"/>
  <c r="O1455" i="20" s="1"/>
  <c r="O1456" i="20" s="1"/>
  <c r="O1457" i="20" s="1"/>
  <c r="O1458" i="20" s="1"/>
  <c r="O1459" i="20" s="1"/>
  <c r="O1460" i="20" s="1"/>
  <c r="O1461" i="20" s="1"/>
  <c r="O1462" i="20" s="1"/>
  <c r="O1463" i="20" s="1"/>
  <c r="O1464" i="20" s="1"/>
  <c r="O1465" i="20" s="1"/>
  <c r="O1466" i="20" s="1"/>
  <c r="O1467" i="20" s="1"/>
  <c r="O1468" i="20" s="1"/>
  <c r="O1469" i="20" s="1"/>
  <c r="O1470" i="20" s="1"/>
  <c r="O1471" i="20" s="1"/>
  <c r="O1472" i="20" s="1"/>
  <c r="O1473" i="20" s="1"/>
  <c r="O1474" i="20" s="1"/>
  <c r="O1475" i="20" s="1"/>
  <c r="O1476" i="20" s="1"/>
  <c r="O1477" i="20" s="1"/>
  <c r="O1478" i="20" s="1"/>
  <c r="O1479" i="20" s="1"/>
  <c r="O1480" i="20" s="1"/>
  <c r="O1481" i="20" s="1"/>
  <c r="O1482" i="20" s="1"/>
  <c r="O1483" i="20" s="1"/>
  <c r="O1484" i="20" s="1"/>
  <c r="O1485" i="20" s="1"/>
  <c r="O1486" i="20" s="1"/>
  <c r="O1487" i="20" s="1"/>
  <c r="O1488" i="20" s="1"/>
  <c r="O1489" i="20" s="1"/>
  <c r="O1490" i="20" s="1"/>
  <c r="O1491" i="20" s="1"/>
  <c r="O1492" i="20" s="1"/>
  <c r="O1493" i="20" s="1"/>
  <c r="O1494" i="20" s="1"/>
  <c r="O1495" i="20" s="1"/>
  <c r="O1496" i="20" s="1"/>
  <c r="O1497" i="20" s="1"/>
  <c r="O1498" i="20" s="1"/>
  <c r="O1499" i="20" s="1"/>
  <c r="O1500" i="20" s="1"/>
  <c r="O1501" i="20" s="1"/>
  <c r="O1502" i="20" s="1"/>
  <c r="O1503" i="20" s="1"/>
  <c r="O1504" i="20" s="1"/>
  <c r="O1505" i="20" s="1"/>
  <c r="O1506" i="20" s="1"/>
  <c r="O1507" i="20" s="1"/>
  <c r="O1508" i="20" s="1"/>
  <c r="O1509" i="20" s="1"/>
  <c r="O1510" i="20" s="1"/>
  <c r="O1511" i="20" s="1"/>
  <c r="O1512" i="20" s="1"/>
  <c r="O1513" i="20" s="1"/>
  <c r="O1514" i="20" s="1"/>
  <c r="D255" i="20" l="1"/>
  <c r="D1088" i="20"/>
  <c r="D396" i="20"/>
  <c r="D781" i="20"/>
  <c r="D813" i="20"/>
  <c r="D306" i="20"/>
  <c r="D431" i="20"/>
  <c r="D759" i="20"/>
  <c r="D1421" i="20"/>
  <c r="D1458" i="20"/>
  <c r="D42" i="20"/>
  <c r="D262" i="20"/>
  <c r="D686" i="20"/>
  <c r="D1266" i="20"/>
  <c r="D649" i="20"/>
  <c r="D325" i="20"/>
  <c r="D1070" i="20"/>
  <c r="D302" i="20"/>
  <c r="D891" i="20"/>
  <c r="D1127" i="20"/>
  <c r="D814" i="20"/>
  <c r="D1500" i="20"/>
  <c r="D845" i="20"/>
  <c r="D882" i="20"/>
  <c r="D201" i="20"/>
  <c r="D929" i="20"/>
  <c r="D1473" i="20"/>
  <c r="D339" i="20"/>
  <c r="D389" i="20"/>
  <c r="D379" i="20"/>
  <c r="D699" i="20"/>
  <c r="D782" i="20"/>
  <c r="D1502" i="20"/>
  <c r="D986" i="20"/>
  <c r="D1370" i="20"/>
  <c r="D172" i="20"/>
  <c r="D486" i="20"/>
  <c r="D289" i="20"/>
  <c r="D76" i="20"/>
  <c r="D1132" i="20"/>
  <c r="D112" i="20"/>
  <c r="D203" i="20"/>
  <c r="D93" i="20"/>
  <c r="D1444" i="20"/>
  <c r="D720" i="20"/>
  <c r="D1368" i="20"/>
  <c r="D917" i="20"/>
  <c r="D1389" i="20"/>
  <c r="D295" i="20"/>
  <c r="D1133" i="20"/>
  <c r="D409" i="20"/>
  <c r="D1157" i="20"/>
  <c r="D21" i="20"/>
  <c r="D318" i="20"/>
  <c r="D1193" i="20"/>
  <c r="D29" i="20"/>
  <c r="D53" i="20"/>
  <c r="D641" i="20"/>
  <c r="D1135" i="20"/>
  <c r="D1405" i="20"/>
  <c r="D356" i="20"/>
  <c r="D792" i="20"/>
  <c r="D299" i="20"/>
  <c r="D506" i="20"/>
  <c r="D591" i="20"/>
  <c r="D447" i="20"/>
  <c r="D1352" i="20"/>
  <c r="D274" i="20"/>
  <c r="D1034" i="20"/>
  <c r="D1494" i="20"/>
  <c r="D180" i="20"/>
  <c r="D684" i="20"/>
  <c r="D88" i="20"/>
  <c r="D927" i="20"/>
  <c r="D1068" i="20"/>
  <c r="D1217" i="20"/>
  <c r="D1113" i="20"/>
  <c r="D337" i="20"/>
  <c r="D166" i="20"/>
  <c r="D784" i="20"/>
  <c r="D942" i="20"/>
  <c r="D1451" i="20"/>
  <c r="D789" i="20"/>
  <c r="D1054" i="20"/>
  <c r="D1215" i="20"/>
  <c r="D764" i="20"/>
  <c r="D1293" i="20"/>
  <c r="D1025" i="20"/>
  <c r="D915" i="20"/>
  <c r="D1284" i="20"/>
  <c r="D1470" i="20"/>
  <c r="D907" i="20"/>
  <c r="D1455" i="20"/>
  <c r="D817" i="20"/>
  <c r="D1099" i="20"/>
  <c r="D418" i="20"/>
  <c r="D1053" i="20"/>
  <c r="D504" i="20"/>
  <c r="D1303" i="20"/>
  <c r="D138" i="20"/>
  <c r="D979" i="20"/>
  <c r="D1147" i="20"/>
  <c r="D921" i="20"/>
  <c r="D449" i="20"/>
  <c r="D1434" i="20"/>
  <c r="D1247" i="20"/>
  <c r="D1260" i="20"/>
  <c r="D162" i="20"/>
  <c r="D1465" i="20"/>
  <c r="D1057" i="20"/>
  <c r="D1091" i="20"/>
  <c r="D22" i="20"/>
  <c r="D1216" i="20"/>
  <c r="D1369" i="20"/>
  <c r="D1195" i="20"/>
  <c r="D73" i="20"/>
  <c r="D303" i="20"/>
  <c r="D1491" i="20"/>
  <c r="D141" i="20"/>
  <c r="D86" i="20"/>
  <c r="D745" i="20"/>
  <c r="D1111" i="20"/>
  <c r="D1457" i="20"/>
  <c r="D224" i="20"/>
  <c r="D99" i="20"/>
  <c r="D832" i="20"/>
  <c r="D485" i="20"/>
  <c r="D1318" i="20"/>
  <c r="D127" i="20"/>
  <c r="D952" i="20"/>
  <c r="D787" i="20"/>
  <c r="D1402" i="20"/>
  <c r="D1479" i="20"/>
  <c r="D47" i="20"/>
  <c r="D1164" i="20"/>
  <c r="D872" i="20"/>
  <c r="D256" i="20"/>
  <c r="D918" i="20"/>
  <c r="D435" i="20"/>
  <c r="D236" i="20"/>
  <c r="D215" i="20"/>
  <c r="D440" i="20"/>
  <c r="D976" i="20"/>
  <c r="D1403" i="20"/>
  <c r="D732" i="20"/>
  <c r="D1191" i="20"/>
  <c r="D623" i="20"/>
  <c r="D758" i="20"/>
  <c r="D126" i="20"/>
  <c r="D375" i="20"/>
  <c r="D452" i="20"/>
  <c r="D352" i="20"/>
  <c r="D1003" i="20"/>
  <c r="D653" i="20"/>
  <c r="D383" i="20"/>
  <c r="D1153" i="20"/>
  <c r="D658" i="20"/>
  <c r="D421" i="20"/>
  <c r="D671" i="20"/>
  <c r="D1315" i="20"/>
  <c r="D1449" i="20"/>
  <c r="D1337" i="20"/>
  <c r="D829" i="20"/>
  <c r="D490" i="20"/>
  <c r="D864" i="20"/>
  <c r="D1276" i="20"/>
  <c r="D989" i="20"/>
  <c r="D392" i="20"/>
  <c r="D1214" i="20"/>
  <c r="D1166" i="20"/>
  <c r="D1163" i="20"/>
  <c r="D1116" i="20"/>
  <c r="D156" i="20"/>
  <c r="D1043" i="20"/>
  <c r="D26" i="20"/>
  <c r="D1313" i="20"/>
  <c r="D537" i="20"/>
  <c r="D246" i="20"/>
  <c r="D854" i="20"/>
  <c r="D54" i="20"/>
  <c r="D922" i="20"/>
  <c r="D1237" i="20"/>
  <c r="D629" i="20"/>
  <c r="D626" i="20"/>
  <c r="D1161" i="20"/>
  <c r="D56" i="20"/>
  <c r="D38" i="20"/>
  <c r="D507" i="20"/>
  <c r="D1461" i="20"/>
  <c r="D1085" i="20"/>
  <c r="D425" i="20"/>
  <c r="D950" i="20"/>
  <c r="D549" i="20"/>
  <c r="D609" i="20"/>
  <c r="D833" i="20"/>
  <c r="D1154" i="20"/>
  <c r="D349" i="20"/>
  <c r="D500" i="20"/>
  <c r="D217" i="20"/>
  <c r="D899" i="20"/>
  <c r="D1400" i="20"/>
  <c r="D1404" i="20"/>
  <c r="D621" i="20"/>
  <c r="D648" i="20"/>
  <c r="D1076" i="20"/>
  <c r="D1252" i="20"/>
  <c r="D614" i="20"/>
  <c r="D586" i="20"/>
  <c r="D420" i="20"/>
  <c r="D458" i="20"/>
  <c r="D1503" i="20"/>
  <c r="D874" i="20"/>
  <c r="D1089" i="20"/>
  <c r="D1334" i="20"/>
  <c r="D704" i="20"/>
  <c r="D1342" i="20"/>
  <c r="D1436" i="20"/>
  <c r="D685" i="20"/>
  <c r="D1130" i="20"/>
  <c r="D1467" i="20"/>
  <c r="D1263" i="20"/>
  <c r="D100" i="20"/>
  <c r="D101" i="20"/>
  <c r="D875" i="20"/>
  <c r="D1038" i="20"/>
  <c r="D749" i="20"/>
  <c r="D1067" i="20"/>
  <c r="D391" i="20"/>
  <c r="D474" i="20"/>
  <c r="D280" i="20"/>
  <c r="D741" i="20"/>
  <c r="D322" i="20"/>
  <c r="D1121" i="20"/>
  <c r="D266" i="20"/>
  <c r="D1485" i="20"/>
  <c r="D525" i="20"/>
  <c r="D310" i="20"/>
  <c r="D40" i="20"/>
  <c r="D923" i="20"/>
  <c r="D752" i="20"/>
  <c r="D743" i="20"/>
  <c r="D24" i="20"/>
  <c r="D940" i="20"/>
  <c r="D123" i="20"/>
  <c r="D1363" i="20"/>
  <c r="D1228" i="20"/>
  <c r="D807" i="20"/>
  <c r="D508" i="20"/>
  <c r="D313" i="20"/>
  <c r="D39" i="20"/>
  <c r="D1005" i="20"/>
  <c r="D601" i="20"/>
  <c r="D794" i="20"/>
  <c r="D640" i="20"/>
  <c r="D164" i="20"/>
  <c r="D731" i="20"/>
  <c r="D1013" i="20"/>
  <c r="D841" i="20"/>
  <c r="D19" i="20"/>
  <c r="D1415" i="20"/>
  <c r="D701" i="20"/>
  <c r="D657" i="20"/>
  <c r="D317" i="20"/>
  <c r="D1106" i="20"/>
  <c r="D849" i="20"/>
  <c r="D398" i="20"/>
  <c r="D619" i="20"/>
  <c r="D96" i="20"/>
  <c r="D1090" i="20"/>
  <c r="D943" i="20"/>
  <c r="D546" i="20"/>
  <c r="D1316" i="20"/>
  <c r="D428" i="20"/>
  <c r="D551" i="20"/>
  <c r="D912" i="20"/>
  <c r="D598" i="20"/>
  <c r="D513" i="20"/>
  <c r="D67" i="20"/>
  <c r="D442" i="20"/>
  <c r="D27" i="20"/>
  <c r="D1158" i="20"/>
  <c r="D1388" i="20"/>
  <c r="D1084" i="20"/>
  <c r="D690" i="20"/>
  <c r="D593" i="20"/>
  <c r="D1040" i="20"/>
  <c r="D1048" i="20"/>
  <c r="D1000" i="20"/>
  <c r="D742" i="20"/>
  <c r="D639" i="20"/>
  <c r="D955" i="20"/>
  <c r="D529" i="20"/>
  <c r="D205" i="20"/>
  <c r="D106" i="20"/>
  <c r="D1513" i="20"/>
  <c r="D85" i="20"/>
  <c r="D1424" i="20"/>
  <c r="D1435" i="20"/>
  <c r="D1496" i="20"/>
  <c r="D804" i="20"/>
  <c r="D830" i="20"/>
  <c r="D1190" i="20"/>
  <c r="D1397" i="20"/>
  <c r="D1065" i="20"/>
  <c r="D1407" i="20"/>
  <c r="D545" i="20"/>
  <c r="D1298" i="20"/>
  <c r="D1442" i="20"/>
  <c r="D608" i="20"/>
  <c r="D315" i="20"/>
  <c r="D1433" i="20"/>
  <c r="D949" i="20"/>
  <c r="D1219" i="20"/>
  <c r="D916" i="20"/>
  <c r="D980" i="20"/>
  <c r="D901" i="20"/>
  <c r="D1201" i="20"/>
  <c r="D75" i="20"/>
  <c r="D528" i="20"/>
  <c r="D1242" i="20"/>
  <c r="D1286" i="20"/>
  <c r="D968" i="20"/>
  <c r="D1129" i="20"/>
  <c r="D341" i="20"/>
  <c r="D382" i="20"/>
  <c r="D386" i="20"/>
  <c r="D1493" i="20"/>
  <c r="D353" i="20"/>
  <c r="D1105" i="20"/>
  <c r="D966" i="20"/>
  <c r="D673" i="20"/>
  <c r="D812" i="20"/>
  <c r="D253" i="20"/>
  <c r="D1218" i="20"/>
  <c r="D730" i="20"/>
  <c r="D344" i="20"/>
  <c r="D300" i="20"/>
  <c r="D1145" i="20"/>
  <c r="D1210" i="20"/>
  <c r="D1039" i="20"/>
  <c r="D793" i="20"/>
  <c r="D859" i="20"/>
  <c r="D1325" i="20"/>
  <c r="D459" i="20"/>
  <c r="D28" i="20"/>
  <c r="D1227" i="20"/>
  <c r="D838" i="20"/>
  <c r="D739" i="20"/>
  <c r="D221" i="20"/>
  <c r="D1081" i="20"/>
  <c r="D95" i="20"/>
  <c r="D251" i="20"/>
  <c r="D1073" i="20"/>
  <c r="D541" i="20"/>
  <c r="D1093" i="20"/>
  <c r="D620" i="20"/>
  <c r="D610" i="20"/>
  <c r="D810" i="20"/>
  <c r="D1059" i="20"/>
  <c r="D618" i="20"/>
  <c r="D227" i="20"/>
  <c r="D1151" i="20"/>
  <c r="D1138" i="20"/>
  <c r="D738" i="20"/>
  <c r="D1350" i="20"/>
  <c r="D1471" i="20"/>
  <c r="D762" i="20"/>
  <c r="D298" i="20"/>
  <c r="D52" i="20"/>
  <c r="D919" i="20"/>
  <c r="D951" i="20"/>
  <c r="D1362" i="20"/>
  <c r="D43" i="20"/>
  <c r="D1282" i="20"/>
  <c r="D592" i="20"/>
  <c r="D861" i="20"/>
  <c r="D548" i="20"/>
  <c r="D161" i="20"/>
  <c r="D152" i="20"/>
  <c r="D1196" i="20"/>
  <c r="D602" i="20"/>
  <c r="D520" i="20"/>
  <c r="D1273" i="20"/>
  <c r="D888" i="20"/>
  <c r="D668" i="20"/>
  <c r="D194" i="20"/>
  <c r="D729" i="20"/>
  <c r="D1155" i="20"/>
  <c r="D348" i="20"/>
  <c r="D110" i="20"/>
  <c r="D678" i="20"/>
  <c r="D842" i="20"/>
  <c r="D1224" i="20"/>
  <c r="D148" i="20"/>
  <c r="D1443" i="20"/>
  <c r="D682" i="20"/>
  <c r="D1310" i="20"/>
  <c r="D362" i="20"/>
  <c r="D628" i="20"/>
  <c r="D820" i="20"/>
  <c r="D622" i="20"/>
  <c r="D1387" i="20"/>
  <c r="D1249" i="20"/>
  <c r="D1340" i="20"/>
  <c r="D1392" i="20"/>
  <c r="D1409" i="20"/>
  <c r="D757" i="20"/>
  <c r="D1173" i="20"/>
  <c r="D218" i="20"/>
  <c r="D693" i="20"/>
  <c r="D243" i="20"/>
  <c r="D1156" i="20"/>
  <c r="D297" i="20"/>
  <c r="D328" i="20"/>
  <c r="D669" i="20"/>
  <c r="D1235" i="20"/>
  <c r="D448" i="20"/>
  <c r="D700" i="20"/>
  <c r="D1102" i="20"/>
  <c r="D62" i="20"/>
  <c r="D250" i="20"/>
  <c r="D937" i="20"/>
  <c r="D354" i="20"/>
  <c r="D55" i="20"/>
  <c r="D575" i="20"/>
  <c r="D308" i="20"/>
  <c r="D281" i="20"/>
  <c r="D905" i="20"/>
  <c r="D145" i="20"/>
  <c r="D1454" i="20"/>
  <c r="D844" i="20"/>
  <c r="D1432" i="20"/>
  <c r="D1114" i="20"/>
  <c r="D1148" i="20"/>
  <c r="D713" i="20"/>
  <c r="D956" i="20"/>
  <c r="D597" i="20"/>
  <c r="D119" i="20"/>
  <c r="D153" i="20"/>
  <c r="D368" i="20"/>
  <c r="D1371" i="20"/>
  <c r="D169" i="20"/>
  <c r="D815" i="20"/>
  <c r="D470" i="20"/>
  <c r="D1377" i="20"/>
  <c r="D1239" i="20"/>
  <c r="D716" i="20"/>
  <c r="D1024" i="20"/>
  <c r="D1508" i="20"/>
  <c r="D1396" i="20"/>
  <c r="D736" i="20"/>
  <c r="D635" i="20"/>
  <c r="D32" i="20"/>
  <c r="D168" i="20"/>
  <c r="D471" i="20"/>
  <c r="D533" i="20"/>
  <c r="D785" i="20"/>
  <c r="D1466" i="20"/>
  <c r="D460" i="20"/>
  <c r="D737" i="20"/>
  <c r="D1480" i="20"/>
  <c r="D1015" i="20"/>
  <c r="D426" i="20"/>
  <c r="D232" i="20"/>
  <c r="D1472" i="20"/>
  <c r="D443" i="20"/>
  <c r="D992" i="20"/>
  <c r="D1441" i="20"/>
  <c r="D143" i="20"/>
  <c r="D583" i="20"/>
  <c r="D996" i="20"/>
  <c r="D197" i="20"/>
  <c r="D37" i="20"/>
  <c r="D523" i="20"/>
  <c r="D707" i="20"/>
  <c r="D57" i="20"/>
  <c r="D1484" i="20"/>
  <c r="D767" i="20"/>
  <c r="D531" i="20"/>
  <c r="D1299" i="20"/>
  <c r="D958" i="20"/>
  <c r="D1328" i="20"/>
  <c r="D445" i="20"/>
  <c r="D159" i="20"/>
  <c r="D726" i="20"/>
  <c r="D130" i="20"/>
  <c r="D1341" i="20"/>
  <c r="D625" i="20"/>
  <c r="D756" i="20"/>
  <c r="D1094" i="20"/>
  <c r="D1101" i="20"/>
  <c r="D589" i="20"/>
  <c r="D1413" i="20"/>
  <c r="D1139" i="20"/>
  <c r="D1375" i="20"/>
  <c r="D522" i="20"/>
  <c r="D1428" i="20"/>
  <c r="D721" i="20"/>
  <c r="D914" i="20"/>
  <c r="D497" i="20"/>
  <c r="D1317" i="20"/>
  <c r="D1144" i="20"/>
  <c r="D971" i="20"/>
  <c r="D1167" i="20"/>
  <c r="D725" i="20"/>
  <c r="D1041" i="20"/>
  <c r="D1304" i="20"/>
  <c r="D423" i="20"/>
  <c r="D137" i="20"/>
  <c r="D1264" i="20"/>
  <c r="D935" i="20"/>
  <c r="D1427" i="20"/>
  <c r="D679" i="20"/>
  <c r="D930" i="20"/>
  <c r="D358" i="20"/>
  <c r="D603" i="20"/>
  <c r="D563" i="20"/>
  <c r="D1312" i="20"/>
  <c r="D703" i="20"/>
  <c r="D718" i="20"/>
  <c r="D258" i="20"/>
  <c r="D171" i="20"/>
  <c r="D399" i="20"/>
  <c r="D582" i="20"/>
  <c r="D957" i="20"/>
  <c r="D44" i="20"/>
  <c r="D1391" i="20"/>
  <c r="D611" i="20"/>
  <c r="D1382" i="20"/>
  <c r="D977" i="20"/>
  <c r="D228" i="20"/>
  <c r="D1262" i="20"/>
  <c r="D570" i="20"/>
  <c r="D36" i="20"/>
  <c r="D376" i="20"/>
  <c r="D1086" i="20"/>
  <c r="D1464" i="20"/>
  <c r="D475" i="20"/>
  <c r="D111" i="20"/>
  <c r="D1096" i="20"/>
  <c r="D512" i="20"/>
  <c r="D1487" i="20"/>
  <c r="D692" i="20"/>
  <c r="D484" i="20"/>
  <c r="D285" i="20"/>
  <c r="D884" i="20"/>
  <c r="D868" i="20"/>
  <c r="D510" i="20"/>
  <c r="D558" i="20"/>
  <c r="D774" i="20"/>
  <c r="D307" i="20"/>
  <c r="D69" i="20"/>
  <c r="D998" i="20"/>
  <c r="D451" i="20"/>
  <c r="D547" i="20"/>
  <c r="D209" i="20"/>
  <c r="D662" i="20"/>
  <c r="D291" i="20"/>
  <c r="D473" i="20"/>
  <c r="D1205" i="20"/>
  <c r="D70" i="20"/>
  <c r="D406" i="20"/>
  <c r="D936" i="20"/>
  <c r="D155" i="20"/>
  <c r="D644" i="20"/>
  <c r="D605" i="20"/>
  <c r="D413" i="20"/>
  <c r="D836" i="20"/>
  <c r="D1078" i="20"/>
  <c r="D1269" i="20"/>
  <c r="D631" i="20"/>
  <c r="D272" i="20"/>
  <c r="D505" i="20"/>
  <c r="D1001" i="20"/>
  <c r="D107" i="20"/>
  <c r="D1372" i="20"/>
  <c r="D446" i="20"/>
  <c r="D98" i="20"/>
  <c r="D1358" i="20"/>
  <c r="D1506" i="20"/>
  <c r="D556" i="20"/>
  <c r="D902" i="20"/>
  <c r="D200" i="20"/>
  <c r="D1360" i="20"/>
  <c r="D79" i="20"/>
  <c r="D1018" i="20"/>
  <c r="D1052" i="20"/>
  <c r="D103" i="20"/>
  <c r="D554" i="20"/>
  <c r="D365" i="20"/>
  <c r="D226" i="20"/>
  <c r="D1460" i="20"/>
  <c r="D326" i="20"/>
  <c r="D839" i="20"/>
  <c r="D637" i="20"/>
  <c r="D18" i="20"/>
  <c r="D887" i="20"/>
  <c r="D811" i="20"/>
  <c r="D535" i="20"/>
  <c r="D1501" i="20"/>
  <c r="D688" i="20"/>
  <c r="D584" i="20"/>
  <c r="D733" i="20"/>
  <c r="D377" i="20"/>
  <c r="D795" i="20"/>
  <c r="D167" i="20"/>
  <c r="D476" i="20"/>
  <c r="D1395" i="20"/>
  <c r="D1203" i="20"/>
  <c r="D188" i="20"/>
  <c r="D982" i="20"/>
  <c r="D46" i="20"/>
  <c r="D128" i="20"/>
  <c r="D102" i="20"/>
  <c r="D988" i="20"/>
  <c r="D948" i="20"/>
  <c r="D607" i="20"/>
  <c r="D195" i="20"/>
  <c r="D1256" i="20"/>
  <c r="D519" i="20"/>
  <c r="D1103" i="20"/>
  <c r="D1082" i="20"/>
  <c r="D464" i="20"/>
  <c r="D1289" i="20"/>
  <c r="D1108" i="20"/>
  <c r="D665" i="20"/>
  <c r="D890" i="20"/>
  <c r="D1495" i="20"/>
  <c r="D1251" i="20"/>
  <c r="D1412" i="20"/>
  <c r="D909" i="20"/>
  <c r="D866" i="20"/>
  <c r="D77" i="20"/>
  <c r="D175" i="20"/>
  <c r="D717" i="20"/>
  <c r="D198" i="20"/>
  <c r="D1258" i="20"/>
  <c r="D972" i="20"/>
  <c r="D1327" i="20"/>
  <c r="D650" i="20"/>
  <c r="D562" i="20"/>
  <c r="D587" i="20"/>
  <c r="D1234" i="20"/>
  <c r="D615" i="20"/>
  <c r="D1321" i="20"/>
  <c r="D1150" i="20"/>
  <c r="D906" i="20"/>
  <c r="D1222" i="20"/>
  <c r="D1115" i="20"/>
  <c r="D771" i="20"/>
  <c r="D865" i="20"/>
  <c r="D515" i="20"/>
  <c r="D651" i="20"/>
  <c r="D434" i="20"/>
  <c r="D750" i="20"/>
  <c r="D708" i="20"/>
  <c r="D1141" i="20"/>
  <c r="D722" i="20"/>
  <c r="D723" i="20"/>
  <c r="D1049" i="20"/>
  <c r="D340" i="20"/>
  <c r="D1417" i="20"/>
  <c r="D636" i="20"/>
  <c r="D311" i="20"/>
  <c r="D278" i="20"/>
  <c r="D654" i="20"/>
  <c r="D579" i="20"/>
  <c r="D208" i="20"/>
  <c r="D1447" i="20"/>
  <c r="D926" i="20"/>
  <c r="D277" i="20"/>
  <c r="D219" i="20"/>
  <c r="D564" i="20"/>
  <c r="D526" i="20"/>
  <c r="D840" i="20"/>
  <c r="D314" i="20"/>
  <c r="D478" i="20"/>
  <c r="D1032" i="20"/>
  <c r="D1004" i="20"/>
  <c r="D293" i="20"/>
  <c r="D1346" i="20"/>
  <c r="D1021" i="20"/>
  <c r="D461" i="20"/>
  <c r="D954" i="20"/>
  <c r="D267" i="20"/>
  <c r="D360" i="20"/>
  <c r="D271" i="20"/>
  <c r="D1478" i="20"/>
  <c r="D904" i="20"/>
  <c r="D1423" i="20"/>
  <c r="D816" i="20"/>
  <c r="D534" i="20"/>
  <c r="D590" i="20"/>
  <c r="D735" i="20"/>
  <c r="D1061" i="20"/>
  <c r="D647" i="20"/>
  <c r="D818" i="20"/>
  <c r="D973" i="20"/>
  <c r="D288" i="20"/>
  <c r="D249" i="20"/>
  <c r="D405" i="20"/>
  <c r="D939" i="20"/>
  <c r="D1351" i="20"/>
  <c r="D1373" i="20"/>
  <c r="D136" i="20"/>
  <c r="D482" i="20"/>
  <c r="D1183" i="20"/>
  <c r="D748" i="20"/>
  <c r="D477" i="20"/>
  <c r="D521" i="20"/>
  <c r="D388" i="20"/>
  <c r="D1474" i="20"/>
  <c r="D1308" i="20"/>
  <c r="D320" i="20"/>
  <c r="D1285" i="20"/>
  <c r="D489" i="20"/>
  <c r="D81" i="20"/>
  <c r="D550" i="20"/>
  <c r="D444" i="20"/>
  <c r="D204" i="20"/>
  <c r="D395" i="20"/>
  <c r="D60" i="20"/>
  <c r="D1348" i="20"/>
  <c r="D696" i="20"/>
  <c r="D292" i="20"/>
  <c r="D880" i="20"/>
  <c r="D263" i="20"/>
  <c r="D1344" i="20"/>
  <c r="D380" i="20"/>
  <c r="D199" i="20"/>
  <c r="D889" i="20"/>
  <c r="D1194" i="20"/>
  <c r="D261" i="20"/>
  <c r="D397" i="20"/>
  <c r="D23" i="20"/>
  <c r="D627" i="20"/>
  <c r="D268" i="20"/>
  <c r="D1165" i="20"/>
  <c r="D1033" i="20"/>
  <c r="D135" i="20"/>
  <c r="D1058" i="20"/>
  <c r="D223" i="20"/>
  <c r="D498" i="20"/>
  <c r="D596" i="20"/>
  <c r="D1374" i="20"/>
  <c r="D947" i="20"/>
  <c r="D296" i="20"/>
  <c r="D876" i="20"/>
  <c r="D407" i="20"/>
  <c r="D403" i="20"/>
  <c r="D94" i="20"/>
  <c r="D776" i="20"/>
  <c r="D981" i="20"/>
  <c r="D1044" i="20"/>
  <c r="D1186" i="20"/>
  <c r="D1287" i="20"/>
  <c r="D1236" i="20"/>
  <c r="D881" i="20"/>
  <c r="D336" i="20"/>
  <c r="D687" i="20"/>
  <c r="D92" i="20"/>
  <c r="D798" i="20"/>
  <c r="D1267" i="20"/>
  <c r="D84" i="20"/>
  <c r="D374" i="20"/>
  <c r="D393" i="20"/>
  <c r="D71" i="20"/>
  <c r="D577" i="20"/>
  <c r="D1439" i="20"/>
  <c r="D568" i="20"/>
  <c r="D1333" i="20"/>
  <c r="D1072" i="20"/>
  <c r="D991" i="20"/>
  <c r="D869" i="20"/>
  <c r="D245" i="20"/>
  <c r="D1119" i="20"/>
  <c r="D1175" i="20"/>
  <c r="D1063" i="20"/>
  <c r="D613" i="20"/>
  <c r="D560" i="20"/>
  <c r="D1200" i="20"/>
  <c r="D1420" i="20"/>
  <c r="D858" i="20"/>
  <c r="D1010" i="20"/>
  <c r="D235" i="20"/>
  <c r="D1192" i="20"/>
  <c r="D910" i="20"/>
  <c r="D64" i="20"/>
  <c r="D850" i="20"/>
  <c r="D361" i="20"/>
  <c r="D1295" i="20"/>
  <c r="D1469" i="20"/>
  <c r="D1180" i="20"/>
  <c r="D886" i="20"/>
  <c r="D514" i="20"/>
  <c r="D706" i="20"/>
  <c r="D1306" i="20"/>
  <c r="D994" i="20"/>
  <c r="D1272" i="20"/>
  <c r="D192" i="20"/>
  <c r="D384" i="20"/>
  <c r="D1311" i="20"/>
  <c r="D788" i="20"/>
  <c r="D1162" i="20"/>
  <c r="D715" i="20"/>
  <c r="D1069" i="20"/>
  <c r="D422" i="20"/>
  <c r="D1331" i="20"/>
  <c r="D1265" i="20"/>
  <c r="D1347" i="20"/>
  <c r="D196" i="20"/>
  <c r="D580" i="20"/>
  <c r="D1079" i="20"/>
  <c r="D809" i="20"/>
  <c r="D193" i="20"/>
  <c r="D740" i="20"/>
  <c r="D1066" i="20"/>
  <c r="D600" i="20"/>
  <c r="D803" i="20"/>
  <c r="D1477" i="20"/>
  <c r="D959" i="20"/>
  <c r="D524" i="20"/>
  <c r="D1017" i="20"/>
  <c r="D321" i="20"/>
  <c r="D1074" i="20"/>
  <c r="D786" i="20"/>
  <c r="D323" i="20"/>
  <c r="D747" i="20"/>
  <c r="D176" i="20"/>
  <c r="D1045" i="20"/>
  <c r="D540" i="20"/>
  <c r="D862" i="20"/>
  <c r="D212" i="20"/>
  <c r="D1229" i="20"/>
  <c r="D911" i="20"/>
  <c r="D1322" i="20"/>
  <c r="D1300" i="20"/>
  <c r="D385" i="20"/>
  <c r="D753" i="20"/>
  <c r="D1339" i="20"/>
  <c r="D450" i="20"/>
  <c r="D634" i="20"/>
  <c r="D695" i="20"/>
  <c r="D284" i="20"/>
  <c r="D494" i="20"/>
  <c r="D691" i="20"/>
  <c r="D1411" i="20"/>
  <c r="D572" i="20"/>
  <c r="D1046" i="20"/>
  <c r="D530" i="20"/>
  <c r="D1279" i="20"/>
  <c r="D493" i="20"/>
  <c r="D765" i="20"/>
  <c r="D1359" i="20"/>
  <c r="D1209" i="20"/>
  <c r="D544" i="20"/>
  <c r="D835" i="20"/>
  <c r="D408" i="20"/>
  <c r="D1027" i="20"/>
  <c r="D305" i="20"/>
  <c r="D1338" i="20"/>
  <c r="D856" i="20"/>
  <c r="D974" i="20"/>
  <c r="D160" i="20"/>
  <c r="D338" i="20"/>
  <c r="D1071" i="20"/>
  <c r="D1345" i="20"/>
  <c r="D855" i="20"/>
  <c r="D132" i="20"/>
  <c r="D1213" i="20"/>
  <c r="D1199" i="20"/>
  <c r="D247" i="20"/>
  <c r="D903" i="20"/>
  <c r="D20" i="20"/>
  <c r="D1278" i="20"/>
  <c r="D282" i="20"/>
  <c r="D1406" i="20"/>
  <c r="D316" i="20"/>
  <c r="D772" i="20"/>
  <c r="D527" i="20"/>
  <c r="D363" i="20"/>
  <c r="D985" i="20"/>
  <c r="D211" i="20"/>
  <c r="D878" i="20"/>
  <c r="D1051" i="20"/>
  <c r="D555" i="20"/>
  <c r="D1297" i="20"/>
  <c r="D1122" i="20"/>
  <c r="D1207" i="20"/>
  <c r="D146" i="20"/>
  <c r="D480" i="20"/>
  <c r="D646" i="20"/>
  <c r="D1431" i="20"/>
  <c r="D755" i="20"/>
  <c r="D364" i="20"/>
  <c r="D1353" i="20"/>
  <c r="D667" i="20"/>
  <c r="D120" i="20"/>
  <c r="D343" i="20"/>
  <c r="D1169" i="20"/>
  <c r="D65" i="20"/>
  <c r="D186" i="20"/>
  <c r="D275" i="20"/>
  <c r="D777" i="20"/>
  <c r="D430" i="20"/>
  <c r="D181" i="20"/>
  <c r="D728" i="20"/>
  <c r="D1361" i="20"/>
  <c r="D400" i="20"/>
  <c r="D1292" i="20"/>
  <c r="D1291" i="20"/>
  <c r="D870" i="20"/>
  <c r="D1275" i="20"/>
  <c r="D1077" i="20"/>
  <c r="D78" i="20"/>
  <c r="D578" i="20"/>
  <c r="D1037" i="20"/>
  <c r="D404" i="20"/>
  <c r="D1011" i="20"/>
  <c r="D1174" i="20"/>
  <c r="D154" i="20"/>
  <c r="D259" i="20"/>
  <c r="D837" i="20"/>
  <c r="D924" i="20"/>
  <c r="D257" i="20"/>
  <c r="D1230" i="20"/>
  <c r="D1134" i="20"/>
  <c r="D879" i="20"/>
  <c r="D190" i="20"/>
  <c r="D427" i="20"/>
  <c r="D1366" i="20"/>
  <c r="D630" i="20"/>
  <c r="D1381" i="20"/>
  <c r="D826" i="20"/>
  <c r="D34" i="20"/>
  <c r="D1511" i="20"/>
  <c r="D1080" i="20"/>
  <c r="D244" i="20"/>
  <c r="D847" i="20"/>
  <c r="D896" i="20"/>
  <c r="D1220" i="20"/>
  <c r="D59" i="20"/>
  <c r="D66" i="20"/>
  <c r="D594" i="20"/>
  <c r="D1281" i="20"/>
  <c r="D766" i="20"/>
  <c r="D775" i="20"/>
  <c r="D501" i="20"/>
  <c r="D1143" i="20"/>
  <c r="D831" i="20"/>
  <c r="D1356" i="20"/>
  <c r="D248" i="20"/>
  <c r="D177" i="20"/>
  <c r="D800" i="20"/>
  <c r="D33" i="20"/>
  <c r="D1128" i="20"/>
  <c r="D1226" i="20"/>
  <c r="D1357" i="20"/>
  <c r="D1280" i="20"/>
  <c r="D230" i="20"/>
  <c r="D799" i="20"/>
  <c r="D1504" i="20"/>
  <c r="D1307" i="20"/>
  <c r="D825" i="20"/>
  <c r="D642" i="20"/>
  <c r="D492" i="20"/>
  <c r="D1062" i="20"/>
  <c r="D1208" i="20"/>
  <c r="D50" i="20"/>
  <c r="D329" i="20"/>
  <c r="D712" i="20"/>
  <c r="D1185" i="20"/>
  <c r="D1187" i="20"/>
  <c r="D1320" i="20"/>
  <c r="D1221" i="20"/>
  <c r="D1110" i="20"/>
  <c r="D1475" i="20"/>
  <c r="D1098" i="20"/>
  <c r="D965" i="20"/>
  <c r="D287" i="20"/>
  <c r="D150" i="20"/>
  <c r="D1452" i="20"/>
  <c r="D990" i="20"/>
  <c r="D791" i="20"/>
  <c r="D779" i="20"/>
  <c r="D1112" i="20"/>
  <c r="D680" i="20"/>
  <c r="D487" i="20"/>
  <c r="D710" i="20"/>
  <c r="D1257" i="20"/>
  <c r="D1031" i="20"/>
  <c r="D15" i="20"/>
  <c r="D61" i="20"/>
  <c r="D727" i="20"/>
  <c r="D185" i="20"/>
  <c r="D675" i="20"/>
  <c r="D387" i="20"/>
  <c r="D938" i="20"/>
  <c r="D987" i="20"/>
  <c r="D1459" i="20"/>
  <c r="D1296" i="20"/>
  <c r="D934" i="20"/>
  <c r="D1060" i="20"/>
  <c r="D216" i="20"/>
  <c r="D1378" i="20"/>
  <c r="D1009" i="20"/>
  <c r="D1271" i="20"/>
  <c r="D1498" i="20"/>
  <c r="D616" i="20"/>
  <c r="D144" i="20"/>
  <c r="D1343" i="20"/>
  <c r="D49" i="20"/>
  <c r="D1075" i="20"/>
  <c r="D301" i="20"/>
  <c r="D569" i="20"/>
  <c r="D719" i="20"/>
  <c r="D1486" i="20"/>
  <c r="D978" i="20"/>
  <c r="D41" i="20"/>
  <c r="D139" i="20"/>
  <c r="D229" i="20"/>
  <c r="D1002" i="20"/>
  <c r="D378" i="20"/>
  <c r="D1323" i="20"/>
  <c r="D1440" i="20"/>
  <c r="D1489" i="20"/>
  <c r="D441" i="20"/>
  <c r="D1488" i="20"/>
  <c r="D1509" i="20"/>
  <c r="D351" i="20"/>
  <c r="D538" i="20"/>
  <c r="D453" i="20"/>
  <c r="D790" i="20"/>
  <c r="D797" i="20"/>
  <c r="D543" i="20"/>
  <c r="D1401" i="20"/>
  <c r="D801" i="20"/>
  <c r="D761" i="20"/>
  <c r="D885" i="20"/>
  <c r="D149" i="20"/>
  <c r="D953" i="20"/>
  <c r="D129" i="20"/>
  <c r="D559" i="20"/>
  <c r="D496" i="20"/>
  <c r="D1481" i="20"/>
  <c r="D967" i="20"/>
  <c r="D429" i="20"/>
  <c r="D1384" i="20"/>
  <c r="D1383" i="20"/>
  <c r="D617" i="20"/>
  <c r="D346" i="20"/>
  <c r="D595" i="20"/>
  <c r="D821" i="20"/>
  <c r="D1140" i="20"/>
  <c r="D1380" i="20"/>
  <c r="D970" i="20"/>
  <c r="D1510" i="20"/>
  <c r="D1336" i="20"/>
  <c r="D962" i="20"/>
  <c r="D898" i="20"/>
  <c r="D1416" i="20"/>
  <c r="D174" i="20"/>
  <c r="D638" i="20"/>
  <c r="D58" i="20"/>
  <c r="D1178" i="20"/>
  <c r="D87" i="20"/>
  <c r="D333" i="20"/>
  <c r="D457" i="20"/>
  <c r="D1448" i="20"/>
  <c r="D852" i="20"/>
  <c r="D1022" i="20"/>
  <c r="D1456" i="20"/>
  <c r="D674" i="20"/>
  <c r="D1149" i="20"/>
  <c r="D1225" i="20"/>
  <c r="D456" i="20"/>
  <c r="D517" i="20"/>
  <c r="D1120" i="20"/>
  <c r="D1390" i="20"/>
  <c r="D945" i="20"/>
  <c r="D265" i="20"/>
  <c r="D1446" i="20"/>
  <c r="D511" i="20"/>
  <c r="D1270" i="20"/>
  <c r="D173" i="20"/>
  <c r="D114" i="20"/>
  <c r="D499" i="20"/>
  <c r="D963" i="20"/>
  <c r="D1238" i="20"/>
  <c r="D1170" i="20"/>
  <c r="D17" i="20"/>
  <c r="D871" i="20"/>
  <c r="D1253" i="20"/>
  <c r="D1206" i="20"/>
  <c r="D419" i="20"/>
  <c r="D220" i="20"/>
  <c r="D35" i="20"/>
  <c r="D1250" i="20"/>
  <c r="D330" i="20"/>
  <c r="D1319" i="20"/>
  <c r="D104" i="20"/>
  <c r="D822" i="20"/>
  <c r="D1259" i="20"/>
  <c r="D1425" i="20"/>
  <c r="D436" i="20"/>
  <c r="D1462" i="20"/>
  <c r="D1246" i="20"/>
  <c r="D63" i="20"/>
  <c r="D969" i="20"/>
  <c r="D241" i="20"/>
  <c r="D1188" i="20"/>
  <c r="D1107" i="20"/>
  <c r="D260" i="20"/>
  <c r="D1198" i="20"/>
  <c r="D105" i="20"/>
  <c r="D469" i="20"/>
  <c r="D1445" i="20"/>
  <c r="D1453" i="20"/>
  <c r="D131" i="20"/>
  <c r="D553" i="20"/>
  <c r="D632" i="20"/>
  <c r="D588" i="20"/>
  <c r="D213" i="20"/>
  <c r="D1100" i="20"/>
  <c r="D1438" i="20"/>
  <c r="D542" i="20"/>
  <c r="D1376" i="20"/>
  <c r="D783" i="20"/>
  <c r="D503" i="20"/>
  <c r="D327" i="20"/>
  <c r="D581" i="20"/>
  <c r="D157" i="20"/>
  <c r="D68" i="20"/>
  <c r="D319" i="20"/>
  <c r="D802" i="20"/>
  <c r="D1087" i="20"/>
  <c r="D415" i="20"/>
  <c r="D561" i="20"/>
  <c r="D744" i="20"/>
  <c r="D1426" i="20"/>
  <c r="D1288" i="20"/>
  <c r="D1026" i="20"/>
  <c r="D424" i="20"/>
  <c r="D1254" i="20"/>
  <c r="D182" i="20"/>
  <c r="D724" i="20"/>
  <c r="D1268" i="20"/>
  <c r="D883" i="20"/>
  <c r="D960" i="20"/>
  <c r="D941" i="20"/>
  <c r="D1131" i="20"/>
  <c r="D944" i="20"/>
  <c r="D331" i="20"/>
  <c r="D928" i="20"/>
  <c r="D184" i="20"/>
  <c r="D367" i="20"/>
  <c r="D571" i="20"/>
  <c r="D995" i="20"/>
  <c r="D1126" i="20"/>
  <c r="D676" i="20"/>
  <c r="D599" i="20"/>
  <c r="D694" i="20"/>
  <c r="D516" i="20"/>
  <c r="D373" i="20"/>
  <c r="D108" i="20"/>
  <c r="D357" i="20"/>
  <c r="D1335" i="20"/>
  <c r="D1028" i="20"/>
  <c r="D1042" i="20"/>
  <c r="D659" i="20"/>
  <c r="D1301" i="20"/>
  <c r="D1083" i="20"/>
  <c r="D1290" i="20"/>
  <c r="D1035" i="20"/>
  <c r="D1367" i="20"/>
  <c r="D843" i="20"/>
  <c r="D1064" i="20"/>
  <c r="D1104" i="20"/>
  <c r="D231" i="20"/>
  <c r="D454" i="20"/>
  <c r="D118" i="20"/>
  <c r="D1231" i="20"/>
  <c r="D711" i="20"/>
  <c r="D1006" i="20"/>
  <c r="D125" i="20"/>
  <c r="D187" i="20"/>
  <c r="D1136" i="20"/>
  <c r="D778" i="20"/>
  <c r="D656" i="20"/>
  <c r="D993" i="20"/>
  <c r="D495" i="20"/>
  <c r="D964" i="20"/>
  <c r="D117" i="20"/>
  <c r="D1349" i="20"/>
  <c r="D240" i="20"/>
  <c r="D286" i="20"/>
  <c r="D1386" i="20"/>
  <c r="D1274" i="20"/>
  <c r="D1019" i="20"/>
  <c r="D237" i="20"/>
  <c r="D113" i="20"/>
  <c r="D1514" i="20"/>
  <c r="D72" i="20"/>
  <c r="D702" i="20"/>
  <c r="D90" i="20"/>
  <c r="D269" i="20"/>
  <c r="D1008" i="20"/>
  <c r="D312" i="20"/>
  <c r="D1393" i="20"/>
  <c r="D414" i="20"/>
  <c r="D133" i="20"/>
  <c r="D573" i="20"/>
  <c r="D1168" i="20"/>
  <c r="D1244" i="20"/>
  <c r="D121" i="20"/>
  <c r="D1505" i="20"/>
  <c r="D877" i="20"/>
  <c r="D45" i="20"/>
  <c r="D645" i="20"/>
  <c r="D468" i="20"/>
  <c r="D689" i="20"/>
  <c r="D1314" i="20"/>
  <c r="D853" i="20"/>
  <c r="D439" i="20"/>
  <c r="D124" i="20"/>
  <c r="D828" i="20"/>
  <c r="D746" i="20"/>
  <c r="D808" i="20"/>
  <c r="D1020" i="20"/>
  <c r="D1117" i="20"/>
  <c r="D552" i="20"/>
  <c r="D178" i="20"/>
  <c r="D1408" i="20"/>
  <c r="D1159" i="20"/>
  <c r="D999" i="20"/>
  <c r="D760" i="20"/>
  <c r="D824" i="20"/>
  <c r="D1243" i="20"/>
  <c r="D1172" i="20"/>
  <c r="D697" i="20"/>
  <c r="D565" i="20"/>
  <c r="D488" i="20"/>
  <c r="D304" i="20"/>
  <c r="D652" i="20"/>
  <c r="D1468" i="20"/>
  <c r="D633" i="20"/>
  <c r="D846" i="20"/>
  <c r="D1385" i="20"/>
  <c r="D1182" i="20"/>
  <c r="D1255" i="20"/>
  <c r="D483" i="20"/>
  <c r="D1245" i="20"/>
  <c r="D913" i="20"/>
  <c r="D984" i="20"/>
  <c r="D683" i="20"/>
  <c r="D350" i="20"/>
  <c r="D401" i="20"/>
  <c r="D369" i="20"/>
  <c r="D908" i="20"/>
  <c r="D252" i="20"/>
  <c r="D585" i="20"/>
  <c r="D660" i="20"/>
  <c r="D165" i="20"/>
  <c r="D163" i="20"/>
  <c r="D931" i="20"/>
  <c r="D1483" i="20"/>
  <c r="D16" i="20"/>
  <c r="D283" i="20"/>
  <c r="D655" i="20"/>
  <c r="D1332" i="20"/>
  <c r="D116" i="20"/>
  <c r="D1016" i="20"/>
  <c r="D1184" i="20"/>
  <c r="D1414" i="20"/>
  <c r="D273" i="20"/>
  <c r="D518" i="20"/>
  <c r="D91" i="20"/>
  <c r="D142" i="20"/>
  <c r="D294" i="20"/>
  <c r="D335" i="20"/>
  <c r="D1233" i="20"/>
  <c r="D532" i="20"/>
  <c r="D946" i="20"/>
  <c r="D643" i="20"/>
  <c r="D345" i="20"/>
  <c r="D805" i="20"/>
  <c r="D214" i="20"/>
  <c r="D681" i="20"/>
  <c r="D222" i="20"/>
  <c r="D472" i="20"/>
  <c r="D895" i="20"/>
  <c r="D576" i="20"/>
  <c r="D1211" i="20"/>
  <c r="D1181" i="20"/>
  <c r="D892" i="20"/>
  <c r="D1055" i="20"/>
  <c r="D438" i="20"/>
  <c r="D1512" i="20"/>
  <c r="D1492" i="20"/>
  <c r="D1095" i="20"/>
  <c r="D1450" i="20"/>
  <c r="D276" i="20"/>
  <c r="D234" i="20"/>
  <c r="D851" i="20"/>
  <c r="D465" i="20"/>
  <c r="D769" i="20"/>
  <c r="D371" i="20"/>
  <c r="D612" i="20"/>
  <c r="D207" i="20"/>
  <c r="D698" i="20"/>
  <c r="D1399" i="20"/>
  <c r="D381" i="20"/>
  <c r="D324" i="20"/>
  <c r="D1176" i="20"/>
  <c r="D1232" i="20"/>
  <c r="D1499" i="20"/>
  <c r="D410" i="20"/>
  <c r="D366" i="20"/>
  <c r="D1030" i="20"/>
  <c r="D1309" i="20"/>
  <c r="D672" i="20"/>
  <c r="D1507" i="20"/>
  <c r="D1197" i="20"/>
  <c r="D122" i="20"/>
  <c r="D202" i="20"/>
  <c r="D664" i="20"/>
  <c r="D1056" i="20"/>
  <c r="D566" i="20"/>
  <c r="D857" i="20"/>
  <c r="D83" i="20"/>
  <c r="D1326" i="20"/>
  <c r="D80" i="20"/>
  <c r="D332" i="20"/>
  <c r="D1137" i="20"/>
  <c r="D158" i="20"/>
  <c r="D1160" i="20"/>
  <c r="D1330" i="20"/>
  <c r="D189" i="20"/>
  <c r="D920" i="20"/>
  <c r="D1092" i="20"/>
  <c r="D151" i="20"/>
  <c r="D1463" i="20"/>
  <c r="D1202" i="20"/>
  <c r="D1329" i="20"/>
  <c r="D663" i="20"/>
  <c r="D1482" i="20"/>
  <c r="D751" i="20"/>
  <c r="D1118" i="20"/>
  <c r="D863" i="20"/>
  <c r="D370" i="20"/>
  <c r="D1142" i="20"/>
  <c r="D1240" i="20"/>
  <c r="D1365" i="20"/>
  <c r="D1109" i="20"/>
  <c r="D491" i="20"/>
  <c r="D417" i="20"/>
  <c r="D1305" i="20"/>
  <c r="D1419" i="20"/>
  <c r="D1394" i="20"/>
  <c r="D780" i="20"/>
  <c r="D536" i="20"/>
  <c r="D806" i="20"/>
  <c r="D242" i="20"/>
  <c r="D31" i="20"/>
  <c r="D481" i="20"/>
  <c r="D411" i="20"/>
  <c r="D270" i="20"/>
  <c r="D705" i="20"/>
  <c r="D1379" i="20"/>
  <c r="D1476" i="20"/>
  <c r="D412" i="20"/>
  <c r="D1283" i="20"/>
  <c r="D770" i="20"/>
  <c r="D355" i="20"/>
  <c r="D773" i="20"/>
  <c r="D290" i="20"/>
  <c r="D894" i="20"/>
  <c r="D867" i="20"/>
  <c r="D666" i="20"/>
  <c r="D264" i="20"/>
  <c r="D1437" i="20"/>
  <c r="D1418" i="20"/>
  <c r="D467" i="20"/>
  <c r="D1124" i="20"/>
  <c r="D191" i="20"/>
  <c r="D1430" i="20"/>
  <c r="D932" i="20"/>
  <c r="D1294" i="20"/>
  <c r="D1241" i="20"/>
  <c r="D170" i="20"/>
  <c r="D823" i="20"/>
  <c r="D933" i="20"/>
  <c r="D1302" i="20"/>
  <c r="D893" i="20"/>
  <c r="D390" i="20"/>
  <c r="D1047" i="20"/>
  <c r="D342" i="20"/>
  <c r="D1014" i="20"/>
  <c r="D109" i="20"/>
  <c r="D359" i="20"/>
  <c r="D463" i="20"/>
  <c r="D997" i="20"/>
  <c r="D1125" i="20"/>
  <c r="D763" i="20"/>
  <c r="D848" i="20"/>
  <c r="D1248" i="20"/>
  <c r="D1029" i="20"/>
  <c r="D225" i="20"/>
  <c r="D539" i="20"/>
  <c r="D1177" i="20"/>
  <c r="D334" i="20"/>
  <c r="D279" i="20"/>
  <c r="D1036" i="20"/>
  <c r="D1097" i="20"/>
  <c r="D873" i="20"/>
  <c r="D210" i="20"/>
  <c r="D466" i="20"/>
  <c r="D1171" i="20"/>
  <c r="D1497" i="20"/>
  <c r="D479" i="20"/>
  <c r="D372" i="20"/>
  <c r="D606" i="20"/>
  <c r="D509" i="20"/>
  <c r="D179" i="20"/>
  <c r="D1429" i="20"/>
  <c r="D1212" i="20"/>
  <c r="D455" i="20"/>
  <c r="D347" i="20"/>
  <c r="D437" i="20"/>
  <c r="D661" i="20"/>
  <c r="D1261" i="20"/>
  <c r="D1146" i="20"/>
  <c r="D796" i="20"/>
  <c r="D574" i="20"/>
  <c r="D557" i="20"/>
  <c r="D1422" i="20"/>
  <c r="D254" i="20"/>
  <c r="D1223" i="20"/>
  <c r="D1354" i="20"/>
  <c r="D709" i="20"/>
  <c r="D1324" i="20"/>
  <c r="D1179" i="20"/>
  <c r="D134" i="20"/>
  <c r="D1490" i="20"/>
  <c r="D115" i="20"/>
  <c r="D1277" i="20"/>
  <c r="D983" i="20"/>
  <c r="D1050" i="20"/>
  <c r="D897" i="20"/>
  <c r="D30" i="20"/>
  <c r="D860" i="20"/>
  <c r="D1204" i="20"/>
  <c r="D140" i="20"/>
  <c r="D925" i="20"/>
  <c r="D206" i="20"/>
  <c r="D819" i="20"/>
  <c r="D25" i="20"/>
  <c r="D768" i="20"/>
  <c r="D1023" i="20"/>
  <c r="D1123" i="20"/>
  <c r="D1152" i="20"/>
  <c r="D48" i="20"/>
  <c r="D677" i="20"/>
  <c r="D462" i="20"/>
  <c r="D900" i="20"/>
  <c r="D975" i="20"/>
  <c r="D1355" i="20"/>
  <c r="D51" i="20"/>
  <c r="D433" i="20"/>
  <c r="D183" i="20"/>
  <c r="D239" i="20"/>
  <c r="D402" i="20"/>
  <c r="D238" i="20"/>
  <c r="D604" i="20"/>
  <c r="D394" i="20"/>
  <c r="D89" i="20"/>
  <c r="D961" i="20"/>
  <c r="D624" i="20"/>
  <c r="D97" i="20"/>
  <c r="D1189" i="20"/>
  <c r="D82" i="20"/>
  <c r="D834" i="20"/>
  <c r="D827" i="20"/>
  <c r="D502" i="20"/>
  <c r="D74" i="20"/>
  <c r="D309" i="20"/>
  <c r="D416" i="20"/>
  <c r="D1410" i="20"/>
  <c r="D567" i="20"/>
  <c r="D233" i="20"/>
  <c r="D147" i="20"/>
  <c r="D670" i="20"/>
  <c r="D734" i="20"/>
  <c r="D1398" i="20"/>
  <c r="D432" i="20"/>
  <c r="D1007" i="20"/>
  <c r="D1364" i="20"/>
  <c r="D1012" i="20"/>
  <c r="D714" i="20"/>
  <c r="D754" i="20"/>
  <c r="O43" i="38"/>
  <c r="O44" i="38"/>
  <c r="P15" i="20" a="1"/>
  <c r="P259" i="20" l="1"/>
  <c r="P437" i="20"/>
  <c r="P771" i="20"/>
  <c r="P276" i="20"/>
  <c r="P876" i="20"/>
  <c r="P579" i="20"/>
  <c r="P1107" i="20"/>
  <c r="P986" i="20"/>
  <c r="P236" i="20"/>
  <c r="P576" i="20"/>
  <c r="P444" i="20"/>
  <c r="P758" i="20"/>
  <c r="P982" i="20"/>
  <c r="P1084" i="20"/>
  <c r="P719" i="20"/>
  <c r="P889" i="20"/>
  <c r="P738" i="20"/>
  <c r="P1026" i="20"/>
  <c r="P415" i="20"/>
  <c r="P202" i="20"/>
  <c r="P269" i="20"/>
  <c r="P623" i="20"/>
  <c r="P1142" i="20"/>
  <c r="P146" i="20"/>
  <c r="P1052" i="20"/>
  <c r="P345" i="20"/>
  <c r="P1423" i="20"/>
  <c r="P1305" i="20"/>
  <c r="P1004" i="20"/>
  <c r="P999" i="20"/>
  <c r="P1422" i="20"/>
  <c r="P1210" i="20"/>
  <c r="P1280" i="20"/>
  <c r="P933" i="20"/>
  <c r="P646" i="20"/>
  <c r="P905" i="20"/>
  <c r="P1134" i="20"/>
  <c r="P1336" i="20"/>
  <c r="P1094" i="20"/>
  <c r="P1045" i="20"/>
  <c r="P238" i="20"/>
  <c r="P148" i="20"/>
  <c r="P1202" i="20"/>
  <c r="P1080" i="20"/>
  <c r="P926" i="20"/>
  <c r="P995" i="20"/>
  <c r="P204" i="20"/>
  <c r="P1000" i="20"/>
  <c r="P1011" i="20"/>
  <c r="P311" i="20"/>
  <c r="P860" i="20"/>
  <c r="P722" i="20"/>
  <c r="P322" i="20"/>
  <c r="P277" i="20"/>
  <c r="P985" i="20"/>
  <c r="P1110" i="20"/>
  <c r="P187" i="20"/>
  <c r="P425" i="20"/>
  <c r="P22" i="20"/>
  <c r="P1326" i="20"/>
  <c r="P1427" i="20"/>
  <c r="P1449" i="20"/>
  <c r="P382" i="20"/>
  <c r="P1342" i="20"/>
  <c r="P928" i="20"/>
  <c r="P1036" i="20"/>
  <c r="P1353" i="20"/>
  <c r="P657" i="20"/>
  <c r="P213" i="20"/>
  <c r="P520" i="20"/>
  <c r="P1096" i="20"/>
  <c r="P1172" i="20"/>
  <c r="P1465" i="20"/>
  <c r="P1327" i="20"/>
  <c r="P732" i="20"/>
  <c r="P724" i="20"/>
  <c r="P848" i="20"/>
  <c r="P1430" i="20"/>
  <c r="P1494" i="20"/>
  <c r="P1355" i="20"/>
  <c r="P1443" i="20"/>
  <c r="P386" i="20"/>
  <c r="P1313" i="20"/>
  <c r="P1234" i="20"/>
  <c r="P164" i="20"/>
  <c r="P349" i="20"/>
  <c r="P899" i="20"/>
  <c r="P162" i="20"/>
  <c r="P713" i="20"/>
  <c r="P627" i="20"/>
  <c r="P672" i="20"/>
  <c r="P250" i="20"/>
  <c r="P715" i="20"/>
  <c r="P1312" i="20"/>
  <c r="P490" i="20"/>
  <c r="P1115" i="20"/>
  <c r="P80" i="20"/>
  <c r="P1240" i="20"/>
  <c r="P1063" i="20"/>
  <c r="P1208" i="20"/>
  <c r="P1199" i="20"/>
  <c r="P1333" i="20"/>
  <c r="P958" i="20"/>
  <c r="P1081" i="20"/>
  <c r="P976" i="20"/>
  <c r="P1382" i="20"/>
  <c r="P1196" i="20"/>
  <c r="P1265" i="20"/>
  <c r="P967" i="20"/>
  <c r="P1387" i="20"/>
  <c r="P1258" i="20"/>
  <c r="P120" i="20"/>
  <c r="P1168" i="20"/>
  <c r="P966" i="20"/>
  <c r="P223" i="20"/>
  <c r="P1102" i="20"/>
  <c r="P894" i="20"/>
  <c r="P341" i="20"/>
  <c r="P101" i="20"/>
  <c r="P493" i="20"/>
  <c r="P139" i="20"/>
  <c r="P1514" i="20"/>
  <c r="P1019" i="20"/>
  <c r="P643" i="20"/>
  <c r="P51" i="20"/>
  <c r="P811" i="20"/>
  <c r="P808" i="20"/>
  <c r="P150" i="20"/>
  <c r="P577" i="20"/>
  <c r="P1454" i="20"/>
  <c r="P895" i="20"/>
  <c r="P30" i="20"/>
  <c r="P1356" i="20"/>
  <c r="P1137" i="20"/>
  <c r="P1471" i="20"/>
  <c r="P935" i="20"/>
  <c r="P924" i="20"/>
  <c r="P634" i="20"/>
  <c r="P674" i="20"/>
  <c r="P1129" i="20"/>
  <c r="P989" i="20"/>
  <c r="P826" i="20"/>
  <c r="P375" i="20"/>
  <c r="P1091" i="20"/>
  <c r="P636" i="20"/>
  <c r="P682" i="20"/>
  <c r="P41" i="20"/>
  <c r="P353" i="20"/>
  <c r="P1274" i="20"/>
  <c r="P371" i="20"/>
  <c r="P557" i="20"/>
  <c r="P1054" i="20"/>
  <c r="P448" i="20"/>
  <c r="P887" i="20"/>
  <c r="P650" i="20"/>
  <c r="P1442" i="20"/>
  <c r="P562" i="20"/>
  <c r="P130" i="20"/>
  <c r="P1264" i="20"/>
  <c r="P141" i="20"/>
  <c r="P768" i="20"/>
  <c r="P554" i="20"/>
  <c r="P1456" i="20"/>
  <c r="P1236" i="20"/>
  <c r="P1398" i="20"/>
  <c r="P1131" i="20"/>
  <c r="P102" i="20"/>
  <c r="P24" i="20"/>
  <c r="P292" i="20"/>
  <c r="P681" i="20"/>
  <c r="P517" i="20"/>
  <c r="P1362" i="20"/>
  <c r="P1092" i="20"/>
  <c r="P72" i="20"/>
  <c r="P1254" i="20"/>
  <c r="P1087" i="20"/>
  <c r="P65" i="20"/>
  <c r="P447" i="20"/>
  <c r="P1470" i="20"/>
  <c r="P464" i="20"/>
  <c r="P1395" i="20"/>
  <c r="P991" i="20"/>
  <c r="P1303" i="20"/>
  <c r="P934" i="20"/>
  <c r="P407" i="20"/>
  <c r="P815" i="20"/>
  <c r="P1216" i="20"/>
  <c r="P254" i="20"/>
  <c r="P708" i="20"/>
  <c r="P1262" i="20"/>
  <c r="P469" i="20"/>
  <c r="P1218" i="20"/>
  <c r="P83" i="20"/>
  <c r="P1014" i="20"/>
  <c r="P843" i="20"/>
  <c r="P1112" i="20"/>
  <c r="P417" i="20"/>
  <c r="P1331" i="20"/>
  <c r="P1135" i="20"/>
  <c r="P816" i="20"/>
  <c r="P224" i="20"/>
  <c r="P219" i="20"/>
  <c r="P218" i="20"/>
  <c r="P232" i="20"/>
  <c r="P497" i="20"/>
  <c r="P1062" i="20"/>
  <c r="P774" i="20"/>
  <c r="P1111" i="20"/>
  <c r="P286" i="20"/>
  <c r="P29" i="20"/>
  <c r="P379" i="20"/>
  <c r="P1400" i="20"/>
  <c r="P336" i="20"/>
  <c r="P1371" i="20"/>
  <c r="P550" i="20"/>
  <c r="P753" i="20"/>
  <c r="P372" i="20"/>
  <c r="P751" i="20"/>
  <c r="P216" i="20"/>
  <c r="P949" i="20"/>
  <c r="P413" i="20"/>
  <c r="P1345" i="20"/>
  <c r="P900" i="20"/>
  <c r="P1047" i="20"/>
  <c r="P788" i="20"/>
  <c r="P710" i="20"/>
  <c r="P160" i="20"/>
  <c r="P1007" i="20"/>
  <c r="P189" i="20"/>
  <c r="P1016" i="20"/>
  <c r="P1212" i="20"/>
  <c r="P1170" i="20"/>
  <c r="P1249" i="20"/>
  <c r="P796" i="20"/>
  <c r="P1420" i="20"/>
  <c r="P285" i="20"/>
  <c r="P296" i="20"/>
  <c r="P1348" i="20"/>
  <c r="P1393" i="20"/>
  <c r="P1271" i="20"/>
  <c r="P1272" i="20"/>
  <c r="P516" i="20"/>
  <c r="P446" i="20"/>
  <c r="P1103" i="20"/>
  <c r="P91" i="20"/>
  <c r="P1273" i="20"/>
  <c r="P663" i="20"/>
  <c r="P46" i="20"/>
  <c r="P393" i="20"/>
  <c r="P540" i="20"/>
  <c r="P401" i="20"/>
  <c r="P44" i="20"/>
  <c r="P234" i="20"/>
  <c r="P264" i="20"/>
  <c r="P921" i="20"/>
  <c r="P969" i="20"/>
  <c r="P1138" i="20"/>
  <c r="P748" i="20"/>
  <c r="P1109" i="20"/>
  <c r="P511" i="20"/>
  <c r="P675" i="20"/>
  <c r="P208" i="20"/>
  <c r="P1197" i="20"/>
  <c r="P812" i="20"/>
  <c r="P431" i="20"/>
  <c r="P807" i="20"/>
  <c r="P653" i="20"/>
  <c r="P670" i="20"/>
  <c r="P368" i="20"/>
  <c r="P1300" i="20"/>
  <c r="P669" i="20"/>
  <c r="P64" i="20"/>
  <c r="P1067" i="20"/>
  <c r="P363" i="20"/>
  <c r="P893" i="20"/>
  <c r="P1185" i="20"/>
  <c r="P592" i="20"/>
  <c r="P1017" i="20"/>
  <c r="P572" i="20"/>
  <c r="P778" i="20"/>
  <c r="P869" i="20"/>
  <c r="P1078" i="20"/>
  <c r="P659" i="20"/>
  <c r="P621" i="20"/>
  <c r="P394" i="20"/>
  <c r="P1320" i="20"/>
  <c r="P978" i="20"/>
  <c r="P1482" i="20"/>
  <c r="P330" i="20"/>
  <c r="P1088" i="20"/>
  <c r="P747" i="20"/>
  <c r="P18" i="20"/>
  <c r="P1046" i="20"/>
  <c r="P1431" i="20"/>
  <c r="P1021" i="20"/>
  <c r="P1365" i="20"/>
  <c r="P764" i="20"/>
  <c r="P288" i="20"/>
  <c r="P690" i="20"/>
  <c r="P513" i="20"/>
  <c r="P106" i="20"/>
  <c r="P489" i="20"/>
  <c r="P177" i="20"/>
  <c r="P1310" i="20"/>
  <c r="P611" i="20"/>
  <c r="P950" i="20"/>
  <c r="P629" i="20"/>
  <c r="P299" i="20"/>
  <c r="P53" i="20"/>
  <c r="P1100" i="20"/>
  <c r="P156" i="20"/>
  <c r="P932" i="20"/>
  <c r="P565" i="20"/>
  <c r="P608" i="20"/>
  <c r="P1013" i="20"/>
  <c r="P667" i="20"/>
  <c r="P125" i="20"/>
  <c r="P1375" i="20"/>
  <c r="P717" i="20"/>
  <c r="P1335" i="20"/>
  <c r="P845" i="20"/>
  <c r="P1383" i="20"/>
  <c r="P729" i="20"/>
  <c r="P877" i="20"/>
  <c r="P328" i="20"/>
  <c r="P632" i="20"/>
  <c r="P570" i="20"/>
  <c r="P327" i="20"/>
  <c r="P332" i="20"/>
  <c r="P983" i="20"/>
  <c r="P1146" i="20"/>
  <c r="P388" i="20"/>
  <c r="P1028" i="20"/>
  <c r="P981" i="20"/>
  <c r="P391" i="20"/>
  <c r="P523" i="20"/>
  <c r="P1108" i="20"/>
  <c r="P1195" i="20"/>
  <c r="P344" i="20"/>
  <c r="P1126" i="20"/>
  <c r="P1490" i="20"/>
  <c r="P1085" i="20"/>
  <c r="P1033" i="20"/>
  <c r="P1155" i="20"/>
  <c r="P163" i="20"/>
  <c r="P568" i="20"/>
  <c r="P1325" i="20"/>
  <c r="P1408" i="20"/>
  <c r="P197" i="20"/>
  <c r="P79" i="20"/>
  <c r="P1460" i="20"/>
  <c r="P916" i="20"/>
  <c r="P1049" i="20"/>
  <c r="P1306" i="20"/>
  <c r="P380" i="20"/>
  <c r="P946" i="20"/>
  <c r="P397" i="20"/>
  <c r="P182" i="20"/>
  <c r="P1223" i="20"/>
  <c r="P817" i="20"/>
  <c r="P749" i="20"/>
  <c r="P194" i="20"/>
  <c r="P338" i="20"/>
  <c r="P1038" i="20"/>
  <c r="P374" i="20"/>
  <c r="P930" i="20"/>
  <c r="P1069" i="20"/>
  <c r="P1506" i="20"/>
  <c r="P527" i="20"/>
  <c r="P389" i="20"/>
  <c r="P501" i="20"/>
  <c r="P473" i="20"/>
  <c r="P785" i="20"/>
  <c r="P743" i="20"/>
  <c r="P1495" i="20"/>
  <c r="P324" i="20"/>
  <c r="P884" i="20"/>
  <c r="P582" i="20"/>
  <c r="P968" i="20"/>
  <c r="P666" i="20"/>
  <c r="P167" i="20"/>
  <c r="P1411" i="20"/>
  <c r="P356" i="20"/>
  <c r="P1380" i="20"/>
  <c r="P977" i="20"/>
  <c r="P593" i="20"/>
  <c r="P1244" i="20"/>
  <c r="P798" i="20"/>
  <c r="P440" i="20"/>
  <c r="P622" i="20"/>
  <c r="P658" i="20"/>
  <c r="P1205" i="20"/>
  <c r="P567" i="20"/>
  <c r="P543" i="20"/>
  <c r="P362" i="20"/>
  <c r="P806" i="20"/>
  <c r="P1263" i="20"/>
  <c r="P76" i="20"/>
  <c r="P1260" i="20"/>
  <c r="P260" i="20"/>
  <c r="P677" i="20"/>
  <c r="P885" i="20"/>
  <c r="P1252" i="20"/>
  <c r="P1284" i="20"/>
  <c r="P1461" i="20"/>
  <c r="P1189" i="20"/>
  <c r="P42" i="20"/>
  <c r="P539" i="20"/>
  <c r="P1296" i="20"/>
  <c r="P892" i="20"/>
  <c r="P1232" i="20"/>
  <c r="P383" i="20"/>
  <c r="P1037" i="20"/>
  <c r="P275" i="20"/>
  <c r="P1224" i="20"/>
  <c r="P1268" i="20"/>
  <c r="P780" i="20"/>
  <c r="P1022" i="20"/>
  <c r="P1095" i="20"/>
  <c r="P1377" i="20"/>
  <c r="P94" i="20"/>
  <c r="P240" i="20"/>
  <c r="P293" i="20"/>
  <c r="P453" i="20"/>
  <c r="P247" i="20"/>
  <c r="P49" i="20"/>
  <c r="P463" i="20"/>
  <c r="P226" i="20"/>
  <c r="P833" i="20"/>
  <c r="P378" i="20"/>
  <c r="P343" i="20"/>
  <c r="P449" i="20"/>
  <c r="P184" i="20"/>
  <c r="P1363" i="20"/>
  <c r="P825" i="20"/>
  <c r="P1203" i="20"/>
  <c r="P728" i="20"/>
  <c r="P1489" i="20"/>
  <c r="P27" i="20"/>
  <c r="P1027" i="20"/>
  <c r="P95" i="20"/>
  <c r="P1394" i="20"/>
  <c r="P498" i="20"/>
  <c r="P1438" i="20"/>
  <c r="P1214" i="20"/>
  <c r="P963" i="20"/>
  <c r="P242" i="20"/>
  <c r="P81" i="20"/>
  <c r="P416" i="20"/>
  <c r="P316" i="20"/>
  <c r="P1077" i="20"/>
  <c r="P762" i="20"/>
  <c r="P1177" i="20"/>
  <c r="P1167" i="20"/>
  <c r="P272" i="20"/>
  <c r="P405" i="20"/>
  <c r="P206" i="20"/>
  <c r="P471" i="20"/>
  <c r="P17" i="20"/>
  <c r="P396" i="20"/>
  <c r="P830" i="20"/>
  <c r="P1030" i="20"/>
  <c r="P1171" i="20"/>
  <c r="P1288" i="20"/>
  <c r="P914" i="20"/>
  <c r="P188" i="20"/>
  <c r="P1437" i="20"/>
  <c r="P802" i="20"/>
  <c r="P1472" i="20"/>
  <c r="P151" i="20"/>
  <c r="P100" i="20"/>
  <c r="P1221" i="20"/>
  <c r="P515" i="20"/>
  <c r="P912" i="20"/>
  <c r="P920" i="20"/>
  <c r="P172" i="20"/>
  <c r="P514" i="20"/>
  <c r="P606" i="20"/>
  <c r="P485" i="20"/>
  <c r="P1065" i="20"/>
  <c r="P179" i="20"/>
  <c r="P410" i="20"/>
  <c r="P1366" i="20"/>
  <c r="P698" i="20"/>
  <c r="P814" i="20"/>
  <c r="P244" i="20"/>
  <c r="P66" i="20"/>
  <c r="P1043" i="20"/>
  <c r="P1001" i="20"/>
  <c r="P597" i="20"/>
  <c r="P718" i="20"/>
  <c r="P491" i="20"/>
  <c r="P1493" i="20"/>
  <c r="P1250" i="20"/>
  <c r="P136" i="20"/>
  <c r="P1311" i="20"/>
  <c r="P301" i="20"/>
  <c r="P1294" i="20"/>
  <c r="P862" i="20"/>
  <c r="P879" i="20"/>
  <c r="P612" i="20"/>
  <c r="P609" i="20"/>
  <c r="P1089" i="20"/>
  <c r="P367" i="20"/>
  <c r="P265" i="20"/>
  <c r="P279" i="20"/>
  <c r="P988" i="20"/>
  <c r="P191" i="20"/>
  <c r="P438" i="20"/>
  <c r="P730" i="20"/>
  <c r="P377" i="20"/>
  <c r="P676" i="20"/>
  <c r="P851" i="20"/>
  <c r="P859" i="20"/>
  <c r="P62" i="20"/>
  <c r="P439" i="20"/>
  <c r="P15" i="20"/>
  <c r="P1343" i="20"/>
  <c r="P56" i="20"/>
  <c r="P1323" i="20"/>
  <c r="P118" i="20"/>
  <c r="P1476" i="20"/>
  <c r="P1347" i="20"/>
  <c r="P1023" i="20"/>
  <c r="P1407" i="20"/>
  <c r="P1485" i="20"/>
  <c r="P956" i="20"/>
  <c r="P1372" i="20"/>
  <c r="P284" i="20"/>
  <c r="P1245" i="20"/>
  <c r="P683" i="20"/>
  <c r="P1281" i="20"/>
  <c r="P312" i="20"/>
  <c r="P1130" i="20"/>
  <c r="P1149" i="20"/>
  <c r="P678" i="20"/>
  <c r="P1128" i="20"/>
  <c r="P680" i="20"/>
  <c r="P787" i="20"/>
  <c r="P314" i="20"/>
  <c r="P1452" i="20"/>
  <c r="P1041" i="20"/>
  <c r="P253" i="20"/>
  <c r="P149" i="20"/>
  <c r="P20" i="20"/>
  <c r="P960" i="20"/>
  <c r="P1419" i="20"/>
  <c r="P252" i="20"/>
  <c r="P346" i="20"/>
  <c r="P412" i="20"/>
  <c r="P1479" i="20"/>
  <c r="P38" i="20"/>
  <c r="P1467" i="20"/>
  <c r="P913" i="20"/>
  <c r="P790" i="20"/>
  <c r="P1357" i="20"/>
  <c r="P839" i="20"/>
  <c r="P360" i="20"/>
  <c r="P398" i="20"/>
  <c r="P519" i="20"/>
  <c r="P201" i="20"/>
  <c r="P1507" i="20"/>
  <c r="P1481" i="20"/>
  <c r="P631" i="20"/>
  <c r="P940" i="20"/>
  <c r="P518" i="20"/>
  <c r="P1459" i="20"/>
  <c r="P495" i="20"/>
  <c r="P266" i="20"/>
  <c r="P560" i="20"/>
  <c r="P878" i="20"/>
  <c r="P1334" i="20"/>
  <c r="P1139" i="20"/>
  <c r="P1462" i="20"/>
  <c r="P133" i="20"/>
  <c r="P1239" i="20"/>
  <c r="P1322" i="20"/>
  <c r="P287" i="20"/>
  <c r="P853" i="20"/>
  <c r="P1148" i="20"/>
  <c r="P824" i="20"/>
  <c r="P711" i="20"/>
  <c r="P642" i="20"/>
  <c r="P235" i="20"/>
  <c r="P1166" i="20"/>
  <c r="P911" i="20"/>
  <c r="P1181" i="20"/>
  <c r="P458" i="20"/>
  <c r="P759" i="20"/>
  <c r="P951" i="20"/>
  <c r="P563" i="20"/>
  <c r="P217" i="20"/>
  <c r="P233" i="20"/>
  <c r="P207" i="20"/>
  <c r="P1247" i="20"/>
  <c r="P239" i="20"/>
  <c r="P998" i="20"/>
  <c r="P625" i="20"/>
  <c r="P526" i="20"/>
  <c r="P1010" i="20"/>
  <c r="P693" i="20"/>
  <c r="P348" i="20"/>
  <c r="P525" i="20"/>
  <c r="P87" i="20"/>
  <c r="P1289" i="20"/>
  <c r="P809" i="20"/>
  <c r="P1421" i="20"/>
  <c r="P605" i="20"/>
  <c r="P1161" i="20"/>
  <c r="P1378" i="20"/>
  <c r="P158" i="20"/>
  <c r="P181" i="20"/>
  <c r="P503" i="20"/>
  <c r="P1104" i="20"/>
  <c r="P1261" i="20"/>
  <c r="P1211" i="20"/>
  <c r="P703" i="20"/>
  <c r="P1228" i="20"/>
  <c r="P553" i="20"/>
  <c r="P1397" i="20"/>
  <c r="P647" i="20"/>
  <c r="P1176" i="20"/>
  <c r="P325" i="20"/>
  <c r="P546" i="20"/>
  <c r="P1457" i="20"/>
  <c r="P90" i="20"/>
  <c r="P16" i="20"/>
  <c r="P614" i="20"/>
  <c r="P838" i="20"/>
  <c r="P842" i="20"/>
  <c r="P430" i="20"/>
  <c r="P624" i="20"/>
  <c r="P71" i="20"/>
  <c r="P1425" i="20"/>
  <c r="P1106" i="20"/>
  <c r="P868" i="20"/>
  <c r="P127" i="20"/>
  <c r="P37" i="20"/>
  <c r="P409" i="20"/>
  <c r="P745" i="20"/>
  <c r="P192" i="20"/>
  <c r="P84" i="20"/>
  <c r="P462" i="20"/>
  <c r="P432" i="20"/>
  <c r="P1505" i="20"/>
  <c r="P1441" i="20"/>
  <c r="P1012" i="20"/>
  <c r="P309" i="20"/>
  <c r="P404" i="20"/>
  <c r="P1332" i="20"/>
  <c r="P190" i="20"/>
  <c r="P196" i="20"/>
  <c r="P1317" i="20"/>
  <c r="P400" i="20"/>
  <c r="P411" i="20"/>
  <c r="P980" i="20"/>
  <c r="P1282" i="20"/>
  <c r="P1473" i="20"/>
  <c r="P944" i="20"/>
  <c r="P689" i="20"/>
  <c r="P109" i="20"/>
  <c r="P492" i="20"/>
  <c r="P460" i="20"/>
  <c r="P746" i="20"/>
  <c r="P766" i="20"/>
  <c r="P1483" i="20"/>
  <c r="P1154" i="20"/>
  <c r="P910" i="20"/>
  <c r="P542" i="20"/>
  <c r="P1152" i="20"/>
  <c r="P1237" i="20"/>
  <c r="P334" i="20"/>
  <c r="P870" i="20"/>
  <c r="P50" i="20"/>
  <c r="P1368" i="20"/>
  <c r="P384" i="20"/>
  <c r="P1251" i="20"/>
  <c r="P1497" i="20"/>
  <c r="P63" i="20"/>
  <c r="P1396" i="20"/>
  <c r="P1349" i="20"/>
  <c r="P1410" i="20"/>
  <c r="P33" i="20"/>
  <c r="P1226" i="20"/>
  <c r="P587" i="20"/>
  <c r="P1513" i="20"/>
  <c r="P575" i="20"/>
  <c r="P1159" i="20"/>
  <c r="P339" i="20"/>
  <c r="P799" i="20"/>
  <c r="P510" i="20"/>
  <c r="P1029" i="20"/>
  <c r="P157" i="20"/>
  <c r="P298" i="20"/>
  <c r="P1059" i="20"/>
  <c r="P522" i="20"/>
  <c r="P641" i="20"/>
  <c r="P620" i="20"/>
  <c r="P317" i="20"/>
  <c r="P797" i="20"/>
  <c r="P35" i="20"/>
  <c r="P1024" i="20"/>
  <c r="P209" i="20"/>
  <c r="P505" i="20"/>
  <c r="P852" i="20"/>
  <c r="P781" i="20"/>
  <c r="P524" i="20"/>
  <c r="P873" i="20"/>
  <c r="P962" i="20"/>
  <c r="P795" i="20"/>
  <c r="P1162" i="20"/>
  <c r="P1175" i="20"/>
  <c r="P1009" i="20"/>
  <c r="P305" i="20"/>
  <c r="P583" i="20"/>
  <c r="P1209" i="20"/>
  <c r="P521" i="20"/>
  <c r="P952" i="20"/>
  <c r="P1034" i="20"/>
  <c r="P1147" i="20"/>
  <c r="P143" i="20"/>
  <c r="P1439" i="20"/>
  <c r="P763" i="20"/>
  <c r="P1064" i="20"/>
  <c r="P736" i="20"/>
  <c r="P1277" i="20"/>
  <c r="P684" i="20"/>
  <c r="P776" i="20"/>
  <c r="P47" i="20"/>
  <c r="P1070" i="20"/>
  <c r="P652" i="20"/>
  <c r="P957" i="20"/>
  <c r="P123" i="20"/>
  <c r="P230" i="20"/>
  <c r="P320" i="20"/>
  <c r="P695" i="20"/>
  <c r="P1389" i="20"/>
  <c r="P508" i="20"/>
  <c r="P810" i="20"/>
  <c r="P1302" i="20"/>
  <c r="P994" i="20"/>
  <c r="P1125" i="20"/>
  <c r="P36" i="20"/>
  <c r="P1404" i="20"/>
  <c r="P281" i="20"/>
  <c r="P668" i="20"/>
  <c r="P1369" i="20"/>
  <c r="P1051" i="20"/>
  <c r="P1474" i="20"/>
  <c r="P777" i="20"/>
  <c r="P1246" i="20"/>
  <c r="P108" i="20"/>
  <c r="P662" i="20"/>
  <c r="P52" i="20"/>
  <c r="P48" i="20"/>
  <c r="P1512" i="20"/>
  <c r="P942" i="20"/>
  <c r="P923" i="20"/>
  <c r="P906" i="20"/>
  <c r="P1392" i="20"/>
  <c r="P178" i="20"/>
  <c r="P975" i="20"/>
  <c r="P856" i="20"/>
  <c r="P1511" i="20"/>
  <c r="P28" i="20"/>
  <c r="P43" i="20"/>
  <c r="P75" i="20"/>
  <c r="P1082" i="20"/>
  <c r="P580" i="20"/>
  <c r="P556" i="20"/>
  <c r="P1426" i="20"/>
  <c r="P541" i="20"/>
  <c r="P679" i="20"/>
  <c r="P131" i="20"/>
  <c r="P883" i="20"/>
  <c r="P1187" i="20"/>
  <c r="P193" i="20"/>
  <c r="P215" i="20"/>
  <c r="P116" i="20"/>
  <c r="P211" i="20"/>
  <c r="P990" i="20"/>
  <c r="P475" i="20"/>
  <c r="P702" i="20"/>
  <c r="P408" i="20"/>
  <c r="P171" i="20"/>
  <c r="P335" i="20"/>
  <c r="P507" i="20"/>
  <c r="P105" i="20"/>
  <c r="P897" i="20"/>
  <c r="P258" i="20"/>
  <c r="P544" i="20"/>
  <c r="P470" i="20"/>
  <c r="P1031" i="20"/>
  <c r="P199" i="20"/>
  <c r="P241" i="20"/>
  <c r="P257" i="20"/>
  <c r="P872" i="20"/>
  <c r="P850" i="20"/>
  <c r="P476" i="20"/>
  <c r="P454" i="20"/>
  <c r="P364" i="20"/>
  <c r="P1446" i="20"/>
  <c r="P1360" i="20"/>
  <c r="P166" i="20"/>
  <c r="P1144" i="20"/>
  <c r="P418" i="20"/>
  <c r="P709" i="20"/>
  <c r="P820" i="20"/>
  <c r="P651" i="20"/>
  <c r="P1390" i="20"/>
  <c r="P67" i="20"/>
  <c r="P741" i="20"/>
  <c r="P1290" i="20"/>
  <c r="P496" i="20"/>
  <c r="P1165" i="20"/>
  <c r="P480" i="20"/>
  <c r="P308" i="20"/>
  <c r="P486" i="20"/>
  <c r="P548" i="20"/>
  <c r="P370" i="20"/>
  <c r="P1120" i="20"/>
  <c r="P1351" i="20"/>
  <c r="P615" i="20"/>
  <c r="P1330" i="20"/>
  <c r="P509" i="20"/>
  <c r="P280" i="20"/>
  <c r="P1270" i="20"/>
  <c r="P616" i="20"/>
  <c r="P1267" i="20"/>
  <c r="P716" i="20"/>
  <c r="P919" i="20"/>
  <c r="P212" i="20"/>
  <c r="P1401" i="20"/>
  <c r="P147" i="20"/>
  <c r="P1006" i="20"/>
  <c r="P268" i="20"/>
  <c r="P246" i="20"/>
  <c r="P673" i="20"/>
  <c r="P993" i="20"/>
  <c r="P840" i="20"/>
  <c r="P1227" i="20"/>
  <c r="P1491" i="20"/>
  <c r="P779" i="20"/>
  <c r="P1379" i="20"/>
  <c r="P529" i="20"/>
  <c r="P1151" i="20"/>
  <c r="P227" i="20"/>
  <c r="P1122" i="20"/>
  <c r="P984" i="20"/>
  <c r="P1157" i="20"/>
  <c r="P1235" i="20"/>
  <c r="P1008" i="20"/>
  <c r="P813" i="20"/>
  <c r="P289" i="20"/>
  <c r="P831" i="20"/>
  <c r="P58" i="20"/>
  <c r="P918" i="20"/>
  <c r="P1121" i="20"/>
  <c r="P1292" i="20"/>
  <c r="P1374" i="20"/>
  <c r="P875" i="20"/>
  <c r="P302" i="20"/>
  <c r="P545" i="20"/>
  <c r="P1488" i="20"/>
  <c r="P457" i="20"/>
  <c r="P274" i="20"/>
  <c r="P1191" i="20"/>
  <c r="P484" i="20"/>
  <c r="P1405" i="20"/>
  <c r="P32" i="20"/>
  <c r="P1257" i="20"/>
  <c r="P441" i="20"/>
  <c r="P594" i="20"/>
  <c r="P1255" i="20"/>
  <c r="P886" i="20"/>
  <c r="P502" i="20"/>
  <c r="P564" i="20"/>
  <c r="P228" i="20"/>
  <c r="P1266" i="20"/>
  <c r="P1050" i="20"/>
  <c r="P465" i="20"/>
  <c r="P1060" i="20"/>
  <c r="P161" i="20"/>
  <c r="P858" i="20"/>
  <c r="P443" i="20"/>
  <c r="P1480" i="20"/>
  <c r="P119" i="20"/>
  <c r="P245" i="20"/>
  <c r="P1406" i="20"/>
  <c r="P159" i="20"/>
  <c r="P300" i="20"/>
  <c r="P1339" i="20"/>
  <c r="P1358" i="20"/>
  <c r="P68" i="20"/>
  <c r="P512" i="20"/>
  <c r="P888" i="20"/>
  <c r="P1477" i="20"/>
  <c r="P297" i="20"/>
  <c r="P1132" i="20"/>
  <c r="P433" i="20"/>
  <c r="P303" i="20"/>
  <c r="P750" i="20"/>
  <c r="P482" i="20"/>
  <c r="P618" i="20"/>
  <c r="P789" i="20"/>
  <c r="P714" i="20"/>
  <c r="P1201" i="20"/>
  <c r="P633" i="20"/>
  <c r="P829" i="20"/>
  <c r="P183" i="20"/>
  <c r="P340" i="20"/>
  <c r="P723" i="20"/>
  <c r="P1478" i="20"/>
  <c r="P1231" i="20"/>
  <c r="P1259" i="20"/>
  <c r="P844" i="20"/>
  <c r="P1458" i="20"/>
  <c r="P1248" i="20"/>
  <c r="P373" i="20"/>
  <c r="P99" i="20"/>
  <c r="P939" i="20"/>
  <c r="P1145" i="20"/>
  <c r="P251" i="20"/>
  <c r="P1501" i="20"/>
  <c r="P1283" i="20"/>
  <c r="P1238" i="20"/>
  <c r="P1256" i="20"/>
  <c r="P104" i="20"/>
  <c r="P114" i="20"/>
  <c r="P707" i="20"/>
  <c r="P915" i="20"/>
  <c r="P775" i="20"/>
  <c r="P1412" i="20"/>
  <c r="P271" i="20"/>
  <c r="P237" i="20"/>
  <c r="P451" i="20"/>
  <c r="P726" i="20"/>
  <c r="P1487" i="20"/>
  <c r="P93" i="20"/>
  <c r="P700" i="20"/>
  <c r="P979" i="20"/>
  <c r="P1453" i="20"/>
  <c r="P1286" i="20"/>
  <c r="P733" i="20"/>
  <c r="P1184" i="20"/>
  <c r="P535" i="20"/>
  <c r="P628" i="20"/>
  <c r="P1450" i="20"/>
  <c r="P555" i="20"/>
  <c r="P902" i="20"/>
  <c r="P734" i="20"/>
  <c r="P784" i="20"/>
  <c r="P635" i="20"/>
  <c r="P971" i="20"/>
  <c r="P1194" i="20"/>
  <c r="P1140" i="20"/>
  <c r="P904" i="20"/>
  <c r="P1057" i="20"/>
  <c r="P256" i="20"/>
  <c r="P770" i="20"/>
  <c r="P755" i="20"/>
  <c r="P477" i="20"/>
  <c r="P1183" i="20"/>
  <c r="P791" i="20"/>
  <c r="P333" i="20"/>
  <c r="P737" i="20"/>
  <c r="P88" i="20"/>
  <c r="P1510" i="20"/>
  <c r="P925" i="20"/>
  <c r="P97" i="20"/>
  <c r="P290" i="20"/>
  <c r="P1141" i="20"/>
  <c r="P392" i="20"/>
  <c r="P1309" i="20"/>
  <c r="P1233" i="20"/>
  <c r="P267" i="20"/>
  <c r="P152" i="20"/>
  <c r="P610" i="20"/>
  <c r="P170" i="20"/>
  <c r="P1178" i="20"/>
  <c r="P1352" i="20"/>
  <c r="P805" i="20"/>
  <c r="P1433" i="20"/>
  <c r="P832" i="20"/>
  <c r="P943" i="20"/>
  <c r="P222" i="20"/>
  <c r="P607" i="20"/>
  <c r="P1468" i="20"/>
  <c r="P1002" i="20"/>
  <c r="P630" i="20"/>
  <c r="P424" i="20"/>
  <c r="P649" i="20"/>
  <c r="P70" i="20"/>
  <c r="P198" i="20"/>
  <c r="P571" i="20"/>
  <c r="P326" i="20"/>
  <c r="P210" i="20"/>
  <c r="P1056" i="20"/>
  <c r="P1074" i="20"/>
  <c r="P1113" i="20"/>
  <c r="P420" i="20"/>
  <c r="P835" i="20"/>
  <c r="P685" i="20"/>
  <c r="P664" i="20"/>
  <c r="P1083" i="20"/>
  <c r="P406" i="20"/>
  <c r="P1003" i="20"/>
  <c r="P1432" i="20"/>
  <c r="P828" i="20"/>
  <c r="P132" i="20"/>
  <c r="P1025" i="20"/>
  <c r="P533" i="20"/>
  <c r="P1463" i="20"/>
  <c r="P395" i="20"/>
  <c r="P74" i="20"/>
  <c r="P1381" i="20"/>
  <c r="P604" i="20"/>
  <c r="P1402" i="20"/>
  <c r="P203" i="20"/>
  <c r="P866" i="20"/>
  <c r="P692" i="20"/>
  <c r="P801" i="20"/>
  <c r="P818" i="20"/>
  <c r="P1048" i="20"/>
  <c r="P381" i="20"/>
  <c r="P987" i="20"/>
  <c r="P578" i="20"/>
  <c r="P310" i="20"/>
  <c r="P500" i="20"/>
  <c r="P761" i="20"/>
  <c r="P96" i="20"/>
  <c r="P538" i="20"/>
  <c r="P359" i="20"/>
  <c r="P874" i="20"/>
  <c r="P537" i="20"/>
  <c r="P294" i="20"/>
  <c r="P1101" i="20"/>
  <c r="P1308" i="20"/>
  <c r="P1503" i="20"/>
  <c r="P909" i="20"/>
  <c r="P1192" i="20"/>
  <c r="P154" i="20"/>
  <c r="P783" i="20"/>
  <c r="P1315" i="20"/>
  <c r="P794" i="20"/>
  <c r="P369" i="20"/>
  <c r="P1098" i="20"/>
  <c r="P1116" i="20"/>
  <c r="P731" i="20"/>
  <c r="P113" i="20"/>
  <c r="P1105" i="20"/>
  <c r="P1455" i="20"/>
  <c r="P436" i="20"/>
  <c r="P1361" i="20"/>
  <c r="P855" i="20"/>
  <c r="P456" i="20"/>
  <c r="P735" i="20"/>
  <c r="P1174" i="20"/>
  <c r="P506" i="20"/>
  <c r="P82" i="20"/>
  <c r="P329" i="20"/>
  <c r="P174" i="20"/>
  <c r="P1040" i="20"/>
  <c r="P782" i="20"/>
  <c r="P499" i="20"/>
  <c r="P917" i="20"/>
  <c r="P907" i="20"/>
  <c r="P720" i="20"/>
  <c r="P220" i="20"/>
  <c r="P881" i="20"/>
  <c r="P1073" i="20"/>
  <c r="P687" i="20"/>
  <c r="P225" i="20"/>
  <c r="P964" i="20"/>
  <c r="P760" i="20"/>
  <c r="P19" i="20"/>
  <c r="P573" i="20"/>
  <c r="P1188" i="20"/>
  <c r="P69" i="20"/>
  <c r="P112" i="20"/>
  <c r="P792" i="20"/>
  <c r="P1042" i="20"/>
  <c r="P357" i="20"/>
  <c r="P936" i="20"/>
  <c r="P137" i="20"/>
  <c r="P1367" i="20"/>
  <c r="P1376" i="20"/>
  <c r="P706" i="20"/>
  <c r="P434" i="20"/>
  <c r="P901" i="20"/>
  <c r="P1117" i="20"/>
  <c r="P688" i="20"/>
  <c r="P1217" i="20"/>
  <c r="P955" i="20"/>
  <c r="P644" i="20"/>
  <c r="P1035" i="20"/>
  <c r="P347" i="20"/>
  <c r="P1207" i="20"/>
  <c r="P804" i="20"/>
  <c r="P1039" i="20"/>
  <c r="P1127" i="20"/>
  <c r="P588" i="20"/>
  <c r="P135" i="20"/>
  <c r="P581" i="20"/>
  <c r="P626" i="20"/>
  <c r="P1066" i="20"/>
  <c r="P111" i="20"/>
  <c r="P1123" i="20"/>
  <c r="P1301" i="20"/>
  <c r="P757" i="20"/>
  <c r="P645" i="20"/>
  <c r="P1341" i="20"/>
  <c r="P671" i="20"/>
  <c r="P350" i="20"/>
  <c r="P847" i="20"/>
  <c r="P321" i="20"/>
  <c r="P1384" i="20"/>
  <c r="P742" i="20"/>
  <c r="P1204" i="20"/>
  <c r="P1354" i="20"/>
  <c r="P354" i="20"/>
  <c r="P767" i="20"/>
  <c r="P973" i="20"/>
  <c r="P86" i="20"/>
  <c r="P640" i="20"/>
  <c r="P422" i="20"/>
  <c r="P115" i="20"/>
  <c r="P1186" i="20"/>
  <c r="P358" i="20"/>
  <c r="P1180" i="20"/>
  <c r="P366" i="20"/>
  <c r="P599" i="20"/>
  <c r="P691" i="20"/>
  <c r="P1285" i="20"/>
  <c r="P1169" i="20"/>
  <c r="P466" i="20"/>
  <c r="P229" i="20"/>
  <c r="P1150" i="20"/>
  <c r="P442" i="20"/>
  <c r="P1076" i="20"/>
  <c r="P402" i="20"/>
  <c r="P1469" i="20"/>
  <c r="P117" i="20"/>
  <c r="P54" i="20"/>
  <c r="P1418" i="20"/>
  <c r="P938" i="20"/>
  <c r="P1440" i="20"/>
  <c r="P1058" i="20"/>
  <c r="P261" i="20"/>
  <c r="P342" i="20"/>
  <c r="P1314" i="20"/>
  <c r="P1429" i="20"/>
  <c r="P1502" i="20"/>
  <c r="P89" i="20"/>
  <c r="P1299" i="20"/>
  <c r="P705" i="20"/>
  <c r="P1386" i="20"/>
  <c r="P961" i="20"/>
  <c r="P1492" i="20"/>
  <c r="P1276" i="20"/>
  <c r="P1068" i="20"/>
  <c r="P26" i="20"/>
  <c r="P1133" i="20"/>
  <c r="P953" i="20"/>
  <c r="P249" i="20"/>
  <c r="P60" i="20"/>
  <c r="P1504" i="20"/>
  <c r="P306" i="20"/>
  <c r="P124" i="20"/>
  <c r="P205" i="20"/>
  <c r="P1136" i="20"/>
  <c r="P478" i="20"/>
  <c r="P696" i="20"/>
  <c r="P821" i="20"/>
  <c r="P992" i="20"/>
  <c r="P318" i="20"/>
  <c r="P837" i="20"/>
  <c r="P1143" i="20"/>
  <c r="P1072" i="20"/>
  <c r="P590" i="20"/>
  <c r="P803" i="20"/>
  <c r="P1324" i="20"/>
  <c r="P727" i="20"/>
  <c r="P262" i="20"/>
  <c r="P744" i="20"/>
  <c r="P819" i="20"/>
  <c r="P1499" i="20"/>
  <c r="P221" i="20"/>
  <c r="P78" i="20"/>
  <c r="P138" i="20"/>
  <c r="P414" i="20"/>
  <c r="P694" i="20"/>
  <c r="P566" i="20"/>
  <c r="P483" i="20"/>
  <c r="P1338" i="20"/>
  <c r="P725" i="20"/>
  <c r="P307" i="20"/>
  <c r="P55" i="20"/>
  <c r="P882" i="20"/>
  <c r="P1241" i="20"/>
  <c r="P1464" i="20"/>
  <c r="P1015" i="20"/>
  <c r="P504" i="20"/>
  <c r="P1225" i="20"/>
  <c r="P168" i="20"/>
  <c r="P295" i="20"/>
  <c r="P1114" i="20"/>
  <c r="P699" i="20"/>
  <c r="P331" i="20"/>
  <c r="P772" i="20"/>
  <c r="P283" i="20"/>
  <c r="P390" i="20"/>
  <c r="P387" i="20"/>
  <c r="P173" i="20"/>
  <c r="P1445" i="20"/>
  <c r="P867" i="20"/>
  <c r="P1190" i="20"/>
  <c r="P468" i="20"/>
  <c r="P638" i="20"/>
  <c r="P144" i="20"/>
  <c r="P1451" i="20"/>
  <c r="P786" i="20"/>
  <c r="P40" i="20"/>
  <c r="P947" i="20"/>
  <c r="P1156" i="20"/>
  <c r="P1350" i="20"/>
  <c r="P1243" i="20"/>
  <c r="P997" i="20"/>
  <c r="P1424" i="20"/>
  <c r="P319" i="20"/>
  <c r="P880" i="20"/>
  <c r="P1316" i="20"/>
  <c r="P1496" i="20"/>
  <c r="P1071" i="20"/>
  <c r="P186" i="20"/>
  <c r="P1328" i="20"/>
  <c r="P793" i="20"/>
  <c r="P1370" i="20"/>
  <c r="P376" i="20"/>
  <c r="P25" i="20"/>
  <c r="P487" i="20"/>
  <c r="P712" i="20"/>
  <c r="P656" i="20"/>
  <c r="P530" i="20"/>
  <c r="P589" i="20"/>
  <c r="P569" i="20"/>
  <c r="P854" i="20"/>
  <c r="P1391" i="20"/>
  <c r="P1359" i="20"/>
  <c r="P1388" i="20"/>
  <c r="P426" i="20"/>
  <c r="P595" i="20"/>
  <c r="P59" i="20"/>
  <c r="P61" i="20"/>
  <c r="P121" i="20"/>
  <c r="P654" i="20"/>
  <c r="P1434" i="20"/>
  <c r="P1220" i="20"/>
  <c r="P937" i="20"/>
  <c r="P472" i="20"/>
  <c r="P273" i="20"/>
  <c r="P773" i="20"/>
  <c r="P752" i="20"/>
  <c r="P1508" i="20"/>
  <c r="P1269" i="20"/>
  <c r="P929" i="20"/>
  <c r="P315" i="20"/>
  <c r="P474" i="20"/>
  <c r="P399" i="20"/>
  <c r="P754" i="20"/>
  <c r="P169" i="20"/>
  <c r="P532" i="20"/>
  <c r="P863" i="20"/>
  <c r="P1005" i="20"/>
  <c r="P586" i="20"/>
  <c r="P1509" i="20"/>
  <c r="P639" i="20"/>
  <c r="P1414" i="20"/>
  <c r="P231" i="20"/>
  <c r="P996" i="20"/>
  <c r="P176" i="20"/>
  <c r="P304" i="20"/>
  <c r="P1413" i="20"/>
  <c r="P1373" i="20"/>
  <c r="P21" i="20"/>
  <c r="P1321" i="20"/>
  <c r="P655" i="20"/>
  <c r="P427" i="20"/>
  <c r="P1297" i="20"/>
  <c r="P822" i="20"/>
  <c r="P1291" i="20"/>
  <c r="P1093" i="20"/>
  <c r="P827" i="20"/>
  <c r="P142" i="20"/>
  <c r="P1182" i="20"/>
  <c r="P534" i="20"/>
  <c r="P145" i="20"/>
  <c r="P857" i="20"/>
  <c r="P1118" i="20"/>
  <c r="P528" i="20"/>
  <c r="P1242" i="20"/>
  <c r="P351" i="20"/>
  <c r="P864" i="20"/>
  <c r="P739" i="20"/>
  <c r="P661" i="20"/>
  <c r="P435" i="20"/>
  <c r="P128" i="20"/>
  <c r="P551" i="20"/>
  <c r="P1279" i="20"/>
  <c r="P841" i="20"/>
  <c r="P1403" i="20"/>
  <c r="P34" i="20"/>
  <c r="P461" i="20"/>
  <c r="P1198" i="20"/>
  <c r="P1385" i="20"/>
  <c r="P23" i="20"/>
  <c r="P823" i="20"/>
  <c r="P898" i="20"/>
  <c r="P721" i="20"/>
  <c r="P1293" i="20"/>
  <c r="P1436" i="20"/>
  <c r="P552" i="20"/>
  <c r="P313" i="20"/>
  <c r="P941" i="20"/>
  <c r="P73" i="20"/>
  <c r="P602" i="20"/>
  <c r="P1298" i="20"/>
  <c r="P871" i="20"/>
  <c r="P278" i="20"/>
  <c r="P1275" i="20"/>
  <c r="P1206" i="20"/>
  <c r="P637" i="20"/>
  <c r="P1340" i="20"/>
  <c r="P31" i="20"/>
  <c r="P861" i="20"/>
  <c r="P1475" i="20"/>
  <c r="P536" i="20"/>
  <c r="P1486" i="20"/>
  <c r="P970" i="20"/>
  <c r="P337" i="20"/>
  <c r="P195" i="20"/>
  <c r="P584" i="20"/>
  <c r="P959" i="20"/>
  <c r="P214" i="20"/>
  <c r="P1020" i="20"/>
  <c r="P103" i="20"/>
  <c r="P1319" i="20"/>
  <c r="P107" i="20"/>
  <c r="P419" i="20"/>
  <c r="P355" i="20"/>
  <c r="P428" i="20"/>
  <c r="P1278" i="20"/>
  <c r="P459" i="20"/>
  <c r="P865" i="20"/>
  <c r="P1086" i="20"/>
  <c r="P697" i="20"/>
  <c r="P974" i="20"/>
  <c r="P365" i="20"/>
  <c r="P85" i="20"/>
  <c r="P927" i="20"/>
  <c r="P547" i="20"/>
  <c r="P467" i="20"/>
  <c r="P352" i="20"/>
  <c r="P1230" i="20"/>
  <c r="P765" i="20"/>
  <c r="P57" i="20"/>
  <c r="P1500" i="20"/>
  <c r="P896" i="20"/>
  <c r="P686" i="20"/>
  <c r="P665" i="20"/>
  <c r="P598" i="20"/>
  <c r="P165" i="20"/>
  <c r="P1061" i="20"/>
  <c r="P1179" i="20"/>
  <c r="P481" i="20"/>
  <c r="P1164" i="20"/>
  <c r="P421" i="20"/>
  <c r="P585" i="20"/>
  <c r="P549" i="20"/>
  <c r="P1498" i="20"/>
  <c r="P1053" i="20"/>
  <c r="P1099" i="20"/>
  <c r="P1253" i="20"/>
  <c r="P740" i="20"/>
  <c r="P1346" i="20"/>
  <c r="P140" i="20"/>
  <c r="P479" i="20"/>
  <c r="P1329" i="20"/>
  <c r="P110" i="20"/>
  <c r="P45" i="20"/>
  <c r="P98" i="20"/>
  <c r="P450" i="20"/>
  <c r="P452" i="20"/>
  <c r="P756" i="20"/>
  <c r="P648" i="20"/>
  <c r="P126" i="20"/>
  <c r="P243" i="20"/>
  <c r="P200" i="20"/>
  <c r="P385" i="20"/>
  <c r="P891" i="20"/>
  <c r="P1097" i="20"/>
  <c r="P155" i="20"/>
  <c r="P180" i="20"/>
  <c r="P429" i="20"/>
  <c r="P972" i="20"/>
  <c r="P1337" i="20"/>
  <c r="P1364" i="20"/>
  <c r="P574" i="20"/>
  <c r="P846" i="20"/>
  <c r="P591" i="20"/>
  <c r="P1090" i="20"/>
  <c r="P270" i="20"/>
  <c r="P908" i="20"/>
  <c r="P1444" i="20"/>
  <c r="P922" i="20"/>
  <c r="P834" i="20"/>
  <c r="P1415" i="20"/>
  <c r="P1318" i="20"/>
  <c r="P965" i="20"/>
  <c r="P1200" i="20"/>
  <c r="P836" i="20"/>
  <c r="P1435" i="20"/>
  <c r="P617" i="20"/>
  <c r="P1213" i="20"/>
  <c r="P1124" i="20"/>
  <c r="P1409" i="20"/>
  <c r="P954" i="20"/>
  <c r="P423" i="20"/>
  <c r="P1295" i="20"/>
  <c r="P323" i="20"/>
  <c r="P531" i="20"/>
  <c r="P1222" i="20"/>
  <c r="P890" i="20"/>
  <c r="P800" i="20"/>
  <c r="P1018" i="20"/>
  <c r="P1160" i="20"/>
  <c r="P1044" i="20"/>
  <c r="P601" i="20"/>
  <c r="P134" i="20"/>
  <c r="P1428" i="20"/>
  <c r="P1173" i="20"/>
  <c r="P185" i="20"/>
  <c r="P1075" i="20"/>
  <c r="P122" i="20"/>
  <c r="P39" i="20"/>
  <c r="P1307" i="20"/>
  <c r="P945" i="20"/>
  <c r="P1153" i="20"/>
  <c r="P445" i="20"/>
  <c r="P849" i="20"/>
  <c r="P248" i="20"/>
  <c r="P1219" i="20"/>
  <c r="P153" i="20"/>
  <c r="P1079" i="20"/>
  <c r="P613" i="20"/>
  <c r="P660" i="20"/>
  <c r="P1304" i="20"/>
  <c r="P931" i="20"/>
  <c r="P619" i="20"/>
  <c r="P494" i="20"/>
  <c r="P948" i="20"/>
  <c r="P1466" i="20"/>
  <c r="P1416" i="20"/>
  <c r="P77" i="20"/>
  <c r="P1417" i="20"/>
  <c r="P455" i="20"/>
  <c r="P1119" i="20"/>
  <c r="P769" i="20"/>
  <c r="P1448" i="20"/>
  <c r="P1032" i="20"/>
  <c r="P1447" i="20"/>
  <c r="P1399" i="20"/>
  <c r="P129" i="20"/>
  <c r="P1055" i="20"/>
  <c r="P1344" i="20"/>
  <c r="P361" i="20"/>
  <c r="P175" i="20"/>
  <c r="P1158" i="20"/>
  <c r="P559" i="20"/>
  <c r="P1287" i="20"/>
  <c r="P903" i="20"/>
  <c r="P603" i="20"/>
  <c r="P488" i="20"/>
  <c r="P596" i="20"/>
  <c r="P1193" i="20"/>
  <c r="P558" i="20"/>
  <c r="P282" i="20"/>
  <c r="P1163" i="20"/>
  <c r="P255" i="20"/>
  <c r="P704" i="20"/>
  <c r="P1484" i="20"/>
  <c r="P92" i="20"/>
  <c r="P600" i="20"/>
  <c r="P403" i="20"/>
  <c r="P263" i="20"/>
  <c r="P561" i="20"/>
  <c r="P701" i="20"/>
  <c r="P1229" i="20"/>
  <c r="P1215" i="20"/>
  <c r="P291" i="20"/>
</calcChain>
</file>

<file path=xl/comments1.xml><?xml version="1.0" encoding="utf-8"?>
<comments xmlns="http://schemas.openxmlformats.org/spreadsheetml/2006/main">
  <authors>
    <author>Nicholas Burgess</author>
  </authors>
  <commentList>
    <comment ref="F42" authorId="0">
      <text>
        <r>
          <rPr>
            <i/>
            <u/>
            <sz val="12"/>
            <color indexed="12"/>
            <rFont val="Tahoma"/>
            <family val="2"/>
          </rPr>
          <t>LongTerm</t>
        </r>
        <r>
          <rPr>
            <sz val="12"/>
            <color indexed="81"/>
            <rFont val="Tahoma"/>
            <family val="2"/>
          </rPr>
          <t xml:space="preserve">
Defines the first Libor-OIS Basis Instrument to be used</t>
        </r>
        <r>
          <rPr>
            <sz val="9"/>
            <color indexed="81"/>
            <rFont val="Tahoma"/>
            <family val="2"/>
          </rPr>
          <t xml:space="preserve">
</t>
        </r>
      </text>
    </comment>
    <comment ref="F44" authorId="0">
      <text>
        <r>
          <rPr>
            <u/>
            <sz val="12"/>
            <color indexed="39"/>
            <rFont val="Tahoma"/>
            <family val="2"/>
          </rPr>
          <t>Epsilon</t>
        </r>
        <r>
          <rPr>
            <sz val="12"/>
            <color indexed="81"/>
            <rFont val="Tahoma"/>
            <family val="2"/>
          </rPr>
          <t xml:space="preserve">
Swap Solver Convergence Precission Critereon
</t>
        </r>
      </text>
    </comment>
    <comment ref="F45" authorId="0">
      <text>
        <r>
          <rPr>
            <u/>
            <sz val="12"/>
            <color indexed="39"/>
            <rFont val="Tahoma"/>
            <family val="2"/>
          </rPr>
          <t>MaxLoop</t>
        </r>
        <r>
          <rPr>
            <sz val="12"/>
            <color indexed="81"/>
            <rFont val="Tahoma"/>
            <family val="2"/>
          </rPr>
          <t xml:space="preserve">
Swap Solver Maximum Number of Iterations
</t>
        </r>
      </text>
    </comment>
  </commentList>
</comments>
</file>

<file path=xl/comments2.xml><?xml version="1.0" encoding="utf-8"?>
<comments xmlns="http://schemas.openxmlformats.org/spreadsheetml/2006/main">
  <authors>
    <author>Nicholas Burgess</author>
  </authors>
  <commentList>
    <comment ref="F105" authorId="0">
      <text>
        <r>
          <rPr>
            <u/>
            <sz val="12"/>
            <color indexed="39"/>
            <rFont val="Tahoma"/>
            <family val="2"/>
          </rPr>
          <t>Epsilon</t>
        </r>
        <r>
          <rPr>
            <sz val="12"/>
            <color indexed="81"/>
            <rFont val="Tahoma"/>
            <family val="2"/>
          </rPr>
          <t xml:space="preserve">
Swap Solver Convergence Precission Critereon
</t>
        </r>
      </text>
    </comment>
    <comment ref="F106" authorId="0">
      <text>
        <r>
          <rPr>
            <u/>
            <sz val="12"/>
            <color indexed="39"/>
            <rFont val="Tahoma"/>
            <family val="2"/>
          </rPr>
          <t>MaxLoop</t>
        </r>
        <r>
          <rPr>
            <sz val="12"/>
            <color indexed="81"/>
            <rFont val="Tahoma"/>
            <family val="2"/>
          </rPr>
          <t xml:space="preserve">
Swap Solver Maximum Number of Iterations
</t>
        </r>
      </text>
    </comment>
  </commentList>
</comments>
</file>

<file path=xl/comments3.xml><?xml version="1.0" encoding="utf-8"?>
<comments xmlns="http://schemas.openxmlformats.org/spreadsheetml/2006/main">
  <authors>
    <author>Nicholas Burgess</author>
  </authors>
  <commentList>
    <comment ref="G71" authorId="0">
      <text>
        <r>
          <rPr>
            <u/>
            <sz val="12"/>
            <color indexed="39"/>
            <rFont val="Tahoma"/>
            <family val="2"/>
          </rPr>
          <t>Epsilon</t>
        </r>
        <r>
          <rPr>
            <sz val="12"/>
            <color indexed="81"/>
            <rFont val="Tahoma"/>
            <family val="2"/>
          </rPr>
          <t xml:space="preserve">
Swap Solver Convergence Precission Critereon
</t>
        </r>
      </text>
    </comment>
    <comment ref="G72" authorId="0">
      <text>
        <r>
          <rPr>
            <u/>
            <sz val="12"/>
            <color indexed="39"/>
            <rFont val="Tahoma"/>
            <family val="2"/>
          </rPr>
          <t>MaxLoop</t>
        </r>
        <r>
          <rPr>
            <sz val="12"/>
            <color indexed="81"/>
            <rFont val="Tahoma"/>
            <family val="2"/>
          </rPr>
          <t xml:space="preserve">
Swap Solver Maximum Number of Iterations
</t>
        </r>
      </text>
    </comment>
  </commentList>
</comments>
</file>

<file path=xl/comments4.xml><?xml version="1.0" encoding="utf-8"?>
<comments xmlns="http://schemas.openxmlformats.org/spreadsheetml/2006/main">
  <authors>
    <author>Nicholas Burgess</author>
  </authors>
  <commentList>
    <comment ref="G71" authorId="0">
      <text>
        <r>
          <rPr>
            <u/>
            <sz val="12"/>
            <color indexed="39"/>
            <rFont val="Tahoma"/>
            <family val="2"/>
          </rPr>
          <t>Epsilon</t>
        </r>
        <r>
          <rPr>
            <sz val="12"/>
            <color indexed="81"/>
            <rFont val="Tahoma"/>
            <family val="2"/>
          </rPr>
          <t xml:space="preserve">
Swap Solver Convergence Precission Critereon
</t>
        </r>
      </text>
    </comment>
    <comment ref="G72" authorId="0">
      <text>
        <r>
          <rPr>
            <u/>
            <sz val="12"/>
            <color indexed="39"/>
            <rFont val="Tahoma"/>
            <family val="2"/>
          </rPr>
          <t>MaxLoop</t>
        </r>
        <r>
          <rPr>
            <sz val="12"/>
            <color indexed="81"/>
            <rFont val="Tahoma"/>
            <family val="2"/>
          </rPr>
          <t xml:space="preserve">
Swap Solver Maximum Number of Iterations
</t>
        </r>
      </text>
    </comment>
  </commentList>
</comments>
</file>

<file path=xl/comments5.xml><?xml version="1.0" encoding="utf-8"?>
<comments xmlns="http://schemas.openxmlformats.org/spreadsheetml/2006/main">
  <authors>
    <author>Nicholas Burgess</author>
  </authors>
  <commentList>
    <comment ref="G71" authorId="0">
      <text>
        <r>
          <rPr>
            <u/>
            <sz val="12"/>
            <color indexed="39"/>
            <rFont val="Tahoma"/>
            <family val="2"/>
          </rPr>
          <t>Epsilon</t>
        </r>
        <r>
          <rPr>
            <sz val="12"/>
            <color indexed="81"/>
            <rFont val="Tahoma"/>
            <family val="2"/>
          </rPr>
          <t xml:space="preserve">
Swap Solver Convergence Precission Critereon
</t>
        </r>
      </text>
    </comment>
    <comment ref="G72" authorId="0">
      <text>
        <r>
          <rPr>
            <u/>
            <sz val="12"/>
            <color indexed="39"/>
            <rFont val="Tahoma"/>
            <family val="2"/>
          </rPr>
          <t>MaxLoop</t>
        </r>
        <r>
          <rPr>
            <sz val="12"/>
            <color indexed="81"/>
            <rFont val="Tahoma"/>
            <family val="2"/>
          </rPr>
          <t xml:space="preserve">
Swap Solver Maximum Number of Iterations
</t>
        </r>
      </text>
    </comment>
  </commentList>
</comments>
</file>

<file path=xl/sharedStrings.xml><?xml version="1.0" encoding="utf-8"?>
<sst xmlns="http://schemas.openxmlformats.org/spreadsheetml/2006/main" count="9062" uniqueCount="447">
  <si>
    <t>Curve Names</t>
  </si>
  <si>
    <t>Calendar</t>
  </si>
  <si>
    <t>TGT</t>
  </si>
  <si>
    <t>calendar</t>
  </si>
  <si>
    <t xml:space="preserve"> </t>
  </si>
  <si>
    <t>OIS Conventions</t>
  </si>
  <si>
    <t>ACT/360</t>
  </si>
  <si>
    <t>daycount</t>
  </si>
  <si>
    <t>Use</t>
  </si>
  <si>
    <t>OIS</t>
  </si>
  <si>
    <t>AsOfDate</t>
  </si>
  <si>
    <t>Term</t>
  </si>
  <si>
    <t>Rate</t>
  </si>
  <si>
    <t>StartDate</t>
  </si>
  <si>
    <t>EndDate</t>
  </si>
  <si>
    <t>resetlag</t>
  </si>
  <si>
    <t>Currency</t>
  </si>
  <si>
    <t>EUR</t>
  </si>
  <si>
    <t>Daycount</t>
  </si>
  <si>
    <t>daycountfix</t>
  </si>
  <si>
    <t>30/360</t>
  </si>
  <si>
    <t>SlidingRule</t>
  </si>
  <si>
    <t>MOD_FOLLOWING</t>
  </si>
  <si>
    <t>slidingrule</t>
  </si>
  <si>
    <t>yieldgen.interpolation</t>
  </si>
  <si>
    <t>frequency</t>
  </si>
  <si>
    <t>Annual</t>
  </si>
  <si>
    <t>Frequency</t>
  </si>
  <si>
    <t>Quarterly</t>
  </si>
  <si>
    <t>frequencyfix</t>
  </si>
  <si>
    <t>2d</t>
  </si>
  <si>
    <t>iseomroll</t>
    <phoneticPr fontId="0"/>
  </si>
  <si>
    <t>eomday</t>
    <phoneticPr fontId="0"/>
  </si>
  <si>
    <t>generatemethod</t>
  </si>
  <si>
    <t>dailycompounding</t>
  </si>
  <si>
    <t>firstrate</t>
  </si>
  <si>
    <t>ShortMarket</t>
  </si>
  <si>
    <t/>
  </si>
  <si>
    <t>shorttermconvention</t>
  </si>
  <si>
    <t>arithmeticaverage</t>
  </si>
  <si>
    <t>longtermconvention</t>
  </si>
  <si>
    <t>LOBASIS</t>
  </si>
  <si>
    <t>longterm</t>
  </si>
  <si>
    <t>3Y</t>
  </si>
  <si>
    <t>longterm.generatemethod</t>
  </si>
  <si>
    <t>dailyaveraging</t>
  </si>
  <si>
    <t>ON</t>
  </si>
  <si>
    <t>2Y</t>
  </si>
  <si>
    <t>EUSF1A</t>
  </si>
  <si>
    <t>EUSF2A</t>
  </si>
  <si>
    <t>4Y</t>
  </si>
  <si>
    <t>EUSF3A</t>
  </si>
  <si>
    <t>5Y</t>
  </si>
  <si>
    <t>EUSF4A</t>
  </si>
  <si>
    <t>6Y</t>
  </si>
  <si>
    <t>7Y</t>
  </si>
  <si>
    <t>12M</t>
  </si>
  <si>
    <t>8Y</t>
  </si>
  <si>
    <t>18M</t>
  </si>
  <si>
    <t>9Y</t>
  </si>
  <si>
    <t>10Y</t>
  </si>
  <si>
    <t>11Y</t>
  </si>
  <si>
    <t>12Y</t>
  </si>
  <si>
    <t>15Y</t>
  </si>
  <si>
    <t>20Y</t>
  </si>
  <si>
    <t>25Y</t>
  </si>
  <si>
    <t>30Y</t>
  </si>
  <si>
    <t>40Y</t>
  </si>
  <si>
    <t>Curve Build Properties</t>
  </si>
  <si>
    <t>Libor-OIS Tenor Basis Conventions</t>
  </si>
  <si>
    <t>OIS Par Rates</t>
  </si>
  <si>
    <t>Libor-OIS  Spreads</t>
  </si>
  <si>
    <t>OIS Fixing Table</t>
  </si>
  <si>
    <t>Date</t>
  </si>
  <si>
    <t>Libor Swap Conventions</t>
  </si>
  <si>
    <t>Libor Swap  Rates</t>
  </si>
  <si>
    <t>Libor-OIS Basis Swaps</t>
  </si>
  <si>
    <t>Overnight Indexed Swaps</t>
  </si>
  <si>
    <t>EURYC</t>
  </si>
  <si>
    <t>StaticDataTable</t>
  </si>
  <si>
    <t>CurveCollection</t>
  </si>
  <si>
    <t>IndexName(s)</t>
  </si>
  <si>
    <t>STD</t>
  </si>
  <si>
    <t>interpolation</t>
  </si>
  <si>
    <t>isfutureuse</t>
  </si>
  <si>
    <t>isfrause</t>
  </si>
  <si>
    <t>dfcurvename</t>
  </si>
  <si>
    <t>Cash Instruments</t>
  </si>
  <si>
    <t>DayCount</t>
  </si>
  <si>
    <t>Slidingrule</t>
  </si>
  <si>
    <t>FOLLOWING</t>
  </si>
  <si>
    <t>Simple</t>
  </si>
  <si>
    <t>Resetlag</t>
  </si>
  <si>
    <t>IsEomRoll</t>
  </si>
  <si>
    <t>6M</t>
  </si>
  <si>
    <t>FRA Instruments</t>
  </si>
  <si>
    <t>FRA Conventions</t>
  </si>
  <si>
    <t>ApplyTension</t>
  </si>
  <si>
    <t>TensionGap</t>
  </si>
  <si>
    <t>Futures Instruments</t>
  </si>
  <si>
    <t>Futures Conventions</t>
  </si>
  <si>
    <t>2</t>
  </si>
  <si>
    <t>Volatility</t>
  </si>
  <si>
    <t>Futures Data</t>
  </si>
  <si>
    <t>Swap Instruments</t>
  </si>
  <si>
    <t>Swap Conventions</t>
  </si>
  <si>
    <t>Swap Data</t>
  </si>
  <si>
    <t>DayCountFloat</t>
  </si>
  <si>
    <t>Semi-Annual</t>
  </si>
  <si>
    <t>FrequencyFloat</t>
  </si>
  <si>
    <t>Interpolation</t>
  </si>
  <si>
    <t>IsNewtonraphson</t>
  </si>
  <si>
    <t>issimultaneouseq</t>
  </si>
  <si>
    <t>Epsilon</t>
  </si>
  <si>
    <t>MaxLoop</t>
  </si>
  <si>
    <t>FRA Market Data X3</t>
  </si>
  <si>
    <t>FRA Market Data x6</t>
  </si>
  <si>
    <t>Term / Ticker</t>
  </si>
  <si>
    <t>Tenor Basis Swaps</t>
  </si>
  <si>
    <t>MarketName</t>
  </si>
  <si>
    <t>EUR3M6MBASIS</t>
  </si>
  <si>
    <t>IsLeg1Spread</t>
  </si>
  <si>
    <t>Leg1cashlet.calendar</t>
  </si>
  <si>
    <t>Leg1cashlet.daycount</t>
  </si>
  <si>
    <t>Act/360</t>
  </si>
  <si>
    <t>Leg1cashlet.frequency</t>
  </si>
  <si>
    <t>Leg1cashlet.slidingrule</t>
  </si>
  <si>
    <t>Leg1cashlet.spotlag</t>
  </si>
  <si>
    <t>Leg1discount</t>
  </si>
  <si>
    <t>Leg1forecast</t>
  </si>
  <si>
    <t>Leg1index.accessary</t>
  </si>
  <si>
    <t>Leg1index.daycount</t>
  </si>
  <si>
    <t>Leg1index.fixing.calendar</t>
  </si>
  <si>
    <t>Leg1index.frequency</t>
  </si>
  <si>
    <t>Leg1index.payment.calendar</t>
  </si>
  <si>
    <t>Leg1index.resetlag</t>
  </si>
  <si>
    <t>Leg1index.slidingrule</t>
  </si>
  <si>
    <t>Leg2cashlet.calendar</t>
  </si>
  <si>
    <t>Leg2cashlet.daycount</t>
  </si>
  <si>
    <t>Leg2cashlet.frequency</t>
  </si>
  <si>
    <t>Leg2cashlet.slidingrule</t>
  </si>
  <si>
    <t>Leg2cashlet.spotlag</t>
  </si>
  <si>
    <t>Leg2discount</t>
  </si>
  <si>
    <t>Leg2forecast</t>
  </si>
  <si>
    <t>Leg2index.accessary</t>
  </si>
  <si>
    <t>3M</t>
  </si>
  <si>
    <t>Leg2index.daycount</t>
  </si>
  <si>
    <t>Leg2index.fixing.calendar</t>
  </si>
  <si>
    <t>Leg2index.frequency</t>
  </si>
  <si>
    <t>Leg2index.payment.calendar</t>
  </si>
  <si>
    <t>Leg2index.resetlag</t>
  </si>
  <si>
    <t>Leg2index.slidingrule</t>
  </si>
  <si>
    <t>Target</t>
  </si>
  <si>
    <t>Leg2Forecast</t>
  </si>
  <si>
    <t>fwdinterpolation</t>
  </si>
  <si>
    <t>isfwdinter</t>
  </si>
  <si>
    <t>issamegridindex</t>
  </si>
  <si>
    <t>spotrateterm</t>
  </si>
  <si>
    <t>isyieldspreadcalc</t>
  </si>
  <si>
    <t>1Y</t>
  </si>
  <si>
    <t>Tenor Basis Conventions ( 3 X 6 )</t>
  </si>
  <si>
    <t>1M</t>
  </si>
  <si>
    <t>EUR6ML</t>
  </si>
  <si>
    <t>OIS:EUROIS:EURDF:EURDF_NOCSA</t>
  </si>
  <si>
    <t>MeanReversion</t>
  </si>
  <si>
    <t>Known Leg</t>
  </si>
  <si>
    <t>Leg2Forecast Unknown : 
STD is the initial guess</t>
  </si>
  <si>
    <t>Curve Loaded</t>
  </si>
  <si>
    <t>IndexName</t>
  </si>
  <si>
    <t>Display</t>
  </si>
  <si>
    <t>EUR3ML</t>
  </si>
  <si>
    <t>Notional</t>
  </si>
  <si>
    <t>0D</t>
  </si>
  <si>
    <t>ShortStart</t>
  </si>
  <si>
    <t>Par Rate</t>
  </si>
  <si>
    <t>PV01</t>
  </si>
  <si>
    <t>2D</t>
  </si>
  <si>
    <t>dfCurveName</t>
  </si>
  <si>
    <t>isFwdBasis</t>
  </si>
  <si>
    <t>COB</t>
  </si>
  <si>
    <t>Refresh</t>
  </si>
  <si>
    <t>0y</t>
  </si>
  <si>
    <t>&lt;--- Solver: Initial Guess</t>
  </si>
  <si>
    <t>&lt;--- Solver: Target</t>
  </si>
  <si>
    <t>StartDate or Tenor</t>
  </si>
  <si>
    <t>EndDate or Tenor</t>
  </si>
  <si>
    <t>* Don't mix dates and tenors: Supply StartDate and EndDate or StartTenor and EndTenor</t>
  </si>
  <si>
    <t>STD:EUR3ML</t>
  </si>
  <si>
    <t>ERU6 Comdty</t>
  </si>
  <si>
    <t>ERV6 Comdty</t>
  </si>
  <si>
    <t>ERX6 Comdty</t>
  </si>
  <si>
    <t>ERZ6 Comdty</t>
  </si>
  <si>
    <t>ERH7 Comdty</t>
  </si>
  <si>
    <t>ERM7 Comdty</t>
  </si>
  <si>
    <t>ERU7 Comdty</t>
  </si>
  <si>
    <t>ERZ7 Comdty</t>
  </si>
  <si>
    <t>ERH8 Comdty</t>
  </si>
  <si>
    <t>EomDay</t>
  </si>
  <si>
    <t>EUROIS</t>
  </si>
  <si>
    <t>SmoothShortEnd</t>
  </si>
  <si>
    <t>Monthly</t>
  </si>
  <si>
    <t>EUR1ML</t>
  </si>
  <si>
    <t>EUR1M3MBASIS</t>
  </si>
  <si>
    <t>Tenor Basis Conventions ( 1 X 3 )</t>
  </si>
  <si>
    <t>50Y</t>
  </si>
  <si>
    <t>Libor Fixing Data</t>
  </si>
  <si>
    <t>Money Market O/N and T/N Conventions</t>
  </si>
  <si>
    <t>Libor Fixing Conventions</t>
  </si>
  <si>
    <t>EUR12ML</t>
  </si>
  <si>
    <t>RECEIVER</t>
  </si>
  <si>
    <t>EUR6M12MBASIS</t>
  </si>
  <si>
    <t>Tenor Basis Conventions ( 6 X 12 )</t>
  </si>
  <si>
    <t>Tenor Basis Spreads ( 6 X 12 )</t>
  </si>
  <si>
    <t>PayerReceiver</t>
  </si>
  <si>
    <t>EffectiveDate</t>
  </si>
  <si>
    <t>MaturityDate</t>
  </si>
  <si>
    <t>FixedRate</t>
  </si>
  <si>
    <t>FixedFrequency</t>
  </si>
  <si>
    <t>FixedDaycount</t>
  </si>
  <si>
    <t>FixedRollDay</t>
  </si>
  <si>
    <t>FixedPaymentLag</t>
  </si>
  <si>
    <t>FixedStubType</t>
  </si>
  <si>
    <t>FloatFrequency</t>
  </si>
  <si>
    <t>FloatDaycount</t>
  </si>
  <si>
    <t>FloatRollDay</t>
  </si>
  <si>
    <t>FloatFixingLag</t>
  </si>
  <si>
    <t>FloatFirstFixing</t>
  </si>
  <si>
    <t>FloatLastFixing</t>
  </si>
  <si>
    <t>FloatPaymentLag</t>
  </si>
  <si>
    <t>FloatSpread</t>
  </si>
  <si>
    <t>FloatStubType</t>
  </si>
  <si>
    <t>ForecastCurve</t>
  </si>
  <si>
    <t>DiscountCurve</t>
  </si>
  <si>
    <t>isDate</t>
  </si>
  <si>
    <t>basis.interpolation</t>
  </si>
  <si>
    <t>meCurveCalibrateOIS</t>
  </si>
  <si>
    <t>meCurveCalibrateSwap</t>
  </si>
  <si>
    <t>meCurveCalibrateBasis</t>
  </si>
  <si>
    <t>meCurveForwardRates</t>
  </si>
  <si>
    <t>FixedFirstStubDate</t>
  </si>
  <si>
    <t>FixedLastStubDate</t>
  </si>
  <si>
    <t>FloatFirstStubDate</t>
  </si>
  <si>
    <t>FloatLastStubDate</t>
  </si>
  <si>
    <r>
      <rPr>
        <b/>
        <sz val="11"/>
        <rFont val="Calibri"/>
        <family val="2"/>
        <scheme val="minor"/>
      </rPr>
      <t xml:space="preserve">CurveCollection:
</t>
    </r>
    <r>
      <rPr>
        <sz val="11"/>
        <color rgb="FF0000FF"/>
        <rFont val="Calibri"/>
        <family val="2"/>
        <scheme val="minor"/>
      </rPr>
      <t>Name of the Curve Group, usually grouped by Currency</t>
    </r>
  </si>
  <si>
    <r>
      <rPr>
        <b/>
        <sz val="11"/>
        <rFont val="Calibri"/>
        <family val="2"/>
        <scheme val="minor"/>
      </rPr>
      <t xml:space="preserve">AsOfDate:
</t>
    </r>
    <r>
      <rPr>
        <sz val="11"/>
        <color rgb="FF0000FF"/>
        <rFont val="Calibri"/>
        <family val="2"/>
        <scheme val="minor"/>
      </rPr>
      <t>The curve build Date</t>
    </r>
  </si>
  <si>
    <r>
      <rPr>
        <b/>
        <sz val="11"/>
        <rFont val="Calibri"/>
        <family val="2"/>
        <scheme val="minor"/>
      </rPr>
      <t xml:space="preserve">Currency:
</t>
    </r>
    <r>
      <rPr>
        <sz val="11"/>
        <color rgb="FF0000FF"/>
        <rFont val="Calibri"/>
        <family val="2"/>
        <scheme val="minor"/>
      </rPr>
      <t>The curve currency</t>
    </r>
  </si>
  <si>
    <r>
      <rPr>
        <b/>
        <sz val="11"/>
        <rFont val="Calibri"/>
        <family val="2"/>
        <scheme val="minor"/>
      </rPr>
      <t xml:space="preserve">Interpolation:
</t>
    </r>
    <r>
      <rPr>
        <sz val="11"/>
        <color rgb="FF0000FF"/>
        <rFont val="Calibri"/>
        <family val="2"/>
        <scheme val="minor"/>
      </rPr>
      <t>The interpolation method used for getting the OIS discount factors</t>
    </r>
  </si>
  <si>
    <r>
      <t>Daycount:</t>
    </r>
    <r>
      <rPr>
        <sz val="11"/>
        <color rgb="FF0000FF"/>
        <rFont val="Calibri"/>
        <family val="2"/>
        <scheme val="minor"/>
      </rPr>
      <t xml:space="preserve">
The fixed leg daycount</t>
    </r>
  </si>
  <si>
    <r>
      <t>Calendar:</t>
    </r>
    <r>
      <rPr>
        <sz val="11"/>
        <color rgb="FF0000FF"/>
        <rFont val="Calibri"/>
        <family val="2"/>
        <scheme val="minor"/>
      </rPr>
      <t xml:space="preserve">
The fixed leg calendar</t>
    </r>
  </si>
  <si>
    <r>
      <t>Frequency:</t>
    </r>
    <r>
      <rPr>
        <sz val="11"/>
        <color rgb="FF0000FF"/>
        <rFont val="Calibri"/>
        <family val="2"/>
        <scheme val="minor"/>
      </rPr>
      <t xml:space="preserve">
The fixed leg frequency</t>
    </r>
  </si>
  <si>
    <r>
      <t>ResetLag:</t>
    </r>
    <r>
      <rPr>
        <sz val="11"/>
        <color rgb="FF0000FF"/>
        <rFont val="Calibri"/>
        <family val="2"/>
        <scheme val="minor"/>
      </rPr>
      <t xml:space="preserve">
The float fixing lag</t>
    </r>
  </si>
  <si>
    <r>
      <t xml:space="preserve">IsEomRoll:
</t>
    </r>
    <r>
      <rPr>
        <sz val="11"/>
        <color rgb="FF0000FF"/>
        <rFont val="Calibri"/>
        <family val="2"/>
        <scheme val="minor"/>
      </rPr>
      <t>Use the End of Month Roll Convention for swaps traded on End of Month</t>
    </r>
  </si>
  <si>
    <r>
      <t xml:space="preserve">EomDay:
</t>
    </r>
    <r>
      <rPr>
        <sz val="11"/>
        <color rgb="FF0000FF"/>
        <rFont val="Calibri"/>
        <family val="2"/>
        <scheme val="minor"/>
      </rPr>
      <t>Day to be considered month end</t>
    </r>
  </si>
  <si>
    <r>
      <t>GenerateMethod:</t>
    </r>
    <r>
      <rPr>
        <sz val="11"/>
        <color rgb="FF0000FF"/>
        <rFont val="Calibri"/>
        <family val="2"/>
        <scheme val="minor"/>
      </rPr>
      <t xml:space="preserve">
Compounding method, can be "DailyCompounding" or remove this key and value for no compounding</t>
    </r>
  </si>
  <si>
    <r>
      <t xml:space="preserve">ShortTermConvention:
</t>
    </r>
    <r>
      <rPr>
        <sz val="11"/>
        <color rgb="FF0000FF"/>
        <rFont val="Calibri"/>
        <family val="2"/>
        <scheme val="minor"/>
      </rPr>
      <t>The OIS compound method to be used. Can be "ArithmeticAverage" and if the key and value are removed will default to GeometricAverage</t>
    </r>
  </si>
  <si>
    <r>
      <t xml:space="preserve">LongTerm:
</t>
    </r>
    <r>
      <rPr>
        <sz val="11"/>
        <color rgb="FF0000FF"/>
        <rFont val="Calibri"/>
        <family val="2"/>
        <scheme val="minor"/>
      </rPr>
      <t>The starting tenor (inclusive) for Libor-OIS Spread Instruments</t>
    </r>
  </si>
  <si>
    <r>
      <t>LongTermConvention:</t>
    </r>
    <r>
      <rPr>
        <sz val="11"/>
        <color rgb="FF0000FF"/>
        <rFont val="Calibri"/>
        <family val="2"/>
        <scheme val="minor"/>
      </rPr>
      <t xml:space="preserve">
A flag to indicate if Libor OIS Spread instruments should be used on the Long End of the OIS Curve; Can be "LOBASIS" to use Libor OIS Spread instruments and if the key and value are removed only OIS Swap Outrights will be used</t>
    </r>
  </si>
  <si>
    <r>
      <t xml:space="preserve">LongTerm.GenerateMethod:
</t>
    </r>
    <r>
      <rPr>
        <sz val="11"/>
        <color rgb="FF0000FF"/>
        <rFont val="Calibri"/>
        <family val="2"/>
        <scheme val="minor"/>
      </rPr>
      <t>The compounding method for Libor OIS Spread instruments. Can be "DailyAveraging" or remove this key and value for no compounding.</t>
    </r>
  </si>
  <si>
    <r>
      <t>Epsilon:</t>
    </r>
    <r>
      <rPr>
        <sz val="11"/>
        <color rgb="FF0000FF"/>
        <rFont val="Calibri"/>
        <family val="2"/>
        <scheme val="minor"/>
      </rPr>
      <t xml:space="preserve">
The solver precision to be used when calibrating the curve</t>
    </r>
  </si>
  <si>
    <r>
      <t>MaxLoop:</t>
    </r>
    <r>
      <rPr>
        <sz val="11"/>
        <color rgb="FF0000FF"/>
        <rFont val="Calibri"/>
        <family val="2"/>
        <scheme val="minor"/>
      </rPr>
      <t xml:space="preserve">
The maximum number of iterations to allow when calibrating the curve</t>
    </r>
  </si>
  <si>
    <r>
      <t>SmoothShortEnd:</t>
    </r>
    <r>
      <rPr>
        <sz val="11"/>
        <color rgb="FF0000FF"/>
        <rFont val="Calibri"/>
        <family val="2"/>
        <scheme val="minor"/>
      </rPr>
      <t xml:space="preserve">
This flag controls if instruments before the Central Bank Swaps such as O/N and T/N rates should be included in the calibration routine; True = Include instruments such as O/N and T/N before Central Bank Swaps and false will exclude such instruments.</t>
    </r>
  </si>
  <si>
    <t>The OIS Swaps must be input in order and the OIS Instrument</t>
  </si>
  <si>
    <t>Tenors must match those listed in the LIBOR-OIS Spread</t>
  </si>
  <si>
    <t>table below</t>
  </si>
  <si>
    <t>Important Note:</t>
  </si>
  <si>
    <t xml:space="preserve">The LIBOR-OIS Spreads must be input in order and the </t>
  </si>
  <si>
    <t>Tenors must match those listed in the OIS Swap table above</t>
  </si>
  <si>
    <r>
      <rPr>
        <b/>
        <sz val="11"/>
        <rFont val="Calibri"/>
        <family val="2"/>
        <scheme val="minor"/>
      </rPr>
      <t xml:space="preserve">isFraUse:
</t>
    </r>
    <r>
      <rPr>
        <sz val="11"/>
        <color rgb="FF0000FF"/>
        <rFont val="Calibri"/>
        <family val="2"/>
        <scheme val="minor"/>
      </rPr>
      <t>Should FRA instruments be included in the calibration routine; TRUE = Include FRAs, FALSE = Exlcude FRAs</t>
    </r>
  </si>
  <si>
    <r>
      <rPr>
        <b/>
        <sz val="11"/>
        <rFont val="Calibri"/>
        <family val="2"/>
        <scheme val="minor"/>
      </rPr>
      <t xml:space="preserve">isFutureUse:
</t>
    </r>
    <r>
      <rPr>
        <sz val="11"/>
        <color rgb="FF0000FF"/>
        <rFont val="Calibri"/>
        <family val="2"/>
        <scheme val="minor"/>
      </rPr>
      <t>Should Futures instruments be included in the calibration routine; TRUE = Include Futures, FALSE = Exclude Futures</t>
    </r>
  </si>
  <si>
    <r>
      <t>Frequency:</t>
    </r>
    <r>
      <rPr>
        <sz val="11"/>
        <color rgb="FF0000FF"/>
        <rFont val="Calibri"/>
        <family val="2"/>
        <scheme val="minor"/>
      </rPr>
      <t xml:space="preserve">
The curve frequency, this controls which Libor Fixing should be associated with this curve.</t>
    </r>
  </si>
  <si>
    <r>
      <rPr>
        <b/>
        <sz val="11"/>
        <rFont val="Calibri"/>
        <family val="2"/>
        <scheme val="minor"/>
      </rPr>
      <t xml:space="preserve">dfCurveName:
</t>
    </r>
    <r>
      <rPr>
        <sz val="11"/>
        <color rgb="FF0000FF"/>
        <rFont val="Calibri"/>
        <family val="2"/>
        <scheme val="minor"/>
      </rPr>
      <t>Here we specify which discount factor curve should be used. Can be "OIS" or if left-blank Libor discounting will be assumed. (This field must not be used on the OIS Curve)</t>
    </r>
  </si>
  <si>
    <r>
      <t>DaycountFloat:</t>
    </r>
    <r>
      <rPr>
        <sz val="11"/>
        <color rgb="FF0000FF"/>
        <rFont val="Calibri"/>
        <family val="2"/>
        <scheme val="minor"/>
      </rPr>
      <t xml:space="preserve">
The float leg daycount</t>
    </r>
  </si>
  <si>
    <r>
      <t>FrequencyFloat:</t>
    </r>
    <r>
      <rPr>
        <sz val="11"/>
        <color rgb="FF0000FF"/>
        <rFont val="Calibri"/>
        <family val="2"/>
        <scheme val="minor"/>
      </rPr>
      <t xml:space="preserve">
The float leg frequency</t>
    </r>
  </si>
  <si>
    <r>
      <t xml:space="preserve">SlidingRule:
</t>
    </r>
    <r>
      <rPr>
        <sz val="11"/>
        <color rgb="FF0000FF"/>
        <rFont val="Calibri"/>
        <family val="2"/>
        <scheme val="minor"/>
      </rPr>
      <t>The fixed leg BusinessDayAdjustment</t>
    </r>
  </si>
  <si>
    <r>
      <t xml:space="preserve">IsNewtonRaphson:
</t>
    </r>
    <r>
      <rPr>
        <sz val="11"/>
        <color rgb="FF0000FF"/>
        <rFont val="Calibri"/>
        <family val="2"/>
        <scheme val="minor"/>
      </rPr>
      <t>Use Newton Raphson solver for calibration. Currently the only valid option is "TRUE".</t>
    </r>
  </si>
  <si>
    <r>
      <t xml:space="preserve">MeanReversion:
</t>
    </r>
    <r>
      <rPr>
        <sz val="11"/>
        <color rgb="FF0000FF"/>
        <rFont val="Calibri"/>
        <family val="2"/>
        <scheme val="minor"/>
      </rPr>
      <t>The mean reversion parameter for the convexity adjustment model. Use 0% for Ho-Lee and any other value for Hull-White 1F convexity adjustments</t>
    </r>
  </si>
  <si>
    <r>
      <t xml:space="preserve">ApplyTension:
</t>
    </r>
    <r>
      <rPr>
        <sz val="11"/>
        <color rgb="FF0000FF"/>
        <rFont val="Calibri"/>
        <family val="2"/>
        <scheme val="minor"/>
      </rPr>
      <t>Insert sythetic points between sucessessive futures to simulate tension</t>
    </r>
  </si>
  <si>
    <r>
      <t xml:space="preserve">TensionGap:
</t>
    </r>
    <r>
      <rPr>
        <sz val="11"/>
        <color rgb="FF0000FF"/>
        <rFont val="Calibri"/>
        <family val="2"/>
        <scheme val="minor"/>
      </rPr>
      <t>The frequency in days for synthetic tension points</t>
    </r>
  </si>
  <si>
    <r>
      <t>FirstRate:</t>
    </r>
    <r>
      <rPr>
        <sz val="11"/>
        <color rgb="FF0000FF"/>
        <rFont val="Calibri"/>
        <family val="2"/>
        <scheme val="minor"/>
      </rPr>
      <t xml:space="preserve">
This field controls the first rate to be used for curve construction; "ShortMarket" implies include short end cash instruments. Removing this key and value will start curve construction from the Swaps instruments</t>
    </r>
  </si>
  <si>
    <r>
      <t xml:space="preserve">isFwdBasis:
</t>
    </r>
    <r>
      <rPr>
        <sz val="11"/>
        <color rgb="FF0000FF"/>
        <rFont val="Calibri"/>
        <family val="2"/>
        <scheme val="minor"/>
      </rPr>
      <t>Allow forward starting tenor basis; No = Don't allow forward starting Tenor Basis Spreads, True will allow the extra columns for forward starting instruments (highlighted in yellow) in the Tenor Basis Spreads table to be recognized</t>
    </r>
  </si>
  <si>
    <r>
      <rPr>
        <b/>
        <sz val="11"/>
        <rFont val="Calibri"/>
        <family val="2"/>
        <scheme val="minor"/>
      </rPr>
      <t xml:space="preserve">Basis.Interpolation
</t>
    </r>
    <r>
      <rPr>
        <sz val="11"/>
        <color rgb="FF0000FF"/>
        <rFont val="Calibri"/>
        <family val="2"/>
        <scheme val="minor"/>
      </rPr>
      <t>The interpolation method used for generating the target curve i.e. interpolation method to use when calibrating this curve</t>
    </r>
  </si>
  <si>
    <r>
      <rPr>
        <b/>
        <sz val="11"/>
        <rFont val="Calibri"/>
        <family val="2"/>
        <scheme val="minor"/>
      </rPr>
      <t xml:space="preserve">MarketName:
</t>
    </r>
    <r>
      <rPr>
        <sz val="11"/>
        <color rgb="FF0000FF"/>
        <rFont val="Calibri"/>
        <family val="2"/>
        <scheme val="minor"/>
      </rPr>
      <t>StaticDataTable name, a hard-coded reference to a property file table used to lookup default curve paremeters if not specified</t>
    </r>
  </si>
  <si>
    <r>
      <rPr>
        <b/>
        <sz val="11"/>
        <rFont val="Calibri"/>
        <family val="2"/>
        <scheme val="minor"/>
      </rPr>
      <t xml:space="preserve">IsLeg1Spread:
</t>
    </r>
    <r>
      <rPr>
        <sz val="11"/>
        <color rgb="FF0000FF"/>
        <rFont val="Calibri"/>
        <family val="2"/>
        <scheme val="minor"/>
      </rPr>
      <t>Should the Tenor Basis spread be added to Leg 1 of the Tenor Basis Swap? True = Add spread to Leg1, False = Add spread to Leg2</t>
    </r>
  </si>
  <si>
    <r>
      <rPr>
        <b/>
        <sz val="11"/>
        <rFont val="Calibri"/>
        <family val="2"/>
        <scheme val="minor"/>
      </rPr>
      <t xml:space="preserve">Leg1Cashlet.Calendar:
</t>
    </r>
    <r>
      <rPr>
        <sz val="11"/>
        <color rgb="FF0000FF"/>
        <rFont val="Calibri"/>
        <family val="2"/>
        <scheme val="minor"/>
      </rPr>
      <t>Leg1 Accrual Calendar</t>
    </r>
  </si>
  <si>
    <r>
      <rPr>
        <b/>
        <sz val="11"/>
        <rFont val="Calibri"/>
        <family val="2"/>
        <scheme val="minor"/>
      </rPr>
      <t xml:space="preserve">Leg1Cashlet.Daycount:
</t>
    </r>
    <r>
      <rPr>
        <sz val="11"/>
        <color rgb="FF0000FF"/>
        <rFont val="Calibri"/>
        <family val="2"/>
        <scheme val="minor"/>
      </rPr>
      <t>Leg1 Accrual Daycount</t>
    </r>
  </si>
  <si>
    <r>
      <rPr>
        <b/>
        <sz val="11"/>
        <rFont val="Calibri"/>
        <family val="2"/>
        <scheme val="minor"/>
      </rPr>
      <t xml:space="preserve">Leg1Cashlet.Frequency:
</t>
    </r>
    <r>
      <rPr>
        <sz val="11"/>
        <color rgb="FF0000FF"/>
        <rFont val="Calibri"/>
        <family val="2"/>
        <scheme val="minor"/>
      </rPr>
      <t>Leg1 Accrual Frequency</t>
    </r>
  </si>
  <si>
    <r>
      <rPr>
        <b/>
        <sz val="11"/>
        <rFont val="Calibri"/>
        <family val="2"/>
        <scheme val="minor"/>
      </rPr>
      <t xml:space="preserve">Leg1Cashlet.SlidingRule:
</t>
    </r>
    <r>
      <rPr>
        <sz val="11"/>
        <color rgb="FF0000FF"/>
        <rFont val="Calibri"/>
        <family val="2"/>
        <scheme val="minor"/>
      </rPr>
      <t>Leg1 Accrual BusinessDayAdjustment or SlidingRule</t>
    </r>
  </si>
  <si>
    <r>
      <rPr>
        <b/>
        <sz val="11"/>
        <rFont val="Calibri"/>
        <family val="2"/>
        <scheme val="minor"/>
      </rPr>
      <t xml:space="preserve">Leg1Forecast:
</t>
    </r>
    <r>
      <rPr>
        <sz val="11"/>
        <color rgb="FF0000FF"/>
        <rFont val="Calibri"/>
        <family val="2"/>
        <scheme val="minor"/>
      </rPr>
      <t>Leg1 Forecast Curve e.g. EUR1ML, EUR3ML, EUR6ML, EUR12ML</t>
    </r>
  </si>
  <si>
    <r>
      <rPr>
        <b/>
        <sz val="11"/>
        <rFont val="Calibri"/>
        <family val="2"/>
        <scheme val="minor"/>
      </rPr>
      <t xml:space="preserve">Leg1Discount:
</t>
    </r>
    <r>
      <rPr>
        <sz val="11"/>
        <color rgb="FF0000FF"/>
        <rFont val="Calibri"/>
        <family val="2"/>
        <scheme val="minor"/>
      </rPr>
      <t>Leg1 Discount Curve e.g EUROIS</t>
    </r>
  </si>
  <si>
    <r>
      <rPr>
        <b/>
        <sz val="11"/>
        <rFont val="Calibri"/>
        <family val="2"/>
        <scheme val="minor"/>
      </rPr>
      <t xml:space="preserve">Leg1Index.Accessary:
</t>
    </r>
    <r>
      <rPr>
        <sz val="11"/>
        <color rgb="FF0000FF"/>
        <rFont val="Calibri"/>
        <family val="2"/>
        <scheme val="minor"/>
      </rPr>
      <t>Leg1 Forecast Curve or Index Frequency</t>
    </r>
  </si>
  <si>
    <r>
      <rPr>
        <b/>
        <sz val="11"/>
        <rFont val="Calibri"/>
        <family val="2"/>
        <scheme val="minor"/>
      </rPr>
      <t xml:space="preserve">Leg1Index.Daycount:
</t>
    </r>
    <r>
      <rPr>
        <sz val="11"/>
        <color rgb="FF0000FF"/>
        <rFont val="Calibri"/>
        <family val="2"/>
        <scheme val="minor"/>
      </rPr>
      <t>Leg1 Payment Daycount</t>
    </r>
  </si>
  <si>
    <r>
      <rPr>
        <b/>
        <sz val="11"/>
        <rFont val="Calibri"/>
        <family val="2"/>
        <scheme val="minor"/>
      </rPr>
      <t xml:space="preserve">Leg1Index.Fixing.Calendar:
</t>
    </r>
    <r>
      <rPr>
        <sz val="11"/>
        <color rgb="FF0000FF"/>
        <rFont val="Calibri"/>
        <family val="2"/>
        <scheme val="minor"/>
      </rPr>
      <t>Leg1 Fixing Calendar</t>
    </r>
  </si>
  <si>
    <r>
      <rPr>
        <b/>
        <sz val="11"/>
        <rFont val="Calibri"/>
        <family val="2"/>
        <scheme val="minor"/>
      </rPr>
      <t xml:space="preserve">Leg1Index.Frequency:
</t>
    </r>
    <r>
      <rPr>
        <sz val="11"/>
        <color rgb="FF0000FF"/>
        <rFont val="Calibri"/>
        <family val="2"/>
        <scheme val="minor"/>
      </rPr>
      <t>Leg1 Yield Compound Frequency; Simple, Continuous, Annual, Semi-Annual, Quarterly etc</t>
    </r>
  </si>
  <si>
    <r>
      <rPr>
        <b/>
        <sz val="11"/>
        <rFont val="Calibri"/>
        <family val="2"/>
        <scheme val="minor"/>
      </rPr>
      <t xml:space="preserve">Leg1Index.Payment.Calendar:
</t>
    </r>
    <r>
      <rPr>
        <sz val="11"/>
        <color rgb="FF0000FF"/>
        <rFont val="Calibri"/>
        <family val="2"/>
        <scheme val="minor"/>
      </rPr>
      <t>Leg1 Payment Calendar</t>
    </r>
  </si>
  <si>
    <r>
      <rPr>
        <b/>
        <sz val="11"/>
        <rFont val="Calibri"/>
        <family val="2"/>
        <scheme val="minor"/>
      </rPr>
      <t xml:space="preserve">Leg1Index.ResetLag:
</t>
    </r>
    <r>
      <rPr>
        <sz val="11"/>
        <color rgb="FF0000FF"/>
        <rFont val="Calibri"/>
        <family val="2"/>
        <scheme val="minor"/>
      </rPr>
      <t>Leg1 Fixing Lag (days)</t>
    </r>
  </si>
  <si>
    <r>
      <rPr>
        <b/>
        <sz val="11"/>
        <rFont val="Calibri"/>
        <family val="2"/>
        <scheme val="minor"/>
      </rPr>
      <t xml:space="preserve">Leg1Index.SlidingRule:
</t>
    </r>
    <r>
      <rPr>
        <sz val="11"/>
        <color rgb="FF0000FF"/>
        <rFont val="Calibri"/>
        <family val="2"/>
        <scheme val="minor"/>
      </rPr>
      <t>Leg1 Payment BusinessDayAdjustment or SlidingRule</t>
    </r>
  </si>
  <si>
    <r>
      <rPr>
        <b/>
        <sz val="11"/>
        <rFont val="Calibri"/>
        <family val="2"/>
        <scheme val="minor"/>
      </rPr>
      <t xml:space="preserve">Leg1Cashlet.SpotLag:
</t>
    </r>
    <r>
      <rPr>
        <sz val="11"/>
        <color rgb="FF0000FF"/>
        <rFont val="Calibri"/>
        <family val="2"/>
        <scheme val="minor"/>
      </rPr>
      <t>Leg1 Accrual Spot Lag (days)</t>
    </r>
  </si>
  <si>
    <r>
      <rPr>
        <b/>
        <sz val="11"/>
        <rFont val="Calibri"/>
        <family val="2"/>
        <scheme val="minor"/>
      </rPr>
      <t>Leg2Cashlet.Calendar:</t>
    </r>
    <r>
      <rPr>
        <sz val="11"/>
        <color rgb="FF0000FF"/>
        <rFont val="Calibri"/>
        <family val="2"/>
        <scheme val="minor"/>
      </rPr>
      <t xml:space="preserve">
Leg2 Accrual Calendar</t>
    </r>
  </si>
  <si>
    <r>
      <rPr>
        <b/>
        <sz val="11"/>
        <rFont val="Calibri"/>
        <family val="2"/>
        <scheme val="minor"/>
      </rPr>
      <t>Leg2Cashlet.Daycount:</t>
    </r>
    <r>
      <rPr>
        <sz val="11"/>
        <color rgb="FF0000FF"/>
        <rFont val="Calibri"/>
        <family val="2"/>
        <scheme val="minor"/>
      </rPr>
      <t xml:space="preserve">
Leg2 Accrual Daycount</t>
    </r>
  </si>
  <si>
    <r>
      <rPr>
        <b/>
        <sz val="11"/>
        <rFont val="Calibri"/>
        <family val="2"/>
        <scheme val="minor"/>
      </rPr>
      <t>Leg2Cashlet.Frequency:</t>
    </r>
    <r>
      <rPr>
        <sz val="11"/>
        <color rgb="FF0000FF"/>
        <rFont val="Calibri"/>
        <family val="2"/>
        <scheme val="minor"/>
      </rPr>
      <t xml:space="preserve">
Leg2 Accrual Frequency</t>
    </r>
  </si>
  <si>
    <r>
      <rPr>
        <b/>
        <sz val="11"/>
        <rFont val="Calibri"/>
        <family val="2"/>
        <scheme val="minor"/>
      </rPr>
      <t>Leg2Cashlet.SlidingRule:</t>
    </r>
    <r>
      <rPr>
        <sz val="11"/>
        <color rgb="FF0000FF"/>
        <rFont val="Calibri"/>
        <family val="2"/>
        <scheme val="minor"/>
      </rPr>
      <t xml:space="preserve">
Leg2 Accrual BusinessDayAdjustment or SlidingRule</t>
    </r>
  </si>
  <si>
    <r>
      <rPr>
        <b/>
        <sz val="11"/>
        <rFont val="Calibri"/>
        <family val="2"/>
        <scheme val="minor"/>
      </rPr>
      <t>Leg2Cashlet.SpotLag:</t>
    </r>
    <r>
      <rPr>
        <sz val="11"/>
        <color rgb="FF0000FF"/>
        <rFont val="Calibri"/>
        <family val="2"/>
        <scheme val="minor"/>
      </rPr>
      <t xml:space="preserve">
Leg2 Accrual Spot Lag (days)</t>
    </r>
  </si>
  <si>
    <r>
      <rPr>
        <b/>
        <sz val="11"/>
        <rFont val="Calibri"/>
        <family val="2"/>
        <scheme val="minor"/>
      </rPr>
      <t>Leg2Discount:</t>
    </r>
    <r>
      <rPr>
        <sz val="11"/>
        <color rgb="FF0000FF"/>
        <rFont val="Calibri"/>
        <family val="2"/>
        <scheme val="minor"/>
      </rPr>
      <t xml:space="preserve">
Leg2 Discount Curve e.g EUROIS</t>
    </r>
  </si>
  <si>
    <r>
      <rPr>
        <b/>
        <sz val="11"/>
        <rFont val="Calibri"/>
        <family val="2"/>
        <scheme val="minor"/>
      </rPr>
      <t>Leg2Forecast:</t>
    </r>
    <r>
      <rPr>
        <sz val="11"/>
        <color rgb="FF0000FF"/>
        <rFont val="Calibri"/>
        <family val="2"/>
        <scheme val="minor"/>
      </rPr>
      <t xml:space="preserve">
Leg2 Forecast Curve e.g. EUR1ML, EUR3ML, EUR6ML, EUR12ML</t>
    </r>
  </si>
  <si>
    <r>
      <rPr>
        <b/>
        <sz val="11"/>
        <rFont val="Calibri"/>
        <family val="2"/>
        <scheme val="minor"/>
      </rPr>
      <t>Leg2Index.Accessary:</t>
    </r>
    <r>
      <rPr>
        <sz val="11"/>
        <color rgb="FF0000FF"/>
        <rFont val="Calibri"/>
        <family val="2"/>
        <scheme val="minor"/>
      </rPr>
      <t xml:space="preserve">
Leg2 Forecast Curve or Index Frequency</t>
    </r>
  </si>
  <si>
    <r>
      <rPr>
        <b/>
        <sz val="11"/>
        <rFont val="Calibri"/>
        <family val="2"/>
        <scheme val="minor"/>
      </rPr>
      <t>Leg2Index.Daycount:</t>
    </r>
    <r>
      <rPr>
        <sz val="11"/>
        <color rgb="FF0000FF"/>
        <rFont val="Calibri"/>
        <family val="2"/>
        <scheme val="minor"/>
      </rPr>
      <t xml:space="preserve">
Leg2 Payment Daycount</t>
    </r>
  </si>
  <si>
    <r>
      <rPr>
        <b/>
        <sz val="11"/>
        <rFont val="Calibri"/>
        <family val="2"/>
        <scheme val="minor"/>
      </rPr>
      <t>Leg2Index.Fixing.Calendar:</t>
    </r>
    <r>
      <rPr>
        <sz val="11"/>
        <color rgb="FF0000FF"/>
        <rFont val="Calibri"/>
        <family val="2"/>
        <scheme val="minor"/>
      </rPr>
      <t xml:space="preserve">
Leg2 Fixing Calendar</t>
    </r>
  </si>
  <si>
    <r>
      <rPr>
        <b/>
        <sz val="11"/>
        <rFont val="Calibri"/>
        <family val="2"/>
        <scheme val="minor"/>
      </rPr>
      <t>Leg2Index.Frequency:</t>
    </r>
    <r>
      <rPr>
        <sz val="11"/>
        <color rgb="FF0000FF"/>
        <rFont val="Calibri"/>
        <family val="2"/>
        <scheme val="minor"/>
      </rPr>
      <t xml:space="preserve">
Leg2 Yield Compound Frequency; Simple, Continuous, Annual, Semi-Annual, Quarterly etc</t>
    </r>
  </si>
  <si>
    <r>
      <rPr>
        <b/>
        <sz val="11"/>
        <rFont val="Calibri"/>
        <family val="2"/>
        <scheme val="minor"/>
      </rPr>
      <t>Leg2Index.Payment.Calendar:</t>
    </r>
    <r>
      <rPr>
        <sz val="11"/>
        <color rgb="FF0000FF"/>
        <rFont val="Calibri"/>
        <family val="2"/>
        <scheme val="minor"/>
      </rPr>
      <t xml:space="preserve">
Leg2 Payment Calendar</t>
    </r>
  </si>
  <si>
    <r>
      <rPr>
        <b/>
        <sz val="11"/>
        <rFont val="Calibri"/>
        <family val="2"/>
        <scheme val="minor"/>
      </rPr>
      <t>Leg2Index.ResetLag:</t>
    </r>
    <r>
      <rPr>
        <sz val="11"/>
        <color rgb="FF0000FF"/>
        <rFont val="Calibri"/>
        <family val="2"/>
        <scheme val="minor"/>
      </rPr>
      <t xml:space="preserve">
Leg2 Fixing Lag (days)</t>
    </r>
  </si>
  <si>
    <r>
      <rPr>
        <b/>
        <sz val="11"/>
        <rFont val="Calibri"/>
        <family val="2"/>
        <scheme val="minor"/>
      </rPr>
      <t>Leg2Index.SlidingRule:</t>
    </r>
    <r>
      <rPr>
        <sz val="11"/>
        <color rgb="FF0000FF"/>
        <rFont val="Calibri"/>
        <family val="2"/>
        <scheme val="minor"/>
      </rPr>
      <t xml:space="preserve">
Leg2 Payment BusinessDayAdjustment or SlidingRule</t>
    </r>
  </si>
  <si>
    <r>
      <rPr>
        <b/>
        <sz val="11"/>
        <rFont val="Calibri"/>
        <family val="2"/>
        <scheme val="minor"/>
      </rPr>
      <t>Target:</t>
    </r>
    <r>
      <rPr>
        <sz val="11"/>
        <color rgb="FF0000FF"/>
        <rFont val="Calibri"/>
        <family val="2"/>
        <scheme val="minor"/>
      </rPr>
      <t xml:space="preserve">
What do we want to solve for</t>
    </r>
  </si>
  <si>
    <r>
      <t xml:space="preserve">IsSimulataneousEq:
</t>
    </r>
    <r>
      <rPr>
        <sz val="11"/>
        <color rgb="FF0000FF"/>
        <rFont val="Calibri"/>
        <family val="2"/>
        <scheme val="minor"/>
      </rPr>
      <t>Solve the Newton Raphson problem as a Simulataneous Equation. Currently the only valid option is "TRUE".</t>
    </r>
  </si>
  <si>
    <r>
      <t xml:space="preserve">IsSimulataneousEq:
</t>
    </r>
    <r>
      <rPr>
        <sz val="11"/>
        <color rgb="FF0000FF"/>
        <rFont val="Calibri"/>
        <family val="2"/>
        <scheme val="minor"/>
      </rPr>
      <t>Calibrate and optimize using a  Simulataneous Equation method. Currently the only valid option is "TRUE".</t>
    </r>
  </si>
  <si>
    <r>
      <t xml:space="preserve">FwdInterpolation:
</t>
    </r>
    <r>
      <rPr>
        <sz val="11"/>
        <color rgb="FF0000FF"/>
        <rFont val="Calibri"/>
        <family val="2"/>
        <scheme val="minor"/>
      </rPr>
      <t>Interpolation method for interpolating Libor forecast rates</t>
    </r>
  </si>
  <si>
    <r>
      <t xml:space="preserve">IsFwdInter:
</t>
    </r>
    <r>
      <rPr>
        <sz val="11"/>
        <color rgb="FF0000FF"/>
        <rFont val="Calibri"/>
        <family val="2"/>
        <scheme val="minor"/>
      </rPr>
      <t>Imply Libor Forecast rates by interpolating forwards; True = Imply forecast rates from Forwards, False = Imply forecast rates from Pseudo-Discount Factors</t>
    </r>
  </si>
  <si>
    <r>
      <t xml:space="preserve">IsSameGridIndex:
</t>
    </r>
    <r>
      <rPr>
        <sz val="11"/>
        <color rgb="FF0000FF"/>
        <rFont val="Calibri"/>
        <family val="2"/>
        <scheme val="minor"/>
      </rPr>
      <t>Are the index fixing dates the same as the cashflow accrual dates i.e are the date grids the same? Recommended setting is "TRUE", sometimes when set to false curves will fail to solve and converge.</t>
    </r>
  </si>
  <si>
    <r>
      <t xml:space="preserve">SpotRateTerm:
</t>
    </r>
    <r>
      <rPr>
        <sz val="11"/>
        <color rgb="FF0000FF"/>
        <rFont val="Calibri"/>
        <family val="2"/>
        <scheme val="minor"/>
      </rPr>
      <t>Tenor Basis curve fixings must be input in the Swap or STD curve Libor Fixing table. This field specifies which Libor fixing should be used when building the Tenor Basis Curve. Select 3M if building a 3M curve and 6M if building a 6M curve etc.</t>
    </r>
  </si>
  <si>
    <r>
      <t xml:space="preserve">isYieldSpreadCalc:
</t>
    </r>
    <r>
      <rPr>
        <sz val="11"/>
        <color rgb="FF0000FF"/>
        <rFont val="Calibri"/>
        <family val="2"/>
        <scheme val="minor"/>
      </rPr>
      <t>Is the calibration target a spread on a base curve. This field should typically be set to "FALSE"</t>
    </r>
  </si>
  <si>
    <r>
      <rPr>
        <b/>
        <sz val="11"/>
        <rFont val="Calibri"/>
        <family val="2"/>
        <scheme val="minor"/>
      </rPr>
      <t xml:space="preserve">StaticDataTable: </t>
    </r>
    <r>
      <rPr>
        <b/>
        <sz val="11"/>
        <color rgb="FFFF0000"/>
        <rFont val="Calibri"/>
        <family val="2"/>
        <scheme val="minor"/>
      </rPr>
      <t>( Case Sensitive! )</t>
    </r>
    <r>
      <rPr>
        <b/>
        <sz val="11"/>
        <rFont val="Calibri"/>
        <family val="2"/>
        <scheme val="minor"/>
      </rPr>
      <t xml:space="preserve">
</t>
    </r>
    <r>
      <rPr>
        <sz val="11"/>
        <color rgb="FF0000FF"/>
        <rFont val="Calibri"/>
        <family val="2"/>
        <scheme val="minor"/>
      </rPr>
      <t>A hard-coded reference to a property file table used to lookup default curve parameters if not specified</t>
    </r>
  </si>
  <si>
    <r>
      <rPr>
        <b/>
        <sz val="11"/>
        <rFont val="Calibri"/>
        <family val="2"/>
        <scheme val="minor"/>
      </rPr>
      <t xml:space="preserve">IndexName:
</t>
    </r>
    <r>
      <rPr>
        <sz val="11"/>
        <color rgb="FF0000FF"/>
        <rFont val="Calibri"/>
        <family val="2"/>
        <scheme val="minor"/>
      </rPr>
      <t>A user defined name(s) for the output curve index, mutliple aliases allowed. e.g. EUROIS, EUR3ML, EUR6ML</t>
    </r>
  </si>
  <si>
    <r>
      <rPr>
        <b/>
        <sz val="11"/>
        <rFont val="Calibri"/>
        <family val="2"/>
        <scheme val="minor"/>
      </rPr>
      <t xml:space="preserve">YieldGen.Interpolation:
</t>
    </r>
    <r>
      <rPr>
        <sz val="11"/>
        <color rgb="FF0000FF"/>
        <rFont val="Calibri"/>
        <family val="2"/>
        <scheme val="minor"/>
      </rPr>
      <t>The interpolation method used for generating the target curve forecast rates</t>
    </r>
  </si>
  <si>
    <t>OISFixingTable,"OISBasisConventions","OISBasisMarketData","SwapConventions","SwapMarketData")</t>
  </si>
  <si>
    <r>
      <t>meCurveCalibrateOIS</t>
    </r>
    <r>
      <rPr>
        <i/>
        <sz val="18"/>
        <rFont val="Calibri"/>
        <family val="2"/>
        <scheme val="minor"/>
      </rPr>
      <t>("CurveCollection","StaticDataTable","CurveIndex","CurveBuildProperties","OISConventions","OISMarketData",</t>
    </r>
  </si>
  <si>
    <t>"FuturesConventions","FuturesRates","ConvexityAdjustmentConventions","ConvexityAdjustmentMarketData")</t>
  </si>
  <si>
    <t>LiborConventions,"LiborFixingTable","SwapConventions","SwapMarketData", "FRAConventions","FRAMarketData3M","FRAMarketData6M",</t>
  </si>
  <si>
    <t>FXForwardConventions,"FXForwardMarketData","SpotFXMarketData")</t>
  </si>
  <si>
    <r>
      <t xml:space="preserve">* These fixings are used in the tenor basis curves see </t>
    </r>
    <r>
      <rPr>
        <i/>
        <sz val="11"/>
        <color rgb="FFC00000"/>
        <rFont val="Calibri"/>
        <family val="2"/>
        <scheme val="minor"/>
      </rPr>
      <t>'SpotRateTerm'</t>
    </r>
  </si>
  <si>
    <t>EURDF_NOCSA</t>
  </si>
  <si>
    <t>Swap Par Rate</t>
  </si>
  <si>
    <t>Swap PV</t>
  </si>
  <si>
    <t>Swap PV01</t>
  </si>
  <si>
    <t>Swap DV01</t>
  </si>
  <si>
    <t>Swap Deal Info</t>
  </si>
  <si>
    <t>EffectiveLag</t>
  </si>
  <si>
    <t>Swap Pricing &amp; Risk</t>
  </si>
  <si>
    <t>FixedAccrualBusinessDayAdjustment</t>
  </si>
  <si>
    <t>FixedPaymentBusinessDayAdjustment</t>
  </si>
  <si>
    <t>FixedAccrualCalendar</t>
  </si>
  <si>
    <t>FixedPaymentCalendar</t>
  </si>
  <si>
    <t>FloatAccrualBusinessDayAdjustment</t>
  </si>
  <si>
    <t>FloatAccrualCalendar</t>
  </si>
  <si>
    <t>FloatPaymentBusinessDayAdjustment</t>
  </si>
  <si>
    <t>FloatPaymentCalendar</t>
  </si>
  <si>
    <t>FloatFixingBusinessDayAdjustment</t>
  </si>
  <si>
    <t>FloatFixingCalendar</t>
  </si>
  <si>
    <t>BumpSize</t>
  </si>
  <si>
    <t>BumpMode</t>
  </si>
  <si>
    <t>3M6MBASIS</t>
  </si>
  <si>
    <t>3M6MBASIS:EUR6ML</t>
  </si>
  <si>
    <t>1M3MBASIS</t>
  </si>
  <si>
    <t>1M3MBASIS:EUR1ML</t>
  </si>
  <si>
    <t>6M12MBASIS</t>
  </si>
  <si>
    <t>6M12MBASIS:EUR12ML</t>
  </si>
  <si>
    <t>DiscountIndex</t>
  </si>
  <si>
    <t>StaticData</t>
  </si>
  <si>
    <t>Curve Settings</t>
  </si>
  <si>
    <t>Risk Settings</t>
  </si>
  <si>
    <t>Central</t>
  </si>
  <si>
    <t>-</t>
  </si>
  <si>
    <r>
      <t>meCurveCalibrateSwap</t>
    </r>
    <r>
      <rPr>
        <sz val="18"/>
        <rFont val="Calibri"/>
        <family val="2"/>
        <scheme val="minor"/>
      </rPr>
      <t>("CurveCollection","StaticDataTable","CurveIndex","CurveBuildProperties","MoneyMarketConventions",</t>
    </r>
  </si>
  <si>
    <r>
      <t>meCurveCalibrateBasis</t>
    </r>
    <r>
      <rPr>
        <sz val="18"/>
        <rFont val="Calibri"/>
        <family val="2"/>
        <scheme val="minor"/>
      </rPr>
      <t>("CurveCollection","StaticDataTable","CurveIndex","CurveBuildProperties","BasisSwapConventions","BasisSwapMarketData",</t>
    </r>
  </si>
  <si>
    <t>CompoundMethod</t>
  </si>
  <si>
    <t>GEOMETRIC</t>
  </si>
  <si>
    <t>NORMAL</t>
  </si>
  <si>
    <t>ShortEnd</t>
  </si>
  <si>
    <t>OIS Deal Info</t>
  </si>
  <si>
    <t>PV</t>
  </si>
  <si>
    <t>OIS Pricing</t>
  </si>
  <si>
    <t>CurveFrequency</t>
  </si>
  <si>
    <t>Daily</t>
  </si>
  <si>
    <t>ForecastCurveSet</t>
  </si>
  <si>
    <r>
      <t>meProductOISParRate</t>
    </r>
    <r>
      <rPr>
        <sz val="18"/>
        <rFont val="Calibri"/>
        <family val="2"/>
        <scheme val="minor"/>
      </rPr>
      <t>( DealInfoLVB )</t>
    </r>
  </si>
  <si>
    <r>
      <t>meProductOISPV</t>
    </r>
    <r>
      <rPr>
        <sz val="18"/>
        <rFont val="Calibri"/>
        <family val="2"/>
        <scheme val="minor"/>
      </rPr>
      <t>( DealInfoLVB )</t>
    </r>
  </si>
  <si>
    <r>
      <rPr>
        <sz val="18"/>
        <color rgb="FF0000FF"/>
        <rFont val="Calibri"/>
        <family val="2"/>
        <scheme val="minor"/>
      </rPr>
      <t>meProductSwapDV01</t>
    </r>
    <r>
      <rPr>
        <sz val="18"/>
        <color theme="1"/>
        <rFont val="Calibri"/>
        <family val="2"/>
        <scheme val="minor"/>
      </rPr>
      <t>( DealInfoLVB )</t>
    </r>
  </si>
  <si>
    <r>
      <rPr>
        <sz val="18"/>
        <color rgb="FF0000FF"/>
        <rFont val="Calibri"/>
        <family val="2"/>
        <scheme val="minor"/>
      </rPr>
      <t>meProductSwapPV01</t>
    </r>
    <r>
      <rPr>
        <sz val="18"/>
        <color theme="1"/>
        <rFont val="Calibri"/>
        <family val="2"/>
        <scheme val="minor"/>
      </rPr>
      <t>( DealInfoLVB )</t>
    </r>
  </si>
  <si>
    <r>
      <rPr>
        <sz val="18"/>
        <color rgb="FF0000FF"/>
        <rFont val="Calibri"/>
        <family val="2"/>
        <scheme val="minor"/>
      </rPr>
      <t>meProductSwapParRate</t>
    </r>
    <r>
      <rPr>
        <sz val="18"/>
        <color theme="1"/>
        <rFont val="Calibri"/>
        <family val="2"/>
        <scheme val="minor"/>
      </rPr>
      <t>( DealInfoLVB )</t>
    </r>
  </si>
  <si>
    <r>
      <rPr>
        <sz val="18"/>
        <color rgb="FF0000FF"/>
        <rFont val="Calibri"/>
        <family val="2"/>
        <scheme val="minor"/>
      </rPr>
      <t>meProductSwapPV</t>
    </r>
    <r>
      <rPr>
        <sz val="18"/>
        <color theme="1"/>
        <rFont val="Calibri"/>
        <family val="2"/>
        <scheme val="minor"/>
      </rPr>
      <t>( DealInfoLVB )</t>
    </r>
  </si>
  <si>
    <t>Interest Rate Swaps</t>
  </si>
  <si>
    <t>Overnight Index Swaps</t>
  </si>
  <si>
    <t>Calculation Mode</t>
  </si>
  <si>
    <t>CalcMode</t>
  </si>
  <si>
    <t>MANUAL</t>
  </si>
  <si>
    <t>meCurveDiscountFactorsFromYearFractions</t>
  </si>
  <si>
    <t>meCurveDiscountFactorsFromYearFractions (multiple inputs)</t>
  </si>
  <si>
    <t>DiscountFactor(s)</t>
  </si>
  <si>
    <t>YearFraction</t>
  </si>
  <si>
    <t>CurveIndex</t>
  </si>
  <si>
    <t>meCurveDiscountFactorsFromTenors</t>
  </si>
  <si>
    <t>meCurveDiscountFactorsFromTenors (multiple inputs)</t>
  </si>
  <si>
    <t>Tenor</t>
  </si>
  <si>
    <t>CurveID</t>
  </si>
  <si>
    <t>BusinessDayAdjustment</t>
  </si>
  <si>
    <t>meCurveDiscountFactorsForwardStarting</t>
  </si>
  <si>
    <t>meCurveDiscountFactorsForwardStarting (multiple inputs)</t>
  </si>
  <si>
    <t>meCurveDiscountFactorsForwardStartingFromYearFractions</t>
  </si>
  <si>
    <t>meCurveDiscountFactorsForwardStartingFromYearFractions (multiple inputs)</t>
  </si>
  <si>
    <t>meCurveDiscountFactorsForwardStartingFromTenor</t>
  </si>
  <si>
    <t>meCurveDiscountFactorsForwardStartingFromTenor (multiple inputs)</t>
  </si>
  <si>
    <t>Term (tenor)</t>
  </si>
  <si>
    <t>AccrualFrequency</t>
  </si>
  <si>
    <t>AccrualBusinessDayAdjustment</t>
  </si>
  <si>
    <t>AccrualCalendar</t>
  </si>
  <si>
    <t>PaymentFrequency</t>
  </si>
  <si>
    <t>PaymentBusinessDayAdjustment</t>
  </si>
  <si>
    <t>PaymentCalendar</t>
  </si>
  <si>
    <t>PaymentLag</t>
  </si>
  <si>
    <t>FixingBusinessDayAdjustment</t>
  </si>
  <si>
    <t>FixingCalendar</t>
  </si>
  <si>
    <t>FixingLag</t>
  </si>
  <si>
    <t>FixingAdvanceOrArrear</t>
  </si>
  <si>
    <t>ADVANCE</t>
  </si>
  <si>
    <t>FirstStubDate</t>
  </si>
  <si>
    <t>LastStubDate</t>
  </si>
  <si>
    <t>RollDay</t>
  </si>
  <si>
    <t>Float Leg</t>
  </si>
  <si>
    <t>DiscFact</t>
  </si>
  <si>
    <t>Coupon</t>
  </si>
  <si>
    <t>CouponPV</t>
  </si>
  <si>
    <t>FloatRate</t>
  </si>
  <si>
    <t>Spread</t>
  </si>
  <si>
    <t>PV Fixed</t>
  </si>
  <si>
    <t>PV Float</t>
  </si>
  <si>
    <t>Annuity</t>
  </si>
  <si>
    <t>Manual Swap Calculations</t>
  </si>
  <si>
    <t>MLib Swap Calculations</t>
  </si>
  <si>
    <r>
      <rPr>
        <sz val="18"/>
        <color rgb="FF0000FF"/>
        <rFont val="Calibri"/>
        <family val="2"/>
        <scheme val="minor"/>
      </rPr>
      <t>meProductSwapSchedule</t>
    </r>
    <r>
      <rPr>
        <sz val="18"/>
        <color theme="1"/>
        <rFont val="Calibri"/>
        <family val="2"/>
        <scheme val="minor"/>
      </rPr>
      <t>( ScheduleLVB )</t>
    </r>
  </si>
  <si>
    <t>Fixed Leg</t>
  </si>
  <si>
    <t>Float Leg Specification</t>
  </si>
  <si>
    <t>Fixed Leg Specification</t>
  </si>
  <si>
    <t>Fixed Leg Cashflows</t>
  </si>
  <si>
    <t>Float Leg Cashflows</t>
  </si>
  <si>
    <t>MLib Swap Deal Info</t>
  </si>
  <si>
    <t>Fixing Date</t>
  </si>
  <si>
    <t>Accrual End Date</t>
  </si>
  <si>
    <t>Accrual Start Date</t>
  </si>
  <si>
    <t>Payment Date</t>
  </si>
  <si>
    <t>Spline</t>
  </si>
  <si>
    <t>FixingDate</t>
  </si>
  <si>
    <r>
      <t>meCurveForwardRates</t>
    </r>
    <r>
      <rPr>
        <sz val="18"/>
        <rFont val="Calibri"/>
        <family val="2"/>
        <scheme val="minor"/>
      </rPr>
      <t>("FixingDates","CurveCollection","CurveIndex")</t>
    </r>
  </si>
  <si>
    <t>meCurveDiscountFactors</t>
  </si>
  <si>
    <t>PaymentDate</t>
  </si>
  <si>
    <t>meCurveDiscountFactors (multiple inputs)</t>
  </si>
  <si>
    <t>meCurveFrequency</t>
  </si>
  <si>
    <t>meDateYearFraction</t>
  </si>
  <si>
    <r>
      <t>meDateYearFraction</t>
    </r>
    <r>
      <rPr>
        <sz val="18"/>
        <rFont val="Calibri"/>
        <family val="2"/>
        <scheme val="minor"/>
      </rPr>
      <t>( AccrualStart, AccrualEnd, Daycount, [IncludeLast] )</t>
    </r>
  </si>
  <si>
    <t>AccrualDaycount</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</si>
</sst>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1" formatCode="_-* #,##0_-;\-* #,##0_-;_-* &quot;-&quot;_-;_-@_-"/>
    <numFmt numFmtId="164" formatCode="0.000%"/>
    <numFmt numFmtId="165" formatCode="0.00000%"/>
    <numFmt numFmtId="166" formatCode="#,##0.0000"/>
    <numFmt numFmtId="167" formatCode="ddd\ d\-mmm\-yy"/>
    <numFmt numFmtId="168" formatCode="#,##0_ ;[Red]\-#,##0\ "/>
    <numFmt numFmtId="169" formatCode="ddd\,\ d\-mmm\-yy"/>
    <numFmt numFmtId="170" formatCode="ddd\,\ d\-mmm\-yy\ h:mm"/>
    <numFmt numFmtId="171" formatCode="0.0000%"/>
    <numFmt numFmtId="172" formatCode="#,##0.000000"/>
    <numFmt numFmtId="173" formatCode="0.000"/>
    <numFmt numFmtId="174" formatCode="0.0%"/>
    <numFmt numFmtId="175" formatCode="#,##0.00000000"/>
  </numFmts>
  <fonts count="39"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b/>
      <sz val="11"/>
      <color rgb="FF0000FF"/>
      <name val="Calibri"/>
      <family val="2"/>
      <scheme val="minor"/>
    </font>
    <font>
      <sz val="11"/>
      <color rgb="FF0000FF"/>
      <name val="Calibri"/>
      <family val="2"/>
      <scheme val="minor"/>
    </font>
    <font>
      <sz val="11"/>
      <name val="Calibri"/>
      <family val="2"/>
      <scheme val="minor"/>
    </font>
    <font>
      <b/>
      <sz val="11"/>
      <name val="Calibri"/>
      <family val="2"/>
      <scheme val="minor"/>
    </font>
    <font>
      <sz val="11"/>
      <color theme="0" tint="-0.249977111117893"/>
      <name val="Calibri"/>
      <family val="2"/>
      <scheme val="minor"/>
    </font>
    <font>
      <sz val="11"/>
      <color rgb="FF006600"/>
      <name val="Calibri"/>
      <family val="2"/>
      <scheme val="minor"/>
    </font>
    <font>
      <sz val="11"/>
      <name val="Times New Roman"/>
      <family val="1"/>
    </font>
    <font>
      <b/>
      <sz val="11"/>
      <color rgb="FF006600"/>
      <name val="Calibri"/>
      <family val="2"/>
      <scheme val="minor"/>
    </font>
    <font>
      <i/>
      <sz val="11"/>
      <color rgb="FF0000FF"/>
      <name val="Calibri"/>
      <family val="2"/>
      <scheme val="minor"/>
    </font>
    <font>
      <i/>
      <sz val="11"/>
      <name val="Calibri"/>
      <family val="2"/>
      <scheme val="minor"/>
    </font>
    <font>
      <u/>
      <sz val="11"/>
      <color theme="1"/>
      <name val="Calibri"/>
      <family val="2"/>
      <scheme val="minor"/>
    </font>
    <font>
      <sz val="9"/>
      <color indexed="81"/>
      <name val="Tahoma"/>
      <family val="2"/>
    </font>
    <font>
      <sz val="12"/>
      <color indexed="81"/>
      <name val="Tahoma"/>
      <family val="2"/>
    </font>
    <font>
      <i/>
      <u/>
      <sz val="12"/>
      <color indexed="12"/>
      <name val="Tahoma"/>
      <family val="2"/>
    </font>
    <font>
      <sz val="11"/>
      <color theme="1"/>
      <name val="Calibri"/>
      <family val="2"/>
      <scheme val="minor"/>
    </font>
    <font>
      <u/>
      <sz val="12"/>
      <color indexed="39"/>
      <name val="Tahoma"/>
      <family val="2"/>
    </font>
    <font>
      <sz val="11"/>
      <color theme="0" tint="-0.14999847407452621"/>
      <name val="Calibri"/>
      <family val="2"/>
      <scheme val="minor"/>
    </font>
    <font>
      <sz val="20"/>
      <color rgb="FF0000FF"/>
      <name val="Calibri"/>
      <family val="2"/>
      <scheme val="minor"/>
    </font>
    <font>
      <sz val="20"/>
      <name val="Calibri"/>
      <family val="2"/>
      <scheme val="minor"/>
    </font>
    <font>
      <sz val="18"/>
      <name val="Calibri"/>
      <family val="2"/>
      <scheme val="minor"/>
    </font>
    <font>
      <sz val="18"/>
      <color theme="1"/>
      <name val="Calibri"/>
      <family val="2"/>
      <scheme val="minor"/>
    </font>
    <font>
      <sz val="11"/>
      <color rgb="FFC00000"/>
      <name val="Calibri"/>
      <family val="2"/>
      <scheme val="minor"/>
    </font>
    <font>
      <b/>
      <sz val="11"/>
      <color rgb="FFC00000"/>
      <name val="Calibri"/>
      <family val="2"/>
      <scheme val="minor"/>
    </font>
    <font>
      <sz val="11"/>
      <color theme="1" tint="0.499984740745262"/>
      <name val="Calibri"/>
      <family val="2"/>
      <scheme val="minor"/>
    </font>
    <font>
      <b/>
      <sz val="11"/>
      <color theme="0"/>
      <name val="Calibri"/>
      <family val="2"/>
      <scheme val="minor"/>
    </font>
    <font>
      <b/>
      <sz val="11"/>
      <color rgb="FFFF0000"/>
      <name val="Calibri"/>
      <family val="2"/>
      <scheme val="minor"/>
    </font>
    <font>
      <i/>
      <sz val="18"/>
      <color rgb="FF0000FF"/>
      <name val="Calibri"/>
      <family val="2"/>
      <scheme val="minor"/>
    </font>
    <font>
      <i/>
      <sz val="18"/>
      <name val="Calibri"/>
      <family val="2"/>
      <scheme val="minor"/>
    </font>
    <font>
      <i/>
      <sz val="11"/>
      <color rgb="FFC00000"/>
      <name val="Calibri"/>
      <family val="2"/>
      <scheme val="minor"/>
    </font>
    <font>
      <sz val="18"/>
      <color rgb="FF0000FF"/>
      <name val="Calibri"/>
      <family val="2"/>
      <scheme val="minor"/>
    </font>
    <font>
      <sz val="18"/>
      <color theme="0" tint="-0.14999847407452621"/>
      <name val="Calibri"/>
      <family val="2"/>
      <scheme val="minor"/>
    </font>
    <font>
      <sz val="16"/>
      <color theme="1"/>
      <name val="Calibri"/>
      <family val="2"/>
      <scheme val="minor"/>
    </font>
    <font>
      <sz val="16"/>
      <color theme="3"/>
      <name val="Calibri"/>
      <family val="2"/>
      <scheme val="minor"/>
    </font>
    <font>
      <sz val="11"/>
      <color theme="3"/>
      <name val="Calibri"/>
      <family val="2"/>
      <scheme val="minor"/>
    </font>
    <font>
      <sz val="14"/>
      <color theme="3"/>
      <name val="Calibri"/>
      <family val="2"/>
      <scheme val="minor"/>
    </font>
  </fonts>
  <fills count="7">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rgb="FFFFFFCC"/>
        <bgColor indexed="64"/>
      </patternFill>
    </fill>
    <fill>
      <patternFill patternType="solid">
        <fgColor rgb="FFC00000"/>
        <bgColor indexed="64"/>
      </patternFill>
    </fill>
    <fill>
      <patternFill patternType="solid">
        <fgColor theme="0"/>
        <bgColor indexed="64"/>
      </patternFill>
    </fill>
  </fills>
  <borders count="40">
    <border>
      <left/>
      <right/>
      <top/>
      <bottom/>
      <diagonal/>
    </border>
    <border>
      <left style="thin">
        <color theme="0" tint="-0.24994659260841701"/>
      </left>
      <right style="thin">
        <color theme="0" tint="-0.24994659260841701"/>
      </right>
      <top style="thin">
        <color theme="0" tint="-0.24994659260841701"/>
      </top>
      <bottom/>
      <diagonal/>
    </border>
    <border>
      <left/>
      <right/>
      <top style="thin">
        <color theme="0" tint="-0.24994659260841701"/>
      </top>
      <bottom/>
      <diagonal/>
    </border>
    <border>
      <left/>
      <right style="thin">
        <color theme="0" tint="-0.24994659260841701"/>
      </right>
      <top style="thin">
        <color theme="0" tint="-0.24994659260841701"/>
      </top>
      <bottom/>
      <diagonal/>
    </border>
    <border>
      <left style="thin">
        <color theme="0" tint="-0.24994659260841701"/>
      </left>
      <right style="thin">
        <color theme="0" tint="-0.24994659260841701"/>
      </right>
      <top/>
      <bottom/>
      <diagonal/>
    </border>
    <border>
      <left style="thin">
        <color theme="0" tint="-0.24994659260841701"/>
      </left>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top/>
      <bottom/>
      <diagonal/>
    </border>
    <border>
      <left/>
      <right style="thin">
        <color theme="0" tint="-0.24994659260841701"/>
      </right>
      <top/>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dotted">
        <color theme="0" tint="-0.24994659260841701"/>
      </top>
      <bottom/>
      <diagonal/>
    </border>
    <border>
      <left style="thin">
        <color theme="0" tint="-0.24994659260841701"/>
      </left>
      <right style="thin">
        <color theme="0" tint="-0.24994659260841701"/>
      </right>
      <top/>
      <bottom style="dotted">
        <color theme="0" tint="-0.24994659260841701"/>
      </bottom>
      <diagonal/>
    </border>
    <border>
      <left/>
      <right style="thin">
        <color theme="0" tint="-0.24994659260841701"/>
      </right>
      <top style="dotted">
        <color theme="0" tint="-0.24994659260841701"/>
      </top>
      <bottom/>
      <diagonal/>
    </border>
    <border>
      <left style="thin">
        <color theme="0" tint="-0.24994659260841701"/>
      </left>
      <right style="thin">
        <color theme="0" tint="-0.24994659260841701"/>
      </right>
      <top style="thin">
        <color theme="0" tint="-0.24994659260841701"/>
      </top>
      <bottom style="dotted">
        <color theme="0" tint="-0.24994659260841701"/>
      </bottom>
      <diagonal/>
    </border>
    <border>
      <left style="thin">
        <color theme="0" tint="-0.14996795556505021"/>
      </left>
      <right/>
      <top style="thin">
        <color theme="0" tint="-0.14996795556505021"/>
      </top>
      <bottom/>
      <diagonal/>
    </border>
    <border>
      <left/>
      <right/>
      <top style="thin">
        <color theme="0" tint="-0.14996795556505021"/>
      </top>
      <bottom/>
      <diagonal/>
    </border>
    <border>
      <left/>
      <right style="thin">
        <color theme="0" tint="-0.14996795556505021"/>
      </right>
      <top style="thin">
        <color theme="0" tint="-0.14996795556505021"/>
      </top>
      <bottom/>
      <diagonal/>
    </border>
    <border>
      <left style="thin">
        <color theme="0" tint="-0.14996795556505021"/>
      </left>
      <right/>
      <top/>
      <bottom/>
      <diagonal/>
    </border>
    <border>
      <left/>
      <right style="thin">
        <color theme="0" tint="-0.14996795556505021"/>
      </right>
      <top/>
      <bottom/>
      <diagonal/>
    </border>
    <border>
      <left style="thin">
        <color theme="0" tint="-0.14993743705557422"/>
      </left>
      <right style="thin">
        <color theme="0" tint="-0.14993743705557422"/>
      </right>
      <top style="thin">
        <color theme="0" tint="-0.14993743705557422"/>
      </top>
      <bottom/>
      <diagonal/>
    </border>
    <border>
      <left style="thin">
        <color theme="0" tint="-0.14993743705557422"/>
      </left>
      <right style="thin">
        <color theme="0" tint="-0.14993743705557422"/>
      </right>
      <top/>
      <bottom/>
      <diagonal/>
    </border>
    <border>
      <left style="thin">
        <color theme="0" tint="-0.14993743705557422"/>
      </left>
      <right style="thin">
        <color theme="0" tint="-0.14993743705557422"/>
      </right>
      <top/>
      <bottom style="thin">
        <color theme="0" tint="-0.14990691854609822"/>
      </bottom>
      <diagonal/>
    </border>
    <border>
      <left/>
      <right style="thin">
        <color theme="0" tint="-0.14996795556505021"/>
      </right>
      <top/>
      <bottom style="thin">
        <color theme="0" tint="-0.14996795556505021"/>
      </bottom>
      <diagonal/>
    </border>
    <border>
      <left style="thin">
        <color theme="0" tint="-0.14996795556505021"/>
      </left>
      <right/>
      <top/>
      <bottom style="thin">
        <color theme="0" tint="-0.14996795556505021"/>
      </bottom>
      <diagonal/>
    </border>
    <border>
      <left/>
      <right/>
      <top/>
      <bottom style="thin">
        <color theme="0" tint="-0.14996795556505021"/>
      </bottom>
      <diagonal/>
    </border>
    <border>
      <left style="thin">
        <color theme="0" tint="-0.34998626667073579"/>
      </left>
      <right style="thin">
        <color theme="0" tint="-0.34998626667073579"/>
      </right>
      <top style="thin">
        <color theme="0" tint="-0.34998626667073579"/>
      </top>
      <bottom/>
      <diagonal/>
    </border>
    <border>
      <left style="thin">
        <color theme="0" tint="-0.34998626667073579"/>
      </left>
      <right style="thin">
        <color theme="0" tint="-0.34998626667073579"/>
      </right>
      <top/>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n">
        <color theme="0" tint="-0.34998626667073579"/>
      </right>
      <top/>
      <bottom style="dotted">
        <color theme="0" tint="-0.34998626667073579"/>
      </bottom>
      <diagonal/>
    </border>
    <border>
      <left style="thin">
        <color theme="0" tint="-0.34998626667073579"/>
      </left>
      <right style="thin">
        <color theme="0" tint="-0.34998626667073579"/>
      </right>
      <top style="thin">
        <color theme="0" tint="-0.24994659260841701"/>
      </top>
      <bottom/>
      <diagonal/>
    </border>
    <border>
      <left/>
      <right/>
      <top/>
      <bottom style="thick">
        <color theme="3"/>
      </bottom>
      <diagonal/>
    </border>
    <border>
      <left style="thick">
        <color theme="3"/>
      </left>
      <right/>
      <top/>
      <bottom/>
      <diagonal/>
    </border>
    <border>
      <left style="thick">
        <color theme="3"/>
      </left>
      <right/>
      <top/>
      <bottom style="thick">
        <color theme="3"/>
      </bottom>
      <diagonal/>
    </border>
    <border>
      <left/>
      <right style="thick">
        <color theme="3"/>
      </right>
      <top/>
      <bottom style="thick">
        <color theme="3"/>
      </bottom>
      <diagonal/>
    </border>
  </borders>
  <cellStyleXfs count="3">
    <xf numFmtId="0" fontId="0" fillId="0" borderId="0"/>
    <xf numFmtId="0" fontId="10" fillId="0" borderId="0">
      <alignment vertical="center"/>
    </xf>
    <xf numFmtId="41" fontId="18" fillId="0" borderId="0" applyFont="0" applyFill="0" applyBorder="0" applyAlignment="0" applyProtection="0"/>
  </cellStyleXfs>
  <cellXfs count="455">
    <xf numFmtId="0" fontId="0" fillId="0" borderId="0" xfId="0"/>
    <xf numFmtId="0" fontId="0" fillId="2" borderId="5" xfId="0" applyFill="1" applyBorder="1"/>
    <xf numFmtId="0" fontId="0" fillId="2" borderId="2" xfId="0" applyFill="1" applyBorder="1"/>
    <xf numFmtId="0" fontId="0" fillId="2" borderId="3" xfId="0" applyFill="1" applyBorder="1"/>
    <xf numFmtId="0" fontId="0" fillId="2" borderId="9" xfId="0" applyFill="1" applyBorder="1"/>
    <xf numFmtId="0" fontId="0" fillId="2" borderId="0" xfId="0" applyFill="1" applyBorder="1"/>
    <xf numFmtId="0" fontId="0" fillId="2" borderId="10" xfId="0" applyFill="1" applyBorder="1"/>
    <xf numFmtId="0" fontId="8" fillId="2" borderId="0" xfId="0" applyFont="1" applyFill="1" applyBorder="1"/>
    <xf numFmtId="0" fontId="6" fillId="2" borderId="0" xfId="0" applyFont="1" applyFill="1" applyBorder="1"/>
    <xf numFmtId="0" fontId="0" fillId="2" borderId="14" xfId="0" applyFill="1" applyBorder="1"/>
    <xf numFmtId="0" fontId="0" fillId="2" borderId="12" xfId="0" applyFill="1" applyBorder="1"/>
    <xf numFmtId="0" fontId="0" fillId="2" borderId="13" xfId="0" applyFill="1" applyBorder="1"/>
    <xf numFmtId="164" fontId="9" fillId="0" borderId="0" xfId="0" applyNumberFormat="1" applyFont="1" applyFill="1" applyBorder="1" applyAlignment="1">
      <alignment horizontal="center" vertical="center"/>
    </xf>
    <xf numFmtId="15" fontId="9" fillId="0" borderId="0" xfId="0" applyNumberFormat="1" applyFont="1" applyFill="1" applyBorder="1" applyAlignment="1">
      <alignment horizontal="center" vertical="center"/>
    </xf>
    <xf numFmtId="0" fontId="9" fillId="0" borderId="9" xfId="0" applyFont="1" applyFill="1" applyBorder="1" applyAlignment="1">
      <alignment horizontal="center" vertical="center"/>
    </xf>
    <xf numFmtId="0" fontId="9" fillId="0" borderId="14" xfId="0" applyFont="1" applyFill="1" applyBorder="1" applyAlignment="1">
      <alignment horizontal="center" vertical="center"/>
    </xf>
    <xf numFmtId="164" fontId="9" fillId="0" borderId="12" xfId="0" applyNumberFormat="1" applyFont="1" applyFill="1" applyBorder="1" applyAlignment="1">
      <alignment horizontal="center" vertical="center"/>
    </xf>
    <xf numFmtId="0" fontId="6" fillId="0" borderId="1" xfId="0" applyFont="1" applyFill="1" applyBorder="1" applyAlignment="1">
      <alignment vertical="center"/>
    </xf>
    <xf numFmtId="0" fontId="6" fillId="0" borderId="4" xfId="0" applyFont="1" applyFill="1" applyBorder="1" applyAlignment="1">
      <alignment vertical="center"/>
    </xf>
    <xf numFmtId="0" fontId="6" fillId="0" borderId="4" xfId="0" applyFont="1" applyFill="1" applyBorder="1"/>
    <xf numFmtId="0" fontId="6" fillId="0" borderId="4" xfId="0" applyFont="1" applyFill="1" applyBorder="1" applyAlignment="1"/>
    <xf numFmtId="0" fontId="1" fillId="0" borderId="4" xfId="0" applyFont="1" applyFill="1" applyBorder="1" applyAlignment="1"/>
    <xf numFmtId="0" fontId="0" fillId="0" borderId="4" xfId="0" applyFont="1" applyFill="1" applyBorder="1"/>
    <xf numFmtId="0" fontId="0" fillId="0" borderId="11" xfId="0" applyFont="1" applyFill="1" applyBorder="1"/>
    <xf numFmtId="0" fontId="9" fillId="0" borderId="3" xfId="0" applyFont="1" applyFill="1" applyBorder="1" applyAlignment="1">
      <alignment horizontal="center" vertical="center"/>
    </xf>
    <xf numFmtId="0" fontId="9" fillId="0" borderId="10" xfId="0" applyFont="1" applyFill="1" applyBorder="1" applyAlignment="1">
      <alignment horizontal="center" vertical="center"/>
    </xf>
    <xf numFmtId="0" fontId="9" fillId="0" borderId="10" xfId="0" applyNumberFormat="1" applyFont="1" applyFill="1" applyBorder="1" applyAlignment="1">
      <alignment horizontal="center" vertical="center"/>
    </xf>
    <xf numFmtId="0" fontId="9" fillId="0" borderId="10" xfId="0" applyFont="1" applyFill="1" applyBorder="1" applyAlignment="1"/>
    <xf numFmtId="11" fontId="9" fillId="0" borderId="10" xfId="0" applyNumberFormat="1" applyFont="1" applyFill="1" applyBorder="1" applyAlignment="1">
      <alignment horizontal="center" vertical="center"/>
    </xf>
    <xf numFmtId="0" fontId="9" fillId="0" borderId="10" xfId="0" applyFont="1" applyFill="1" applyBorder="1"/>
    <xf numFmtId="0" fontId="9" fillId="0" borderId="13" xfId="0" applyFont="1" applyFill="1" applyBorder="1"/>
    <xf numFmtId="15" fontId="9" fillId="0" borderId="10" xfId="0" applyNumberFormat="1" applyFont="1" applyFill="1" applyBorder="1" applyAlignment="1">
      <alignment horizontal="center" vertical="center"/>
    </xf>
    <xf numFmtId="15" fontId="9" fillId="0" borderId="12" xfId="0" applyNumberFormat="1" applyFont="1" applyFill="1" applyBorder="1" applyAlignment="1">
      <alignment horizontal="center" vertical="center"/>
    </xf>
    <xf numFmtId="15" fontId="9" fillId="0" borderId="13" xfId="0" applyNumberFormat="1" applyFont="1" applyFill="1" applyBorder="1" applyAlignment="1">
      <alignment horizontal="center" vertical="center"/>
    </xf>
    <xf numFmtId="0" fontId="7" fillId="2" borderId="0" xfId="0" applyFont="1" applyFill="1" applyBorder="1"/>
    <xf numFmtId="164" fontId="9" fillId="0" borderId="10" xfId="0" applyNumberFormat="1" applyFont="1" applyFill="1" applyBorder="1" applyAlignment="1">
      <alignment horizontal="center" vertical="center"/>
    </xf>
    <xf numFmtId="164" fontId="9" fillId="0" borderId="13" xfId="0" applyNumberFormat="1" applyFont="1" applyFill="1" applyBorder="1" applyAlignment="1">
      <alignment horizontal="center" vertical="center"/>
    </xf>
    <xf numFmtId="15" fontId="9" fillId="0" borderId="9" xfId="0" applyNumberFormat="1" applyFont="1" applyFill="1" applyBorder="1" applyAlignment="1">
      <alignment horizontal="center" vertical="center"/>
    </xf>
    <xf numFmtId="15" fontId="9" fillId="0" borderId="14" xfId="0" applyNumberFormat="1" applyFont="1" applyFill="1" applyBorder="1" applyAlignment="1">
      <alignment horizontal="center" vertical="center"/>
    </xf>
    <xf numFmtId="0" fontId="6" fillId="2" borderId="10" xfId="0" applyFont="1" applyFill="1" applyBorder="1"/>
    <xf numFmtId="0" fontId="5" fillId="0" borderId="0" xfId="0" applyFont="1"/>
    <xf numFmtId="0" fontId="6" fillId="2" borderId="12" xfId="0" applyFont="1" applyFill="1" applyBorder="1" applyAlignment="1">
      <alignment horizontal="center" vertical="center"/>
    </xf>
    <xf numFmtId="0" fontId="11" fillId="0" borderId="7" xfId="0" applyFont="1" applyFill="1" applyBorder="1" applyAlignment="1">
      <alignment horizontal="center" vertical="center"/>
    </xf>
    <xf numFmtId="0" fontId="11" fillId="0" borderId="8" xfId="0" applyFont="1" applyFill="1" applyBorder="1" applyAlignment="1">
      <alignment horizontal="center" vertical="center"/>
    </xf>
    <xf numFmtId="0" fontId="12" fillId="0" borderId="0" xfId="0" applyFont="1"/>
    <xf numFmtId="0" fontId="14" fillId="2" borderId="2" xfId="0" applyFont="1" applyFill="1" applyBorder="1"/>
    <xf numFmtId="0" fontId="0" fillId="0" borderId="0" xfId="0" quotePrefix="1"/>
    <xf numFmtId="0" fontId="6" fillId="0" borderId="5" xfId="0" applyFont="1" applyFill="1" applyBorder="1" applyAlignment="1">
      <alignment horizontal="center" vertical="center"/>
    </xf>
    <xf numFmtId="0" fontId="6" fillId="0" borderId="9" xfId="0" applyFont="1" applyFill="1" applyBorder="1" applyAlignment="1">
      <alignment horizontal="center" vertical="center"/>
    </xf>
    <xf numFmtId="0" fontId="6" fillId="0" borderId="14" xfId="0" applyFont="1" applyFill="1" applyBorder="1" applyAlignment="1">
      <alignment horizontal="center" vertical="center"/>
    </xf>
    <xf numFmtId="165" fontId="9" fillId="0" borderId="3" xfId="0" applyNumberFormat="1" applyFont="1" applyFill="1" applyBorder="1" applyAlignment="1">
      <alignment horizontal="center" vertical="center"/>
    </xf>
    <xf numFmtId="165" fontId="9" fillId="0" borderId="10" xfId="0" applyNumberFormat="1" applyFont="1" applyFill="1" applyBorder="1" applyAlignment="1">
      <alignment horizontal="center" vertical="center"/>
    </xf>
    <xf numFmtId="165" fontId="9" fillId="0" borderId="13" xfId="0" applyNumberFormat="1" applyFont="1" applyFill="1" applyBorder="1" applyAlignment="1">
      <alignment horizontal="center" vertical="center"/>
    </xf>
    <xf numFmtId="0" fontId="6" fillId="2" borderId="0" xfId="0" applyFont="1" applyFill="1" applyBorder="1" applyAlignment="1">
      <alignment horizontal="center" vertical="center"/>
    </xf>
    <xf numFmtId="4" fontId="9" fillId="0" borderId="9" xfId="1" quotePrefix="1" applyNumberFormat="1" applyFont="1" applyFill="1" applyBorder="1" applyAlignment="1">
      <alignment horizontal="center" vertical="center"/>
    </xf>
    <xf numFmtId="15" fontId="9" fillId="0" borderId="0" xfId="1" quotePrefix="1" applyNumberFormat="1" applyFont="1" applyFill="1" applyBorder="1" applyAlignment="1">
      <alignment horizontal="center" vertical="center"/>
    </xf>
    <xf numFmtId="166" fontId="9" fillId="0" borderId="0" xfId="2" quotePrefix="1" applyNumberFormat="1" applyFont="1" applyFill="1" applyBorder="1" applyAlignment="1">
      <alignment horizontal="center" vertical="center"/>
    </xf>
    <xf numFmtId="164" fontId="9" fillId="0" borderId="10" xfId="2" quotePrefix="1" applyNumberFormat="1" applyFont="1" applyFill="1" applyBorder="1" applyAlignment="1">
      <alignment horizontal="center" vertical="center"/>
    </xf>
    <xf numFmtId="165" fontId="9" fillId="0" borderId="9" xfId="1" quotePrefix="1" applyNumberFormat="1" applyFont="1" applyFill="1" applyBorder="1" applyAlignment="1">
      <alignment horizontal="center" vertical="center"/>
    </xf>
    <xf numFmtId="165" fontId="9" fillId="0" borderId="9" xfId="1" applyNumberFormat="1" applyFont="1" applyFill="1" applyBorder="1" applyAlignment="1">
      <alignment horizontal="center" vertical="center"/>
    </xf>
    <xf numFmtId="15" fontId="9" fillId="0" borderId="0" xfId="1" applyNumberFormat="1" applyFont="1" applyFill="1" applyBorder="1" applyAlignment="1">
      <alignment horizontal="center" vertical="center"/>
    </xf>
    <xf numFmtId="166" fontId="9" fillId="0" borderId="0" xfId="2" applyNumberFormat="1" applyFont="1" applyFill="1" applyBorder="1" applyAlignment="1">
      <alignment horizontal="center" vertical="center"/>
    </xf>
    <xf numFmtId="164" fontId="9" fillId="0" borderId="10" xfId="2" applyNumberFormat="1" applyFont="1" applyFill="1" applyBorder="1" applyAlignment="1">
      <alignment horizontal="center" vertical="center"/>
    </xf>
    <xf numFmtId="0" fontId="9" fillId="0" borderId="9" xfId="1" applyFont="1" applyFill="1" applyBorder="1" applyAlignment="1">
      <alignment horizontal="center" vertical="center"/>
    </xf>
    <xf numFmtId="166" fontId="9" fillId="0" borderId="0" xfId="1" applyNumberFormat="1" applyFont="1" applyFill="1" applyBorder="1" applyAlignment="1">
      <alignment horizontal="center" vertical="center"/>
    </xf>
    <xf numFmtId="0" fontId="9" fillId="0" borderId="9" xfId="0" applyFont="1" applyFill="1" applyBorder="1" applyAlignment="1">
      <alignment horizontal="center"/>
    </xf>
    <xf numFmtId="15" fontId="9" fillId="0" borderId="0" xfId="0" applyNumberFormat="1" applyFont="1" applyFill="1" applyBorder="1" applyAlignment="1">
      <alignment horizontal="center"/>
    </xf>
    <xf numFmtId="164" fontId="9" fillId="0" borderId="10" xfId="0" applyNumberFormat="1" applyFont="1" applyFill="1" applyBorder="1" applyAlignment="1">
      <alignment horizontal="center"/>
    </xf>
    <xf numFmtId="0" fontId="9" fillId="0" borderId="14" xfId="0" applyFont="1" applyFill="1" applyBorder="1" applyAlignment="1">
      <alignment horizontal="center"/>
    </xf>
    <xf numFmtId="15" fontId="9" fillId="0" borderId="12" xfId="0" applyNumberFormat="1" applyFont="1" applyFill="1" applyBorder="1" applyAlignment="1">
      <alignment horizontal="center"/>
    </xf>
    <xf numFmtId="166" fontId="9" fillId="0" borderId="12" xfId="1" applyNumberFormat="1" applyFont="1" applyFill="1" applyBorder="1" applyAlignment="1">
      <alignment horizontal="center" vertical="center"/>
    </xf>
    <xf numFmtId="164" fontId="9" fillId="0" borderId="13" xfId="0" applyNumberFormat="1" applyFont="1" applyFill="1" applyBorder="1" applyAlignment="1">
      <alignment horizontal="center"/>
    </xf>
    <xf numFmtId="0" fontId="0" fillId="2" borderId="12" xfId="0" applyFont="1" applyFill="1" applyBorder="1" applyAlignment="1">
      <alignment horizontal="center" vertical="center"/>
    </xf>
    <xf numFmtId="165" fontId="9" fillId="0" borderId="2" xfId="0" applyNumberFormat="1" applyFont="1" applyFill="1" applyBorder="1" applyAlignment="1">
      <alignment horizontal="center" vertical="center"/>
    </xf>
    <xf numFmtId="165" fontId="9" fillId="0" borderId="0" xfId="0" applyNumberFormat="1" applyFont="1" applyFill="1" applyBorder="1" applyAlignment="1">
      <alignment horizontal="center" vertical="center"/>
    </xf>
    <xf numFmtId="165" fontId="9" fillId="0" borderId="12" xfId="0" applyNumberFormat="1" applyFont="1" applyFill="1" applyBorder="1" applyAlignment="1">
      <alignment horizontal="center" vertical="center"/>
    </xf>
    <xf numFmtId="0" fontId="9" fillId="0" borderId="5" xfId="0" applyFont="1" applyFill="1" applyBorder="1" applyAlignment="1">
      <alignment horizontal="center" vertical="center"/>
    </xf>
    <xf numFmtId="0" fontId="5" fillId="2" borderId="0" xfId="0" applyFont="1" applyFill="1" applyBorder="1"/>
    <xf numFmtId="0" fontId="0" fillId="2" borderId="0" xfId="0" applyFont="1" applyFill="1" applyBorder="1" applyAlignment="1">
      <alignment horizontal="center" vertical="center"/>
    </xf>
    <xf numFmtId="0" fontId="0" fillId="2" borderId="20" xfId="0" applyFill="1" applyBorder="1"/>
    <xf numFmtId="0" fontId="0" fillId="2" borderId="21" xfId="0" applyFill="1" applyBorder="1"/>
    <xf numFmtId="0" fontId="0" fillId="2" borderId="22" xfId="0" applyFill="1" applyBorder="1"/>
    <xf numFmtId="0" fontId="0" fillId="2" borderId="23" xfId="0" applyFill="1" applyBorder="1"/>
    <xf numFmtId="0" fontId="0" fillId="2" borderId="24" xfId="0" applyFill="1" applyBorder="1"/>
    <xf numFmtId="0" fontId="0" fillId="0" borderId="25" xfId="0" applyFill="1" applyBorder="1"/>
    <xf numFmtId="0" fontId="9" fillId="0" borderId="25" xfId="0" applyFont="1" applyFill="1" applyBorder="1" applyAlignment="1">
      <alignment horizontal="center" vertical="center"/>
    </xf>
    <xf numFmtId="0" fontId="0" fillId="0" borderId="26" xfId="0" applyFill="1" applyBorder="1"/>
    <xf numFmtId="0" fontId="9" fillId="0" borderId="26" xfId="0" applyFont="1" applyFill="1" applyBorder="1" applyAlignment="1">
      <alignment horizontal="center" vertical="center"/>
    </xf>
    <xf numFmtId="0" fontId="20" fillId="0" borderId="0" xfId="0" applyFont="1"/>
    <xf numFmtId="0" fontId="0" fillId="0" borderId="27" xfId="0" applyFill="1" applyBorder="1"/>
    <xf numFmtId="0" fontId="11" fillId="2" borderId="27" xfId="0" applyFont="1" applyFill="1" applyBorder="1" applyAlignment="1">
      <alignment horizontal="center" vertical="center"/>
    </xf>
    <xf numFmtId="165" fontId="0" fillId="2" borderId="0" xfId="0" applyNumberFormat="1" applyFill="1" applyBorder="1"/>
    <xf numFmtId="0" fontId="0" fillId="2" borderId="0" xfId="0" applyFill="1" applyBorder="1" applyAlignment="1">
      <alignment horizontal="center" vertical="center"/>
    </xf>
    <xf numFmtId="15" fontId="9" fillId="0" borderId="20" xfId="0" applyNumberFormat="1" applyFont="1" applyFill="1" applyBorder="1" applyAlignment="1">
      <alignment horizontal="center" vertical="center"/>
    </xf>
    <xf numFmtId="165" fontId="9" fillId="0" borderId="22" xfId="0" applyNumberFormat="1" applyFont="1" applyFill="1" applyBorder="1" applyAlignment="1">
      <alignment horizontal="center" vertical="center"/>
    </xf>
    <xf numFmtId="165" fontId="9" fillId="0" borderId="24" xfId="0" applyNumberFormat="1" applyFont="1" applyFill="1" applyBorder="1" applyAlignment="1">
      <alignment horizontal="center" vertical="center"/>
    </xf>
    <xf numFmtId="165" fontId="9" fillId="0" borderId="28" xfId="0" applyNumberFormat="1" applyFont="1" applyFill="1" applyBorder="1" applyAlignment="1">
      <alignment horizontal="center" vertical="center"/>
    </xf>
    <xf numFmtId="15" fontId="9" fillId="0" borderId="23" xfId="0" applyNumberFormat="1" applyFont="1" applyFill="1" applyBorder="1" applyAlignment="1">
      <alignment horizontal="center" vertical="center"/>
    </xf>
    <xf numFmtId="15" fontId="9" fillId="0" borderId="29" xfId="0" applyNumberFormat="1" applyFont="1" applyFill="1" applyBorder="1" applyAlignment="1">
      <alignment horizontal="center" vertical="center"/>
    </xf>
    <xf numFmtId="0" fontId="0" fillId="2" borderId="29" xfId="0" applyFill="1" applyBorder="1"/>
    <xf numFmtId="0" fontId="0" fillId="2" borderId="30" xfId="0" applyFill="1" applyBorder="1"/>
    <xf numFmtId="0" fontId="0" fillId="2" borderId="28" xfId="0" applyFill="1" applyBorder="1"/>
    <xf numFmtId="0" fontId="1" fillId="0" borderId="0" xfId="0" applyFont="1" applyAlignment="1">
      <alignment horizontal="center" vertical="center"/>
    </xf>
    <xf numFmtId="0" fontId="23" fillId="0" borderId="0" xfId="0" applyFont="1"/>
    <xf numFmtId="0" fontId="24" fillId="0" borderId="0" xfId="0" applyFont="1" applyAlignment="1">
      <alignment horizontal="center" vertical="center"/>
    </xf>
    <xf numFmtId="0" fontId="0" fillId="0" borderId="4" xfId="0" applyFill="1" applyBorder="1" applyAlignment="1">
      <alignment horizontal="center" vertical="center"/>
    </xf>
    <xf numFmtId="0" fontId="0" fillId="0" borderId="11" xfId="0" applyFill="1" applyBorder="1" applyAlignment="1">
      <alignment horizontal="center" vertical="center"/>
    </xf>
    <xf numFmtId="0" fontId="9" fillId="2" borderId="0" xfId="0" applyFont="1" applyFill="1" applyBorder="1"/>
    <xf numFmtId="170" fontId="0" fillId="2" borderId="0" xfId="0" applyNumberFormat="1" applyFill="1" applyBorder="1"/>
    <xf numFmtId="15" fontId="6" fillId="2" borderId="0" xfId="0" applyNumberFormat="1" applyFont="1" applyFill="1" applyBorder="1" applyAlignment="1">
      <alignment horizontal="center" vertical="center"/>
    </xf>
    <xf numFmtId="15" fontId="6" fillId="2" borderId="0" xfId="0" applyNumberFormat="1" applyFont="1" applyFill="1" applyBorder="1"/>
    <xf numFmtId="0" fontId="25" fillId="2" borderId="0" xfId="0" applyFont="1" applyFill="1" applyBorder="1"/>
    <xf numFmtId="15" fontId="0" fillId="0" borderId="0" xfId="0" applyNumberFormat="1"/>
    <xf numFmtId="0" fontId="25" fillId="2" borderId="2" xfId="0" applyFont="1" applyFill="1" applyBorder="1"/>
    <xf numFmtId="164" fontId="0" fillId="0" borderId="0" xfId="0" quotePrefix="1" applyNumberFormat="1" applyAlignment="1">
      <alignment horizontal="center" vertical="center"/>
    </xf>
    <xf numFmtId="171" fontId="0" fillId="0" borderId="0" xfId="0" applyNumberFormat="1" applyAlignment="1">
      <alignment horizontal="center"/>
    </xf>
    <xf numFmtId="0" fontId="27" fillId="2" borderId="0" xfId="0" applyFont="1" applyFill="1" applyBorder="1"/>
    <xf numFmtId="171" fontId="6" fillId="2" borderId="0" xfId="0" applyNumberFormat="1" applyFont="1" applyFill="1" applyBorder="1" applyAlignment="1">
      <alignment horizontal="center" vertical="center"/>
    </xf>
    <xf numFmtId="171" fontId="6" fillId="2" borderId="0" xfId="0" applyNumberFormat="1" applyFont="1" applyFill="1" applyBorder="1"/>
    <xf numFmtId="0" fontId="0" fillId="3" borderId="1" xfId="0" applyFill="1" applyBorder="1"/>
    <xf numFmtId="0" fontId="0" fillId="3" borderId="4" xfId="0" applyFill="1" applyBorder="1"/>
    <xf numFmtId="0" fontId="0" fillId="3" borderId="11" xfId="0" applyFill="1" applyBorder="1"/>
    <xf numFmtId="0" fontId="6" fillId="0" borderId="4" xfId="0" applyFont="1" applyFill="1" applyBorder="1" applyAlignment="1">
      <alignment horizontal="center"/>
    </xf>
    <xf numFmtId="0" fontId="0" fillId="0" borderId="0" xfId="0" applyBorder="1"/>
    <xf numFmtId="0" fontId="5" fillId="0" borderId="0" xfId="0" applyFont="1" applyBorder="1"/>
    <xf numFmtId="0" fontId="0" fillId="0" borderId="0" xfId="0"/>
    <xf numFmtId="0" fontId="0" fillId="2" borderId="5" xfId="0" applyFill="1" applyBorder="1"/>
    <xf numFmtId="0" fontId="0" fillId="2" borderId="2" xfId="0" applyFill="1" applyBorder="1"/>
    <xf numFmtId="0" fontId="0" fillId="2" borderId="3" xfId="0" applyFill="1" applyBorder="1"/>
    <xf numFmtId="0" fontId="0" fillId="2" borderId="9" xfId="0" applyFill="1" applyBorder="1"/>
    <xf numFmtId="0" fontId="0" fillId="2" borderId="0" xfId="0" applyFill="1" applyBorder="1"/>
    <xf numFmtId="0" fontId="0" fillId="2" borderId="10" xfId="0" applyFill="1" applyBorder="1"/>
    <xf numFmtId="0" fontId="6" fillId="2" borderId="0" xfId="0" applyFont="1" applyFill="1" applyBorder="1"/>
    <xf numFmtId="0" fontId="0" fillId="2" borderId="14" xfId="0" applyFill="1" applyBorder="1"/>
    <xf numFmtId="0" fontId="0" fillId="2" borderId="12" xfId="0" applyFill="1" applyBorder="1"/>
    <xf numFmtId="0" fontId="0" fillId="2" borderId="13" xfId="0" applyFill="1" applyBorder="1"/>
    <xf numFmtId="15" fontId="9" fillId="0" borderId="0" xfId="0" applyNumberFormat="1" applyFont="1" applyFill="1" applyBorder="1" applyAlignment="1">
      <alignment horizontal="center" vertical="center"/>
    </xf>
    <xf numFmtId="0" fontId="9" fillId="0" borderId="3" xfId="0" applyFont="1" applyFill="1" applyBorder="1" applyAlignment="1">
      <alignment horizontal="center" vertical="center"/>
    </xf>
    <xf numFmtId="0" fontId="9" fillId="0" borderId="10" xfId="0" applyFont="1" applyFill="1" applyBorder="1" applyAlignment="1">
      <alignment horizontal="center" vertical="center"/>
    </xf>
    <xf numFmtId="0" fontId="9" fillId="0" borderId="10" xfId="0" applyNumberFormat="1" applyFont="1" applyFill="1" applyBorder="1" applyAlignment="1">
      <alignment horizontal="center" vertical="center"/>
    </xf>
    <xf numFmtId="11" fontId="9" fillId="0" borderId="10" xfId="0" applyNumberFormat="1" applyFont="1" applyFill="1" applyBorder="1" applyAlignment="1">
      <alignment horizontal="center" vertical="center"/>
    </xf>
    <xf numFmtId="0" fontId="5" fillId="2" borderId="2" xfId="0" applyFont="1" applyFill="1" applyBorder="1" applyAlignment="1">
      <alignment horizontal="center" vertical="center"/>
    </xf>
    <xf numFmtId="0" fontId="5" fillId="2" borderId="12" xfId="0" applyFont="1" applyFill="1" applyBorder="1" applyAlignment="1">
      <alignment horizontal="center" vertical="center"/>
    </xf>
    <xf numFmtId="0" fontId="7" fillId="2" borderId="0" xfId="0" applyFont="1" applyFill="1" applyBorder="1"/>
    <xf numFmtId="0" fontId="2" fillId="2" borderId="0" xfId="0" applyFont="1" applyFill="1" applyBorder="1"/>
    <xf numFmtId="0" fontId="6" fillId="2" borderId="10" xfId="0" applyFont="1" applyFill="1" applyBorder="1"/>
    <xf numFmtId="0" fontId="5" fillId="0" borderId="0" xfId="0" applyFont="1"/>
    <xf numFmtId="0" fontId="3" fillId="2" borderId="12" xfId="0" applyFont="1" applyFill="1" applyBorder="1" applyAlignment="1">
      <alignment horizontal="center" vertical="center"/>
    </xf>
    <xf numFmtId="0" fontId="5" fillId="2" borderId="0" xfId="0" applyFont="1" applyFill="1" applyBorder="1" applyAlignment="1">
      <alignment horizontal="center" vertical="center"/>
    </xf>
    <xf numFmtId="0" fontId="11" fillId="0" borderId="6" xfId="0" applyFont="1" applyFill="1" applyBorder="1" applyAlignment="1">
      <alignment horizontal="left" vertical="center"/>
    </xf>
    <xf numFmtId="0" fontId="11" fillId="0" borderId="8" xfId="0" applyFont="1" applyFill="1" applyBorder="1" applyAlignment="1">
      <alignment horizontal="center" vertical="center"/>
    </xf>
    <xf numFmtId="0" fontId="12" fillId="0" borderId="0" xfId="0" applyFont="1"/>
    <xf numFmtId="0" fontId="11" fillId="2" borderId="10" xfId="0" applyFont="1" applyFill="1" applyBorder="1" applyAlignment="1">
      <alignment horizontal="center" vertical="center"/>
    </xf>
    <xf numFmtId="0" fontId="9" fillId="0" borderId="10" xfId="0" applyFont="1" applyFill="1" applyBorder="1" applyAlignment="1">
      <alignment horizontal="center"/>
    </xf>
    <xf numFmtId="0" fontId="9" fillId="0" borderId="13" xfId="0" applyFont="1" applyFill="1" applyBorder="1" applyAlignment="1">
      <alignment horizontal="center"/>
    </xf>
    <xf numFmtId="0" fontId="6" fillId="0" borderId="5" xfId="0" applyFont="1" applyFill="1" applyBorder="1" applyAlignment="1">
      <alignment horizontal="center" vertical="center"/>
    </xf>
    <xf numFmtId="0" fontId="6" fillId="0" borderId="9" xfId="0" applyFont="1" applyFill="1" applyBorder="1" applyAlignment="1">
      <alignment horizontal="center" vertical="center"/>
    </xf>
    <xf numFmtId="0" fontId="6" fillId="0" borderId="14" xfId="0" applyFont="1" applyFill="1" applyBorder="1" applyAlignment="1">
      <alignment horizontal="center" vertical="center"/>
    </xf>
    <xf numFmtId="10" fontId="9" fillId="0" borderId="10" xfId="0" applyNumberFormat="1" applyFont="1" applyFill="1" applyBorder="1" applyAlignment="1">
      <alignment horizontal="center" vertical="center"/>
    </xf>
    <xf numFmtId="0" fontId="6" fillId="2" borderId="0" xfId="0" applyFont="1" applyFill="1" applyBorder="1" applyAlignment="1">
      <alignment horizontal="center" vertical="center"/>
    </xf>
    <xf numFmtId="165" fontId="9" fillId="0" borderId="2" xfId="0" applyNumberFormat="1" applyFont="1" applyFill="1" applyBorder="1" applyAlignment="1">
      <alignment horizontal="center" vertical="center"/>
    </xf>
    <xf numFmtId="165" fontId="9" fillId="0" borderId="0" xfId="0" applyNumberFormat="1" applyFont="1" applyFill="1" applyBorder="1" applyAlignment="1">
      <alignment horizontal="center" vertical="center"/>
    </xf>
    <xf numFmtId="165" fontId="9" fillId="0" borderId="12" xfId="0" applyNumberFormat="1" applyFont="1" applyFill="1" applyBorder="1" applyAlignment="1">
      <alignment horizontal="center" vertical="center"/>
    </xf>
    <xf numFmtId="0" fontId="11" fillId="0" borderId="10" xfId="0" applyFont="1" applyFill="1" applyBorder="1" applyAlignment="1">
      <alignment horizontal="center" vertical="center"/>
    </xf>
    <xf numFmtId="3" fontId="9" fillId="0" borderId="10" xfId="0" applyNumberFormat="1" applyFont="1" applyFill="1" applyBorder="1" applyAlignment="1">
      <alignment horizontal="center" vertical="center"/>
    </xf>
    <xf numFmtId="15" fontId="9" fillId="0" borderId="1" xfId="0" applyNumberFormat="1" applyFont="1" applyFill="1" applyBorder="1" applyAlignment="1">
      <alignment horizontal="center" vertical="center"/>
    </xf>
    <xf numFmtId="0" fontId="9" fillId="0" borderId="4" xfId="0" applyFont="1" applyFill="1" applyBorder="1" applyAlignment="1">
      <alignment horizontal="center" vertical="center"/>
    </xf>
    <xf numFmtId="0" fontId="9" fillId="0" borderId="11" xfId="0" applyFont="1" applyFill="1" applyBorder="1" applyAlignment="1">
      <alignment horizontal="center" vertical="center"/>
    </xf>
    <xf numFmtId="0" fontId="11" fillId="2" borderId="4" xfId="0" applyFont="1" applyFill="1" applyBorder="1" applyAlignment="1">
      <alignment horizontal="center" vertical="center"/>
    </xf>
    <xf numFmtId="0" fontId="9" fillId="0" borderId="18" xfId="0" applyFont="1" applyFill="1" applyBorder="1" applyAlignment="1">
      <alignment horizontal="center" vertical="center"/>
    </xf>
    <xf numFmtId="0" fontId="5" fillId="0" borderId="19" xfId="0" applyFont="1" applyFill="1" applyBorder="1" applyAlignment="1">
      <alignment horizontal="center" vertical="center"/>
    </xf>
    <xf numFmtId="0" fontId="0" fillId="2" borderId="0" xfId="0" applyFont="1" applyFill="1" applyBorder="1" applyAlignment="1">
      <alignment horizontal="center" vertical="center"/>
    </xf>
    <xf numFmtId="0" fontId="0" fillId="2" borderId="0" xfId="0" applyFill="1" applyBorder="1" applyAlignment="1">
      <alignment horizontal="center" vertical="center"/>
    </xf>
    <xf numFmtId="0" fontId="22" fillId="0" borderId="4" xfId="0" applyFont="1" applyBorder="1" applyAlignment="1">
      <alignment horizontal="center" vertical="center" textRotation="90" wrapText="1"/>
    </xf>
    <xf numFmtId="0" fontId="22" fillId="0" borderId="11" xfId="0" applyFont="1" applyBorder="1" applyAlignment="1">
      <alignment horizontal="center" vertical="center" textRotation="90" wrapText="1"/>
    </xf>
    <xf numFmtId="0" fontId="5" fillId="0" borderId="15" xfId="0" applyFont="1" applyFill="1" applyBorder="1" applyAlignment="1">
      <alignment horizontal="left" vertical="center" wrapText="1"/>
    </xf>
    <xf numFmtId="0" fontId="7" fillId="0" borderId="15" xfId="0" applyFont="1" applyFill="1" applyBorder="1" applyAlignment="1">
      <alignment horizontal="left" vertical="center" wrapText="1"/>
    </xf>
    <xf numFmtId="0" fontId="7" fillId="0" borderId="1" xfId="0" applyFont="1" applyFill="1" applyBorder="1" applyAlignment="1">
      <alignment horizontal="left" vertical="center" wrapText="1"/>
    </xf>
    <xf numFmtId="0" fontId="7" fillId="0" borderId="4" xfId="0" applyFont="1" applyFill="1" applyBorder="1" applyAlignment="1">
      <alignment horizontal="left" vertical="center" wrapText="1"/>
    </xf>
    <xf numFmtId="0" fontId="7" fillId="0" borderId="11" xfId="0" applyFont="1" applyFill="1" applyBorder="1" applyAlignment="1">
      <alignment horizontal="left" vertical="center" wrapText="1"/>
    </xf>
    <xf numFmtId="0" fontId="5" fillId="0" borderId="1" xfId="0" applyFont="1" applyFill="1" applyBorder="1" applyAlignment="1">
      <alignment horizontal="left" vertical="center" wrapText="1"/>
    </xf>
    <xf numFmtId="0" fontId="5" fillId="0" borderId="11" xfId="0" applyFont="1" applyFill="1" applyBorder="1" applyAlignment="1">
      <alignment horizontal="left" vertical="center" wrapText="1"/>
    </xf>
    <xf numFmtId="0" fontId="11" fillId="0" borderId="7" xfId="0" applyFont="1" applyFill="1" applyBorder="1" applyAlignment="1">
      <alignment horizontal="left" vertical="center"/>
    </xf>
    <xf numFmtId="0" fontId="3" fillId="2" borderId="0" xfId="0" applyFont="1" applyFill="1" applyBorder="1" applyAlignment="1">
      <alignment horizontal="center" vertical="center"/>
    </xf>
    <xf numFmtId="0" fontId="11" fillId="2" borderId="0" xfId="0" applyFont="1" applyFill="1" applyBorder="1" applyAlignment="1">
      <alignment horizontal="center" vertical="center"/>
    </xf>
    <xf numFmtId="0" fontId="5" fillId="0" borderId="4" xfId="0" applyFont="1" applyFill="1" applyBorder="1" applyAlignment="1">
      <alignment horizontal="left" vertical="center" wrapText="1"/>
    </xf>
    <xf numFmtId="0" fontId="6" fillId="0" borderId="1" xfId="0" applyFont="1" applyFill="1" applyBorder="1" applyAlignment="1">
      <alignment horizontal="center" vertical="center"/>
    </xf>
    <xf numFmtId="0" fontId="6" fillId="0" borderId="11" xfId="0" applyFont="1" applyFill="1" applyBorder="1" applyAlignment="1">
      <alignment horizontal="center"/>
    </xf>
    <xf numFmtId="165" fontId="9" fillId="4" borderId="2" xfId="0" applyNumberFormat="1" applyFont="1" applyFill="1" applyBorder="1" applyAlignment="1">
      <alignment horizontal="center" vertical="center"/>
    </xf>
    <xf numFmtId="15" fontId="9" fillId="4" borderId="2" xfId="0" applyNumberFormat="1" applyFont="1" applyFill="1" applyBorder="1" applyAlignment="1">
      <alignment horizontal="center" vertical="center"/>
    </xf>
    <xf numFmtId="15" fontId="9" fillId="4" borderId="3" xfId="0" applyNumberFormat="1" applyFont="1" applyFill="1" applyBorder="1" applyAlignment="1">
      <alignment horizontal="center" vertical="center"/>
    </xf>
    <xf numFmtId="165" fontId="9" fillId="4" borderId="0" xfId="0" applyNumberFormat="1" applyFont="1" applyFill="1" applyBorder="1" applyAlignment="1">
      <alignment horizontal="center" vertical="center"/>
    </xf>
    <xf numFmtId="15" fontId="9" fillId="4" borderId="0" xfId="0" applyNumberFormat="1" applyFont="1" applyFill="1" applyBorder="1" applyAlignment="1">
      <alignment horizontal="center" vertical="center"/>
    </xf>
    <xf numFmtId="15" fontId="9" fillId="4" borderId="10" xfId="0" applyNumberFormat="1" applyFont="1" applyFill="1" applyBorder="1" applyAlignment="1">
      <alignment horizontal="center" vertical="center"/>
    </xf>
    <xf numFmtId="165" fontId="9" fillId="4" borderId="12" xfId="0" applyNumberFormat="1" applyFont="1" applyFill="1" applyBorder="1" applyAlignment="1">
      <alignment horizontal="center" vertical="center"/>
    </xf>
    <xf numFmtId="15" fontId="9" fillId="4" borderId="12" xfId="0" applyNumberFormat="1" applyFont="1" applyFill="1" applyBorder="1" applyAlignment="1">
      <alignment horizontal="center" vertical="center"/>
    </xf>
    <xf numFmtId="15" fontId="9" fillId="4" borderId="13" xfId="0" applyNumberFormat="1" applyFont="1" applyFill="1" applyBorder="1" applyAlignment="1">
      <alignment horizontal="center" vertical="center"/>
    </xf>
    <xf numFmtId="0" fontId="0" fillId="0" borderId="0" xfId="0" applyAlignment="1">
      <alignment horizontal="left" vertical="center"/>
    </xf>
    <xf numFmtId="0" fontId="0" fillId="2" borderId="2" xfId="0" applyFill="1" applyBorder="1" applyAlignment="1">
      <alignment horizontal="left" vertical="center"/>
    </xf>
    <xf numFmtId="0" fontId="0" fillId="2" borderId="0" xfId="0" applyFill="1" applyBorder="1" applyAlignment="1">
      <alignment horizontal="left" vertical="center"/>
    </xf>
    <xf numFmtId="0" fontId="0" fillId="2" borderId="12" xfId="0" applyFill="1" applyBorder="1" applyAlignment="1">
      <alignment horizontal="left" vertical="center"/>
    </xf>
    <xf numFmtId="0" fontId="6" fillId="2" borderId="0" xfId="0" applyFont="1" applyFill="1" applyBorder="1" applyAlignment="1">
      <alignment horizontal="left" vertical="center"/>
    </xf>
    <xf numFmtId="0" fontId="8" fillId="2" borderId="0" xfId="0" applyFont="1" applyFill="1" applyBorder="1" applyAlignment="1">
      <alignment horizontal="left" vertical="center"/>
    </xf>
    <xf numFmtId="0" fontId="26" fillId="2" borderId="0" xfId="0" applyFont="1" applyFill="1" applyBorder="1" applyAlignment="1">
      <alignment horizontal="left" vertical="center"/>
    </xf>
    <xf numFmtId="0" fontId="28" fillId="5" borderId="16" xfId="0" applyFont="1" applyFill="1" applyBorder="1" applyAlignment="1">
      <alignment horizontal="center" vertical="center"/>
    </xf>
    <xf numFmtId="0" fontId="28" fillId="5" borderId="10" xfId="0" applyFont="1" applyFill="1" applyBorder="1" applyAlignment="1">
      <alignment horizontal="center" vertical="center"/>
    </xf>
    <xf numFmtId="0" fontId="0" fillId="0" borderId="0" xfId="0" applyAlignment="1">
      <alignment horizontal="center" vertical="center"/>
    </xf>
    <xf numFmtId="0" fontId="0" fillId="0" borderId="0" xfId="0" applyAlignment="1">
      <alignment vertical="center"/>
    </xf>
    <xf numFmtId="0" fontId="0" fillId="2" borderId="12" xfId="0" applyFill="1" applyBorder="1" applyAlignment="1">
      <alignment vertical="center"/>
    </xf>
    <xf numFmtId="0" fontId="0" fillId="2" borderId="2" xfId="0" applyFill="1" applyBorder="1" applyAlignment="1">
      <alignment vertical="center"/>
    </xf>
    <xf numFmtId="0" fontId="6" fillId="2" borderId="0" xfId="0" applyFont="1" applyFill="1" applyBorder="1" applyAlignment="1">
      <alignment vertical="center"/>
    </xf>
    <xf numFmtId="0" fontId="9" fillId="0" borderId="10" xfId="0" applyFont="1" applyFill="1" applyBorder="1" applyAlignment="1">
      <alignment vertical="center"/>
    </xf>
    <xf numFmtId="0" fontId="9" fillId="0" borderId="13" xfId="0" applyFont="1" applyFill="1" applyBorder="1" applyAlignment="1">
      <alignment vertical="center"/>
    </xf>
    <xf numFmtId="0" fontId="4" fillId="2" borderId="2" xfId="0" applyFont="1" applyFill="1" applyBorder="1" applyAlignment="1">
      <alignment horizontal="left" vertical="center"/>
    </xf>
    <xf numFmtId="0" fontId="13" fillId="0" borderId="15" xfId="0" applyFont="1" applyFill="1" applyBorder="1" applyAlignment="1">
      <alignment horizontal="left" vertical="center"/>
    </xf>
    <xf numFmtId="0" fontId="0" fillId="2" borderId="0" xfId="0" applyFont="1" applyFill="1" applyBorder="1" applyAlignment="1">
      <alignment horizontal="left" vertical="center"/>
    </xf>
    <xf numFmtId="0" fontId="4" fillId="2" borderId="0" xfId="0" applyFont="1" applyFill="1" applyBorder="1" applyAlignment="1">
      <alignment horizontal="left" vertical="center"/>
    </xf>
    <xf numFmtId="0" fontId="7" fillId="2" borderId="12" xfId="0" applyFont="1" applyFill="1" applyBorder="1" applyAlignment="1">
      <alignment horizontal="left" vertical="center"/>
    </xf>
    <xf numFmtId="0" fontId="6" fillId="0" borderId="1" xfId="0" applyFont="1" applyFill="1" applyBorder="1" applyAlignment="1">
      <alignment horizontal="left" vertical="center"/>
    </xf>
    <xf numFmtId="0" fontId="6" fillId="0" borderId="4" xfId="0" applyFont="1" applyFill="1" applyBorder="1" applyAlignment="1">
      <alignment horizontal="left" vertical="center"/>
    </xf>
    <xf numFmtId="0" fontId="9" fillId="0" borderId="4" xfId="0" applyFont="1" applyFill="1" applyBorder="1" applyAlignment="1">
      <alignment horizontal="left" vertical="center"/>
    </xf>
    <xf numFmtId="0" fontId="6" fillId="0" borderId="11" xfId="0" applyFont="1" applyFill="1" applyBorder="1" applyAlignment="1">
      <alignment horizontal="left" vertical="center"/>
    </xf>
    <xf numFmtId="0" fontId="9" fillId="0" borderId="11" xfId="0" applyFont="1" applyFill="1" applyBorder="1" applyAlignment="1">
      <alignment horizontal="left" vertical="center"/>
    </xf>
    <xf numFmtId="0" fontId="7" fillId="2" borderId="0" xfId="0" applyFont="1" applyFill="1" applyBorder="1" applyAlignment="1">
      <alignment horizontal="left" vertical="center"/>
    </xf>
    <xf numFmtId="0" fontId="0" fillId="0" borderId="4" xfId="0" applyFont="1" applyFill="1" applyBorder="1" applyAlignment="1">
      <alignment horizontal="left" vertical="center"/>
    </xf>
    <xf numFmtId="0" fontId="0" fillId="0" borderId="11" xfId="0" applyFont="1" applyFill="1" applyBorder="1" applyAlignment="1">
      <alignment horizontal="left" vertical="center"/>
    </xf>
    <xf numFmtId="0" fontId="1" fillId="0" borderId="4" xfId="0" applyFont="1" applyFill="1" applyBorder="1" applyAlignment="1">
      <alignment horizontal="left" vertical="center"/>
    </xf>
    <xf numFmtId="0" fontId="30" fillId="0" borderId="0" xfId="0" applyFont="1"/>
    <xf numFmtId="0" fontId="31" fillId="0" borderId="0" xfId="0" applyFont="1"/>
    <xf numFmtId="0" fontId="9" fillId="6" borderId="9" xfId="0" applyFont="1" applyFill="1" applyBorder="1" applyAlignment="1">
      <alignment horizontal="center" vertical="center"/>
    </xf>
    <xf numFmtId="164" fontId="9" fillId="6" borderId="0" xfId="0" applyNumberFormat="1" applyFont="1" applyFill="1" applyBorder="1" applyAlignment="1">
      <alignment horizontal="center" vertical="center"/>
    </xf>
    <xf numFmtId="15" fontId="9" fillId="6" borderId="0" xfId="0" applyNumberFormat="1" applyFont="1" applyFill="1" applyBorder="1" applyAlignment="1">
      <alignment horizontal="center" vertical="center"/>
    </xf>
    <xf numFmtId="15" fontId="9" fillId="6" borderId="10" xfId="0" applyNumberFormat="1" applyFont="1" applyFill="1" applyBorder="1" applyAlignment="1">
      <alignment horizontal="center" vertical="center"/>
    </xf>
    <xf numFmtId="0" fontId="9" fillId="0" borderId="1" xfId="0" applyFont="1" applyFill="1" applyBorder="1" applyAlignment="1">
      <alignment horizontal="left" vertical="center"/>
    </xf>
    <xf numFmtId="0" fontId="8" fillId="2" borderId="0" xfId="0" applyFont="1" applyFill="1" applyBorder="1" applyAlignment="1">
      <alignment vertical="center"/>
    </xf>
    <xf numFmtId="0" fontId="9" fillId="0" borderId="13" xfId="0" applyFont="1" applyFill="1" applyBorder="1" applyAlignment="1">
      <alignment horizontal="center" vertical="center"/>
    </xf>
    <xf numFmtId="0" fontId="6" fillId="0" borderId="16" xfId="0" applyFont="1" applyFill="1" applyBorder="1" applyAlignment="1">
      <alignment horizontal="left" vertical="center"/>
    </xf>
    <xf numFmtId="0" fontId="6" fillId="0" borderId="17" xfId="0" applyFont="1" applyFill="1" applyBorder="1" applyAlignment="1">
      <alignment horizontal="left" vertical="center"/>
    </xf>
    <xf numFmtId="0" fontId="7" fillId="0" borderId="4" xfId="0" applyFont="1" applyFill="1" applyBorder="1" applyAlignment="1">
      <alignment horizontal="left" vertical="center"/>
    </xf>
    <xf numFmtId="0" fontId="0" fillId="2" borderId="12" xfId="0" applyFill="1" applyBorder="1" applyAlignment="1">
      <alignment horizontal="center" vertical="center"/>
    </xf>
    <xf numFmtId="0" fontId="0" fillId="2" borderId="2" xfId="0" applyFill="1" applyBorder="1" applyAlignment="1">
      <alignment horizontal="center" vertical="center"/>
    </xf>
    <xf numFmtId="0" fontId="8" fillId="2" borderId="0" xfId="0" applyFont="1" applyFill="1" applyBorder="1" applyAlignment="1">
      <alignment horizontal="center" vertical="center"/>
    </xf>
    <xf numFmtId="0" fontId="24" fillId="0" borderId="0" xfId="0" applyFont="1"/>
    <xf numFmtId="0" fontId="6" fillId="2" borderId="32" xfId="0" applyFont="1" applyFill="1" applyBorder="1" applyAlignment="1">
      <alignment horizontal="center" vertical="center"/>
    </xf>
    <xf numFmtId="0" fontId="6" fillId="2" borderId="32" xfId="0" applyFont="1" applyFill="1" applyBorder="1" applyAlignment="1">
      <alignment horizontal="center"/>
    </xf>
    <xf numFmtId="0" fontId="0" fillId="2" borderId="32" xfId="0" applyNumberFormat="1" applyFill="1" applyBorder="1" applyAlignment="1">
      <alignment horizontal="left" vertical="center" wrapText="1"/>
    </xf>
    <xf numFmtId="0" fontId="0" fillId="2" borderId="33" xfId="0" applyNumberFormat="1" applyFill="1" applyBorder="1" applyAlignment="1">
      <alignment horizontal="left" vertical="center" wrapText="1"/>
    </xf>
    <xf numFmtId="0" fontId="0" fillId="2" borderId="1" xfId="0" applyNumberFormat="1" applyFill="1" applyBorder="1" applyAlignment="1">
      <alignment horizontal="left" vertical="center" wrapText="1"/>
    </xf>
    <xf numFmtId="171" fontId="9" fillId="0" borderId="1" xfId="0" applyNumberFormat="1" applyFont="1" applyBorder="1" applyAlignment="1">
      <alignment horizontal="center" vertical="center"/>
    </xf>
    <xf numFmtId="0" fontId="0" fillId="2" borderId="4" xfId="0" applyNumberFormat="1" applyFill="1" applyBorder="1" applyAlignment="1">
      <alignment horizontal="left" vertical="center" wrapText="1"/>
    </xf>
    <xf numFmtId="0" fontId="0" fillId="2" borderId="11" xfId="0" applyNumberFormat="1" applyFill="1" applyBorder="1" applyAlignment="1">
      <alignment horizontal="left" vertical="center" wrapText="1"/>
    </xf>
    <xf numFmtId="168" fontId="9" fillId="0" borderId="4" xfId="0" applyNumberFormat="1" applyFont="1" applyBorder="1" applyAlignment="1">
      <alignment horizontal="center" vertical="center"/>
    </xf>
    <xf numFmtId="168" fontId="9" fillId="0" borderId="11" xfId="0" applyNumberFormat="1" applyFont="1" applyBorder="1" applyAlignment="1">
      <alignment horizontal="center" vertical="center"/>
    </xf>
    <xf numFmtId="0" fontId="0" fillId="0" borderId="0" xfId="0" applyFont="1"/>
    <xf numFmtId="0" fontId="0" fillId="0" borderId="0" xfId="0" applyFont="1" applyBorder="1"/>
    <xf numFmtId="0" fontId="0" fillId="0" borderId="0" xfId="0" applyFont="1" applyAlignment="1">
      <alignment horizontal="left" vertical="center"/>
    </xf>
    <xf numFmtId="0" fontId="0" fillId="0" borderId="0" xfId="0" applyFont="1" applyAlignment="1">
      <alignment vertical="center"/>
    </xf>
    <xf numFmtId="0" fontId="13" fillId="0" borderId="0" xfId="0" applyFont="1" applyAlignment="1">
      <alignment horizontal="center" vertical="center"/>
    </xf>
    <xf numFmtId="0" fontId="12" fillId="0" borderId="0" xfId="0" applyFont="1" applyAlignment="1">
      <alignment horizontal="center"/>
    </xf>
    <xf numFmtId="0" fontId="6" fillId="6" borderId="32" xfId="0" quotePrefix="1" applyFont="1" applyFill="1" applyBorder="1" applyAlignment="1">
      <alignment horizontal="center" vertical="center"/>
    </xf>
    <xf numFmtId="0" fontId="6" fillId="6" borderId="32" xfId="0" applyFont="1" applyFill="1" applyBorder="1" applyAlignment="1">
      <alignment horizontal="center" vertical="center"/>
    </xf>
    <xf numFmtId="167" fontId="6" fillId="6" borderId="32" xfId="0" applyNumberFormat="1" applyFont="1" applyFill="1" applyBorder="1" applyAlignment="1">
      <alignment horizontal="center" vertical="center"/>
    </xf>
    <xf numFmtId="0" fontId="9" fillId="6" borderId="32" xfId="0" applyFont="1" applyFill="1" applyBorder="1" applyAlignment="1">
      <alignment horizontal="center" vertical="center"/>
    </xf>
    <xf numFmtId="165" fontId="6" fillId="6" borderId="32" xfId="0" applyNumberFormat="1" applyFont="1" applyFill="1" applyBorder="1" applyAlignment="1">
      <alignment horizontal="center" vertical="center"/>
    </xf>
    <xf numFmtId="171" fontId="0" fillId="0" borderId="0" xfId="0" applyNumberFormat="1"/>
    <xf numFmtId="0" fontId="0" fillId="2" borderId="31" xfId="0" applyFont="1" applyFill="1" applyBorder="1"/>
    <xf numFmtId="0" fontId="0" fillId="2" borderId="33" xfId="0" applyFont="1" applyFill="1" applyBorder="1"/>
    <xf numFmtId="0" fontId="5" fillId="0" borderId="0" xfId="0" applyFont="1" applyAlignment="1">
      <alignment horizontal="left"/>
    </xf>
    <xf numFmtId="0" fontId="0" fillId="0" borderId="9" xfId="0" applyFill="1" applyBorder="1"/>
    <xf numFmtId="0" fontId="0" fillId="0" borderId="10" xfId="0" applyFill="1" applyBorder="1"/>
    <xf numFmtId="0" fontId="0" fillId="0" borderId="14" xfId="0" applyFill="1" applyBorder="1"/>
    <xf numFmtId="0" fontId="0" fillId="0" borderId="13" xfId="0" applyFill="1" applyBorder="1"/>
    <xf numFmtId="0" fontId="0" fillId="3" borderId="6" xfId="0" applyFill="1" applyBorder="1"/>
    <xf numFmtId="0" fontId="0" fillId="3" borderId="8" xfId="0" applyFill="1" applyBorder="1"/>
    <xf numFmtId="169" fontId="6" fillId="0" borderId="1" xfId="0" applyNumberFormat="1" applyFont="1" applyFill="1" applyBorder="1" applyAlignment="1">
      <alignment horizontal="center" vertical="center"/>
    </xf>
    <xf numFmtId="169" fontId="6" fillId="0" borderId="11" xfId="0" applyNumberFormat="1" applyFont="1" applyFill="1" applyBorder="1" applyAlignment="1">
      <alignment horizontal="center" vertical="center"/>
    </xf>
    <xf numFmtId="3" fontId="6" fillId="0" borderId="1" xfId="0" applyNumberFormat="1" applyFont="1" applyFill="1" applyBorder="1" applyAlignment="1">
      <alignment horizontal="center" vertical="center"/>
    </xf>
    <xf numFmtId="169" fontId="7" fillId="2" borderId="11" xfId="0" applyNumberFormat="1" applyFont="1" applyFill="1" applyBorder="1" applyAlignment="1">
      <alignment horizontal="center" vertical="center"/>
    </xf>
    <xf numFmtId="169" fontId="7" fillId="2" borderId="4" xfId="0" applyNumberFormat="1" applyFont="1" applyFill="1" applyBorder="1" applyAlignment="1">
      <alignment horizontal="center" vertical="center"/>
    </xf>
    <xf numFmtId="0" fontId="6" fillId="0" borderId="0" xfId="0" applyFont="1"/>
    <xf numFmtId="0" fontId="5" fillId="0" borderId="0" xfId="0" applyFont="1" applyAlignment="1">
      <alignment horizontal="left" vertical="center"/>
    </xf>
    <xf numFmtId="0" fontId="33" fillId="0" borderId="0" xfId="0" applyFont="1"/>
    <xf numFmtId="0" fontId="24" fillId="0" borderId="0" xfId="0" applyFont="1" applyAlignment="1">
      <alignment horizontal="left" vertical="center"/>
    </xf>
    <xf numFmtId="0" fontId="24" fillId="0" borderId="0" xfId="0" applyFont="1" applyAlignment="1">
      <alignment vertical="center"/>
    </xf>
    <xf numFmtId="0" fontId="34" fillId="0" borderId="0" xfId="0" applyFont="1"/>
    <xf numFmtId="0" fontId="0" fillId="0" borderId="0" xfId="0" applyAlignment="1">
      <alignment horizontal="center" vertical="center"/>
    </xf>
    <xf numFmtId="0" fontId="0" fillId="0" borderId="4" xfId="0" applyBorder="1" applyAlignment="1">
      <alignment horizontal="center" vertical="center"/>
    </xf>
    <xf numFmtId="0" fontId="0" fillId="0" borderId="11" xfId="0" applyBorder="1" applyAlignment="1">
      <alignment horizontal="center" vertical="center"/>
    </xf>
    <xf numFmtId="0" fontId="0" fillId="2" borderId="1" xfId="0" applyFill="1" applyBorder="1" applyAlignment="1">
      <alignment horizontal="left" vertical="center"/>
    </xf>
    <xf numFmtId="0" fontId="0" fillId="2" borderId="4" xfId="0" applyFill="1" applyBorder="1" applyAlignment="1">
      <alignment horizontal="left" vertical="center"/>
    </xf>
    <xf numFmtId="0" fontId="0" fillId="2" borderId="11" xfId="0" applyFill="1" applyBorder="1" applyAlignment="1">
      <alignment horizontal="left" vertical="center"/>
    </xf>
    <xf numFmtId="4" fontId="9" fillId="6" borderId="31" xfId="0" applyNumberFormat="1" applyFont="1" applyFill="1" applyBorder="1" applyAlignment="1">
      <alignment horizontal="center" vertical="center"/>
    </xf>
    <xf numFmtId="171" fontId="9" fillId="6" borderId="33" xfId="0" applyNumberFormat="1" applyFont="1" applyFill="1" applyBorder="1" applyAlignment="1">
      <alignment horizontal="center" vertical="center"/>
    </xf>
    <xf numFmtId="0" fontId="0" fillId="0" borderId="16" xfId="0" applyBorder="1" applyAlignment="1">
      <alignment horizontal="center" vertical="center"/>
    </xf>
    <xf numFmtId="4" fontId="7" fillId="2" borderId="4" xfId="0" applyNumberFormat="1" applyFont="1" applyFill="1" applyBorder="1" applyAlignment="1">
      <alignment horizontal="center" vertical="center"/>
    </xf>
    <xf numFmtId="10" fontId="2" fillId="2" borderId="17" xfId="0" applyNumberFormat="1" applyFont="1" applyFill="1" applyBorder="1" applyAlignment="1">
      <alignment horizontal="center" vertical="center"/>
    </xf>
    <xf numFmtId="3" fontId="6" fillId="2" borderId="1" xfId="0" applyNumberFormat="1" applyFont="1" applyFill="1" applyBorder="1" applyAlignment="1">
      <alignment horizontal="center" vertical="center"/>
    </xf>
    <xf numFmtId="0" fontId="6" fillId="2" borderId="4" xfId="0" applyFont="1" applyFill="1" applyBorder="1" applyAlignment="1">
      <alignment horizontal="center" vertical="center"/>
    </xf>
    <xf numFmtId="15" fontId="9" fillId="2" borderId="4" xfId="0" applyNumberFormat="1" applyFont="1" applyFill="1" applyBorder="1" applyAlignment="1">
      <alignment horizontal="center" vertical="center"/>
    </xf>
    <xf numFmtId="0" fontId="0" fillId="2" borderId="4" xfId="0" applyFont="1" applyFill="1" applyBorder="1" applyAlignment="1">
      <alignment horizontal="center" vertical="center"/>
    </xf>
    <xf numFmtId="4" fontId="6" fillId="2" borderId="4" xfId="0" applyNumberFormat="1" applyFont="1" applyFill="1" applyBorder="1" applyAlignment="1">
      <alignment horizontal="center" vertical="center"/>
    </xf>
    <xf numFmtId="167" fontId="6" fillId="2" borderId="4" xfId="0" applyNumberFormat="1" applyFont="1" applyFill="1" applyBorder="1" applyAlignment="1">
      <alignment horizontal="center" vertical="center"/>
    </xf>
    <xf numFmtId="0" fontId="5" fillId="0" borderId="12" xfId="0" applyFont="1" applyBorder="1"/>
    <xf numFmtId="10" fontId="7" fillId="2" borderId="34" xfId="0" applyNumberFormat="1" applyFont="1" applyFill="1" applyBorder="1" applyAlignment="1">
      <alignment horizontal="center" vertical="center"/>
    </xf>
    <xf numFmtId="0" fontId="0" fillId="0" borderId="8" xfId="0" applyFill="1" applyBorder="1"/>
    <xf numFmtId="0" fontId="8" fillId="0" borderId="12" xfId="0" applyFont="1" applyBorder="1" applyAlignment="1">
      <alignment horizontal="center" vertical="center"/>
    </xf>
    <xf numFmtId="0" fontId="8" fillId="0" borderId="0" xfId="0" applyFont="1" applyAlignment="1">
      <alignment horizontal="center" vertical="center"/>
    </xf>
    <xf numFmtId="167" fontId="9" fillId="2" borderId="32" xfId="0" applyNumberFormat="1" applyFont="1" applyFill="1" applyBorder="1" applyAlignment="1">
      <alignment horizontal="center" vertical="center"/>
    </xf>
    <xf numFmtId="167" fontId="6" fillId="2" borderId="32" xfId="0" applyNumberFormat="1" applyFont="1" applyFill="1" applyBorder="1" applyAlignment="1">
      <alignment horizontal="center" vertical="center"/>
    </xf>
    <xf numFmtId="0" fontId="0" fillId="2" borderId="35" xfId="0" applyNumberFormat="1" applyFill="1" applyBorder="1" applyAlignment="1">
      <alignment horizontal="left" vertical="center" wrapText="1"/>
    </xf>
    <xf numFmtId="3" fontId="6" fillId="2" borderId="35" xfId="0" applyNumberFormat="1" applyFont="1" applyFill="1" applyBorder="1" applyAlignment="1">
      <alignment horizontal="center" vertical="center"/>
    </xf>
    <xf numFmtId="0" fontId="6" fillId="2" borderId="34" xfId="0" applyFont="1" applyFill="1" applyBorder="1" applyAlignment="1">
      <alignment horizontal="center"/>
    </xf>
    <xf numFmtId="4" fontId="7" fillId="2" borderId="33" xfId="0" applyNumberFormat="1" applyFont="1" applyFill="1" applyBorder="1" applyAlignment="1">
      <alignment horizontal="center" vertical="center"/>
    </xf>
    <xf numFmtId="0" fontId="0" fillId="0" borderId="0" xfId="0" applyAlignment="1">
      <alignment horizontal="center" vertical="center"/>
    </xf>
    <xf numFmtId="0" fontId="0" fillId="3" borderId="15" xfId="0" applyFill="1" applyBorder="1"/>
    <xf numFmtId="169" fontId="6" fillId="0" borderId="15" xfId="0" applyNumberFormat="1" applyFont="1" applyFill="1" applyBorder="1" applyAlignment="1">
      <alignment horizontal="center" vertical="center"/>
    </xf>
    <xf numFmtId="172" fontId="0" fillId="0" borderId="0" xfId="0" applyNumberFormat="1" applyAlignment="1">
      <alignment horizontal="center" vertical="center"/>
    </xf>
    <xf numFmtId="0" fontId="6" fillId="6" borderId="0" xfId="0" applyFont="1" applyFill="1"/>
    <xf numFmtId="172" fontId="4" fillId="2" borderId="2" xfId="0" applyNumberFormat="1" applyFont="1" applyFill="1" applyBorder="1" applyAlignment="1">
      <alignment horizontal="center" vertical="center"/>
    </xf>
    <xf numFmtId="172" fontId="13" fillId="0" borderId="6" xfId="0" quotePrefix="1" applyNumberFormat="1" applyFont="1" applyFill="1" applyBorder="1" applyAlignment="1">
      <alignment horizontal="center" vertical="center"/>
    </xf>
    <xf numFmtId="0" fontId="6" fillId="0" borderId="7" xfId="0" quotePrefix="1" applyFont="1" applyFill="1" applyBorder="1" applyAlignment="1">
      <alignment horizontal="center" vertical="center"/>
    </xf>
    <xf numFmtId="0" fontId="6" fillId="0" borderId="8" xfId="0" quotePrefix="1" applyFont="1" applyFill="1" applyBorder="1" applyAlignment="1">
      <alignment horizontal="center" vertical="center"/>
    </xf>
    <xf numFmtId="172" fontId="9" fillId="0" borderId="9" xfId="0" applyNumberFormat="1" applyFont="1" applyFill="1" applyBorder="1" applyAlignment="1">
      <alignment horizontal="center" vertical="center"/>
    </xf>
    <xf numFmtId="173" fontId="9" fillId="6" borderId="2" xfId="0" applyNumberFormat="1" applyFont="1" applyFill="1" applyBorder="1" applyAlignment="1">
      <alignment horizontal="center" vertical="center"/>
    </xf>
    <xf numFmtId="173" fontId="9" fillId="6" borderId="3" xfId="0" applyNumberFormat="1" applyFont="1" applyFill="1" applyBorder="1" applyAlignment="1">
      <alignment horizontal="center" vertical="center"/>
    </xf>
    <xf numFmtId="172" fontId="9" fillId="0" borderId="14" xfId="0" applyNumberFormat="1" applyFont="1" applyFill="1" applyBorder="1" applyAlignment="1">
      <alignment horizontal="center" vertical="center"/>
    </xf>
    <xf numFmtId="173" fontId="9" fillId="6" borderId="0" xfId="0" applyNumberFormat="1" applyFont="1" applyFill="1" applyBorder="1" applyAlignment="1">
      <alignment horizontal="center" vertical="center"/>
    </xf>
    <xf numFmtId="173" fontId="9" fillId="6" borderId="10" xfId="0" applyNumberFormat="1" applyFont="1" applyFill="1" applyBorder="1" applyAlignment="1">
      <alignment horizontal="center" vertical="center"/>
    </xf>
    <xf numFmtId="173" fontId="9" fillId="6" borderId="12" xfId="0" applyNumberFormat="1" applyFont="1" applyFill="1" applyBorder="1" applyAlignment="1">
      <alignment horizontal="center" vertical="center"/>
    </xf>
    <xf numFmtId="173" fontId="9" fillId="6" borderId="13" xfId="0" applyNumberFormat="1" applyFont="1" applyFill="1" applyBorder="1" applyAlignment="1">
      <alignment horizontal="center" vertical="center"/>
    </xf>
    <xf numFmtId="172" fontId="4" fillId="2" borderId="0" xfId="0" applyNumberFormat="1" applyFont="1" applyFill="1" applyBorder="1" applyAlignment="1">
      <alignment horizontal="center" vertical="center"/>
    </xf>
    <xf numFmtId="172" fontId="6" fillId="0" borderId="5" xfId="0" applyNumberFormat="1" applyFont="1" applyFill="1" applyBorder="1" applyAlignment="1">
      <alignment horizontal="center" vertical="center"/>
    </xf>
    <xf numFmtId="173" fontId="9" fillId="0" borderId="2" xfId="0" applyNumberFormat="1" applyFont="1" applyFill="1" applyBorder="1" applyAlignment="1">
      <alignment horizontal="center" vertical="center"/>
    </xf>
    <xf numFmtId="173" fontId="9" fillId="0" borderId="3" xfId="0" applyNumberFormat="1" applyFont="1" applyFill="1" applyBorder="1" applyAlignment="1">
      <alignment horizontal="center" vertical="center"/>
    </xf>
    <xf numFmtId="172" fontId="6" fillId="0" borderId="14" xfId="0" applyNumberFormat="1" applyFont="1" applyFill="1" applyBorder="1" applyAlignment="1">
      <alignment horizontal="center" vertical="center"/>
    </xf>
    <xf numFmtId="0" fontId="9" fillId="6" borderId="12" xfId="0" applyFont="1" applyFill="1" applyBorder="1" applyAlignment="1">
      <alignment horizontal="center" vertical="center"/>
    </xf>
    <xf numFmtId="0" fontId="9" fillId="6" borderId="13" xfId="0" applyFont="1" applyFill="1" applyBorder="1" applyAlignment="1">
      <alignment horizontal="center" vertical="center"/>
    </xf>
    <xf numFmtId="172" fontId="0" fillId="2" borderId="12" xfId="0" applyNumberFormat="1" applyFill="1" applyBorder="1" applyAlignment="1">
      <alignment horizontal="center" vertical="center"/>
    </xf>
    <xf numFmtId="172" fontId="6" fillId="6" borderId="0" xfId="0" applyNumberFormat="1" applyFont="1" applyFill="1" applyAlignment="1">
      <alignment horizontal="center" vertical="center"/>
    </xf>
    <xf numFmtId="0" fontId="6" fillId="6" borderId="0" xfId="0" applyFont="1" applyFill="1" applyAlignment="1">
      <alignment horizontal="center" vertical="center"/>
    </xf>
    <xf numFmtId="172" fontId="0" fillId="0" borderId="0" xfId="0" quotePrefix="1" applyNumberFormat="1" applyAlignment="1">
      <alignment horizontal="center" vertical="center"/>
    </xf>
    <xf numFmtId="172" fontId="6" fillId="0" borderId="9" xfId="0" applyNumberFormat="1" applyFont="1" applyFill="1" applyBorder="1" applyAlignment="1">
      <alignment horizontal="center" vertical="center"/>
    </xf>
    <xf numFmtId="0" fontId="9" fillId="6" borderId="0" xfId="0" applyFont="1" applyFill="1" applyBorder="1" applyAlignment="1">
      <alignment horizontal="center" vertical="center"/>
    </xf>
    <xf numFmtId="0" fontId="9" fillId="6" borderId="10" xfId="0" applyFont="1" applyFill="1" applyBorder="1" applyAlignment="1">
      <alignment horizontal="center" vertical="center"/>
    </xf>
    <xf numFmtId="0" fontId="6" fillId="6" borderId="0" xfId="0" applyFont="1" applyFill="1" applyBorder="1"/>
    <xf numFmtId="15" fontId="9" fillId="6" borderId="2" xfId="0" applyNumberFormat="1" applyFont="1" applyFill="1" applyBorder="1" applyAlignment="1">
      <alignment horizontal="center" vertical="center"/>
    </xf>
    <xf numFmtId="15" fontId="9" fillId="6" borderId="3" xfId="0" applyNumberFormat="1" applyFont="1" applyFill="1" applyBorder="1" applyAlignment="1">
      <alignment horizontal="center" vertical="center"/>
    </xf>
    <xf numFmtId="15" fontId="9" fillId="6" borderId="12" xfId="0" applyNumberFormat="1" applyFont="1" applyFill="1" applyBorder="1" applyAlignment="1">
      <alignment horizontal="center" vertical="center"/>
    </xf>
    <xf numFmtId="15" fontId="9" fillId="6" borderId="13" xfId="0" applyNumberFormat="1" applyFont="1" applyFill="1" applyBorder="1" applyAlignment="1">
      <alignment horizontal="center" vertical="center"/>
    </xf>
    <xf numFmtId="4" fontId="9" fillId="6" borderId="3" xfId="0" applyNumberFormat="1" applyFont="1" applyFill="1" applyBorder="1" applyAlignment="1">
      <alignment horizontal="center" vertical="center"/>
    </xf>
    <xf numFmtId="4" fontId="9" fillId="6" borderId="10" xfId="0" applyNumberFormat="1" applyFont="1" applyFill="1" applyBorder="1" applyAlignment="1">
      <alignment horizontal="center" vertical="center"/>
    </xf>
    <xf numFmtId="4" fontId="9" fillId="6" borderId="13" xfId="0" applyNumberFormat="1" applyFont="1" applyFill="1" applyBorder="1" applyAlignment="1">
      <alignment horizontal="center" vertical="center"/>
    </xf>
    <xf numFmtId="172" fontId="13" fillId="0" borderId="15" xfId="0" quotePrefix="1" applyNumberFormat="1" applyFont="1" applyFill="1" applyBorder="1" applyAlignment="1">
      <alignment horizontal="center" vertical="center"/>
    </xf>
    <xf numFmtId="0" fontId="13" fillId="0" borderId="15" xfId="0" applyFont="1" applyFill="1" applyBorder="1" applyAlignment="1">
      <alignment horizontal="center" vertical="center"/>
    </xf>
    <xf numFmtId="15" fontId="9" fillId="6" borderId="1" xfId="0" applyNumberFormat="1" applyFont="1" applyFill="1" applyBorder="1" applyAlignment="1">
      <alignment horizontal="center" vertical="center"/>
    </xf>
    <xf numFmtId="15" fontId="9" fillId="6" borderId="4" xfId="0" applyNumberFormat="1" applyFont="1" applyFill="1" applyBorder="1" applyAlignment="1">
      <alignment horizontal="center" vertical="center"/>
    </xf>
    <xf numFmtId="15" fontId="9" fillId="6" borderId="11" xfId="0" applyNumberFormat="1" applyFont="1" applyFill="1" applyBorder="1" applyAlignment="1">
      <alignment horizontal="center" vertical="center"/>
    </xf>
    <xf numFmtId="0" fontId="2" fillId="0" borderId="0" xfId="0" applyFont="1"/>
    <xf numFmtId="0" fontId="8" fillId="0" borderId="0" xfId="0" applyFont="1" applyAlignment="1">
      <alignment vertical="center"/>
    </xf>
    <xf numFmtId="0" fontId="0" fillId="6" borderId="4" xfId="0" applyFont="1" applyFill="1" applyBorder="1" applyAlignment="1">
      <alignment horizontal="center" vertical="center"/>
    </xf>
    <xf numFmtId="0" fontId="0" fillId="0" borderId="4" xfId="0" applyFont="1" applyBorder="1" applyAlignment="1">
      <alignment horizontal="center" vertical="center"/>
    </xf>
    <xf numFmtId="0" fontId="0" fillId="0" borderId="17" xfId="0" applyBorder="1" applyAlignment="1">
      <alignment horizontal="center" vertical="center"/>
    </xf>
    <xf numFmtId="49" fontId="0" fillId="0" borderId="4" xfId="0" applyNumberFormat="1" applyBorder="1" applyAlignment="1">
      <alignment horizontal="center" vertical="center"/>
    </xf>
    <xf numFmtId="0" fontId="0" fillId="0" borderId="16" xfId="0" applyFont="1" applyBorder="1" applyAlignment="1">
      <alignment horizontal="center" vertical="center"/>
    </xf>
    <xf numFmtId="49" fontId="0" fillId="0" borderId="4" xfId="0" quotePrefix="1" applyNumberFormat="1" applyBorder="1" applyAlignment="1">
      <alignment horizontal="center" vertical="center"/>
    </xf>
    <xf numFmtId="0" fontId="0" fillId="0" borderId="17" xfId="0" applyFont="1" applyBorder="1" applyAlignment="1">
      <alignment horizontal="center" vertical="center"/>
    </xf>
    <xf numFmtId="15" fontId="0" fillId="0" borderId="4" xfId="0" applyNumberFormat="1" applyBorder="1" applyAlignment="1">
      <alignment horizontal="center" vertical="center"/>
    </xf>
    <xf numFmtId="0" fontId="0" fillId="0" borderId="11" xfId="0" applyFont="1" applyBorder="1" applyAlignment="1">
      <alignment horizontal="center" vertical="center"/>
    </xf>
    <xf numFmtId="15" fontId="0" fillId="0" borderId="0" xfId="0" applyNumberFormat="1" applyAlignment="1">
      <alignment horizontal="left" vertical="center"/>
    </xf>
    <xf numFmtId="15" fontId="0" fillId="6" borderId="4" xfId="0" applyNumberFormat="1" applyFont="1" applyFill="1" applyBorder="1" applyAlignment="1">
      <alignment horizontal="center" vertical="center"/>
    </xf>
    <xf numFmtId="174" fontId="0" fillId="0" borderId="0" xfId="0" applyNumberFormat="1" applyAlignment="1">
      <alignment horizontal="center"/>
    </xf>
    <xf numFmtId="3" fontId="9" fillId="2" borderId="2" xfId="0" applyNumberFormat="1" applyFont="1" applyFill="1" applyBorder="1" applyAlignment="1">
      <alignment horizontal="center" vertical="center"/>
    </xf>
    <xf numFmtId="4" fontId="0" fillId="2" borderId="2" xfId="0" applyNumberFormat="1" applyFill="1" applyBorder="1" applyAlignment="1">
      <alignment horizontal="center"/>
    </xf>
    <xf numFmtId="171" fontId="9" fillId="2" borderId="2" xfId="0" applyNumberFormat="1" applyFont="1" applyFill="1" applyBorder="1" applyAlignment="1">
      <alignment horizontal="center" vertical="center"/>
    </xf>
    <xf numFmtId="3" fontId="9" fillId="2" borderId="0" xfId="0" applyNumberFormat="1" applyFont="1" applyFill="1" applyBorder="1" applyAlignment="1">
      <alignment horizontal="center" vertical="center"/>
    </xf>
    <xf numFmtId="0" fontId="0" fillId="2" borderId="0" xfId="0" applyFill="1" applyBorder="1" applyAlignment="1">
      <alignment horizontal="center"/>
    </xf>
    <xf numFmtId="0" fontId="0" fillId="2" borderId="14" xfId="0" applyFill="1" applyBorder="1" applyAlignment="1">
      <alignment horizontal="left" vertical="center"/>
    </xf>
    <xf numFmtId="0" fontId="0" fillId="2" borderId="12" xfId="0" applyFill="1" applyBorder="1" applyAlignment="1">
      <alignment horizontal="center"/>
    </xf>
    <xf numFmtId="0" fontId="2" fillId="0" borderId="0" xfId="0" applyFont="1" applyAlignment="1">
      <alignment horizontal="left" vertical="center"/>
    </xf>
    <xf numFmtId="0" fontId="9" fillId="4" borderId="5" xfId="0" applyFont="1" applyFill="1" applyBorder="1" applyAlignment="1">
      <alignment horizontal="center" vertical="center"/>
    </xf>
    <xf numFmtId="171" fontId="9" fillId="4" borderId="2" xfId="0" applyNumberFormat="1" applyFont="1" applyFill="1" applyBorder="1" applyAlignment="1">
      <alignment horizontal="center" vertical="center"/>
    </xf>
    <xf numFmtId="0" fontId="9" fillId="4" borderId="2" xfId="0" applyFont="1" applyFill="1" applyBorder="1" applyAlignment="1">
      <alignment horizontal="center" vertical="center"/>
    </xf>
    <xf numFmtId="3" fontId="9" fillId="4" borderId="2" xfId="0" applyNumberFormat="1" applyFont="1" applyFill="1" applyBorder="1" applyAlignment="1">
      <alignment horizontal="center" vertical="center"/>
    </xf>
    <xf numFmtId="3" fontId="9" fillId="4" borderId="9" xfId="0" applyNumberFormat="1" applyFont="1" applyFill="1" applyBorder="1" applyAlignment="1">
      <alignment horizontal="center" vertical="center"/>
    </xf>
    <xf numFmtId="171" fontId="9" fillId="4" borderId="0" xfId="0" applyNumberFormat="1" applyFont="1" applyFill="1" applyBorder="1" applyAlignment="1">
      <alignment horizontal="center" vertical="center"/>
    </xf>
    <xf numFmtId="3" fontId="9" fillId="4" borderId="0" xfId="0" applyNumberFormat="1" applyFont="1" applyFill="1" applyBorder="1" applyAlignment="1">
      <alignment horizontal="center" vertical="center"/>
    </xf>
    <xf numFmtId="166" fontId="9" fillId="4" borderId="0" xfId="0" applyNumberFormat="1" applyFont="1" applyFill="1" applyBorder="1" applyAlignment="1">
      <alignment horizontal="center" vertical="center"/>
    </xf>
    <xf numFmtId="3" fontId="9" fillId="4" borderId="14" xfId="0" applyNumberFormat="1" applyFont="1" applyFill="1" applyBorder="1" applyAlignment="1">
      <alignment horizontal="center" vertical="center"/>
    </xf>
    <xf numFmtId="171" fontId="9" fillId="4" borderId="12" xfId="0" applyNumberFormat="1" applyFont="1" applyFill="1" applyBorder="1" applyAlignment="1">
      <alignment horizontal="center" vertical="center"/>
    </xf>
    <xf numFmtId="3" fontId="9" fillId="4" borderId="12" xfId="0" applyNumberFormat="1" applyFont="1" applyFill="1" applyBorder="1" applyAlignment="1">
      <alignment horizontal="center" vertical="center"/>
    </xf>
    <xf numFmtId="166" fontId="9" fillId="4" borderId="12" xfId="0" applyNumberFormat="1" applyFont="1" applyFill="1" applyBorder="1" applyAlignment="1">
      <alignment horizontal="center" vertical="center"/>
    </xf>
    <xf numFmtId="3" fontId="9" fillId="4" borderId="3" xfId="0" applyNumberFormat="1" applyFont="1" applyFill="1" applyBorder="1" applyAlignment="1">
      <alignment horizontal="center" vertical="center"/>
    </xf>
    <xf numFmtId="3" fontId="9" fillId="4" borderId="10" xfId="0" applyNumberFormat="1" applyFont="1" applyFill="1" applyBorder="1" applyAlignment="1">
      <alignment horizontal="center" vertical="center"/>
    </xf>
    <xf numFmtId="3" fontId="9" fillId="4" borderId="13" xfId="0" applyNumberFormat="1" applyFont="1" applyFill="1" applyBorder="1" applyAlignment="1">
      <alignment horizontal="center" vertical="center"/>
    </xf>
    <xf numFmtId="166" fontId="9" fillId="2" borderId="0" xfId="0" applyNumberFormat="1" applyFont="1" applyFill="1" applyBorder="1" applyAlignment="1">
      <alignment horizontal="center" vertical="center"/>
    </xf>
    <xf numFmtId="166" fontId="9" fillId="2" borderId="12" xfId="0" applyNumberFormat="1" applyFont="1" applyFill="1" applyBorder="1" applyAlignment="1">
      <alignment horizontal="center" vertical="center"/>
    </xf>
    <xf numFmtId="0" fontId="0" fillId="2" borderId="1" xfId="0" applyFill="1" applyBorder="1"/>
    <xf numFmtId="0" fontId="0" fillId="2" borderId="4" xfId="0" applyFill="1" applyBorder="1"/>
    <xf numFmtId="0" fontId="0" fillId="2" borderId="11" xfId="0" applyFill="1" applyBorder="1"/>
    <xf numFmtId="14" fontId="9" fillId="2" borderId="5" xfId="0" applyNumberFormat="1" applyFont="1" applyFill="1" applyBorder="1" applyAlignment="1">
      <alignment horizontal="center" vertical="center"/>
    </xf>
    <xf numFmtId="14" fontId="9" fillId="2" borderId="2" xfId="0" applyNumberFormat="1" applyFont="1" applyFill="1" applyBorder="1" applyAlignment="1">
      <alignment horizontal="center" vertical="center"/>
    </xf>
    <xf numFmtId="14" fontId="9" fillId="2" borderId="3" xfId="0" applyNumberFormat="1" applyFont="1" applyFill="1" applyBorder="1" applyAlignment="1">
      <alignment horizontal="center" vertical="center"/>
    </xf>
    <xf numFmtId="15" fontId="9" fillId="2" borderId="9" xfId="0" applyNumberFormat="1" applyFont="1" applyFill="1" applyBorder="1" applyAlignment="1">
      <alignment horizontal="center" vertical="center"/>
    </xf>
    <xf numFmtId="15" fontId="9" fillId="2" borderId="0" xfId="0" applyNumberFormat="1" applyFont="1" applyFill="1" applyBorder="1" applyAlignment="1">
      <alignment horizontal="center" vertical="center"/>
    </xf>
    <xf numFmtId="15" fontId="9" fillId="2" borderId="10" xfId="0" applyNumberFormat="1" applyFont="1" applyFill="1" applyBorder="1" applyAlignment="1">
      <alignment horizontal="center" vertical="center"/>
    </xf>
    <xf numFmtId="15" fontId="9" fillId="2" borderId="14" xfId="0" applyNumberFormat="1" applyFont="1" applyFill="1" applyBorder="1" applyAlignment="1">
      <alignment horizontal="center" vertical="center"/>
    </xf>
    <xf numFmtId="15" fontId="9" fillId="2" borderId="12" xfId="0" applyNumberFormat="1" applyFont="1" applyFill="1" applyBorder="1" applyAlignment="1">
      <alignment horizontal="center" vertical="center"/>
    </xf>
    <xf numFmtId="15" fontId="9" fillId="2" borderId="13" xfId="0" applyNumberFormat="1" applyFont="1" applyFill="1" applyBorder="1" applyAlignment="1">
      <alignment horizontal="center" vertical="center"/>
    </xf>
    <xf numFmtId="0" fontId="9" fillId="4" borderId="3" xfId="0" quotePrefix="1" applyFont="1" applyFill="1" applyBorder="1" applyAlignment="1">
      <alignment horizontal="center" vertical="center"/>
    </xf>
    <xf numFmtId="0" fontId="9" fillId="4" borderId="10" xfId="0" quotePrefix="1" applyFont="1" applyFill="1" applyBorder="1" applyAlignment="1">
      <alignment horizontal="center" vertical="center"/>
    </xf>
    <xf numFmtId="0" fontId="9" fillId="4" borderId="13" xfId="0" quotePrefix="1" applyFont="1" applyFill="1" applyBorder="1" applyAlignment="1">
      <alignment horizontal="center" vertical="center"/>
    </xf>
    <xf numFmtId="0" fontId="0" fillId="0" borderId="36" xfId="0" applyBorder="1"/>
    <xf numFmtId="0" fontId="0" fillId="0" borderId="38" xfId="0" applyBorder="1"/>
    <xf numFmtId="0" fontId="0" fillId="0" borderId="37" xfId="0" applyBorder="1"/>
    <xf numFmtId="0" fontId="0" fillId="0" borderId="39" xfId="0" applyBorder="1"/>
    <xf numFmtId="0" fontId="35" fillId="0" borderId="36" xfId="0" applyFont="1" applyBorder="1" applyAlignment="1">
      <alignment horizontal="center" vertical="center"/>
    </xf>
    <xf numFmtId="0" fontId="37" fillId="0" borderId="0" xfId="0" applyFont="1" applyAlignment="1"/>
    <xf numFmtId="175" fontId="0" fillId="0" borderId="0" xfId="0" applyNumberFormat="1" applyAlignment="1">
      <alignment horizontal="center" vertical="center"/>
    </xf>
    <xf numFmtId="164" fontId="0" fillId="0" borderId="0" xfId="0" applyNumberFormat="1" applyAlignment="1">
      <alignment horizontal="center" vertical="center"/>
    </xf>
    <xf numFmtId="0" fontId="0" fillId="0" borderId="0" xfId="0" applyAlignment="1">
      <alignment horizontal="center" vertical="center"/>
    </xf>
    <xf numFmtId="171" fontId="0" fillId="0" borderId="0" xfId="0" applyNumberFormat="1" applyAlignment="1">
      <alignment horizontal="center" vertical="center"/>
    </xf>
    <xf numFmtId="0" fontId="0" fillId="0" borderId="0" xfId="0" applyAlignment="1">
      <alignment horizontal="center" vertical="center"/>
    </xf>
    <xf numFmtId="15" fontId="0" fillId="0" borderId="0" xfId="0" applyNumberFormat="1" applyAlignment="1">
      <alignment horizontal="center" vertical="center"/>
    </xf>
    <xf numFmtId="0" fontId="0" fillId="0" borderId="0" xfId="0" applyAlignment="1">
      <alignment horizontal="center"/>
    </xf>
    <xf numFmtId="0" fontId="0" fillId="0" borderId="0" xfId="0" applyAlignment="1">
      <alignment horizontal="center" vertical="center"/>
    </xf>
    <xf numFmtId="0" fontId="6" fillId="6" borderId="4" xfId="0" applyFont="1" applyFill="1" applyBorder="1" applyAlignment="1">
      <alignment horizontal="center" vertical="center"/>
    </xf>
    <xf numFmtId="0" fontId="6" fillId="0" borderId="4" xfId="0" applyFont="1" applyBorder="1" applyAlignment="1">
      <alignment horizontal="center" vertical="center"/>
    </xf>
    <xf numFmtId="0" fontId="6" fillId="0" borderId="17" xfId="0" applyFont="1" applyBorder="1" applyAlignment="1">
      <alignment horizontal="center" vertical="center"/>
    </xf>
    <xf numFmtId="49" fontId="6" fillId="0" borderId="4" xfId="0" applyNumberFormat="1" applyFont="1" applyBorder="1" applyAlignment="1">
      <alignment horizontal="center" vertical="center"/>
    </xf>
    <xf numFmtId="0" fontId="6" fillId="0" borderId="16" xfId="0" applyFont="1" applyBorder="1" applyAlignment="1">
      <alignment horizontal="center" vertical="center"/>
    </xf>
    <xf numFmtId="49" fontId="6" fillId="0" borderId="4" xfId="0" quotePrefix="1" applyNumberFormat="1" applyFont="1" applyBorder="1" applyAlignment="1">
      <alignment horizontal="center" vertical="center"/>
    </xf>
    <xf numFmtId="0" fontId="0" fillId="0" borderId="4" xfId="0" applyFill="1" applyBorder="1"/>
    <xf numFmtId="0" fontId="0" fillId="0" borderId="11" xfId="0" applyFill="1" applyBorder="1"/>
    <xf numFmtId="0" fontId="0" fillId="0" borderId="15" xfId="0" applyFill="1" applyBorder="1"/>
    <xf numFmtId="0" fontId="0" fillId="0" borderId="15" xfId="0" applyFill="1" applyBorder="1" applyAlignment="1">
      <alignment horizontal="center" vertical="center"/>
    </xf>
    <xf numFmtId="0" fontId="2" fillId="0" borderId="0" xfId="0" applyFont="1" applyAlignment="1">
      <alignment vertical="center"/>
    </xf>
    <xf numFmtId="14" fontId="6" fillId="2" borderId="1" xfId="0" applyNumberFormat="1" applyFont="1" applyFill="1" applyBorder="1" applyAlignment="1">
      <alignment horizontal="center" vertical="center"/>
    </xf>
    <xf numFmtId="166" fontId="9" fillId="2" borderId="4" xfId="0" applyNumberFormat="1" applyFont="1" applyFill="1" applyBorder="1" applyAlignment="1">
      <alignment horizontal="center" vertical="center"/>
    </xf>
    <xf numFmtId="15" fontId="9" fillId="2" borderId="11" xfId="0" applyNumberFormat="1" applyFont="1" applyFill="1" applyBorder="1" applyAlignment="1">
      <alignment horizontal="center" vertical="center"/>
    </xf>
    <xf numFmtId="166" fontId="9" fillId="2" borderId="11" xfId="0" applyNumberFormat="1" applyFont="1" applyFill="1" applyBorder="1" applyAlignment="1">
      <alignment horizontal="center" vertical="center"/>
    </xf>
    <xf numFmtId="3" fontId="9" fillId="2" borderId="12" xfId="0" applyNumberFormat="1" applyFont="1" applyFill="1" applyBorder="1" applyAlignment="1">
      <alignment horizontal="center" vertical="center"/>
    </xf>
    <xf numFmtId="3" fontId="0" fillId="0" borderId="0" xfId="0" applyNumberFormat="1"/>
    <xf numFmtId="166" fontId="0" fillId="0" borderId="0" xfId="0" applyNumberFormat="1"/>
    <xf numFmtId="166" fontId="9" fillId="2" borderId="2" xfId="0" applyNumberFormat="1" applyFont="1" applyFill="1" applyBorder="1" applyAlignment="1">
      <alignment horizontal="center" vertical="center"/>
    </xf>
    <xf numFmtId="0" fontId="22" fillId="0" borderId="16" xfId="0" applyFont="1" applyFill="1" applyBorder="1" applyAlignment="1">
      <alignment horizontal="center" vertical="center" textRotation="90"/>
    </xf>
    <xf numFmtId="0" fontId="22" fillId="0" borderId="4" xfId="0" applyFont="1" applyBorder="1" applyAlignment="1">
      <alignment horizontal="center" vertical="center" textRotation="90"/>
    </xf>
    <xf numFmtId="0" fontId="22" fillId="0" borderId="17" xfId="0" applyFont="1" applyBorder="1" applyAlignment="1">
      <alignment horizontal="center" vertical="center" textRotation="90"/>
    </xf>
    <xf numFmtId="0" fontId="21" fillId="0" borderId="16" xfId="0" applyFont="1" applyFill="1" applyBorder="1" applyAlignment="1">
      <alignment horizontal="center" vertical="center" textRotation="90" wrapText="1"/>
    </xf>
    <xf numFmtId="0" fontId="21" fillId="0" borderId="4" xfId="0" applyFont="1" applyBorder="1" applyAlignment="1">
      <alignment horizontal="center" vertical="center" textRotation="90"/>
    </xf>
    <xf numFmtId="0" fontId="21" fillId="0" borderId="17" xfId="0" applyFont="1" applyBorder="1" applyAlignment="1">
      <alignment horizontal="center" vertical="center" textRotation="90"/>
    </xf>
    <xf numFmtId="0" fontId="22" fillId="0" borderId="16" xfId="0" applyFont="1" applyFill="1" applyBorder="1" applyAlignment="1">
      <alignment horizontal="center" vertical="center" textRotation="90" wrapText="1"/>
    </xf>
    <xf numFmtId="0" fontId="22" fillId="0" borderId="4" xfId="0" applyFont="1" applyBorder="1" applyAlignment="1">
      <alignment horizontal="center" vertical="center" textRotation="90" wrapText="1"/>
    </xf>
    <xf numFmtId="0" fontId="22" fillId="0" borderId="11" xfId="0" applyFont="1" applyBorder="1" applyAlignment="1">
      <alignment horizontal="center" vertical="center" textRotation="90" wrapText="1"/>
    </xf>
    <xf numFmtId="0" fontId="38" fillId="0" borderId="0" xfId="0" applyFont="1" applyAlignment="1">
      <alignment horizontal="center" vertical="center"/>
    </xf>
    <xf numFmtId="0" fontId="36" fillId="0" borderId="0" xfId="0" applyFont="1" applyBorder="1" applyAlignment="1">
      <alignment horizontal="center" vertical="center"/>
    </xf>
  </cellXfs>
  <cellStyles count="3">
    <cellStyle name="Comma [0]" xfId="2" builtinId="6"/>
    <cellStyle name="Normal" xfId="0" builtinId="0"/>
    <cellStyle name="標準_Input_OutPut20060417" xfId="1"/>
  </cellStyles>
  <dxfs count="0"/>
  <tableStyles count="0" defaultTableStyle="TableStyleMedium2" defaultPivotStyle="PivotStyleLight16"/>
  <colors>
    <mruColors>
      <color rgb="FF006600"/>
      <color rgb="FF0000FF"/>
      <color rgb="FFFFFFCC"/>
      <color rgb="FFFF66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1340041044864933E-2"/>
          <c:y val="1.9478104710595388E-2"/>
          <c:w val="0.90315255124060023"/>
          <c:h val="0.86279817654372148"/>
        </c:manualLayout>
      </c:layout>
      <c:lineChart>
        <c:grouping val="standard"/>
        <c:varyColors val="0"/>
        <c:ser>
          <c:idx val="1"/>
          <c:order val="0"/>
          <c:tx>
            <c:strRef>
              <c:f>Forwards!$D$9</c:f>
              <c:strCache>
                <c:ptCount val="1"/>
                <c:pt idx="0">
                  <c:v>EUROIS</c:v>
                </c:pt>
              </c:strCache>
            </c:strRef>
          </c:tx>
          <c:marker>
            <c:symbol val="none"/>
          </c:marker>
          <c:cat>
            <c:numRef>
              <c:f>Forwards!$C$15:$C$1514</c:f>
              <c:numCache>
                <c:formatCode>d\-mmm\-yy</c:formatCode>
                <c:ptCount val="1500"/>
                <c:pt idx="0">
                  <c:v>42521</c:v>
                </c:pt>
                <c:pt idx="1">
                  <c:v>42522</c:v>
                </c:pt>
                <c:pt idx="2">
                  <c:v>42523</c:v>
                </c:pt>
                <c:pt idx="3">
                  <c:v>42524</c:v>
                </c:pt>
                <c:pt idx="4">
                  <c:v>42527</c:v>
                </c:pt>
                <c:pt idx="5">
                  <c:v>42528</c:v>
                </c:pt>
                <c:pt idx="6">
                  <c:v>42529</c:v>
                </c:pt>
                <c:pt idx="7">
                  <c:v>42530</c:v>
                </c:pt>
                <c:pt idx="8">
                  <c:v>42531</c:v>
                </c:pt>
                <c:pt idx="9">
                  <c:v>42534</c:v>
                </c:pt>
                <c:pt idx="10">
                  <c:v>42535</c:v>
                </c:pt>
                <c:pt idx="11">
                  <c:v>42536</c:v>
                </c:pt>
                <c:pt idx="12">
                  <c:v>42537</c:v>
                </c:pt>
                <c:pt idx="13">
                  <c:v>42538</c:v>
                </c:pt>
                <c:pt idx="14">
                  <c:v>42541</c:v>
                </c:pt>
                <c:pt idx="15">
                  <c:v>42542</c:v>
                </c:pt>
                <c:pt idx="16">
                  <c:v>42543</c:v>
                </c:pt>
                <c:pt idx="17">
                  <c:v>42544</c:v>
                </c:pt>
                <c:pt idx="18">
                  <c:v>42545</c:v>
                </c:pt>
                <c:pt idx="19">
                  <c:v>42548</c:v>
                </c:pt>
                <c:pt idx="20">
                  <c:v>42549</c:v>
                </c:pt>
                <c:pt idx="21">
                  <c:v>42550</c:v>
                </c:pt>
                <c:pt idx="22">
                  <c:v>42551</c:v>
                </c:pt>
                <c:pt idx="23">
                  <c:v>42552</c:v>
                </c:pt>
                <c:pt idx="24">
                  <c:v>42555</c:v>
                </c:pt>
                <c:pt idx="25">
                  <c:v>42556</c:v>
                </c:pt>
                <c:pt idx="26">
                  <c:v>42557</c:v>
                </c:pt>
                <c:pt idx="27">
                  <c:v>42558</c:v>
                </c:pt>
                <c:pt idx="28">
                  <c:v>42559</c:v>
                </c:pt>
                <c:pt idx="29">
                  <c:v>42562</c:v>
                </c:pt>
                <c:pt idx="30">
                  <c:v>42563</c:v>
                </c:pt>
                <c:pt idx="31">
                  <c:v>42564</c:v>
                </c:pt>
                <c:pt idx="32">
                  <c:v>42565</c:v>
                </c:pt>
                <c:pt idx="33">
                  <c:v>42566</c:v>
                </c:pt>
                <c:pt idx="34">
                  <c:v>42569</c:v>
                </c:pt>
                <c:pt idx="35">
                  <c:v>42570</c:v>
                </c:pt>
                <c:pt idx="36">
                  <c:v>42571</c:v>
                </c:pt>
                <c:pt idx="37">
                  <c:v>42572</c:v>
                </c:pt>
                <c:pt idx="38">
                  <c:v>42573</c:v>
                </c:pt>
                <c:pt idx="39">
                  <c:v>42576</c:v>
                </c:pt>
                <c:pt idx="40">
                  <c:v>42577</c:v>
                </c:pt>
                <c:pt idx="41">
                  <c:v>42578</c:v>
                </c:pt>
                <c:pt idx="42">
                  <c:v>42579</c:v>
                </c:pt>
                <c:pt idx="43">
                  <c:v>42580</c:v>
                </c:pt>
                <c:pt idx="44">
                  <c:v>42583</c:v>
                </c:pt>
                <c:pt idx="45">
                  <c:v>42584</c:v>
                </c:pt>
                <c:pt idx="46">
                  <c:v>42585</c:v>
                </c:pt>
                <c:pt idx="47">
                  <c:v>42586</c:v>
                </c:pt>
                <c:pt idx="48">
                  <c:v>42587</c:v>
                </c:pt>
                <c:pt idx="49">
                  <c:v>42590</c:v>
                </c:pt>
                <c:pt idx="50">
                  <c:v>42591</c:v>
                </c:pt>
                <c:pt idx="51">
                  <c:v>42592</c:v>
                </c:pt>
                <c:pt idx="52">
                  <c:v>42593</c:v>
                </c:pt>
                <c:pt idx="53">
                  <c:v>42594</c:v>
                </c:pt>
                <c:pt idx="54">
                  <c:v>42597</c:v>
                </c:pt>
                <c:pt idx="55">
                  <c:v>42598</c:v>
                </c:pt>
                <c:pt idx="56">
                  <c:v>42599</c:v>
                </c:pt>
                <c:pt idx="57">
                  <c:v>42600</c:v>
                </c:pt>
                <c:pt idx="58">
                  <c:v>42601</c:v>
                </c:pt>
                <c:pt idx="59">
                  <c:v>42604</c:v>
                </c:pt>
                <c:pt idx="60">
                  <c:v>42605</c:v>
                </c:pt>
                <c:pt idx="61">
                  <c:v>42606</c:v>
                </c:pt>
                <c:pt idx="62">
                  <c:v>42607</c:v>
                </c:pt>
                <c:pt idx="63">
                  <c:v>42608</c:v>
                </c:pt>
                <c:pt idx="64">
                  <c:v>42611</c:v>
                </c:pt>
                <c:pt idx="65">
                  <c:v>42612</c:v>
                </c:pt>
                <c:pt idx="66">
                  <c:v>42613</c:v>
                </c:pt>
                <c:pt idx="67">
                  <c:v>42614</c:v>
                </c:pt>
                <c:pt idx="68">
                  <c:v>42615</c:v>
                </c:pt>
                <c:pt idx="69">
                  <c:v>42618</c:v>
                </c:pt>
                <c:pt idx="70">
                  <c:v>42619</c:v>
                </c:pt>
                <c:pt idx="71">
                  <c:v>42620</c:v>
                </c:pt>
                <c:pt idx="72">
                  <c:v>42621</c:v>
                </c:pt>
                <c:pt idx="73">
                  <c:v>42622</c:v>
                </c:pt>
                <c:pt idx="74">
                  <c:v>42625</c:v>
                </c:pt>
                <c:pt idx="75">
                  <c:v>42626</c:v>
                </c:pt>
                <c:pt idx="76">
                  <c:v>42627</c:v>
                </c:pt>
                <c:pt idx="77">
                  <c:v>42628</c:v>
                </c:pt>
                <c:pt idx="78">
                  <c:v>42629</c:v>
                </c:pt>
                <c:pt idx="79">
                  <c:v>42632</c:v>
                </c:pt>
                <c:pt idx="80">
                  <c:v>42633</c:v>
                </c:pt>
                <c:pt idx="81">
                  <c:v>42634</c:v>
                </c:pt>
                <c:pt idx="82">
                  <c:v>42635</c:v>
                </c:pt>
                <c:pt idx="83">
                  <c:v>42636</c:v>
                </c:pt>
                <c:pt idx="84">
                  <c:v>42639</c:v>
                </c:pt>
                <c:pt idx="85">
                  <c:v>42640</c:v>
                </c:pt>
                <c:pt idx="86">
                  <c:v>42641</c:v>
                </c:pt>
                <c:pt idx="87">
                  <c:v>42642</c:v>
                </c:pt>
                <c:pt idx="88">
                  <c:v>42643</c:v>
                </c:pt>
                <c:pt idx="89">
                  <c:v>42646</c:v>
                </c:pt>
                <c:pt idx="90">
                  <c:v>42647</c:v>
                </c:pt>
                <c:pt idx="91">
                  <c:v>42648</c:v>
                </c:pt>
                <c:pt idx="92">
                  <c:v>42649</c:v>
                </c:pt>
                <c:pt idx="93">
                  <c:v>42650</c:v>
                </c:pt>
                <c:pt idx="94">
                  <c:v>42653</c:v>
                </c:pt>
                <c:pt idx="95">
                  <c:v>42654</c:v>
                </c:pt>
                <c:pt idx="96">
                  <c:v>42655</c:v>
                </c:pt>
                <c:pt idx="97">
                  <c:v>42656</c:v>
                </c:pt>
                <c:pt idx="98">
                  <c:v>42657</c:v>
                </c:pt>
                <c:pt idx="99">
                  <c:v>42660</c:v>
                </c:pt>
                <c:pt idx="100">
                  <c:v>42661</c:v>
                </c:pt>
                <c:pt idx="101">
                  <c:v>42662</c:v>
                </c:pt>
                <c:pt idx="102">
                  <c:v>42663</c:v>
                </c:pt>
                <c:pt idx="103">
                  <c:v>42664</c:v>
                </c:pt>
                <c:pt idx="104">
                  <c:v>42667</c:v>
                </c:pt>
                <c:pt idx="105">
                  <c:v>42668</c:v>
                </c:pt>
                <c:pt idx="106">
                  <c:v>42669</c:v>
                </c:pt>
                <c:pt idx="107">
                  <c:v>42670</c:v>
                </c:pt>
                <c:pt idx="108">
                  <c:v>42671</c:v>
                </c:pt>
                <c:pt idx="109">
                  <c:v>42674</c:v>
                </c:pt>
                <c:pt idx="110">
                  <c:v>42675</c:v>
                </c:pt>
                <c:pt idx="111">
                  <c:v>42676</c:v>
                </c:pt>
                <c:pt idx="112">
                  <c:v>42677</c:v>
                </c:pt>
                <c:pt idx="113">
                  <c:v>42678</c:v>
                </c:pt>
                <c:pt idx="114">
                  <c:v>42681</c:v>
                </c:pt>
                <c:pt idx="115">
                  <c:v>42682</c:v>
                </c:pt>
                <c:pt idx="116">
                  <c:v>42683</c:v>
                </c:pt>
                <c:pt idx="117">
                  <c:v>42684</c:v>
                </c:pt>
                <c:pt idx="118">
                  <c:v>42685</c:v>
                </c:pt>
                <c:pt idx="119">
                  <c:v>42688</c:v>
                </c:pt>
                <c:pt idx="120">
                  <c:v>42689</c:v>
                </c:pt>
                <c:pt idx="121">
                  <c:v>42690</c:v>
                </c:pt>
                <c:pt idx="122">
                  <c:v>42691</c:v>
                </c:pt>
                <c:pt idx="123">
                  <c:v>42692</c:v>
                </c:pt>
                <c:pt idx="124">
                  <c:v>42695</c:v>
                </c:pt>
                <c:pt idx="125">
                  <c:v>42696</c:v>
                </c:pt>
                <c:pt idx="126">
                  <c:v>42697</c:v>
                </c:pt>
                <c:pt idx="127">
                  <c:v>42698</c:v>
                </c:pt>
                <c:pt idx="128">
                  <c:v>42699</c:v>
                </c:pt>
                <c:pt idx="129">
                  <c:v>42702</c:v>
                </c:pt>
                <c:pt idx="130">
                  <c:v>42703</c:v>
                </c:pt>
                <c:pt idx="131">
                  <c:v>42704</c:v>
                </c:pt>
                <c:pt idx="132">
                  <c:v>42705</c:v>
                </c:pt>
                <c:pt idx="133">
                  <c:v>42706</c:v>
                </c:pt>
                <c:pt idx="134">
                  <c:v>42709</c:v>
                </c:pt>
                <c:pt idx="135">
                  <c:v>42710</c:v>
                </c:pt>
                <c:pt idx="136">
                  <c:v>42711</c:v>
                </c:pt>
                <c:pt idx="137">
                  <c:v>42712</c:v>
                </c:pt>
                <c:pt idx="138">
                  <c:v>42713</c:v>
                </c:pt>
                <c:pt idx="139">
                  <c:v>42716</c:v>
                </c:pt>
                <c:pt idx="140">
                  <c:v>42717</c:v>
                </c:pt>
                <c:pt idx="141">
                  <c:v>42718</c:v>
                </c:pt>
                <c:pt idx="142">
                  <c:v>42719</c:v>
                </c:pt>
                <c:pt idx="143">
                  <c:v>42720</c:v>
                </c:pt>
                <c:pt idx="144">
                  <c:v>42723</c:v>
                </c:pt>
                <c:pt idx="145">
                  <c:v>42724</c:v>
                </c:pt>
                <c:pt idx="146">
                  <c:v>42725</c:v>
                </c:pt>
                <c:pt idx="147">
                  <c:v>42726</c:v>
                </c:pt>
                <c:pt idx="148">
                  <c:v>42727</c:v>
                </c:pt>
                <c:pt idx="149">
                  <c:v>42731</c:v>
                </c:pt>
                <c:pt idx="150">
                  <c:v>42732</c:v>
                </c:pt>
                <c:pt idx="151">
                  <c:v>42733</c:v>
                </c:pt>
                <c:pt idx="152">
                  <c:v>42734</c:v>
                </c:pt>
                <c:pt idx="153">
                  <c:v>42737</c:v>
                </c:pt>
                <c:pt idx="154">
                  <c:v>42738</c:v>
                </c:pt>
                <c:pt idx="155">
                  <c:v>42739</c:v>
                </c:pt>
                <c:pt idx="156">
                  <c:v>42740</c:v>
                </c:pt>
                <c:pt idx="157">
                  <c:v>42741</c:v>
                </c:pt>
                <c:pt idx="158">
                  <c:v>42744</c:v>
                </c:pt>
                <c:pt idx="159">
                  <c:v>42745</c:v>
                </c:pt>
                <c:pt idx="160">
                  <c:v>42746</c:v>
                </c:pt>
                <c:pt idx="161">
                  <c:v>42747</c:v>
                </c:pt>
                <c:pt idx="162">
                  <c:v>42748</c:v>
                </c:pt>
                <c:pt idx="163">
                  <c:v>42751</c:v>
                </c:pt>
                <c:pt idx="164">
                  <c:v>42752</c:v>
                </c:pt>
                <c:pt idx="165">
                  <c:v>42753</c:v>
                </c:pt>
                <c:pt idx="166">
                  <c:v>42754</c:v>
                </c:pt>
                <c:pt idx="167">
                  <c:v>42755</c:v>
                </c:pt>
                <c:pt idx="168">
                  <c:v>42758</c:v>
                </c:pt>
                <c:pt idx="169">
                  <c:v>42759</c:v>
                </c:pt>
                <c:pt idx="170">
                  <c:v>42760</c:v>
                </c:pt>
                <c:pt idx="171">
                  <c:v>42761</c:v>
                </c:pt>
                <c:pt idx="172">
                  <c:v>42762</c:v>
                </c:pt>
                <c:pt idx="173">
                  <c:v>42765</c:v>
                </c:pt>
                <c:pt idx="174">
                  <c:v>42766</c:v>
                </c:pt>
                <c:pt idx="175">
                  <c:v>42767</c:v>
                </c:pt>
                <c:pt idx="176">
                  <c:v>42768</c:v>
                </c:pt>
                <c:pt idx="177">
                  <c:v>42769</c:v>
                </c:pt>
                <c:pt idx="178">
                  <c:v>42772</c:v>
                </c:pt>
                <c:pt idx="179">
                  <c:v>42773</c:v>
                </c:pt>
                <c:pt idx="180">
                  <c:v>42774</c:v>
                </c:pt>
                <c:pt idx="181">
                  <c:v>42775</c:v>
                </c:pt>
                <c:pt idx="182">
                  <c:v>42776</c:v>
                </c:pt>
                <c:pt idx="183">
                  <c:v>42779</c:v>
                </c:pt>
                <c:pt idx="184">
                  <c:v>42780</c:v>
                </c:pt>
                <c:pt idx="185">
                  <c:v>42781</c:v>
                </c:pt>
                <c:pt idx="186">
                  <c:v>42782</c:v>
                </c:pt>
                <c:pt idx="187">
                  <c:v>42783</c:v>
                </c:pt>
                <c:pt idx="188">
                  <c:v>42786</c:v>
                </c:pt>
                <c:pt idx="189">
                  <c:v>42787</c:v>
                </c:pt>
                <c:pt idx="190">
                  <c:v>42788</c:v>
                </c:pt>
                <c:pt idx="191">
                  <c:v>42789</c:v>
                </c:pt>
                <c:pt idx="192">
                  <c:v>42790</c:v>
                </c:pt>
                <c:pt idx="193">
                  <c:v>42793</c:v>
                </c:pt>
                <c:pt idx="194">
                  <c:v>42794</c:v>
                </c:pt>
                <c:pt idx="195">
                  <c:v>42795</c:v>
                </c:pt>
                <c:pt idx="196">
                  <c:v>42796</c:v>
                </c:pt>
                <c:pt idx="197">
                  <c:v>42797</c:v>
                </c:pt>
                <c:pt idx="198">
                  <c:v>42800</c:v>
                </c:pt>
                <c:pt idx="199">
                  <c:v>42801</c:v>
                </c:pt>
                <c:pt idx="200">
                  <c:v>42802</c:v>
                </c:pt>
                <c:pt idx="201">
                  <c:v>42803</c:v>
                </c:pt>
                <c:pt idx="202">
                  <c:v>42804</c:v>
                </c:pt>
                <c:pt idx="203">
                  <c:v>42807</c:v>
                </c:pt>
                <c:pt idx="204">
                  <c:v>42808</c:v>
                </c:pt>
                <c:pt idx="205">
                  <c:v>42809</c:v>
                </c:pt>
                <c:pt idx="206">
                  <c:v>42810</c:v>
                </c:pt>
                <c:pt idx="207">
                  <c:v>42811</c:v>
                </c:pt>
                <c:pt idx="208">
                  <c:v>42814</c:v>
                </c:pt>
                <c:pt idx="209">
                  <c:v>42815</c:v>
                </c:pt>
                <c:pt idx="210">
                  <c:v>42816</c:v>
                </c:pt>
                <c:pt idx="211">
                  <c:v>42817</c:v>
                </c:pt>
                <c:pt idx="212">
                  <c:v>42818</c:v>
                </c:pt>
                <c:pt idx="213">
                  <c:v>42821</c:v>
                </c:pt>
                <c:pt idx="214">
                  <c:v>42822</c:v>
                </c:pt>
                <c:pt idx="215">
                  <c:v>42823</c:v>
                </c:pt>
                <c:pt idx="216">
                  <c:v>42824</c:v>
                </c:pt>
                <c:pt idx="217">
                  <c:v>42825</c:v>
                </c:pt>
                <c:pt idx="218">
                  <c:v>42828</c:v>
                </c:pt>
                <c:pt idx="219">
                  <c:v>42829</c:v>
                </c:pt>
                <c:pt idx="220">
                  <c:v>42830</c:v>
                </c:pt>
                <c:pt idx="221">
                  <c:v>42831</c:v>
                </c:pt>
                <c:pt idx="222">
                  <c:v>42832</c:v>
                </c:pt>
                <c:pt idx="223">
                  <c:v>42835</c:v>
                </c:pt>
                <c:pt idx="224">
                  <c:v>42836</c:v>
                </c:pt>
                <c:pt idx="225">
                  <c:v>42837</c:v>
                </c:pt>
                <c:pt idx="226">
                  <c:v>42838</c:v>
                </c:pt>
                <c:pt idx="227">
                  <c:v>42843</c:v>
                </c:pt>
                <c:pt idx="228">
                  <c:v>42844</c:v>
                </c:pt>
                <c:pt idx="229">
                  <c:v>42845</c:v>
                </c:pt>
                <c:pt idx="230">
                  <c:v>42846</c:v>
                </c:pt>
                <c:pt idx="231">
                  <c:v>42849</c:v>
                </c:pt>
                <c:pt idx="232">
                  <c:v>42850</c:v>
                </c:pt>
                <c:pt idx="233">
                  <c:v>42851</c:v>
                </c:pt>
                <c:pt idx="234">
                  <c:v>42852</c:v>
                </c:pt>
                <c:pt idx="235">
                  <c:v>42853</c:v>
                </c:pt>
                <c:pt idx="236">
                  <c:v>42857</c:v>
                </c:pt>
                <c:pt idx="237">
                  <c:v>42858</c:v>
                </c:pt>
                <c:pt idx="238">
                  <c:v>42859</c:v>
                </c:pt>
                <c:pt idx="239">
                  <c:v>42860</c:v>
                </c:pt>
                <c:pt idx="240">
                  <c:v>42863</c:v>
                </c:pt>
                <c:pt idx="241">
                  <c:v>42864</c:v>
                </c:pt>
                <c:pt idx="242">
                  <c:v>42865</c:v>
                </c:pt>
                <c:pt idx="243">
                  <c:v>42866</c:v>
                </c:pt>
                <c:pt idx="244">
                  <c:v>42867</c:v>
                </c:pt>
                <c:pt idx="245">
                  <c:v>42870</c:v>
                </c:pt>
                <c:pt idx="246">
                  <c:v>42871</c:v>
                </c:pt>
                <c:pt idx="247">
                  <c:v>42872</c:v>
                </c:pt>
                <c:pt idx="248">
                  <c:v>42873</c:v>
                </c:pt>
                <c:pt idx="249">
                  <c:v>42874</c:v>
                </c:pt>
                <c:pt idx="250">
                  <c:v>42877</c:v>
                </c:pt>
                <c:pt idx="251">
                  <c:v>42878</c:v>
                </c:pt>
                <c:pt idx="252">
                  <c:v>42879</c:v>
                </c:pt>
                <c:pt idx="253">
                  <c:v>42880</c:v>
                </c:pt>
                <c:pt idx="254">
                  <c:v>42881</c:v>
                </c:pt>
                <c:pt idx="255">
                  <c:v>42884</c:v>
                </c:pt>
                <c:pt idx="256">
                  <c:v>42885</c:v>
                </c:pt>
                <c:pt idx="257">
                  <c:v>42886</c:v>
                </c:pt>
                <c:pt idx="258">
                  <c:v>42887</c:v>
                </c:pt>
                <c:pt idx="259">
                  <c:v>42888</c:v>
                </c:pt>
                <c:pt idx="260">
                  <c:v>42891</c:v>
                </c:pt>
                <c:pt idx="261">
                  <c:v>42892</c:v>
                </c:pt>
                <c:pt idx="262">
                  <c:v>42893</c:v>
                </c:pt>
                <c:pt idx="263">
                  <c:v>42894</c:v>
                </c:pt>
                <c:pt idx="264">
                  <c:v>42895</c:v>
                </c:pt>
                <c:pt idx="265">
                  <c:v>42898</c:v>
                </c:pt>
                <c:pt idx="266">
                  <c:v>42899</c:v>
                </c:pt>
                <c:pt idx="267">
                  <c:v>42900</c:v>
                </c:pt>
                <c:pt idx="268">
                  <c:v>42901</c:v>
                </c:pt>
                <c:pt idx="269">
                  <c:v>42902</c:v>
                </c:pt>
                <c:pt idx="270">
                  <c:v>42905</c:v>
                </c:pt>
                <c:pt idx="271">
                  <c:v>42906</c:v>
                </c:pt>
                <c:pt idx="272">
                  <c:v>42907</c:v>
                </c:pt>
                <c:pt idx="273">
                  <c:v>42908</c:v>
                </c:pt>
                <c:pt idx="274">
                  <c:v>42909</c:v>
                </c:pt>
                <c:pt idx="275">
                  <c:v>42912</c:v>
                </c:pt>
                <c:pt idx="276">
                  <c:v>42913</c:v>
                </c:pt>
                <c:pt idx="277">
                  <c:v>42914</c:v>
                </c:pt>
                <c:pt idx="278">
                  <c:v>42915</c:v>
                </c:pt>
                <c:pt idx="279">
                  <c:v>42916</c:v>
                </c:pt>
                <c:pt idx="280">
                  <c:v>42919</c:v>
                </c:pt>
                <c:pt idx="281">
                  <c:v>42920</c:v>
                </c:pt>
                <c:pt idx="282">
                  <c:v>42921</c:v>
                </c:pt>
                <c:pt idx="283">
                  <c:v>42922</c:v>
                </c:pt>
                <c:pt idx="284">
                  <c:v>42923</c:v>
                </c:pt>
                <c:pt idx="285">
                  <c:v>42926</c:v>
                </c:pt>
                <c:pt idx="286">
                  <c:v>42927</c:v>
                </c:pt>
                <c:pt idx="287">
                  <c:v>42928</c:v>
                </c:pt>
                <c:pt idx="288">
                  <c:v>42929</c:v>
                </c:pt>
                <c:pt idx="289">
                  <c:v>42930</c:v>
                </c:pt>
                <c:pt idx="290">
                  <c:v>42933</c:v>
                </c:pt>
                <c:pt idx="291">
                  <c:v>42934</c:v>
                </c:pt>
                <c:pt idx="292">
                  <c:v>42935</c:v>
                </c:pt>
                <c:pt idx="293">
                  <c:v>42936</c:v>
                </c:pt>
                <c:pt idx="294">
                  <c:v>42937</c:v>
                </c:pt>
                <c:pt idx="295">
                  <c:v>42940</c:v>
                </c:pt>
                <c:pt idx="296">
                  <c:v>42941</c:v>
                </c:pt>
                <c:pt idx="297">
                  <c:v>42942</c:v>
                </c:pt>
                <c:pt idx="298">
                  <c:v>42943</c:v>
                </c:pt>
                <c:pt idx="299">
                  <c:v>42944</c:v>
                </c:pt>
                <c:pt idx="300">
                  <c:v>42947</c:v>
                </c:pt>
                <c:pt idx="301">
                  <c:v>42948</c:v>
                </c:pt>
                <c:pt idx="302">
                  <c:v>42949</c:v>
                </c:pt>
                <c:pt idx="303">
                  <c:v>42950</c:v>
                </c:pt>
                <c:pt idx="304">
                  <c:v>42951</c:v>
                </c:pt>
                <c:pt idx="305">
                  <c:v>42954</c:v>
                </c:pt>
                <c:pt idx="306">
                  <c:v>42955</c:v>
                </c:pt>
                <c:pt idx="307">
                  <c:v>42956</c:v>
                </c:pt>
                <c:pt idx="308">
                  <c:v>42957</c:v>
                </c:pt>
                <c:pt idx="309">
                  <c:v>42958</c:v>
                </c:pt>
                <c:pt idx="310">
                  <c:v>42961</c:v>
                </c:pt>
                <c:pt idx="311">
                  <c:v>42962</c:v>
                </c:pt>
                <c:pt idx="312">
                  <c:v>42963</c:v>
                </c:pt>
                <c:pt idx="313">
                  <c:v>42964</c:v>
                </c:pt>
                <c:pt idx="314">
                  <c:v>42965</c:v>
                </c:pt>
                <c:pt idx="315">
                  <c:v>42968</c:v>
                </c:pt>
                <c:pt idx="316">
                  <c:v>42969</c:v>
                </c:pt>
                <c:pt idx="317">
                  <c:v>42970</c:v>
                </c:pt>
                <c:pt idx="318">
                  <c:v>42971</c:v>
                </c:pt>
                <c:pt idx="319">
                  <c:v>42972</c:v>
                </c:pt>
                <c:pt idx="320">
                  <c:v>42975</c:v>
                </c:pt>
                <c:pt idx="321">
                  <c:v>42976</c:v>
                </c:pt>
                <c:pt idx="322">
                  <c:v>42977</c:v>
                </c:pt>
                <c:pt idx="323">
                  <c:v>42978</c:v>
                </c:pt>
                <c:pt idx="324">
                  <c:v>42979</c:v>
                </c:pt>
                <c:pt idx="325">
                  <c:v>42982</c:v>
                </c:pt>
                <c:pt idx="326">
                  <c:v>42983</c:v>
                </c:pt>
                <c:pt idx="327">
                  <c:v>42984</c:v>
                </c:pt>
                <c:pt idx="328">
                  <c:v>42985</c:v>
                </c:pt>
                <c:pt idx="329">
                  <c:v>42986</c:v>
                </c:pt>
                <c:pt idx="330">
                  <c:v>42989</c:v>
                </c:pt>
                <c:pt idx="331">
                  <c:v>42990</c:v>
                </c:pt>
                <c:pt idx="332">
                  <c:v>42991</c:v>
                </c:pt>
                <c:pt idx="333">
                  <c:v>42992</c:v>
                </c:pt>
                <c:pt idx="334">
                  <c:v>42993</c:v>
                </c:pt>
                <c:pt idx="335">
                  <c:v>42996</c:v>
                </c:pt>
                <c:pt idx="336">
                  <c:v>42997</c:v>
                </c:pt>
                <c:pt idx="337">
                  <c:v>42998</c:v>
                </c:pt>
                <c:pt idx="338">
                  <c:v>42999</c:v>
                </c:pt>
                <c:pt idx="339">
                  <c:v>43000</c:v>
                </c:pt>
                <c:pt idx="340">
                  <c:v>43003</c:v>
                </c:pt>
                <c:pt idx="341">
                  <c:v>43004</c:v>
                </c:pt>
                <c:pt idx="342">
                  <c:v>43005</c:v>
                </c:pt>
                <c:pt idx="343">
                  <c:v>43006</c:v>
                </c:pt>
                <c:pt idx="344">
                  <c:v>43007</c:v>
                </c:pt>
                <c:pt idx="345">
                  <c:v>43010</c:v>
                </c:pt>
                <c:pt idx="346">
                  <c:v>43011</c:v>
                </c:pt>
                <c:pt idx="347">
                  <c:v>43012</c:v>
                </c:pt>
                <c:pt idx="348">
                  <c:v>43013</c:v>
                </c:pt>
                <c:pt idx="349">
                  <c:v>43014</c:v>
                </c:pt>
                <c:pt idx="350">
                  <c:v>43017</c:v>
                </c:pt>
                <c:pt idx="351">
                  <c:v>43018</c:v>
                </c:pt>
                <c:pt idx="352">
                  <c:v>43019</c:v>
                </c:pt>
                <c:pt idx="353">
                  <c:v>43020</c:v>
                </c:pt>
                <c:pt idx="354">
                  <c:v>43021</c:v>
                </c:pt>
                <c:pt idx="355">
                  <c:v>43024</c:v>
                </c:pt>
                <c:pt idx="356">
                  <c:v>43025</c:v>
                </c:pt>
                <c:pt idx="357">
                  <c:v>43026</c:v>
                </c:pt>
                <c:pt idx="358">
                  <c:v>43027</c:v>
                </c:pt>
                <c:pt idx="359">
                  <c:v>43028</c:v>
                </c:pt>
                <c:pt idx="360">
                  <c:v>43031</c:v>
                </c:pt>
                <c:pt idx="361">
                  <c:v>43032</c:v>
                </c:pt>
                <c:pt idx="362">
                  <c:v>43033</c:v>
                </c:pt>
                <c:pt idx="363">
                  <c:v>43034</c:v>
                </c:pt>
                <c:pt idx="364">
                  <c:v>43035</c:v>
                </c:pt>
                <c:pt idx="365">
                  <c:v>43038</c:v>
                </c:pt>
                <c:pt idx="366">
                  <c:v>43039</c:v>
                </c:pt>
                <c:pt idx="367">
                  <c:v>43040</c:v>
                </c:pt>
                <c:pt idx="368">
                  <c:v>43041</c:v>
                </c:pt>
                <c:pt idx="369">
                  <c:v>43042</c:v>
                </c:pt>
                <c:pt idx="370">
                  <c:v>43045</c:v>
                </c:pt>
                <c:pt idx="371">
                  <c:v>43046</c:v>
                </c:pt>
                <c:pt idx="372">
                  <c:v>43047</c:v>
                </c:pt>
                <c:pt idx="373">
                  <c:v>43048</c:v>
                </c:pt>
                <c:pt idx="374">
                  <c:v>43049</c:v>
                </c:pt>
                <c:pt idx="375">
                  <c:v>43052</c:v>
                </c:pt>
                <c:pt idx="376">
                  <c:v>43053</c:v>
                </c:pt>
                <c:pt idx="377">
                  <c:v>43054</c:v>
                </c:pt>
                <c:pt idx="378">
                  <c:v>43055</c:v>
                </c:pt>
                <c:pt idx="379">
                  <c:v>43056</c:v>
                </c:pt>
                <c:pt idx="380">
                  <c:v>43059</c:v>
                </c:pt>
                <c:pt idx="381">
                  <c:v>43060</c:v>
                </c:pt>
                <c:pt idx="382">
                  <c:v>43061</c:v>
                </c:pt>
                <c:pt idx="383">
                  <c:v>43062</c:v>
                </c:pt>
                <c:pt idx="384">
                  <c:v>43063</c:v>
                </c:pt>
                <c:pt idx="385">
                  <c:v>43066</c:v>
                </c:pt>
                <c:pt idx="386">
                  <c:v>43067</c:v>
                </c:pt>
                <c:pt idx="387">
                  <c:v>43068</c:v>
                </c:pt>
                <c:pt idx="388">
                  <c:v>43069</c:v>
                </c:pt>
                <c:pt idx="389">
                  <c:v>43070</c:v>
                </c:pt>
                <c:pt idx="390">
                  <c:v>43073</c:v>
                </c:pt>
                <c:pt idx="391">
                  <c:v>43074</c:v>
                </c:pt>
                <c:pt idx="392">
                  <c:v>43075</c:v>
                </c:pt>
                <c:pt idx="393">
                  <c:v>43076</c:v>
                </c:pt>
                <c:pt idx="394">
                  <c:v>43077</c:v>
                </c:pt>
                <c:pt idx="395">
                  <c:v>43080</c:v>
                </c:pt>
                <c:pt idx="396">
                  <c:v>43081</c:v>
                </c:pt>
                <c:pt idx="397">
                  <c:v>43082</c:v>
                </c:pt>
                <c:pt idx="398">
                  <c:v>43083</c:v>
                </c:pt>
                <c:pt idx="399">
                  <c:v>43084</c:v>
                </c:pt>
                <c:pt idx="400">
                  <c:v>43087</c:v>
                </c:pt>
                <c:pt idx="401">
                  <c:v>43088</c:v>
                </c:pt>
                <c:pt idx="402">
                  <c:v>43089</c:v>
                </c:pt>
                <c:pt idx="403">
                  <c:v>43090</c:v>
                </c:pt>
                <c:pt idx="404">
                  <c:v>43091</c:v>
                </c:pt>
                <c:pt idx="405">
                  <c:v>43096</c:v>
                </c:pt>
                <c:pt idx="406">
                  <c:v>43097</c:v>
                </c:pt>
                <c:pt idx="407">
                  <c:v>43098</c:v>
                </c:pt>
                <c:pt idx="408">
                  <c:v>43102</c:v>
                </c:pt>
                <c:pt idx="409">
                  <c:v>43103</c:v>
                </c:pt>
                <c:pt idx="410">
                  <c:v>43104</c:v>
                </c:pt>
                <c:pt idx="411">
                  <c:v>43105</c:v>
                </c:pt>
                <c:pt idx="412">
                  <c:v>43108</c:v>
                </c:pt>
                <c:pt idx="413">
                  <c:v>43109</c:v>
                </c:pt>
                <c:pt idx="414">
                  <c:v>43110</c:v>
                </c:pt>
                <c:pt idx="415">
                  <c:v>43111</c:v>
                </c:pt>
                <c:pt idx="416">
                  <c:v>43112</c:v>
                </c:pt>
                <c:pt idx="417">
                  <c:v>43115</c:v>
                </c:pt>
                <c:pt idx="418">
                  <c:v>43116</c:v>
                </c:pt>
                <c:pt idx="419">
                  <c:v>43117</c:v>
                </c:pt>
                <c:pt idx="420">
                  <c:v>43118</c:v>
                </c:pt>
                <c:pt idx="421">
                  <c:v>43119</c:v>
                </c:pt>
                <c:pt idx="422">
                  <c:v>43122</c:v>
                </c:pt>
                <c:pt idx="423">
                  <c:v>43123</c:v>
                </c:pt>
                <c:pt idx="424">
                  <c:v>43124</c:v>
                </c:pt>
                <c:pt idx="425">
                  <c:v>43125</c:v>
                </c:pt>
                <c:pt idx="426">
                  <c:v>43126</c:v>
                </c:pt>
                <c:pt idx="427">
                  <c:v>43129</c:v>
                </c:pt>
                <c:pt idx="428">
                  <c:v>43130</c:v>
                </c:pt>
                <c:pt idx="429">
                  <c:v>43131</c:v>
                </c:pt>
                <c:pt idx="430">
                  <c:v>43132</c:v>
                </c:pt>
                <c:pt idx="431">
                  <c:v>43133</c:v>
                </c:pt>
                <c:pt idx="432">
                  <c:v>43136</c:v>
                </c:pt>
                <c:pt idx="433">
                  <c:v>43137</c:v>
                </c:pt>
                <c:pt idx="434">
                  <c:v>43138</c:v>
                </c:pt>
                <c:pt idx="435">
                  <c:v>43139</c:v>
                </c:pt>
                <c:pt idx="436">
                  <c:v>43140</c:v>
                </c:pt>
                <c:pt idx="437">
                  <c:v>43143</c:v>
                </c:pt>
                <c:pt idx="438">
                  <c:v>43144</c:v>
                </c:pt>
                <c:pt idx="439">
                  <c:v>43145</c:v>
                </c:pt>
                <c:pt idx="440">
                  <c:v>43146</c:v>
                </c:pt>
                <c:pt idx="441">
                  <c:v>43147</c:v>
                </c:pt>
                <c:pt idx="442">
                  <c:v>43150</c:v>
                </c:pt>
                <c:pt idx="443">
                  <c:v>43151</c:v>
                </c:pt>
                <c:pt idx="444">
                  <c:v>43152</c:v>
                </c:pt>
                <c:pt idx="445">
                  <c:v>43153</c:v>
                </c:pt>
                <c:pt idx="446">
                  <c:v>43154</c:v>
                </c:pt>
                <c:pt idx="447">
                  <c:v>43157</c:v>
                </c:pt>
                <c:pt idx="448">
                  <c:v>43158</c:v>
                </c:pt>
                <c:pt idx="449">
                  <c:v>43159</c:v>
                </c:pt>
                <c:pt idx="450">
                  <c:v>43160</c:v>
                </c:pt>
                <c:pt idx="451">
                  <c:v>43161</c:v>
                </c:pt>
                <c:pt idx="452">
                  <c:v>43164</c:v>
                </c:pt>
                <c:pt idx="453">
                  <c:v>43165</c:v>
                </c:pt>
                <c:pt idx="454">
                  <c:v>43166</c:v>
                </c:pt>
                <c:pt idx="455">
                  <c:v>43167</c:v>
                </c:pt>
                <c:pt idx="456">
                  <c:v>43168</c:v>
                </c:pt>
                <c:pt idx="457">
                  <c:v>43171</c:v>
                </c:pt>
                <c:pt idx="458">
                  <c:v>43172</c:v>
                </c:pt>
                <c:pt idx="459">
                  <c:v>43173</c:v>
                </c:pt>
                <c:pt idx="460">
                  <c:v>43174</c:v>
                </c:pt>
                <c:pt idx="461">
                  <c:v>43175</c:v>
                </c:pt>
                <c:pt idx="462">
                  <c:v>43178</c:v>
                </c:pt>
                <c:pt idx="463">
                  <c:v>43179</c:v>
                </c:pt>
                <c:pt idx="464">
                  <c:v>43180</c:v>
                </c:pt>
                <c:pt idx="465">
                  <c:v>43181</c:v>
                </c:pt>
                <c:pt idx="466">
                  <c:v>43182</c:v>
                </c:pt>
                <c:pt idx="467">
                  <c:v>43185</c:v>
                </c:pt>
                <c:pt idx="468">
                  <c:v>43186</c:v>
                </c:pt>
                <c:pt idx="469">
                  <c:v>43187</c:v>
                </c:pt>
                <c:pt idx="470">
                  <c:v>43188</c:v>
                </c:pt>
                <c:pt idx="471">
                  <c:v>43193</c:v>
                </c:pt>
                <c:pt idx="472">
                  <c:v>43194</c:v>
                </c:pt>
                <c:pt idx="473">
                  <c:v>43195</c:v>
                </c:pt>
                <c:pt idx="474">
                  <c:v>43196</c:v>
                </c:pt>
                <c:pt idx="475">
                  <c:v>43199</c:v>
                </c:pt>
                <c:pt idx="476">
                  <c:v>43200</c:v>
                </c:pt>
                <c:pt idx="477">
                  <c:v>43201</c:v>
                </c:pt>
                <c:pt idx="478">
                  <c:v>43202</c:v>
                </c:pt>
                <c:pt idx="479">
                  <c:v>43203</c:v>
                </c:pt>
                <c:pt idx="480">
                  <c:v>43206</c:v>
                </c:pt>
                <c:pt idx="481">
                  <c:v>43207</c:v>
                </c:pt>
                <c:pt idx="482">
                  <c:v>43208</c:v>
                </c:pt>
                <c:pt idx="483">
                  <c:v>43209</c:v>
                </c:pt>
                <c:pt idx="484">
                  <c:v>43210</c:v>
                </c:pt>
                <c:pt idx="485">
                  <c:v>43213</c:v>
                </c:pt>
                <c:pt idx="486">
                  <c:v>43214</c:v>
                </c:pt>
                <c:pt idx="487">
                  <c:v>43215</c:v>
                </c:pt>
                <c:pt idx="488">
                  <c:v>43216</c:v>
                </c:pt>
                <c:pt idx="489">
                  <c:v>43217</c:v>
                </c:pt>
                <c:pt idx="490">
                  <c:v>43220</c:v>
                </c:pt>
                <c:pt idx="491">
                  <c:v>43222</c:v>
                </c:pt>
                <c:pt idx="492">
                  <c:v>43223</c:v>
                </c:pt>
                <c:pt idx="493">
                  <c:v>43224</c:v>
                </c:pt>
                <c:pt idx="494">
                  <c:v>43227</c:v>
                </c:pt>
                <c:pt idx="495">
                  <c:v>43228</c:v>
                </c:pt>
                <c:pt idx="496">
                  <c:v>43229</c:v>
                </c:pt>
                <c:pt idx="497">
                  <c:v>43230</c:v>
                </c:pt>
                <c:pt idx="498">
                  <c:v>43231</c:v>
                </c:pt>
                <c:pt idx="499">
                  <c:v>43234</c:v>
                </c:pt>
                <c:pt idx="500">
                  <c:v>43235</c:v>
                </c:pt>
                <c:pt idx="501">
                  <c:v>43236</c:v>
                </c:pt>
                <c:pt idx="502">
                  <c:v>43237</c:v>
                </c:pt>
                <c:pt idx="503">
                  <c:v>43238</c:v>
                </c:pt>
                <c:pt idx="504">
                  <c:v>43241</c:v>
                </c:pt>
                <c:pt idx="505">
                  <c:v>43242</c:v>
                </c:pt>
                <c:pt idx="506">
                  <c:v>43243</c:v>
                </c:pt>
                <c:pt idx="507">
                  <c:v>43244</c:v>
                </c:pt>
                <c:pt idx="508">
                  <c:v>43245</c:v>
                </c:pt>
                <c:pt idx="509">
                  <c:v>43248</c:v>
                </c:pt>
                <c:pt idx="510">
                  <c:v>43249</c:v>
                </c:pt>
                <c:pt idx="511">
                  <c:v>43250</c:v>
                </c:pt>
                <c:pt idx="512">
                  <c:v>43251</c:v>
                </c:pt>
                <c:pt idx="513">
                  <c:v>43252</c:v>
                </c:pt>
                <c:pt idx="514">
                  <c:v>43255</c:v>
                </c:pt>
                <c:pt idx="515">
                  <c:v>43256</c:v>
                </c:pt>
                <c:pt idx="516">
                  <c:v>43257</c:v>
                </c:pt>
                <c:pt idx="517">
                  <c:v>43258</c:v>
                </c:pt>
                <c:pt idx="518">
                  <c:v>43259</c:v>
                </c:pt>
                <c:pt idx="519">
                  <c:v>43262</c:v>
                </c:pt>
                <c:pt idx="520">
                  <c:v>43263</c:v>
                </c:pt>
                <c:pt idx="521">
                  <c:v>43264</c:v>
                </c:pt>
                <c:pt idx="522">
                  <c:v>43265</c:v>
                </c:pt>
                <c:pt idx="523">
                  <c:v>43266</c:v>
                </c:pt>
                <c:pt idx="524">
                  <c:v>43269</c:v>
                </c:pt>
                <c:pt idx="525">
                  <c:v>43270</c:v>
                </c:pt>
                <c:pt idx="526">
                  <c:v>43271</c:v>
                </c:pt>
                <c:pt idx="527">
                  <c:v>43272</c:v>
                </c:pt>
                <c:pt idx="528">
                  <c:v>43273</c:v>
                </c:pt>
                <c:pt idx="529">
                  <c:v>43276</c:v>
                </c:pt>
                <c:pt idx="530">
                  <c:v>43277</c:v>
                </c:pt>
                <c:pt idx="531">
                  <c:v>43278</c:v>
                </c:pt>
                <c:pt idx="532">
                  <c:v>43279</c:v>
                </c:pt>
                <c:pt idx="533">
                  <c:v>43280</c:v>
                </c:pt>
                <c:pt idx="534">
                  <c:v>43283</c:v>
                </c:pt>
                <c:pt idx="535">
                  <c:v>43284</c:v>
                </c:pt>
                <c:pt idx="536">
                  <c:v>43285</c:v>
                </c:pt>
                <c:pt idx="537">
                  <c:v>43286</c:v>
                </c:pt>
                <c:pt idx="538">
                  <c:v>43287</c:v>
                </c:pt>
                <c:pt idx="539">
                  <c:v>43290</c:v>
                </c:pt>
                <c:pt idx="540">
                  <c:v>43291</c:v>
                </c:pt>
                <c:pt idx="541">
                  <c:v>43292</c:v>
                </c:pt>
                <c:pt idx="542">
                  <c:v>43293</c:v>
                </c:pt>
                <c:pt idx="543">
                  <c:v>43294</c:v>
                </c:pt>
                <c:pt idx="544">
                  <c:v>43297</c:v>
                </c:pt>
                <c:pt idx="545">
                  <c:v>43298</c:v>
                </c:pt>
                <c:pt idx="546">
                  <c:v>43299</c:v>
                </c:pt>
                <c:pt idx="547">
                  <c:v>43300</c:v>
                </c:pt>
                <c:pt idx="548">
                  <c:v>43301</c:v>
                </c:pt>
                <c:pt idx="549">
                  <c:v>43304</c:v>
                </c:pt>
                <c:pt idx="550">
                  <c:v>43305</c:v>
                </c:pt>
                <c:pt idx="551">
                  <c:v>43306</c:v>
                </c:pt>
                <c:pt idx="552">
                  <c:v>43307</c:v>
                </c:pt>
                <c:pt idx="553">
                  <c:v>43308</c:v>
                </c:pt>
                <c:pt idx="554">
                  <c:v>43311</c:v>
                </c:pt>
                <c:pt idx="555">
                  <c:v>43312</c:v>
                </c:pt>
                <c:pt idx="556">
                  <c:v>43313</c:v>
                </c:pt>
                <c:pt idx="557">
                  <c:v>43314</c:v>
                </c:pt>
                <c:pt idx="558">
                  <c:v>43315</c:v>
                </c:pt>
                <c:pt idx="559">
                  <c:v>43318</c:v>
                </c:pt>
                <c:pt idx="560">
                  <c:v>43319</c:v>
                </c:pt>
                <c:pt idx="561">
                  <c:v>43320</c:v>
                </c:pt>
                <c:pt idx="562">
                  <c:v>43321</c:v>
                </c:pt>
                <c:pt idx="563">
                  <c:v>43322</c:v>
                </c:pt>
                <c:pt idx="564">
                  <c:v>43325</c:v>
                </c:pt>
                <c:pt idx="565">
                  <c:v>43326</c:v>
                </c:pt>
                <c:pt idx="566">
                  <c:v>43327</c:v>
                </c:pt>
                <c:pt idx="567">
                  <c:v>43328</c:v>
                </c:pt>
                <c:pt idx="568">
                  <c:v>43329</c:v>
                </c:pt>
                <c:pt idx="569">
                  <c:v>43332</c:v>
                </c:pt>
                <c:pt idx="570">
                  <c:v>43333</c:v>
                </c:pt>
                <c:pt idx="571">
                  <c:v>43334</c:v>
                </c:pt>
                <c:pt idx="572">
                  <c:v>43335</c:v>
                </c:pt>
                <c:pt idx="573">
                  <c:v>43336</c:v>
                </c:pt>
                <c:pt idx="574">
                  <c:v>43339</c:v>
                </c:pt>
                <c:pt idx="575">
                  <c:v>43340</c:v>
                </c:pt>
                <c:pt idx="576">
                  <c:v>43341</c:v>
                </c:pt>
                <c:pt idx="577">
                  <c:v>43342</c:v>
                </c:pt>
                <c:pt idx="578">
                  <c:v>43343</c:v>
                </c:pt>
                <c:pt idx="579">
                  <c:v>43346</c:v>
                </c:pt>
                <c:pt idx="580">
                  <c:v>43347</c:v>
                </c:pt>
                <c:pt idx="581">
                  <c:v>43348</c:v>
                </c:pt>
                <c:pt idx="582">
                  <c:v>43349</c:v>
                </c:pt>
                <c:pt idx="583">
                  <c:v>43350</c:v>
                </c:pt>
                <c:pt idx="584">
                  <c:v>43353</c:v>
                </c:pt>
                <c:pt idx="585">
                  <c:v>43354</c:v>
                </c:pt>
                <c:pt idx="586">
                  <c:v>43355</c:v>
                </c:pt>
                <c:pt idx="587">
                  <c:v>43356</c:v>
                </c:pt>
                <c:pt idx="588">
                  <c:v>43357</c:v>
                </c:pt>
                <c:pt idx="589">
                  <c:v>43360</c:v>
                </c:pt>
                <c:pt idx="590">
                  <c:v>43361</c:v>
                </c:pt>
                <c:pt idx="591">
                  <c:v>43362</c:v>
                </c:pt>
                <c:pt idx="592">
                  <c:v>43363</c:v>
                </c:pt>
                <c:pt idx="593">
                  <c:v>43364</c:v>
                </c:pt>
                <c:pt idx="594">
                  <c:v>43367</c:v>
                </c:pt>
                <c:pt idx="595">
                  <c:v>43368</c:v>
                </c:pt>
                <c:pt idx="596">
                  <c:v>43369</c:v>
                </c:pt>
                <c:pt idx="597">
                  <c:v>43370</c:v>
                </c:pt>
                <c:pt idx="598">
                  <c:v>43371</c:v>
                </c:pt>
                <c:pt idx="599">
                  <c:v>43374</c:v>
                </c:pt>
                <c:pt idx="600">
                  <c:v>43375</c:v>
                </c:pt>
                <c:pt idx="601">
                  <c:v>43376</c:v>
                </c:pt>
                <c:pt idx="602">
                  <c:v>43377</c:v>
                </c:pt>
                <c:pt idx="603">
                  <c:v>43378</c:v>
                </c:pt>
                <c:pt idx="604">
                  <c:v>43381</c:v>
                </c:pt>
                <c:pt idx="605">
                  <c:v>43382</c:v>
                </c:pt>
                <c:pt idx="606">
                  <c:v>43383</c:v>
                </c:pt>
                <c:pt idx="607">
                  <c:v>43384</c:v>
                </c:pt>
                <c:pt idx="608">
                  <c:v>43385</c:v>
                </c:pt>
                <c:pt idx="609">
                  <c:v>43388</c:v>
                </c:pt>
                <c:pt idx="610">
                  <c:v>43389</c:v>
                </c:pt>
                <c:pt idx="611">
                  <c:v>43390</c:v>
                </c:pt>
                <c:pt idx="612">
                  <c:v>43391</c:v>
                </c:pt>
                <c:pt idx="613">
                  <c:v>43392</c:v>
                </c:pt>
                <c:pt idx="614">
                  <c:v>43395</c:v>
                </c:pt>
                <c:pt idx="615">
                  <c:v>43396</c:v>
                </c:pt>
                <c:pt idx="616">
                  <c:v>43397</c:v>
                </c:pt>
                <c:pt idx="617">
                  <c:v>43398</c:v>
                </c:pt>
                <c:pt idx="618">
                  <c:v>43399</c:v>
                </c:pt>
                <c:pt idx="619">
                  <c:v>43402</c:v>
                </c:pt>
                <c:pt idx="620">
                  <c:v>43403</c:v>
                </c:pt>
                <c:pt idx="621">
                  <c:v>43404</c:v>
                </c:pt>
                <c:pt idx="622">
                  <c:v>43405</c:v>
                </c:pt>
                <c:pt idx="623">
                  <c:v>43406</c:v>
                </c:pt>
                <c:pt idx="624">
                  <c:v>43409</c:v>
                </c:pt>
                <c:pt idx="625">
                  <c:v>43410</c:v>
                </c:pt>
                <c:pt idx="626">
                  <c:v>43411</c:v>
                </c:pt>
                <c:pt idx="627">
                  <c:v>43412</c:v>
                </c:pt>
                <c:pt idx="628">
                  <c:v>43413</c:v>
                </c:pt>
                <c:pt idx="629">
                  <c:v>43416</c:v>
                </c:pt>
                <c:pt idx="630">
                  <c:v>43417</c:v>
                </c:pt>
                <c:pt idx="631">
                  <c:v>43418</c:v>
                </c:pt>
                <c:pt idx="632">
                  <c:v>43419</c:v>
                </c:pt>
                <c:pt idx="633">
                  <c:v>43420</c:v>
                </c:pt>
                <c:pt idx="634">
                  <c:v>43423</c:v>
                </c:pt>
                <c:pt idx="635">
                  <c:v>43424</c:v>
                </c:pt>
                <c:pt idx="636">
                  <c:v>43425</c:v>
                </c:pt>
                <c:pt idx="637">
                  <c:v>43426</c:v>
                </c:pt>
                <c:pt idx="638">
                  <c:v>43427</c:v>
                </c:pt>
                <c:pt idx="639">
                  <c:v>43430</c:v>
                </c:pt>
                <c:pt idx="640">
                  <c:v>43431</c:v>
                </c:pt>
                <c:pt idx="641">
                  <c:v>43432</c:v>
                </c:pt>
                <c:pt idx="642">
                  <c:v>43433</c:v>
                </c:pt>
                <c:pt idx="643">
                  <c:v>43434</c:v>
                </c:pt>
                <c:pt idx="644">
                  <c:v>43437</c:v>
                </c:pt>
                <c:pt idx="645">
                  <c:v>43438</c:v>
                </c:pt>
                <c:pt idx="646">
                  <c:v>43439</c:v>
                </c:pt>
                <c:pt idx="647">
                  <c:v>43440</c:v>
                </c:pt>
                <c:pt idx="648">
                  <c:v>43441</c:v>
                </c:pt>
                <c:pt idx="649">
                  <c:v>43444</c:v>
                </c:pt>
                <c:pt idx="650">
                  <c:v>43445</c:v>
                </c:pt>
                <c:pt idx="651">
                  <c:v>43446</c:v>
                </c:pt>
                <c:pt idx="652">
                  <c:v>43447</c:v>
                </c:pt>
                <c:pt idx="653">
                  <c:v>43448</c:v>
                </c:pt>
                <c:pt idx="654">
                  <c:v>43451</c:v>
                </c:pt>
                <c:pt idx="655">
                  <c:v>43452</c:v>
                </c:pt>
                <c:pt idx="656">
                  <c:v>43453</c:v>
                </c:pt>
                <c:pt idx="657">
                  <c:v>43454</c:v>
                </c:pt>
                <c:pt idx="658">
                  <c:v>43455</c:v>
                </c:pt>
                <c:pt idx="659">
                  <c:v>43458</c:v>
                </c:pt>
                <c:pt idx="660">
                  <c:v>43461</c:v>
                </c:pt>
                <c:pt idx="661">
                  <c:v>43462</c:v>
                </c:pt>
                <c:pt idx="662">
                  <c:v>43465</c:v>
                </c:pt>
                <c:pt idx="663">
                  <c:v>43467</c:v>
                </c:pt>
                <c:pt idx="664">
                  <c:v>43468</c:v>
                </c:pt>
                <c:pt idx="665">
                  <c:v>43469</c:v>
                </c:pt>
                <c:pt idx="666">
                  <c:v>43472</c:v>
                </c:pt>
                <c:pt idx="667">
                  <c:v>43473</c:v>
                </c:pt>
                <c:pt idx="668">
                  <c:v>43474</c:v>
                </c:pt>
                <c:pt idx="669">
                  <c:v>43475</c:v>
                </c:pt>
                <c:pt idx="670">
                  <c:v>43476</c:v>
                </c:pt>
                <c:pt idx="671">
                  <c:v>43479</c:v>
                </c:pt>
                <c:pt idx="672">
                  <c:v>43480</c:v>
                </c:pt>
                <c:pt idx="673">
                  <c:v>43481</c:v>
                </c:pt>
                <c:pt idx="674">
                  <c:v>43482</c:v>
                </c:pt>
                <c:pt idx="675">
                  <c:v>43483</c:v>
                </c:pt>
                <c:pt idx="676">
                  <c:v>43486</c:v>
                </c:pt>
                <c:pt idx="677">
                  <c:v>43487</c:v>
                </c:pt>
                <c:pt idx="678">
                  <c:v>43488</c:v>
                </c:pt>
                <c:pt idx="679">
                  <c:v>43489</c:v>
                </c:pt>
                <c:pt idx="680">
                  <c:v>43490</c:v>
                </c:pt>
                <c:pt idx="681">
                  <c:v>43493</c:v>
                </c:pt>
                <c:pt idx="682">
                  <c:v>43494</c:v>
                </c:pt>
                <c:pt idx="683">
                  <c:v>43495</c:v>
                </c:pt>
                <c:pt idx="684">
                  <c:v>43496</c:v>
                </c:pt>
                <c:pt idx="685">
                  <c:v>43497</c:v>
                </c:pt>
                <c:pt idx="686">
                  <c:v>43500</c:v>
                </c:pt>
                <c:pt idx="687">
                  <c:v>43501</c:v>
                </c:pt>
                <c:pt idx="688">
                  <c:v>43502</c:v>
                </c:pt>
                <c:pt idx="689">
                  <c:v>43503</c:v>
                </c:pt>
                <c:pt idx="690">
                  <c:v>43504</c:v>
                </c:pt>
                <c:pt idx="691">
                  <c:v>43507</c:v>
                </c:pt>
                <c:pt idx="692">
                  <c:v>43508</c:v>
                </c:pt>
                <c:pt idx="693">
                  <c:v>43509</c:v>
                </c:pt>
                <c:pt idx="694">
                  <c:v>43510</c:v>
                </c:pt>
                <c:pt idx="695">
                  <c:v>43511</c:v>
                </c:pt>
                <c:pt idx="696">
                  <c:v>43514</c:v>
                </c:pt>
                <c:pt idx="697">
                  <c:v>43515</c:v>
                </c:pt>
                <c:pt idx="698">
                  <c:v>43516</c:v>
                </c:pt>
                <c:pt idx="699">
                  <c:v>43517</c:v>
                </c:pt>
                <c:pt idx="700">
                  <c:v>43518</c:v>
                </c:pt>
                <c:pt idx="701">
                  <c:v>43521</c:v>
                </c:pt>
                <c:pt idx="702">
                  <c:v>43522</c:v>
                </c:pt>
                <c:pt idx="703">
                  <c:v>43523</c:v>
                </c:pt>
                <c:pt idx="704">
                  <c:v>43524</c:v>
                </c:pt>
                <c:pt idx="705">
                  <c:v>43525</c:v>
                </c:pt>
                <c:pt idx="706">
                  <c:v>43528</c:v>
                </c:pt>
                <c:pt idx="707">
                  <c:v>43529</c:v>
                </c:pt>
                <c:pt idx="708">
                  <c:v>43530</c:v>
                </c:pt>
                <c:pt idx="709">
                  <c:v>43531</c:v>
                </c:pt>
                <c:pt idx="710">
                  <c:v>43532</c:v>
                </c:pt>
                <c:pt idx="711">
                  <c:v>43535</c:v>
                </c:pt>
                <c:pt idx="712">
                  <c:v>43536</c:v>
                </c:pt>
                <c:pt idx="713">
                  <c:v>43537</c:v>
                </c:pt>
                <c:pt idx="714">
                  <c:v>43538</c:v>
                </c:pt>
                <c:pt idx="715">
                  <c:v>43539</c:v>
                </c:pt>
                <c:pt idx="716">
                  <c:v>43542</c:v>
                </c:pt>
                <c:pt idx="717">
                  <c:v>43543</c:v>
                </c:pt>
                <c:pt idx="718">
                  <c:v>43544</c:v>
                </c:pt>
                <c:pt idx="719">
                  <c:v>43545</c:v>
                </c:pt>
                <c:pt idx="720">
                  <c:v>43546</c:v>
                </c:pt>
                <c:pt idx="721">
                  <c:v>43549</c:v>
                </c:pt>
                <c:pt idx="722">
                  <c:v>43550</c:v>
                </c:pt>
                <c:pt idx="723">
                  <c:v>43551</c:v>
                </c:pt>
                <c:pt idx="724">
                  <c:v>43552</c:v>
                </c:pt>
                <c:pt idx="725">
                  <c:v>43553</c:v>
                </c:pt>
                <c:pt idx="726">
                  <c:v>43556</c:v>
                </c:pt>
                <c:pt idx="727">
                  <c:v>43557</c:v>
                </c:pt>
                <c:pt idx="728">
                  <c:v>43558</c:v>
                </c:pt>
                <c:pt idx="729">
                  <c:v>43559</c:v>
                </c:pt>
                <c:pt idx="730">
                  <c:v>43560</c:v>
                </c:pt>
                <c:pt idx="731">
                  <c:v>43563</c:v>
                </c:pt>
                <c:pt idx="732">
                  <c:v>43564</c:v>
                </c:pt>
                <c:pt idx="733">
                  <c:v>43565</c:v>
                </c:pt>
                <c:pt idx="734">
                  <c:v>43566</c:v>
                </c:pt>
                <c:pt idx="735">
                  <c:v>43567</c:v>
                </c:pt>
                <c:pt idx="736">
                  <c:v>43570</c:v>
                </c:pt>
                <c:pt idx="737">
                  <c:v>43571</c:v>
                </c:pt>
                <c:pt idx="738">
                  <c:v>43572</c:v>
                </c:pt>
                <c:pt idx="739">
                  <c:v>43573</c:v>
                </c:pt>
                <c:pt idx="740">
                  <c:v>43578</c:v>
                </c:pt>
                <c:pt idx="741">
                  <c:v>43579</c:v>
                </c:pt>
                <c:pt idx="742">
                  <c:v>43580</c:v>
                </c:pt>
                <c:pt idx="743">
                  <c:v>43581</c:v>
                </c:pt>
                <c:pt idx="744">
                  <c:v>43584</c:v>
                </c:pt>
                <c:pt idx="745">
                  <c:v>43585</c:v>
                </c:pt>
                <c:pt idx="746">
                  <c:v>43587</c:v>
                </c:pt>
                <c:pt idx="747">
                  <c:v>43588</c:v>
                </c:pt>
                <c:pt idx="748">
                  <c:v>43591</c:v>
                </c:pt>
                <c:pt idx="749">
                  <c:v>43592</c:v>
                </c:pt>
                <c:pt idx="750">
                  <c:v>43593</c:v>
                </c:pt>
                <c:pt idx="751">
                  <c:v>43594</c:v>
                </c:pt>
                <c:pt idx="752">
                  <c:v>43595</c:v>
                </c:pt>
                <c:pt idx="753">
                  <c:v>43598</c:v>
                </c:pt>
                <c:pt idx="754">
                  <c:v>43599</c:v>
                </c:pt>
                <c:pt idx="755">
                  <c:v>43600</c:v>
                </c:pt>
                <c:pt idx="756">
                  <c:v>43601</c:v>
                </c:pt>
                <c:pt idx="757">
                  <c:v>43602</c:v>
                </c:pt>
                <c:pt idx="758">
                  <c:v>43605</c:v>
                </c:pt>
                <c:pt idx="759">
                  <c:v>43606</c:v>
                </c:pt>
                <c:pt idx="760">
                  <c:v>43607</c:v>
                </c:pt>
                <c:pt idx="761">
                  <c:v>43608</c:v>
                </c:pt>
                <c:pt idx="762">
                  <c:v>43609</c:v>
                </c:pt>
                <c:pt idx="763">
                  <c:v>43612</c:v>
                </c:pt>
                <c:pt idx="764">
                  <c:v>43613</c:v>
                </c:pt>
                <c:pt idx="765">
                  <c:v>43614</c:v>
                </c:pt>
                <c:pt idx="766">
                  <c:v>43615</c:v>
                </c:pt>
                <c:pt idx="767">
                  <c:v>43616</c:v>
                </c:pt>
                <c:pt idx="768">
                  <c:v>43619</c:v>
                </c:pt>
                <c:pt idx="769">
                  <c:v>43620</c:v>
                </c:pt>
                <c:pt idx="770">
                  <c:v>43621</c:v>
                </c:pt>
                <c:pt idx="771">
                  <c:v>43622</c:v>
                </c:pt>
                <c:pt idx="772">
                  <c:v>43623</c:v>
                </c:pt>
                <c:pt idx="773">
                  <c:v>43626</c:v>
                </c:pt>
                <c:pt idx="774">
                  <c:v>43627</c:v>
                </c:pt>
                <c:pt idx="775">
                  <c:v>43628</c:v>
                </c:pt>
                <c:pt idx="776">
                  <c:v>43629</c:v>
                </c:pt>
                <c:pt idx="777">
                  <c:v>43630</c:v>
                </c:pt>
                <c:pt idx="778">
                  <c:v>43633</c:v>
                </c:pt>
                <c:pt idx="779">
                  <c:v>43634</c:v>
                </c:pt>
                <c:pt idx="780">
                  <c:v>43635</c:v>
                </c:pt>
                <c:pt idx="781">
                  <c:v>43636</c:v>
                </c:pt>
                <c:pt idx="782">
                  <c:v>43637</c:v>
                </c:pt>
                <c:pt idx="783">
                  <c:v>43640</c:v>
                </c:pt>
                <c:pt idx="784">
                  <c:v>43641</c:v>
                </c:pt>
                <c:pt idx="785">
                  <c:v>43642</c:v>
                </c:pt>
                <c:pt idx="786">
                  <c:v>43643</c:v>
                </c:pt>
                <c:pt idx="787">
                  <c:v>43644</c:v>
                </c:pt>
                <c:pt idx="788">
                  <c:v>43647</c:v>
                </c:pt>
                <c:pt idx="789">
                  <c:v>43648</c:v>
                </c:pt>
                <c:pt idx="790">
                  <c:v>43649</c:v>
                </c:pt>
                <c:pt idx="791">
                  <c:v>43650</c:v>
                </c:pt>
                <c:pt idx="792">
                  <c:v>43651</c:v>
                </c:pt>
                <c:pt idx="793">
                  <c:v>43654</c:v>
                </c:pt>
                <c:pt idx="794">
                  <c:v>43655</c:v>
                </c:pt>
                <c:pt idx="795">
                  <c:v>43656</c:v>
                </c:pt>
                <c:pt idx="796">
                  <c:v>43657</c:v>
                </c:pt>
                <c:pt idx="797">
                  <c:v>43658</c:v>
                </c:pt>
                <c:pt idx="798">
                  <c:v>43661</c:v>
                </c:pt>
                <c:pt idx="799">
                  <c:v>43662</c:v>
                </c:pt>
                <c:pt idx="800">
                  <c:v>43663</c:v>
                </c:pt>
                <c:pt idx="801">
                  <c:v>43664</c:v>
                </c:pt>
                <c:pt idx="802">
                  <c:v>43665</c:v>
                </c:pt>
                <c:pt idx="803">
                  <c:v>43668</c:v>
                </c:pt>
                <c:pt idx="804">
                  <c:v>43669</c:v>
                </c:pt>
                <c:pt idx="805">
                  <c:v>43670</c:v>
                </c:pt>
                <c:pt idx="806">
                  <c:v>43671</c:v>
                </c:pt>
                <c:pt idx="807">
                  <c:v>43672</c:v>
                </c:pt>
                <c:pt idx="808">
                  <c:v>43675</c:v>
                </c:pt>
                <c:pt idx="809">
                  <c:v>43676</c:v>
                </c:pt>
                <c:pt idx="810">
                  <c:v>43677</c:v>
                </c:pt>
                <c:pt idx="811">
                  <c:v>43678</c:v>
                </c:pt>
                <c:pt idx="812">
                  <c:v>43679</c:v>
                </c:pt>
                <c:pt idx="813">
                  <c:v>43682</c:v>
                </c:pt>
                <c:pt idx="814">
                  <c:v>43683</c:v>
                </c:pt>
                <c:pt idx="815">
                  <c:v>43684</c:v>
                </c:pt>
                <c:pt idx="816">
                  <c:v>43685</c:v>
                </c:pt>
                <c:pt idx="817">
                  <c:v>43686</c:v>
                </c:pt>
                <c:pt idx="818">
                  <c:v>43689</c:v>
                </c:pt>
                <c:pt idx="819">
                  <c:v>43690</c:v>
                </c:pt>
                <c:pt idx="820">
                  <c:v>43691</c:v>
                </c:pt>
                <c:pt idx="821">
                  <c:v>43692</c:v>
                </c:pt>
                <c:pt idx="822">
                  <c:v>43693</c:v>
                </c:pt>
                <c:pt idx="823">
                  <c:v>43696</c:v>
                </c:pt>
                <c:pt idx="824">
                  <c:v>43697</c:v>
                </c:pt>
                <c:pt idx="825">
                  <c:v>43698</c:v>
                </c:pt>
                <c:pt idx="826">
                  <c:v>43699</c:v>
                </c:pt>
                <c:pt idx="827">
                  <c:v>43700</c:v>
                </c:pt>
                <c:pt idx="828">
                  <c:v>43703</c:v>
                </c:pt>
                <c:pt idx="829">
                  <c:v>43704</c:v>
                </c:pt>
                <c:pt idx="830">
                  <c:v>43705</c:v>
                </c:pt>
                <c:pt idx="831">
                  <c:v>43706</c:v>
                </c:pt>
                <c:pt idx="832">
                  <c:v>43707</c:v>
                </c:pt>
                <c:pt idx="833">
                  <c:v>43710</c:v>
                </c:pt>
                <c:pt idx="834">
                  <c:v>43711</c:v>
                </c:pt>
                <c:pt idx="835">
                  <c:v>43712</c:v>
                </c:pt>
                <c:pt idx="836">
                  <c:v>43713</c:v>
                </c:pt>
                <c:pt idx="837">
                  <c:v>43714</c:v>
                </c:pt>
                <c:pt idx="838">
                  <c:v>43717</c:v>
                </c:pt>
                <c:pt idx="839">
                  <c:v>43718</c:v>
                </c:pt>
                <c:pt idx="840">
                  <c:v>43719</c:v>
                </c:pt>
                <c:pt idx="841">
                  <c:v>43720</c:v>
                </c:pt>
                <c:pt idx="842">
                  <c:v>43721</c:v>
                </c:pt>
                <c:pt idx="843">
                  <c:v>43724</c:v>
                </c:pt>
                <c:pt idx="844">
                  <c:v>43725</c:v>
                </c:pt>
                <c:pt idx="845">
                  <c:v>43726</c:v>
                </c:pt>
                <c:pt idx="846">
                  <c:v>43727</c:v>
                </c:pt>
                <c:pt idx="847">
                  <c:v>43728</c:v>
                </c:pt>
                <c:pt idx="848">
                  <c:v>43731</c:v>
                </c:pt>
                <c:pt idx="849">
                  <c:v>43732</c:v>
                </c:pt>
                <c:pt idx="850">
                  <c:v>43733</c:v>
                </c:pt>
                <c:pt idx="851">
                  <c:v>43734</c:v>
                </c:pt>
                <c:pt idx="852">
                  <c:v>43735</c:v>
                </c:pt>
                <c:pt idx="853">
                  <c:v>43738</c:v>
                </c:pt>
                <c:pt idx="854">
                  <c:v>43739</c:v>
                </c:pt>
                <c:pt idx="855">
                  <c:v>43740</c:v>
                </c:pt>
                <c:pt idx="856">
                  <c:v>43741</c:v>
                </c:pt>
                <c:pt idx="857">
                  <c:v>43742</c:v>
                </c:pt>
                <c:pt idx="858">
                  <c:v>43745</c:v>
                </c:pt>
                <c:pt idx="859">
                  <c:v>43746</c:v>
                </c:pt>
                <c:pt idx="860">
                  <c:v>43747</c:v>
                </c:pt>
                <c:pt idx="861">
                  <c:v>43748</c:v>
                </c:pt>
                <c:pt idx="862">
                  <c:v>43749</c:v>
                </c:pt>
                <c:pt idx="863">
                  <c:v>43752</c:v>
                </c:pt>
                <c:pt idx="864">
                  <c:v>43753</c:v>
                </c:pt>
                <c:pt idx="865">
                  <c:v>43754</c:v>
                </c:pt>
                <c:pt idx="866">
                  <c:v>43755</c:v>
                </c:pt>
                <c:pt idx="867">
                  <c:v>43756</c:v>
                </c:pt>
                <c:pt idx="868">
                  <c:v>43759</c:v>
                </c:pt>
                <c:pt idx="869">
                  <c:v>43760</c:v>
                </c:pt>
                <c:pt idx="870">
                  <c:v>43761</c:v>
                </c:pt>
                <c:pt idx="871">
                  <c:v>43762</c:v>
                </c:pt>
                <c:pt idx="872">
                  <c:v>43763</c:v>
                </c:pt>
                <c:pt idx="873">
                  <c:v>43766</c:v>
                </c:pt>
                <c:pt idx="874">
                  <c:v>43767</c:v>
                </c:pt>
                <c:pt idx="875">
                  <c:v>43768</c:v>
                </c:pt>
                <c:pt idx="876">
                  <c:v>43769</c:v>
                </c:pt>
                <c:pt idx="877">
                  <c:v>43770</c:v>
                </c:pt>
                <c:pt idx="878">
                  <c:v>43773</c:v>
                </c:pt>
                <c:pt idx="879">
                  <c:v>43774</c:v>
                </c:pt>
                <c:pt idx="880">
                  <c:v>43775</c:v>
                </c:pt>
                <c:pt idx="881">
                  <c:v>43776</c:v>
                </c:pt>
                <c:pt idx="882">
                  <c:v>43777</c:v>
                </c:pt>
                <c:pt idx="883">
                  <c:v>43780</c:v>
                </c:pt>
                <c:pt idx="884">
                  <c:v>43781</c:v>
                </c:pt>
                <c:pt idx="885">
                  <c:v>43782</c:v>
                </c:pt>
                <c:pt idx="886">
                  <c:v>43783</c:v>
                </c:pt>
                <c:pt idx="887">
                  <c:v>43784</c:v>
                </c:pt>
                <c:pt idx="888">
                  <c:v>43787</c:v>
                </c:pt>
                <c:pt idx="889">
                  <c:v>43788</c:v>
                </c:pt>
                <c:pt idx="890">
                  <c:v>43789</c:v>
                </c:pt>
                <c:pt idx="891">
                  <c:v>43790</c:v>
                </c:pt>
                <c:pt idx="892">
                  <c:v>43791</c:v>
                </c:pt>
                <c:pt idx="893">
                  <c:v>43794</c:v>
                </c:pt>
                <c:pt idx="894">
                  <c:v>43795</c:v>
                </c:pt>
                <c:pt idx="895">
                  <c:v>43796</c:v>
                </c:pt>
                <c:pt idx="896">
                  <c:v>43797</c:v>
                </c:pt>
                <c:pt idx="897">
                  <c:v>43798</c:v>
                </c:pt>
                <c:pt idx="898">
                  <c:v>43801</c:v>
                </c:pt>
                <c:pt idx="899">
                  <c:v>43802</c:v>
                </c:pt>
                <c:pt idx="900">
                  <c:v>43803</c:v>
                </c:pt>
                <c:pt idx="901">
                  <c:v>43804</c:v>
                </c:pt>
                <c:pt idx="902">
                  <c:v>43805</c:v>
                </c:pt>
                <c:pt idx="903">
                  <c:v>43808</c:v>
                </c:pt>
                <c:pt idx="904">
                  <c:v>43809</c:v>
                </c:pt>
                <c:pt idx="905">
                  <c:v>43810</c:v>
                </c:pt>
                <c:pt idx="906">
                  <c:v>43811</c:v>
                </c:pt>
                <c:pt idx="907">
                  <c:v>43812</c:v>
                </c:pt>
                <c:pt idx="908">
                  <c:v>43815</c:v>
                </c:pt>
                <c:pt idx="909">
                  <c:v>43816</c:v>
                </c:pt>
                <c:pt idx="910">
                  <c:v>43817</c:v>
                </c:pt>
                <c:pt idx="911">
                  <c:v>43818</c:v>
                </c:pt>
                <c:pt idx="912">
                  <c:v>43819</c:v>
                </c:pt>
                <c:pt idx="913">
                  <c:v>43822</c:v>
                </c:pt>
                <c:pt idx="914">
                  <c:v>43823</c:v>
                </c:pt>
                <c:pt idx="915">
                  <c:v>43826</c:v>
                </c:pt>
                <c:pt idx="916">
                  <c:v>43829</c:v>
                </c:pt>
                <c:pt idx="917">
                  <c:v>43830</c:v>
                </c:pt>
                <c:pt idx="918">
                  <c:v>43832</c:v>
                </c:pt>
                <c:pt idx="919">
                  <c:v>43833</c:v>
                </c:pt>
                <c:pt idx="920">
                  <c:v>43836</c:v>
                </c:pt>
                <c:pt idx="921">
                  <c:v>43837</c:v>
                </c:pt>
                <c:pt idx="922">
                  <c:v>43838</c:v>
                </c:pt>
                <c:pt idx="923">
                  <c:v>43839</c:v>
                </c:pt>
                <c:pt idx="924">
                  <c:v>43840</c:v>
                </c:pt>
                <c:pt idx="925">
                  <c:v>43843</c:v>
                </c:pt>
                <c:pt idx="926">
                  <c:v>43844</c:v>
                </c:pt>
                <c:pt idx="927">
                  <c:v>43845</c:v>
                </c:pt>
                <c:pt idx="928">
                  <c:v>43846</c:v>
                </c:pt>
                <c:pt idx="929">
                  <c:v>43847</c:v>
                </c:pt>
                <c:pt idx="930">
                  <c:v>43850</c:v>
                </c:pt>
                <c:pt idx="931">
                  <c:v>43851</c:v>
                </c:pt>
                <c:pt idx="932">
                  <c:v>43852</c:v>
                </c:pt>
                <c:pt idx="933">
                  <c:v>43853</c:v>
                </c:pt>
                <c:pt idx="934">
                  <c:v>43854</c:v>
                </c:pt>
                <c:pt idx="935">
                  <c:v>43857</c:v>
                </c:pt>
                <c:pt idx="936">
                  <c:v>43858</c:v>
                </c:pt>
                <c:pt idx="937">
                  <c:v>43859</c:v>
                </c:pt>
                <c:pt idx="938">
                  <c:v>43860</c:v>
                </c:pt>
                <c:pt idx="939">
                  <c:v>43861</c:v>
                </c:pt>
                <c:pt idx="940">
                  <c:v>43864</c:v>
                </c:pt>
                <c:pt idx="941">
                  <c:v>43865</c:v>
                </c:pt>
                <c:pt idx="942">
                  <c:v>43866</c:v>
                </c:pt>
                <c:pt idx="943">
                  <c:v>43867</c:v>
                </c:pt>
                <c:pt idx="944">
                  <c:v>43868</c:v>
                </c:pt>
                <c:pt idx="945">
                  <c:v>43871</c:v>
                </c:pt>
                <c:pt idx="946">
                  <c:v>43872</c:v>
                </c:pt>
                <c:pt idx="947">
                  <c:v>43873</c:v>
                </c:pt>
                <c:pt idx="948">
                  <c:v>43874</c:v>
                </c:pt>
                <c:pt idx="949">
                  <c:v>43875</c:v>
                </c:pt>
                <c:pt idx="950">
                  <c:v>43878</c:v>
                </c:pt>
                <c:pt idx="951">
                  <c:v>43879</c:v>
                </c:pt>
                <c:pt idx="952">
                  <c:v>43880</c:v>
                </c:pt>
                <c:pt idx="953">
                  <c:v>43881</c:v>
                </c:pt>
                <c:pt idx="954">
                  <c:v>43882</c:v>
                </c:pt>
                <c:pt idx="955">
                  <c:v>43885</c:v>
                </c:pt>
                <c:pt idx="956">
                  <c:v>43886</c:v>
                </c:pt>
                <c:pt idx="957">
                  <c:v>43887</c:v>
                </c:pt>
                <c:pt idx="958">
                  <c:v>43888</c:v>
                </c:pt>
                <c:pt idx="959">
                  <c:v>43889</c:v>
                </c:pt>
                <c:pt idx="960">
                  <c:v>43892</c:v>
                </c:pt>
                <c:pt idx="961">
                  <c:v>43893</c:v>
                </c:pt>
                <c:pt idx="962">
                  <c:v>43894</c:v>
                </c:pt>
                <c:pt idx="963">
                  <c:v>43895</c:v>
                </c:pt>
                <c:pt idx="964">
                  <c:v>43896</c:v>
                </c:pt>
                <c:pt idx="965">
                  <c:v>43899</c:v>
                </c:pt>
                <c:pt idx="966">
                  <c:v>43900</c:v>
                </c:pt>
                <c:pt idx="967">
                  <c:v>43901</c:v>
                </c:pt>
                <c:pt idx="968">
                  <c:v>43902</c:v>
                </c:pt>
                <c:pt idx="969">
                  <c:v>43903</c:v>
                </c:pt>
                <c:pt idx="970">
                  <c:v>43906</c:v>
                </c:pt>
                <c:pt idx="971">
                  <c:v>43907</c:v>
                </c:pt>
                <c:pt idx="972">
                  <c:v>43908</c:v>
                </c:pt>
                <c:pt idx="973">
                  <c:v>43909</c:v>
                </c:pt>
                <c:pt idx="974">
                  <c:v>43910</c:v>
                </c:pt>
                <c:pt idx="975">
                  <c:v>43913</c:v>
                </c:pt>
                <c:pt idx="976">
                  <c:v>43914</c:v>
                </c:pt>
                <c:pt idx="977">
                  <c:v>43915</c:v>
                </c:pt>
                <c:pt idx="978">
                  <c:v>43916</c:v>
                </c:pt>
                <c:pt idx="979">
                  <c:v>43917</c:v>
                </c:pt>
                <c:pt idx="980">
                  <c:v>43920</c:v>
                </c:pt>
                <c:pt idx="981">
                  <c:v>43921</c:v>
                </c:pt>
                <c:pt idx="982">
                  <c:v>43922</c:v>
                </c:pt>
                <c:pt idx="983">
                  <c:v>43923</c:v>
                </c:pt>
                <c:pt idx="984">
                  <c:v>43924</c:v>
                </c:pt>
                <c:pt idx="985">
                  <c:v>43927</c:v>
                </c:pt>
                <c:pt idx="986">
                  <c:v>43928</c:v>
                </c:pt>
                <c:pt idx="987">
                  <c:v>43929</c:v>
                </c:pt>
                <c:pt idx="988">
                  <c:v>43930</c:v>
                </c:pt>
                <c:pt idx="989">
                  <c:v>43935</c:v>
                </c:pt>
                <c:pt idx="990">
                  <c:v>43936</c:v>
                </c:pt>
                <c:pt idx="991">
                  <c:v>43937</c:v>
                </c:pt>
                <c:pt idx="992">
                  <c:v>43938</c:v>
                </c:pt>
                <c:pt idx="993">
                  <c:v>43941</c:v>
                </c:pt>
                <c:pt idx="994">
                  <c:v>43942</c:v>
                </c:pt>
                <c:pt idx="995">
                  <c:v>43943</c:v>
                </c:pt>
                <c:pt idx="996">
                  <c:v>43944</c:v>
                </c:pt>
                <c:pt idx="997">
                  <c:v>43945</c:v>
                </c:pt>
                <c:pt idx="998">
                  <c:v>43948</c:v>
                </c:pt>
                <c:pt idx="999">
                  <c:v>43949</c:v>
                </c:pt>
                <c:pt idx="1000">
                  <c:v>43950</c:v>
                </c:pt>
                <c:pt idx="1001">
                  <c:v>43951</c:v>
                </c:pt>
                <c:pt idx="1002">
                  <c:v>43955</c:v>
                </c:pt>
                <c:pt idx="1003">
                  <c:v>43956</c:v>
                </c:pt>
                <c:pt idx="1004">
                  <c:v>43957</c:v>
                </c:pt>
                <c:pt idx="1005">
                  <c:v>43958</c:v>
                </c:pt>
                <c:pt idx="1006">
                  <c:v>43959</c:v>
                </c:pt>
                <c:pt idx="1007">
                  <c:v>43962</c:v>
                </c:pt>
                <c:pt idx="1008">
                  <c:v>43963</c:v>
                </c:pt>
                <c:pt idx="1009">
                  <c:v>43964</c:v>
                </c:pt>
                <c:pt idx="1010">
                  <c:v>43965</c:v>
                </c:pt>
                <c:pt idx="1011">
                  <c:v>43966</c:v>
                </c:pt>
                <c:pt idx="1012">
                  <c:v>43969</c:v>
                </c:pt>
                <c:pt idx="1013">
                  <c:v>43970</c:v>
                </c:pt>
                <c:pt idx="1014">
                  <c:v>43971</c:v>
                </c:pt>
                <c:pt idx="1015">
                  <c:v>43972</c:v>
                </c:pt>
                <c:pt idx="1016">
                  <c:v>43973</c:v>
                </c:pt>
                <c:pt idx="1017">
                  <c:v>43976</c:v>
                </c:pt>
                <c:pt idx="1018">
                  <c:v>43977</c:v>
                </c:pt>
                <c:pt idx="1019">
                  <c:v>43978</c:v>
                </c:pt>
                <c:pt idx="1020">
                  <c:v>43979</c:v>
                </c:pt>
                <c:pt idx="1021">
                  <c:v>43980</c:v>
                </c:pt>
                <c:pt idx="1022">
                  <c:v>43983</c:v>
                </c:pt>
                <c:pt idx="1023">
                  <c:v>43984</c:v>
                </c:pt>
                <c:pt idx="1024">
                  <c:v>43985</c:v>
                </c:pt>
                <c:pt idx="1025">
                  <c:v>43986</c:v>
                </c:pt>
                <c:pt idx="1026">
                  <c:v>43987</c:v>
                </c:pt>
                <c:pt idx="1027">
                  <c:v>43990</c:v>
                </c:pt>
                <c:pt idx="1028">
                  <c:v>43991</c:v>
                </c:pt>
                <c:pt idx="1029">
                  <c:v>43992</c:v>
                </c:pt>
                <c:pt idx="1030">
                  <c:v>43993</c:v>
                </c:pt>
                <c:pt idx="1031">
                  <c:v>43994</c:v>
                </c:pt>
                <c:pt idx="1032">
                  <c:v>43997</c:v>
                </c:pt>
                <c:pt idx="1033">
                  <c:v>43998</c:v>
                </c:pt>
                <c:pt idx="1034">
                  <c:v>43999</c:v>
                </c:pt>
                <c:pt idx="1035">
                  <c:v>44000</c:v>
                </c:pt>
                <c:pt idx="1036">
                  <c:v>44001</c:v>
                </c:pt>
                <c:pt idx="1037">
                  <c:v>44004</c:v>
                </c:pt>
                <c:pt idx="1038">
                  <c:v>44005</c:v>
                </c:pt>
                <c:pt idx="1039">
                  <c:v>44006</c:v>
                </c:pt>
                <c:pt idx="1040">
                  <c:v>44007</c:v>
                </c:pt>
                <c:pt idx="1041">
                  <c:v>44008</c:v>
                </c:pt>
                <c:pt idx="1042">
                  <c:v>44011</c:v>
                </c:pt>
                <c:pt idx="1043">
                  <c:v>44012</c:v>
                </c:pt>
                <c:pt idx="1044">
                  <c:v>44013</c:v>
                </c:pt>
                <c:pt idx="1045">
                  <c:v>44014</c:v>
                </c:pt>
                <c:pt idx="1046">
                  <c:v>44015</c:v>
                </c:pt>
                <c:pt idx="1047">
                  <c:v>44018</c:v>
                </c:pt>
                <c:pt idx="1048">
                  <c:v>44019</c:v>
                </c:pt>
                <c:pt idx="1049">
                  <c:v>44020</c:v>
                </c:pt>
                <c:pt idx="1050">
                  <c:v>44021</c:v>
                </c:pt>
                <c:pt idx="1051">
                  <c:v>44022</c:v>
                </c:pt>
                <c:pt idx="1052">
                  <c:v>44025</c:v>
                </c:pt>
                <c:pt idx="1053">
                  <c:v>44026</c:v>
                </c:pt>
                <c:pt idx="1054">
                  <c:v>44027</c:v>
                </c:pt>
                <c:pt idx="1055">
                  <c:v>44028</c:v>
                </c:pt>
                <c:pt idx="1056">
                  <c:v>44029</c:v>
                </c:pt>
                <c:pt idx="1057">
                  <c:v>44032</c:v>
                </c:pt>
                <c:pt idx="1058">
                  <c:v>44033</c:v>
                </c:pt>
                <c:pt idx="1059">
                  <c:v>44034</c:v>
                </c:pt>
                <c:pt idx="1060">
                  <c:v>44035</c:v>
                </c:pt>
                <c:pt idx="1061">
                  <c:v>44036</c:v>
                </c:pt>
                <c:pt idx="1062">
                  <c:v>44039</c:v>
                </c:pt>
                <c:pt idx="1063">
                  <c:v>44040</c:v>
                </c:pt>
                <c:pt idx="1064">
                  <c:v>44041</c:v>
                </c:pt>
                <c:pt idx="1065">
                  <c:v>44042</c:v>
                </c:pt>
                <c:pt idx="1066">
                  <c:v>44043</c:v>
                </c:pt>
                <c:pt idx="1067">
                  <c:v>44046</c:v>
                </c:pt>
                <c:pt idx="1068">
                  <c:v>44047</c:v>
                </c:pt>
                <c:pt idx="1069">
                  <c:v>44048</c:v>
                </c:pt>
                <c:pt idx="1070">
                  <c:v>44049</c:v>
                </c:pt>
                <c:pt idx="1071">
                  <c:v>44050</c:v>
                </c:pt>
                <c:pt idx="1072">
                  <c:v>44053</c:v>
                </c:pt>
                <c:pt idx="1073">
                  <c:v>44054</c:v>
                </c:pt>
                <c:pt idx="1074">
                  <c:v>44055</c:v>
                </c:pt>
                <c:pt idx="1075">
                  <c:v>44056</c:v>
                </c:pt>
                <c:pt idx="1076">
                  <c:v>44057</c:v>
                </c:pt>
                <c:pt idx="1077">
                  <c:v>44060</c:v>
                </c:pt>
                <c:pt idx="1078">
                  <c:v>44061</c:v>
                </c:pt>
                <c:pt idx="1079">
                  <c:v>44062</c:v>
                </c:pt>
                <c:pt idx="1080">
                  <c:v>44063</c:v>
                </c:pt>
                <c:pt idx="1081">
                  <c:v>44064</c:v>
                </c:pt>
                <c:pt idx="1082">
                  <c:v>44067</c:v>
                </c:pt>
                <c:pt idx="1083">
                  <c:v>44068</c:v>
                </c:pt>
                <c:pt idx="1084">
                  <c:v>44069</c:v>
                </c:pt>
                <c:pt idx="1085">
                  <c:v>44070</c:v>
                </c:pt>
                <c:pt idx="1086">
                  <c:v>44071</c:v>
                </c:pt>
                <c:pt idx="1087">
                  <c:v>44074</c:v>
                </c:pt>
                <c:pt idx="1088">
                  <c:v>44075</c:v>
                </c:pt>
                <c:pt idx="1089">
                  <c:v>44076</c:v>
                </c:pt>
                <c:pt idx="1090">
                  <c:v>44077</c:v>
                </c:pt>
                <c:pt idx="1091">
                  <c:v>44078</c:v>
                </c:pt>
                <c:pt idx="1092">
                  <c:v>44081</c:v>
                </c:pt>
                <c:pt idx="1093">
                  <c:v>44082</c:v>
                </c:pt>
                <c:pt idx="1094">
                  <c:v>44083</c:v>
                </c:pt>
                <c:pt idx="1095">
                  <c:v>44084</c:v>
                </c:pt>
                <c:pt idx="1096">
                  <c:v>44085</c:v>
                </c:pt>
                <c:pt idx="1097">
                  <c:v>44088</c:v>
                </c:pt>
                <c:pt idx="1098">
                  <c:v>44089</c:v>
                </c:pt>
                <c:pt idx="1099">
                  <c:v>44090</c:v>
                </c:pt>
                <c:pt idx="1100">
                  <c:v>44091</c:v>
                </c:pt>
                <c:pt idx="1101">
                  <c:v>44092</c:v>
                </c:pt>
                <c:pt idx="1102">
                  <c:v>44095</c:v>
                </c:pt>
                <c:pt idx="1103">
                  <c:v>44096</c:v>
                </c:pt>
                <c:pt idx="1104">
                  <c:v>44097</c:v>
                </c:pt>
                <c:pt idx="1105">
                  <c:v>44098</c:v>
                </c:pt>
                <c:pt idx="1106">
                  <c:v>44099</c:v>
                </c:pt>
                <c:pt idx="1107">
                  <c:v>44102</c:v>
                </c:pt>
                <c:pt idx="1108">
                  <c:v>44103</c:v>
                </c:pt>
                <c:pt idx="1109">
                  <c:v>44104</c:v>
                </c:pt>
                <c:pt idx="1110">
                  <c:v>44105</c:v>
                </c:pt>
                <c:pt idx="1111">
                  <c:v>44106</c:v>
                </c:pt>
                <c:pt idx="1112">
                  <c:v>44109</c:v>
                </c:pt>
                <c:pt idx="1113">
                  <c:v>44110</c:v>
                </c:pt>
                <c:pt idx="1114">
                  <c:v>44111</c:v>
                </c:pt>
                <c:pt idx="1115">
                  <c:v>44112</c:v>
                </c:pt>
                <c:pt idx="1116">
                  <c:v>44113</c:v>
                </c:pt>
                <c:pt idx="1117">
                  <c:v>44116</c:v>
                </c:pt>
                <c:pt idx="1118">
                  <c:v>44117</c:v>
                </c:pt>
                <c:pt idx="1119">
                  <c:v>44118</c:v>
                </c:pt>
                <c:pt idx="1120">
                  <c:v>44119</c:v>
                </c:pt>
                <c:pt idx="1121">
                  <c:v>44120</c:v>
                </c:pt>
                <c:pt idx="1122">
                  <c:v>44123</c:v>
                </c:pt>
                <c:pt idx="1123">
                  <c:v>44124</c:v>
                </c:pt>
                <c:pt idx="1124">
                  <c:v>44125</c:v>
                </c:pt>
                <c:pt idx="1125">
                  <c:v>44126</c:v>
                </c:pt>
                <c:pt idx="1126">
                  <c:v>44127</c:v>
                </c:pt>
                <c:pt idx="1127">
                  <c:v>44130</c:v>
                </c:pt>
                <c:pt idx="1128">
                  <c:v>44131</c:v>
                </c:pt>
                <c:pt idx="1129">
                  <c:v>44132</c:v>
                </c:pt>
                <c:pt idx="1130">
                  <c:v>44133</c:v>
                </c:pt>
                <c:pt idx="1131">
                  <c:v>44134</c:v>
                </c:pt>
                <c:pt idx="1132">
                  <c:v>44137</c:v>
                </c:pt>
                <c:pt idx="1133">
                  <c:v>44138</c:v>
                </c:pt>
                <c:pt idx="1134">
                  <c:v>44139</c:v>
                </c:pt>
                <c:pt idx="1135">
                  <c:v>44140</c:v>
                </c:pt>
                <c:pt idx="1136">
                  <c:v>44141</c:v>
                </c:pt>
                <c:pt idx="1137">
                  <c:v>44144</c:v>
                </c:pt>
                <c:pt idx="1138">
                  <c:v>44145</c:v>
                </c:pt>
                <c:pt idx="1139">
                  <c:v>44146</c:v>
                </c:pt>
                <c:pt idx="1140">
                  <c:v>44147</c:v>
                </c:pt>
                <c:pt idx="1141">
                  <c:v>44148</c:v>
                </c:pt>
                <c:pt idx="1142">
                  <c:v>44151</c:v>
                </c:pt>
                <c:pt idx="1143">
                  <c:v>44152</c:v>
                </c:pt>
                <c:pt idx="1144">
                  <c:v>44153</c:v>
                </c:pt>
                <c:pt idx="1145">
                  <c:v>44154</c:v>
                </c:pt>
                <c:pt idx="1146">
                  <c:v>44155</c:v>
                </c:pt>
                <c:pt idx="1147">
                  <c:v>44158</c:v>
                </c:pt>
                <c:pt idx="1148">
                  <c:v>44159</c:v>
                </c:pt>
                <c:pt idx="1149">
                  <c:v>44160</c:v>
                </c:pt>
                <c:pt idx="1150">
                  <c:v>44161</c:v>
                </c:pt>
                <c:pt idx="1151">
                  <c:v>44162</c:v>
                </c:pt>
                <c:pt idx="1152">
                  <c:v>44165</c:v>
                </c:pt>
                <c:pt idx="1153">
                  <c:v>44166</c:v>
                </c:pt>
                <c:pt idx="1154">
                  <c:v>44167</c:v>
                </c:pt>
                <c:pt idx="1155">
                  <c:v>44168</c:v>
                </c:pt>
                <c:pt idx="1156">
                  <c:v>44169</c:v>
                </c:pt>
                <c:pt idx="1157">
                  <c:v>44172</c:v>
                </c:pt>
                <c:pt idx="1158">
                  <c:v>44173</c:v>
                </c:pt>
                <c:pt idx="1159">
                  <c:v>44174</c:v>
                </c:pt>
                <c:pt idx="1160">
                  <c:v>44175</c:v>
                </c:pt>
                <c:pt idx="1161">
                  <c:v>44176</c:v>
                </c:pt>
                <c:pt idx="1162">
                  <c:v>44179</c:v>
                </c:pt>
                <c:pt idx="1163">
                  <c:v>44180</c:v>
                </c:pt>
                <c:pt idx="1164">
                  <c:v>44181</c:v>
                </c:pt>
                <c:pt idx="1165">
                  <c:v>44182</c:v>
                </c:pt>
                <c:pt idx="1166">
                  <c:v>44183</c:v>
                </c:pt>
                <c:pt idx="1167">
                  <c:v>44186</c:v>
                </c:pt>
                <c:pt idx="1168">
                  <c:v>44187</c:v>
                </c:pt>
                <c:pt idx="1169">
                  <c:v>44188</c:v>
                </c:pt>
                <c:pt idx="1170">
                  <c:v>44189</c:v>
                </c:pt>
                <c:pt idx="1171">
                  <c:v>44193</c:v>
                </c:pt>
                <c:pt idx="1172">
                  <c:v>44194</c:v>
                </c:pt>
                <c:pt idx="1173">
                  <c:v>44195</c:v>
                </c:pt>
                <c:pt idx="1174">
                  <c:v>44196</c:v>
                </c:pt>
                <c:pt idx="1175">
                  <c:v>44200</c:v>
                </c:pt>
                <c:pt idx="1176">
                  <c:v>44201</c:v>
                </c:pt>
                <c:pt idx="1177">
                  <c:v>44202</c:v>
                </c:pt>
                <c:pt idx="1178">
                  <c:v>44203</c:v>
                </c:pt>
                <c:pt idx="1179">
                  <c:v>44204</c:v>
                </c:pt>
                <c:pt idx="1180">
                  <c:v>44207</c:v>
                </c:pt>
                <c:pt idx="1181">
                  <c:v>44208</c:v>
                </c:pt>
                <c:pt idx="1182">
                  <c:v>44209</c:v>
                </c:pt>
                <c:pt idx="1183">
                  <c:v>44210</c:v>
                </c:pt>
                <c:pt idx="1184">
                  <c:v>44211</c:v>
                </c:pt>
                <c:pt idx="1185">
                  <c:v>44214</c:v>
                </c:pt>
                <c:pt idx="1186">
                  <c:v>44215</c:v>
                </c:pt>
                <c:pt idx="1187">
                  <c:v>44216</c:v>
                </c:pt>
                <c:pt idx="1188">
                  <c:v>44217</c:v>
                </c:pt>
                <c:pt idx="1189">
                  <c:v>44218</c:v>
                </c:pt>
                <c:pt idx="1190">
                  <c:v>44221</c:v>
                </c:pt>
                <c:pt idx="1191">
                  <c:v>44222</c:v>
                </c:pt>
                <c:pt idx="1192">
                  <c:v>44223</c:v>
                </c:pt>
                <c:pt idx="1193">
                  <c:v>44224</c:v>
                </c:pt>
                <c:pt idx="1194">
                  <c:v>44225</c:v>
                </c:pt>
                <c:pt idx="1195">
                  <c:v>44228</c:v>
                </c:pt>
                <c:pt idx="1196">
                  <c:v>44229</c:v>
                </c:pt>
                <c:pt idx="1197">
                  <c:v>44230</c:v>
                </c:pt>
                <c:pt idx="1198">
                  <c:v>44231</c:v>
                </c:pt>
                <c:pt idx="1199">
                  <c:v>44232</c:v>
                </c:pt>
                <c:pt idx="1200">
                  <c:v>44235</c:v>
                </c:pt>
                <c:pt idx="1201">
                  <c:v>44236</c:v>
                </c:pt>
                <c:pt idx="1202">
                  <c:v>44237</c:v>
                </c:pt>
                <c:pt idx="1203">
                  <c:v>44238</c:v>
                </c:pt>
                <c:pt idx="1204">
                  <c:v>44239</c:v>
                </c:pt>
                <c:pt idx="1205">
                  <c:v>44242</c:v>
                </c:pt>
                <c:pt idx="1206">
                  <c:v>44243</c:v>
                </c:pt>
                <c:pt idx="1207">
                  <c:v>44244</c:v>
                </c:pt>
                <c:pt idx="1208">
                  <c:v>44245</c:v>
                </c:pt>
                <c:pt idx="1209">
                  <c:v>44246</c:v>
                </c:pt>
                <c:pt idx="1210">
                  <c:v>44249</c:v>
                </c:pt>
                <c:pt idx="1211">
                  <c:v>44250</c:v>
                </c:pt>
                <c:pt idx="1212">
                  <c:v>44251</c:v>
                </c:pt>
                <c:pt idx="1213">
                  <c:v>44252</c:v>
                </c:pt>
                <c:pt idx="1214">
                  <c:v>44253</c:v>
                </c:pt>
                <c:pt idx="1215">
                  <c:v>44256</c:v>
                </c:pt>
                <c:pt idx="1216">
                  <c:v>44257</c:v>
                </c:pt>
                <c:pt idx="1217">
                  <c:v>44258</c:v>
                </c:pt>
                <c:pt idx="1218">
                  <c:v>44259</c:v>
                </c:pt>
                <c:pt idx="1219">
                  <c:v>44260</c:v>
                </c:pt>
                <c:pt idx="1220">
                  <c:v>44263</c:v>
                </c:pt>
                <c:pt idx="1221">
                  <c:v>44264</c:v>
                </c:pt>
                <c:pt idx="1222">
                  <c:v>44265</c:v>
                </c:pt>
                <c:pt idx="1223">
                  <c:v>44266</c:v>
                </c:pt>
                <c:pt idx="1224">
                  <c:v>44267</c:v>
                </c:pt>
                <c:pt idx="1225">
                  <c:v>44270</c:v>
                </c:pt>
                <c:pt idx="1226">
                  <c:v>44271</c:v>
                </c:pt>
                <c:pt idx="1227">
                  <c:v>44272</c:v>
                </c:pt>
                <c:pt idx="1228">
                  <c:v>44273</c:v>
                </c:pt>
                <c:pt idx="1229">
                  <c:v>44274</c:v>
                </c:pt>
                <c:pt idx="1230">
                  <c:v>44277</c:v>
                </c:pt>
                <c:pt idx="1231">
                  <c:v>44278</c:v>
                </c:pt>
                <c:pt idx="1232">
                  <c:v>44279</c:v>
                </c:pt>
                <c:pt idx="1233">
                  <c:v>44280</c:v>
                </c:pt>
                <c:pt idx="1234">
                  <c:v>44281</c:v>
                </c:pt>
                <c:pt idx="1235">
                  <c:v>44284</c:v>
                </c:pt>
                <c:pt idx="1236">
                  <c:v>44285</c:v>
                </c:pt>
                <c:pt idx="1237">
                  <c:v>44286</c:v>
                </c:pt>
                <c:pt idx="1238">
                  <c:v>44287</c:v>
                </c:pt>
                <c:pt idx="1239">
                  <c:v>44292</c:v>
                </c:pt>
                <c:pt idx="1240">
                  <c:v>44293</c:v>
                </c:pt>
                <c:pt idx="1241">
                  <c:v>44294</c:v>
                </c:pt>
                <c:pt idx="1242">
                  <c:v>44295</c:v>
                </c:pt>
                <c:pt idx="1243">
                  <c:v>44298</c:v>
                </c:pt>
                <c:pt idx="1244">
                  <c:v>44299</c:v>
                </c:pt>
                <c:pt idx="1245">
                  <c:v>44300</c:v>
                </c:pt>
                <c:pt idx="1246">
                  <c:v>44301</c:v>
                </c:pt>
                <c:pt idx="1247">
                  <c:v>44302</c:v>
                </c:pt>
                <c:pt idx="1248">
                  <c:v>44305</c:v>
                </c:pt>
                <c:pt idx="1249">
                  <c:v>44306</c:v>
                </c:pt>
                <c:pt idx="1250">
                  <c:v>44307</c:v>
                </c:pt>
                <c:pt idx="1251">
                  <c:v>44308</c:v>
                </c:pt>
                <c:pt idx="1252">
                  <c:v>44309</c:v>
                </c:pt>
                <c:pt idx="1253">
                  <c:v>44312</c:v>
                </c:pt>
                <c:pt idx="1254">
                  <c:v>44313</c:v>
                </c:pt>
                <c:pt idx="1255">
                  <c:v>44314</c:v>
                </c:pt>
                <c:pt idx="1256">
                  <c:v>44315</c:v>
                </c:pt>
                <c:pt idx="1257">
                  <c:v>44316</c:v>
                </c:pt>
                <c:pt idx="1258">
                  <c:v>44319</c:v>
                </c:pt>
                <c:pt idx="1259">
                  <c:v>44320</c:v>
                </c:pt>
                <c:pt idx="1260">
                  <c:v>44321</c:v>
                </c:pt>
                <c:pt idx="1261">
                  <c:v>44322</c:v>
                </c:pt>
                <c:pt idx="1262">
                  <c:v>44323</c:v>
                </c:pt>
                <c:pt idx="1263">
                  <c:v>44326</c:v>
                </c:pt>
                <c:pt idx="1264">
                  <c:v>44327</c:v>
                </c:pt>
                <c:pt idx="1265">
                  <c:v>44328</c:v>
                </c:pt>
                <c:pt idx="1266">
                  <c:v>44329</c:v>
                </c:pt>
                <c:pt idx="1267">
                  <c:v>44330</c:v>
                </c:pt>
                <c:pt idx="1268">
                  <c:v>44333</c:v>
                </c:pt>
                <c:pt idx="1269">
                  <c:v>44334</c:v>
                </c:pt>
                <c:pt idx="1270">
                  <c:v>44335</c:v>
                </c:pt>
                <c:pt idx="1271">
                  <c:v>44336</c:v>
                </c:pt>
                <c:pt idx="1272">
                  <c:v>44337</c:v>
                </c:pt>
                <c:pt idx="1273">
                  <c:v>44340</c:v>
                </c:pt>
                <c:pt idx="1274">
                  <c:v>44341</c:v>
                </c:pt>
                <c:pt idx="1275">
                  <c:v>44342</c:v>
                </c:pt>
                <c:pt idx="1276">
                  <c:v>44343</c:v>
                </c:pt>
                <c:pt idx="1277">
                  <c:v>44344</c:v>
                </c:pt>
                <c:pt idx="1278">
                  <c:v>44347</c:v>
                </c:pt>
                <c:pt idx="1279">
                  <c:v>44348</c:v>
                </c:pt>
                <c:pt idx="1280">
                  <c:v>44349</c:v>
                </c:pt>
                <c:pt idx="1281">
                  <c:v>44350</c:v>
                </c:pt>
                <c:pt idx="1282">
                  <c:v>44351</c:v>
                </c:pt>
                <c:pt idx="1283">
                  <c:v>44354</c:v>
                </c:pt>
                <c:pt idx="1284">
                  <c:v>44355</c:v>
                </c:pt>
                <c:pt idx="1285">
                  <c:v>44356</c:v>
                </c:pt>
                <c:pt idx="1286">
                  <c:v>44357</c:v>
                </c:pt>
                <c:pt idx="1287">
                  <c:v>44358</c:v>
                </c:pt>
                <c:pt idx="1288">
                  <c:v>44361</c:v>
                </c:pt>
                <c:pt idx="1289">
                  <c:v>44362</c:v>
                </c:pt>
                <c:pt idx="1290">
                  <c:v>44363</c:v>
                </c:pt>
                <c:pt idx="1291">
                  <c:v>44364</c:v>
                </c:pt>
                <c:pt idx="1292">
                  <c:v>44365</c:v>
                </c:pt>
                <c:pt idx="1293">
                  <c:v>44368</c:v>
                </c:pt>
                <c:pt idx="1294">
                  <c:v>44369</c:v>
                </c:pt>
                <c:pt idx="1295">
                  <c:v>44370</c:v>
                </c:pt>
                <c:pt idx="1296">
                  <c:v>44371</c:v>
                </c:pt>
                <c:pt idx="1297">
                  <c:v>44372</c:v>
                </c:pt>
                <c:pt idx="1298">
                  <c:v>44375</c:v>
                </c:pt>
                <c:pt idx="1299">
                  <c:v>44376</c:v>
                </c:pt>
                <c:pt idx="1300">
                  <c:v>44377</c:v>
                </c:pt>
                <c:pt idx="1301">
                  <c:v>44378</c:v>
                </c:pt>
                <c:pt idx="1302">
                  <c:v>44379</c:v>
                </c:pt>
                <c:pt idx="1303">
                  <c:v>44382</c:v>
                </c:pt>
                <c:pt idx="1304">
                  <c:v>44383</c:v>
                </c:pt>
                <c:pt idx="1305">
                  <c:v>44384</c:v>
                </c:pt>
                <c:pt idx="1306">
                  <c:v>44385</c:v>
                </c:pt>
                <c:pt idx="1307">
                  <c:v>44386</c:v>
                </c:pt>
                <c:pt idx="1308">
                  <c:v>44389</c:v>
                </c:pt>
                <c:pt idx="1309">
                  <c:v>44390</c:v>
                </c:pt>
                <c:pt idx="1310">
                  <c:v>44391</c:v>
                </c:pt>
                <c:pt idx="1311">
                  <c:v>44392</c:v>
                </c:pt>
                <c:pt idx="1312">
                  <c:v>44393</c:v>
                </c:pt>
                <c:pt idx="1313">
                  <c:v>44396</c:v>
                </c:pt>
                <c:pt idx="1314">
                  <c:v>44397</c:v>
                </c:pt>
                <c:pt idx="1315">
                  <c:v>44398</c:v>
                </c:pt>
                <c:pt idx="1316">
                  <c:v>44399</c:v>
                </c:pt>
                <c:pt idx="1317">
                  <c:v>44400</c:v>
                </c:pt>
                <c:pt idx="1318">
                  <c:v>44403</c:v>
                </c:pt>
                <c:pt idx="1319">
                  <c:v>44404</c:v>
                </c:pt>
                <c:pt idx="1320">
                  <c:v>44405</c:v>
                </c:pt>
                <c:pt idx="1321">
                  <c:v>44406</c:v>
                </c:pt>
                <c:pt idx="1322">
                  <c:v>44407</c:v>
                </c:pt>
                <c:pt idx="1323">
                  <c:v>44410</c:v>
                </c:pt>
                <c:pt idx="1324">
                  <c:v>44411</c:v>
                </c:pt>
                <c:pt idx="1325">
                  <c:v>44412</c:v>
                </c:pt>
                <c:pt idx="1326">
                  <c:v>44413</c:v>
                </c:pt>
                <c:pt idx="1327">
                  <c:v>44414</c:v>
                </c:pt>
                <c:pt idx="1328">
                  <c:v>44417</c:v>
                </c:pt>
                <c:pt idx="1329">
                  <c:v>44418</c:v>
                </c:pt>
                <c:pt idx="1330">
                  <c:v>44419</c:v>
                </c:pt>
                <c:pt idx="1331">
                  <c:v>44420</c:v>
                </c:pt>
                <c:pt idx="1332">
                  <c:v>44421</c:v>
                </c:pt>
                <c:pt idx="1333">
                  <c:v>44424</c:v>
                </c:pt>
                <c:pt idx="1334">
                  <c:v>44425</c:v>
                </c:pt>
                <c:pt idx="1335">
                  <c:v>44426</c:v>
                </c:pt>
                <c:pt idx="1336">
                  <c:v>44427</c:v>
                </c:pt>
                <c:pt idx="1337">
                  <c:v>44428</c:v>
                </c:pt>
                <c:pt idx="1338">
                  <c:v>44431</c:v>
                </c:pt>
                <c:pt idx="1339">
                  <c:v>44432</c:v>
                </c:pt>
                <c:pt idx="1340">
                  <c:v>44433</c:v>
                </c:pt>
                <c:pt idx="1341">
                  <c:v>44434</c:v>
                </c:pt>
                <c:pt idx="1342">
                  <c:v>44435</c:v>
                </c:pt>
                <c:pt idx="1343">
                  <c:v>44438</c:v>
                </c:pt>
                <c:pt idx="1344">
                  <c:v>44439</c:v>
                </c:pt>
                <c:pt idx="1345">
                  <c:v>44440</c:v>
                </c:pt>
                <c:pt idx="1346">
                  <c:v>44441</c:v>
                </c:pt>
                <c:pt idx="1347">
                  <c:v>44442</c:v>
                </c:pt>
                <c:pt idx="1348">
                  <c:v>44445</c:v>
                </c:pt>
                <c:pt idx="1349">
                  <c:v>44446</c:v>
                </c:pt>
                <c:pt idx="1350">
                  <c:v>44447</c:v>
                </c:pt>
                <c:pt idx="1351">
                  <c:v>44448</c:v>
                </c:pt>
                <c:pt idx="1352">
                  <c:v>44449</c:v>
                </c:pt>
                <c:pt idx="1353">
                  <c:v>44452</c:v>
                </c:pt>
                <c:pt idx="1354">
                  <c:v>44453</c:v>
                </c:pt>
                <c:pt idx="1355">
                  <c:v>44454</c:v>
                </c:pt>
                <c:pt idx="1356">
                  <c:v>44455</c:v>
                </c:pt>
                <c:pt idx="1357">
                  <c:v>44456</c:v>
                </c:pt>
                <c:pt idx="1358">
                  <c:v>44459</c:v>
                </c:pt>
                <c:pt idx="1359">
                  <c:v>44460</c:v>
                </c:pt>
                <c:pt idx="1360">
                  <c:v>44461</c:v>
                </c:pt>
                <c:pt idx="1361">
                  <c:v>44462</c:v>
                </c:pt>
                <c:pt idx="1362">
                  <c:v>44463</c:v>
                </c:pt>
                <c:pt idx="1363">
                  <c:v>44466</c:v>
                </c:pt>
                <c:pt idx="1364">
                  <c:v>44467</c:v>
                </c:pt>
                <c:pt idx="1365">
                  <c:v>44468</c:v>
                </c:pt>
                <c:pt idx="1366">
                  <c:v>44469</c:v>
                </c:pt>
                <c:pt idx="1367">
                  <c:v>44470</c:v>
                </c:pt>
                <c:pt idx="1368">
                  <c:v>44473</c:v>
                </c:pt>
                <c:pt idx="1369">
                  <c:v>44474</c:v>
                </c:pt>
                <c:pt idx="1370">
                  <c:v>44475</c:v>
                </c:pt>
                <c:pt idx="1371">
                  <c:v>44476</c:v>
                </c:pt>
                <c:pt idx="1372">
                  <c:v>44477</c:v>
                </c:pt>
                <c:pt idx="1373">
                  <c:v>44480</c:v>
                </c:pt>
                <c:pt idx="1374">
                  <c:v>44481</c:v>
                </c:pt>
                <c:pt idx="1375">
                  <c:v>44482</c:v>
                </c:pt>
                <c:pt idx="1376">
                  <c:v>44483</c:v>
                </c:pt>
                <c:pt idx="1377">
                  <c:v>44484</c:v>
                </c:pt>
                <c:pt idx="1378">
                  <c:v>44487</c:v>
                </c:pt>
                <c:pt idx="1379">
                  <c:v>44488</c:v>
                </c:pt>
                <c:pt idx="1380">
                  <c:v>44489</c:v>
                </c:pt>
                <c:pt idx="1381">
                  <c:v>44490</c:v>
                </c:pt>
                <c:pt idx="1382">
                  <c:v>44491</c:v>
                </c:pt>
                <c:pt idx="1383">
                  <c:v>44494</c:v>
                </c:pt>
                <c:pt idx="1384">
                  <c:v>44495</c:v>
                </c:pt>
                <c:pt idx="1385">
                  <c:v>44496</c:v>
                </c:pt>
                <c:pt idx="1386">
                  <c:v>44497</c:v>
                </c:pt>
                <c:pt idx="1387">
                  <c:v>44498</c:v>
                </c:pt>
                <c:pt idx="1388">
                  <c:v>44501</c:v>
                </c:pt>
                <c:pt idx="1389">
                  <c:v>44502</c:v>
                </c:pt>
                <c:pt idx="1390">
                  <c:v>44503</c:v>
                </c:pt>
                <c:pt idx="1391">
                  <c:v>44504</c:v>
                </c:pt>
                <c:pt idx="1392">
                  <c:v>44505</c:v>
                </c:pt>
                <c:pt idx="1393">
                  <c:v>44508</c:v>
                </c:pt>
                <c:pt idx="1394">
                  <c:v>44509</c:v>
                </c:pt>
                <c:pt idx="1395">
                  <c:v>44510</c:v>
                </c:pt>
                <c:pt idx="1396">
                  <c:v>44511</c:v>
                </c:pt>
                <c:pt idx="1397">
                  <c:v>44512</c:v>
                </c:pt>
                <c:pt idx="1398">
                  <c:v>44515</c:v>
                </c:pt>
                <c:pt idx="1399">
                  <c:v>44516</c:v>
                </c:pt>
                <c:pt idx="1400">
                  <c:v>44517</c:v>
                </c:pt>
                <c:pt idx="1401">
                  <c:v>44518</c:v>
                </c:pt>
                <c:pt idx="1402">
                  <c:v>44519</c:v>
                </c:pt>
                <c:pt idx="1403">
                  <c:v>44522</c:v>
                </c:pt>
                <c:pt idx="1404">
                  <c:v>44523</c:v>
                </c:pt>
                <c:pt idx="1405">
                  <c:v>44524</c:v>
                </c:pt>
                <c:pt idx="1406">
                  <c:v>44525</c:v>
                </c:pt>
                <c:pt idx="1407">
                  <c:v>44526</c:v>
                </c:pt>
                <c:pt idx="1408">
                  <c:v>44529</c:v>
                </c:pt>
                <c:pt idx="1409">
                  <c:v>44530</c:v>
                </c:pt>
                <c:pt idx="1410">
                  <c:v>44531</c:v>
                </c:pt>
                <c:pt idx="1411">
                  <c:v>44532</c:v>
                </c:pt>
                <c:pt idx="1412">
                  <c:v>44533</c:v>
                </c:pt>
                <c:pt idx="1413">
                  <c:v>44536</c:v>
                </c:pt>
                <c:pt idx="1414">
                  <c:v>44537</c:v>
                </c:pt>
                <c:pt idx="1415">
                  <c:v>44538</c:v>
                </c:pt>
                <c:pt idx="1416">
                  <c:v>44539</c:v>
                </c:pt>
                <c:pt idx="1417">
                  <c:v>44540</c:v>
                </c:pt>
                <c:pt idx="1418">
                  <c:v>44543</c:v>
                </c:pt>
                <c:pt idx="1419">
                  <c:v>44544</c:v>
                </c:pt>
                <c:pt idx="1420">
                  <c:v>44545</c:v>
                </c:pt>
                <c:pt idx="1421">
                  <c:v>44546</c:v>
                </c:pt>
                <c:pt idx="1422">
                  <c:v>44547</c:v>
                </c:pt>
                <c:pt idx="1423">
                  <c:v>44550</c:v>
                </c:pt>
                <c:pt idx="1424">
                  <c:v>44551</c:v>
                </c:pt>
                <c:pt idx="1425">
                  <c:v>44552</c:v>
                </c:pt>
                <c:pt idx="1426">
                  <c:v>44553</c:v>
                </c:pt>
                <c:pt idx="1427">
                  <c:v>44554</c:v>
                </c:pt>
                <c:pt idx="1428">
                  <c:v>44557</c:v>
                </c:pt>
                <c:pt idx="1429">
                  <c:v>44558</c:v>
                </c:pt>
                <c:pt idx="1430">
                  <c:v>44559</c:v>
                </c:pt>
                <c:pt idx="1431">
                  <c:v>44560</c:v>
                </c:pt>
                <c:pt idx="1432">
                  <c:v>44561</c:v>
                </c:pt>
                <c:pt idx="1433">
                  <c:v>44564</c:v>
                </c:pt>
                <c:pt idx="1434">
                  <c:v>44565</c:v>
                </c:pt>
                <c:pt idx="1435">
                  <c:v>44566</c:v>
                </c:pt>
                <c:pt idx="1436">
                  <c:v>44567</c:v>
                </c:pt>
                <c:pt idx="1437">
                  <c:v>44568</c:v>
                </c:pt>
                <c:pt idx="1438">
                  <c:v>44571</c:v>
                </c:pt>
                <c:pt idx="1439">
                  <c:v>44572</c:v>
                </c:pt>
                <c:pt idx="1440">
                  <c:v>44573</c:v>
                </c:pt>
                <c:pt idx="1441">
                  <c:v>44574</c:v>
                </c:pt>
                <c:pt idx="1442">
                  <c:v>44575</c:v>
                </c:pt>
                <c:pt idx="1443">
                  <c:v>44578</c:v>
                </c:pt>
                <c:pt idx="1444">
                  <c:v>44579</c:v>
                </c:pt>
                <c:pt idx="1445">
                  <c:v>44580</c:v>
                </c:pt>
                <c:pt idx="1446">
                  <c:v>44581</c:v>
                </c:pt>
                <c:pt idx="1447">
                  <c:v>44582</c:v>
                </c:pt>
                <c:pt idx="1448">
                  <c:v>44585</c:v>
                </c:pt>
                <c:pt idx="1449">
                  <c:v>44586</c:v>
                </c:pt>
                <c:pt idx="1450">
                  <c:v>44587</c:v>
                </c:pt>
                <c:pt idx="1451">
                  <c:v>44588</c:v>
                </c:pt>
                <c:pt idx="1452">
                  <c:v>44589</c:v>
                </c:pt>
                <c:pt idx="1453">
                  <c:v>44592</c:v>
                </c:pt>
                <c:pt idx="1454">
                  <c:v>44593</c:v>
                </c:pt>
                <c:pt idx="1455">
                  <c:v>44594</c:v>
                </c:pt>
                <c:pt idx="1456">
                  <c:v>44595</c:v>
                </c:pt>
                <c:pt idx="1457">
                  <c:v>44596</c:v>
                </c:pt>
                <c:pt idx="1458">
                  <c:v>44599</c:v>
                </c:pt>
                <c:pt idx="1459">
                  <c:v>44600</c:v>
                </c:pt>
                <c:pt idx="1460">
                  <c:v>44601</c:v>
                </c:pt>
                <c:pt idx="1461">
                  <c:v>44602</c:v>
                </c:pt>
                <c:pt idx="1462">
                  <c:v>44603</c:v>
                </c:pt>
                <c:pt idx="1463">
                  <c:v>44606</c:v>
                </c:pt>
                <c:pt idx="1464">
                  <c:v>44607</c:v>
                </c:pt>
                <c:pt idx="1465">
                  <c:v>44608</c:v>
                </c:pt>
                <c:pt idx="1466">
                  <c:v>44609</c:v>
                </c:pt>
                <c:pt idx="1467">
                  <c:v>44610</c:v>
                </c:pt>
                <c:pt idx="1468">
                  <c:v>44613</c:v>
                </c:pt>
                <c:pt idx="1469">
                  <c:v>44614</c:v>
                </c:pt>
                <c:pt idx="1470">
                  <c:v>44615</c:v>
                </c:pt>
                <c:pt idx="1471">
                  <c:v>44616</c:v>
                </c:pt>
                <c:pt idx="1472">
                  <c:v>44617</c:v>
                </c:pt>
                <c:pt idx="1473">
                  <c:v>44620</c:v>
                </c:pt>
                <c:pt idx="1474">
                  <c:v>44621</c:v>
                </c:pt>
                <c:pt idx="1475">
                  <c:v>44622</c:v>
                </c:pt>
                <c:pt idx="1476">
                  <c:v>44623</c:v>
                </c:pt>
                <c:pt idx="1477">
                  <c:v>44624</c:v>
                </c:pt>
                <c:pt idx="1478">
                  <c:v>44627</c:v>
                </c:pt>
                <c:pt idx="1479">
                  <c:v>44628</c:v>
                </c:pt>
                <c:pt idx="1480">
                  <c:v>44629</c:v>
                </c:pt>
                <c:pt idx="1481">
                  <c:v>44630</c:v>
                </c:pt>
                <c:pt idx="1482">
                  <c:v>44631</c:v>
                </c:pt>
                <c:pt idx="1483">
                  <c:v>44634</c:v>
                </c:pt>
                <c:pt idx="1484">
                  <c:v>44635</c:v>
                </c:pt>
                <c:pt idx="1485">
                  <c:v>44636</c:v>
                </c:pt>
                <c:pt idx="1486">
                  <c:v>44637</c:v>
                </c:pt>
                <c:pt idx="1487">
                  <c:v>44638</c:v>
                </c:pt>
                <c:pt idx="1488">
                  <c:v>44641</c:v>
                </c:pt>
                <c:pt idx="1489">
                  <c:v>44642</c:v>
                </c:pt>
                <c:pt idx="1490">
                  <c:v>44643</c:v>
                </c:pt>
                <c:pt idx="1491">
                  <c:v>44644</c:v>
                </c:pt>
                <c:pt idx="1492">
                  <c:v>44645</c:v>
                </c:pt>
                <c:pt idx="1493">
                  <c:v>44648</c:v>
                </c:pt>
                <c:pt idx="1494">
                  <c:v>44649</c:v>
                </c:pt>
                <c:pt idx="1495">
                  <c:v>44650</c:v>
                </c:pt>
                <c:pt idx="1496">
                  <c:v>44651</c:v>
                </c:pt>
                <c:pt idx="1497">
                  <c:v>44652</c:v>
                </c:pt>
                <c:pt idx="1498">
                  <c:v>44655</c:v>
                </c:pt>
                <c:pt idx="1499">
                  <c:v>44656</c:v>
                </c:pt>
              </c:numCache>
            </c:numRef>
          </c:cat>
          <c:val>
            <c:numRef>
              <c:f>Forwards!$D$15:$D$1514</c:f>
              <c:numCache>
                <c:formatCode>0.00000%</c:formatCode>
                <c:ptCount val="1500"/>
                <c:pt idx="0">
                  <c:v>-3.4440720624618892E-3</c:v>
                </c:pt>
                <c:pt idx="1">
                  <c:v>-3.4440720625016352E-3</c:v>
                </c:pt>
                <c:pt idx="2">
                  <c:v>-3.3942425462049064E-3</c:v>
                </c:pt>
                <c:pt idx="3">
                  <c:v>-3.3896203136407621E-3</c:v>
                </c:pt>
                <c:pt idx="4">
                  <c:v>-3.3942425461650494E-3</c:v>
                </c:pt>
                <c:pt idx="5">
                  <c:v>-3.3942425462447634E-3</c:v>
                </c:pt>
                <c:pt idx="6">
                  <c:v>-3.3942425462049064E-3</c:v>
                </c:pt>
                <c:pt idx="7">
                  <c:v>-3.3942425462846204E-3</c:v>
                </c:pt>
                <c:pt idx="8">
                  <c:v>-3.394274962330357E-3</c:v>
                </c:pt>
                <c:pt idx="9">
                  <c:v>-3.3942425462447634E-3</c:v>
                </c:pt>
                <c:pt idx="10">
                  <c:v>-3.3942425461650494E-3</c:v>
                </c:pt>
                <c:pt idx="11">
                  <c:v>-3.3942425462845094E-3</c:v>
                </c:pt>
                <c:pt idx="12">
                  <c:v>-3.3942425462447634E-3</c:v>
                </c:pt>
                <c:pt idx="13">
                  <c:v>-3.3942700526261582E-3</c:v>
                </c:pt>
                <c:pt idx="14">
                  <c:v>-3.3942425462447634E-3</c:v>
                </c:pt>
                <c:pt idx="15">
                  <c:v>-3.3942425462049064E-3</c:v>
                </c:pt>
                <c:pt idx="16">
                  <c:v>-3.3942425462447634E-3</c:v>
                </c:pt>
                <c:pt idx="17">
                  <c:v>-3.3942425462447634E-3</c:v>
                </c:pt>
                <c:pt idx="18">
                  <c:v>-3.3942700578442064E-3</c:v>
                </c:pt>
                <c:pt idx="19">
                  <c:v>-3.3942425462447634E-3</c:v>
                </c:pt>
                <c:pt idx="20">
                  <c:v>-3.3942425462447634E-3</c:v>
                </c:pt>
                <c:pt idx="21">
                  <c:v>-3.3942425461650494E-3</c:v>
                </c:pt>
                <c:pt idx="22">
                  <c:v>-3.3942425462049064E-3</c:v>
                </c:pt>
                <c:pt idx="23">
                  <c:v>-3.3942700582425545E-3</c:v>
                </c:pt>
                <c:pt idx="24">
                  <c:v>-3.3942425462845094E-3</c:v>
                </c:pt>
                <c:pt idx="25">
                  <c:v>-3.3942425462049064E-3</c:v>
                </c:pt>
                <c:pt idx="26">
                  <c:v>-3.3942425462447634E-3</c:v>
                </c:pt>
                <c:pt idx="27">
                  <c:v>-3.3942425462447634E-3</c:v>
                </c:pt>
                <c:pt idx="28">
                  <c:v>-3.3942696492399449E-3</c:v>
                </c:pt>
                <c:pt idx="29">
                  <c:v>-3.3942425462845094E-3</c:v>
                </c:pt>
                <c:pt idx="30">
                  <c:v>-3.3942425462447634E-3</c:v>
                </c:pt>
                <c:pt idx="31">
                  <c:v>-3.3942425462447634E-3</c:v>
                </c:pt>
                <c:pt idx="32">
                  <c:v>-3.3942425461650494E-3</c:v>
                </c:pt>
                <c:pt idx="33">
                  <c:v>-3.3946573714039863E-3</c:v>
                </c:pt>
                <c:pt idx="34">
                  <c:v>-3.3942425462846204E-3</c:v>
                </c:pt>
                <c:pt idx="35">
                  <c:v>-3.3942425462049064E-3</c:v>
                </c:pt>
                <c:pt idx="36">
                  <c:v>-3.3942425462447634E-3</c:v>
                </c:pt>
                <c:pt idx="37">
                  <c:v>-3.4938990941222325E-3</c:v>
                </c:pt>
                <c:pt idx="38">
                  <c:v>-3.5032713609643995E-3</c:v>
                </c:pt>
                <c:pt idx="39">
                  <c:v>-3.4938990941620895E-3</c:v>
                </c:pt>
                <c:pt idx="40">
                  <c:v>-3.4938990941222325E-3</c:v>
                </c:pt>
                <c:pt idx="41">
                  <c:v>-3.4938990941620895E-3</c:v>
                </c:pt>
                <c:pt idx="42">
                  <c:v>-3.4938990941222325E-3</c:v>
                </c:pt>
                <c:pt idx="43">
                  <c:v>-3.4939183900070114E-3</c:v>
                </c:pt>
                <c:pt idx="44">
                  <c:v>-3.4938990940823755E-3</c:v>
                </c:pt>
                <c:pt idx="45">
                  <c:v>-3.4938990942018355E-3</c:v>
                </c:pt>
                <c:pt idx="46">
                  <c:v>-3.4938990941620895E-3</c:v>
                </c:pt>
                <c:pt idx="47">
                  <c:v>-3.4938990941222325E-3</c:v>
                </c:pt>
                <c:pt idx="48">
                  <c:v>-3.4939282553944073E-3</c:v>
                </c:pt>
                <c:pt idx="49">
                  <c:v>-3.4938990942019466E-3</c:v>
                </c:pt>
                <c:pt idx="50">
                  <c:v>-3.4938990941620895E-3</c:v>
                </c:pt>
                <c:pt idx="51">
                  <c:v>-3.4938990941620895E-3</c:v>
                </c:pt>
                <c:pt idx="52">
                  <c:v>-3.4938990941222325E-3</c:v>
                </c:pt>
                <c:pt idx="53">
                  <c:v>-3.4939282449593101E-3</c:v>
                </c:pt>
                <c:pt idx="54">
                  <c:v>-3.4938990942019466E-3</c:v>
                </c:pt>
                <c:pt idx="55">
                  <c:v>-3.4938990941620895E-3</c:v>
                </c:pt>
                <c:pt idx="56">
                  <c:v>-3.4938990942019466E-3</c:v>
                </c:pt>
                <c:pt idx="57">
                  <c:v>-3.4938990941222325E-3</c:v>
                </c:pt>
                <c:pt idx="58">
                  <c:v>-3.4939282459549581E-3</c:v>
                </c:pt>
                <c:pt idx="59">
                  <c:v>-3.4938990941222325E-3</c:v>
                </c:pt>
                <c:pt idx="60">
                  <c:v>-3.4938990941620895E-3</c:v>
                </c:pt>
                <c:pt idx="61">
                  <c:v>-3.4938990942018355E-3</c:v>
                </c:pt>
                <c:pt idx="62">
                  <c:v>-3.4938990940823755E-3</c:v>
                </c:pt>
                <c:pt idx="63">
                  <c:v>-3.4939273870475684E-3</c:v>
                </c:pt>
                <c:pt idx="64">
                  <c:v>-3.4938990940823755E-3</c:v>
                </c:pt>
                <c:pt idx="65">
                  <c:v>-3.4938990942019466E-3</c:v>
                </c:pt>
                <c:pt idx="66">
                  <c:v>-3.4938990941619785E-3</c:v>
                </c:pt>
                <c:pt idx="67">
                  <c:v>-3.4938990941620895E-3</c:v>
                </c:pt>
                <c:pt idx="68">
                  <c:v>-3.4947415233921308E-3</c:v>
                </c:pt>
                <c:pt idx="69">
                  <c:v>-3.4938990941620895E-3</c:v>
                </c:pt>
                <c:pt idx="70">
                  <c:v>-3.4938990941222325E-3</c:v>
                </c:pt>
                <c:pt idx="71">
                  <c:v>-3.4938990941620895E-3</c:v>
                </c:pt>
                <c:pt idx="72">
                  <c:v>-3.7031454990306134E-3</c:v>
                </c:pt>
                <c:pt idx="73">
                  <c:v>-3.7227945487662284E-3</c:v>
                </c:pt>
                <c:pt idx="74">
                  <c:v>-3.7031454990306134E-3</c:v>
                </c:pt>
                <c:pt idx="75">
                  <c:v>-3.7031454990306134E-3</c:v>
                </c:pt>
                <c:pt idx="76">
                  <c:v>-3.7031454989908674E-3</c:v>
                </c:pt>
                <c:pt idx="77">
                  <c:v>-3.7031454991103274E-3</c:v>
                </c:pt>
                <c:pt idx="78">
                  <c:v>-3.7031575551441653E-3</c:v>
                </c:pt>
                <c:pt idx="79">
                  <c:v>-3.7031454990306134E-3</c:v>
                </c:pt>
                <c:pt idx="80">
                  <c:v>-3.7031454989908674E-3</c:v>
                </c:pt>
                <c:pt idx="81">
                  <c:v>-3.7031454989908674E-3</c:v>
                </c:pt>
                <c:pt idx="82">
                  <c:v>-3.7031454990704704E-3</c:v>
                </c:pt>
                <c:pt idx="83">
                  <c:v>-3.7031782679801672E-3</c:v>
                </c:pt>
                <c:pt idx="84">
                  <c:v>-3.7031454990306134E-3</c:v>
                </c:pt>
                <c:pt idx="85">
                  <c:v>-3.7031454989908674E-3</c:v>
                </c:pt>
                <c:pt idx="86">
                  <c:v>-3.7031454991102164E-3</c:v>
                </c:pt>
                <c:pt idx="87">
                  <c:v>-3.7031454990704704E-3</c:v>
                </c:pt>
                <c:pt idx="88">
                  <c:v>-3.7031782465967167E-3</c:v>
                </c:pt>
                <c:pt idx="89">
                  <c:v>-3.7031454990704704E-3</c:v>
                </c:pt>
                <c:pt idx="90">
                  <c:v>-3.7031454989907564E-3</c:v>
                </c:pt>
                <c:pt idx="91">
                  <c:v>-3.7031454990704704E-3</c:v>
                </c:pt>
                <c:pt idx="92">
                  <c:v>-3.7031454990306134E-3</c:v>
                </c:pt>
                <c:pt idx="93">
                  <c:v>-3.7031777968646873E-3</c:v>
                </c:pt>
                <c:pt idx="94">
                  <c:v>-3.7031454989907564E-3</c:v>
                </c:pt>
                <c:pt idx="95">
                  <c:v>-3.7031454990704704E-3</c:v>
                </c:pt>
                <c:pt idx="96">
                  <c:v>-3.7031454990306134E-3</c:v>
                </c:pt>
                <c:pt idx="97">
                  <c:v>-3.7031454991103274E-3</c:v>
                </c:pt>
                <c:pt idx="98">
                  <c:v>-3.7036041612912296E-3</c:v>
                </c:pt>
                <c:pt idx="99">
                  <c:v>-3.7031454990306134E-3</c:v>
                </c:pt>
                <c:pt idx="100">
                  <c:v>-3.7031454990306134E-3</c:v>
                </c:pt>
                <c:pt idx="101">
                  <c:v>-3.7031454989908674E-3</c:v>
                </c:pt>
                <c:pt idx="102">
                  <c:v>-3.8127332717218243E-3</c:v>
                </c:pt>
                <c:pt idx="103">
                  <c:v>-3.8230421054191721E-3</c:v>
                </c:pt>
                <c:pt idx="104">
                  <c:v>-3.8127332717218243E-3</c:v>
                </c:pt>
                <c:pt idx="105">
                  <c:v>-3.8127332717218243E-3</c:v>
                </c:pt>
                <c:pt idx="106">
                  <c:v>-3.8127332716819673E-3</c:v>
                </c:pt>
                <c:pt idx="107">
                  <c:v>-3.8127332716819673E-3</c:v>
                </c:pt>
                <c:pt idx="108">
                  <c:v>-3.8127571487780454E-3</c:v>
                </c:pt>
                <c:pt idx="109">
                  <c:v>-3.8127332717218243E-3</c:v>
                </c:pt>
                <c:pt idx="110">
                  <c:v>-3.8127332716421103E-3</c:v>
                </c:pt>
                <c:pt idx="111">
                  <c:v>-3.8127332717218243E-3</c:v>
                </c:pt>
                <c:pt idx="112">
                  <c:v>-3.8127332716819673E-3</c:v>
                </c:pt>
                <c:pt idx="113">
                  <c:v>-3.8127679971022843E-3</c:v>
                </c:pt>
                <c:pt idx="114">
                  <c:v>-3.8127332716819673E-3</c:v>
                </c:pt>
                <c:pt idx="115">
                  <c:v>-3.8127332717218243E-3</c:v>
                </c:pt>
                <c:pt idx="116">
                  <c:v>-3.8127332717218243E-3</c:v>
                </c:pt>
                <c:pt idx="117">
                  <c:v>-3.8127332717218243E-3</c:v>
                </c:pt>
                <c:pt idx="118">
                  <c:v>-3.8127679856750918E-3</c:v>
                </c:pt>
                <c:pt idx="119">
                  <c:v>-3.8127332717616813E-3</c:v>
                </c:pt>
                <c:pt idx="120">
                  <c:v>-3.8127332717218243E-3</c:v>
                </c:pt>
                <c:pt idx="121">
                  <c:v>-3.8127332716819673E-3</c:v>
                </c:pt>
                <c:pt idx="122">
                  <c:v>-3.8127332717616813E-3</c:v>
                </c:pt>
                <c:pt idx="123">
                  <c:v>-3.8127679857148378E-3</c:v>
                </c:pt>
                <c:pt idx="124">
                  <c:v>-3.8127332716422213E-3</c:v>
                </c:pt>
                <c:pt idx="125">
                  <c:v>-3.8127332717218243E-3</c:v>
                </c:pt>
                <c:pt idx="126">
                  <c:v>-3.8127332716819673E-3</c:v>
                </c:pt>
                <c:pt idx="127">
                  <c:v>-3.8127332717615703E-3</c:v>
                </c:pt>
                <c:pt idx="128">
                  <c:v>-3.8127679780701751E-3</c:v>
                </c:pt>
                <c:pt idx="129">
                  <c:v>-3.8127332717616813E-3</c:v>
                </c:pt>
                <c:pt idx="130">
                  <c:v>-3.8127332716819673E-3</c:v>
                </c:pt>
                <c:pt idx="131">
                  <c:v>-3.8127332716819673E-3</c:v>
                </c:pt>
                <c:pt idx="132">
                  <c:v>-3.8127332717218243E-3</c:v>
                </c:pt>
                <c:pt idx="133">
                  <c:v>-3.8127752454968356E-3</c:v>
                </c:pt>
                <c:pt idx="134">
                  <c:v>-3.8127332716023643E-3</c:v>
                </c:pt>
                <c:pt idx="135">
                  <c:v>-3.8127332717218243E-3</c:v>
                </c:pt>
                <c:pt idx="136">
                  <c:v>-3.8127332716422213E-3</c:v>
                </c:pt>
                <c:pt idx="137">
                  <c:v>-3.8151890186519655E-3</c:v>
                </c:pt>
                <c:pt idx="138">
                  <c:v>-3.8183082353843156E-3</c:v>
                </c:pt>
                <c:pt idx="139">
                  <c:v>-3.8276785122324242E-3</c:v>
                </c:pt>
                <c:pt idx="140">
                  <c:v>-3.8308050629320967E-3</c:v>
                </c:pt>
                <c:pt idx="141">
                  <c:v>-3.8339328328627076E-3</c:v>
                </c:pt>
                <c:pt idx="142">
                  <c:v>-3.8370615966587529E-3</c:v>
                </c:pt>
                <c:pt idx="143">
                  <c:v>-3.8401911901937424E-3</c:v>
                </c:pt>
                <c:pt idx="144">
                  <c:v>-3.8495820734646413E-3</c:v>
                </c:pt>
                <c:pt idx="145">
                  <c:v>-3.8527124193652451E-3</c:v>
                </c:pt>
                <c:pt idx="146">
                  <c:v>-3.8558424046918338E-3</c:v>
                </c:pt>
                <c:pt idx="147">
                  <c:v>-3.8589718035418885E-3</c:v>
                </c:pt>
                <c:pt idx="148">
                  <c:v>-3.8621005283298038E-3</c:v>
                </c:pt>
                <c:pt idx="149">
                  <c:v>-3.874602101060054E-3</c:v>
                </c:pt>
                <c:pt idx="150">
                  <c:v>-3.8777232412366969E-3</c:v>
                </c:pt>
                <c:pt idx="151">
                  <c:v>-3.8808422148922661E-3</c:v>
                </c:pt>
                <c:pt idx="152">
                  <c:v>-3.8839588597683328E-3</c:v>
                </c:pt>
                <c:pt idx="153">
                  <c:v>-3.9039589716687306E-3</c:v>
                </c:pt>
                <c:pt idx="154">
                  <c:v>-3.9070807017836939E-3</c:v>
                </c:pt>
                <c:pt idx="155">
                  <c:v>-3.9101988803714738E-3</c:v>
                </c:pt>
                <c:pt idx="156">
                  <c:v>-3.9133132790631908E-3</c:v>
                </c:pt>
                <c:pt idx="157">
                  <c:v>-3.9164237319982975E-3</c:v>
                </c:pt>
                <c:pt idx="158">
                  <c:v>-3.9257285113014628E-3</c:v>
                </c:pt>
                <c:pt idx="159">
                  <c:v>-3.928820587989823E-3</c:v>
                </c:pt>
                <c:pt idx="160">
                  <c:v>-3.9319075159831574E-3</c:v>
                </c:pt>
                <c:pt idx="161">
                  <c:v>-3.9349890668526344E-3</c:v>
                </c:pt>
                <c:pt idx="162">
                  <c:v>-3.9380650749941681E-3</c:v>
                </c:pt>
                <c:pt idx="163">
                  <c:v>-3.9472569380577527E-3</c:v>
                </c:pt>
                <c:pt idx="164">
                  <c:v>-3.9503081820683184E-3</c:v>
                </c:pt>
                <c:pt idx="165">
                  <c:v>-3.9533526803104957E-3</c:v>
                </c:pt>
                <c:pt idx="166">
                  <c:v>-3.9563902046930721E-3</c:v>
                </c:pt>
                <c:pt idx="167">
                  <c:v>-3.9594205893902501E-3</c:v>
                </c:pt>
                <c:pt idx="168">
                  <c:v>-3.9684660005762096E-3</c:v>
                </c:pt>
                <c:pt idx="169">
                  <c:v>-3.9714652335446354E-3</c:v>
                </c:pt>
                <c:pt idx="170">
                  <c:v>-3.9744561240800946E-3</c:v>
                </c:pt>
                <c:pt idx="171">
                  <c:v>-3.9774384439099641E-3</c:v>
                </c:pt>
                <c:pt idx="172">
                  <c:v>-3.9804120272650678E-3</c:v>
                </c:pt>
                <c:pt idx="173">
                  <c:v>-3.9892774539194154E-3</c:v>
                </c:pt>
                <c:pt idx="174">
                  <c:v>-3.9922134986911662E-3</c:v>
                </c:pt>
                <c:pt idx="175">
                  <c:v>-3.9951396041703058E-3</c:v>
                </c:pt>
                <c:pt idx="176">
                  <c:v>-3.9980555423005937E-3</c:v>
                </c:pt>
                <c:pt idx="177">
                  <c:v>-4.0009611474081108E-3</c:v>
                </c:pt>
                <c:pt idx="178">
                  <c:v>-4.0096130593747503E-3</c:v>
                </c:pt>
                <c:pt idx="179">
                  <c:v>-4.0124747394416627E-3</c:v>
                </c:pt>
                <c:pt idx="180">
                  <c:v>-4.0153248835125277E-3</c:v>
                </c:pt>
                <c:pt idx="181">
                  <c:v>-4.0181632637865672E-3</c:v>
                </c:pt>
                <c:pt idx="182">
                  <c:v>-4.0209897145243589E-3</c:v>
                </c:pt>
                <c:pt idx="183">
                  <c:v>-4.0293945839919854E-3</c:v>
                </c:pt>
                <c:pt idx="184">
                  <c:v>-4.0321707235576598E-3</c:v>
                </c:pt>
                <c:pt idx="185">
                  <c:v>-4.0349337308113187E-3</c:v>
                </c:pt>
                <c:pt idx="186">
                  <c:v>-4.0376833775680465E-3</c:v>
                </c:pt>
                <c:pt idx="187">
                  <c:v>-4.0404194985003139E-3</c:v>
                </c:pt>
                <c:pt idx="188">
                  <c:v>-4.0485438000997798E-3</c:v>
                </c:pt>
                <c:pt idx="189">
                  <c:v>-4.0512232242961854E-3</c:v>
                </c:pt>
                <c:pt idx="190">
                  <c:v>-4.0538879197637989E-3</c:v>
                </c:pt>
                <c:pt idx="191">
                  <c:v>-4.0565376584104085E-3</c:v>
                </c:pt>
                <c:pt idx="192">
                  <c:v>-4.0591722748807291E-3</c:v>
                </c:pt>
                <c:pt idx="193">
                  <c:v>-4.066982485120274E-3</c:v>
                </c:pt>
                <c:pt idx="194">
                  <c:v>-4.0695540195777591E-3</c:v>
                </c:pt>
                <c:pt idx="195">
                  <c:v>-4.072109229056875E-3</c:v>
                </c:pt>
                <c:pt idx="196">
                  <c:v>-4.0746478853573853E-3</c:v>
                </c:pt>
                <c:pt idx="197">
                  <c:v>-4.0771698655274191E-3</c:v>
                </c:pt>
                <c:pt idx="198">
                  <c:v>-4.0846324160670466E-3</c:v>
                </c:pt>
                <c:pt idx="199">
                  <c:v>-4.0870848846848995E-3</c:v>
                </c:pt>
                <c:pt idx="200">
                  <c:v>-4.0895194316326045E-3</c:v>
                </c:pt>
                <c:pt idx="201">
                  <c:v>-4.09193582903844E-3</c:v>
                </c:pt>
                <c:pt idx="202">
                  <c:v>-4.0942934536467579E-3</c:v>
                </c:pt>
                <c:pt idx="203">
                  <c:v>-4.1016443509399592E-3</c:v>
                </c:pt>
                <c:pt idx="204">
                  <c:v>-4.1041322746742104E-3</c:v>
                </c:pt>
                <c:pt idx="205">
                  <c:v>-4.1065896944748603E-3</c:v>
                </c:pt>
                <c:pt idx="206">
                  <c:v>-4.1090166116418692E-3</c:v>
                </c:pt>
                <c:pt idx="207">
                  <c:v>-4.1114130280693884E-3</c:v>
                </c:pt>
                <c:pt idx="208">
                  <c:v>-4.1184192875154402E-3</c:v>
                </c:pt>
                <c:pt idx="209">
                  <c:v>-4.120693716009094E-3</c:v>
                </c:pt>
                <c:pt idx="210">
                  <c:v>-4.1229376515200533E-3</c:v>
                </c:pt>
                <c:pt idx="211">
                  <c:v>-4.1251510952887704E-3</c:v>
                </c:pt>
                <c:pt idx="212">
                  <c:v>-4.1273340493088728E-3</c:v>
                </c:pt>
                <c:pt idx="213">
                  <c:v>-4.1336999871632862E-3</c:v>
                </c:pt>
                <c:pt idx="214">
                  <c:v>-4.1357609969776554E-3</c:v>
                </c:pt>
                <c:pt idx="215">
                  <c:v>-4.1377915245827124E-3</c:v>
                </c:pt>
                <c:pt idx="216">
                  <c:v>-4.1397915717166223E-3</c:v>
                </c:pt>
                <c:pt idx="217">
                  <c:v>-4.1417611395976328E-3</c:v>
                </c:pt>
                <c:pt idx="218">
                  <c:v>-4.1474869848352469E-3</c:v>
                </c:pt>
                <c:pt idx="219">
                  <c:v>-4.149334652126635E-3</c:v>
                </c:pt>
                <c:pt idx="220">
                  <c:v>-4.1511518481233134E-3</c:v>
                </c:pt>
                <c:pt idx="221">
                  <c:v>-4.1529385743851455E-3</c:v>
                </c:pt>
                <c:pt idx="222">
                  <c:v>-4.1546948323091248E-3</c:v>
                </c:pt>
                <c:pt idx="223">
                  <c:v>-4.1597808126139224E-3</c:v>
                </c:pt>
                <c:pt idx="224">
                  <c:v>-4.1614152132545268E-3</c:v>
                </c:pt>
                <c:pt idx="225">
                  <c:v>-4.1630191532587846E-3</c:v>
                </c:pt>
                <c:pt idx="226">
                  <c:v>-4.1645926343655271E-3</c:v>
                </c:pt>
                <c:pt idx="227">
                  <c:v>-4.1720032089407333E-3</c:v>
                </c:pt>
                <c:pt idx="228">
                  <c:v>-4.1733939683249455E-3</c:v>
                </c:pt>
                <c:pt idx="229">
                  <c:v>-4.1747542793928449E-3</c:v>
                </c:pt>
                <c:pt idx="230">
                  <c:v>-4.1760841439005825E-3</c:v>
                </c:pt>
                <c:pt idx="231">
                  <c:v>-4.1798910718833238E-3</c:v>
                </c:pt>
                <c:pt idx="232">
                  <c:v>-4.1810991642748929E-3</c:v>
                </c:pt>
                <c:pt idx="233">
                  <c:v>-4.1822768179703429E-3</c:v>
                </c:pt>
                <c:pt idx="234">
                  <c:v>-4.1834240337538242E-3</c:v>
                </c:pt>
                <c:pt idx="235">
                  <c:v>-4.1845408134024709E-3</c:v>
                </c:pt>
                <c:pt idx="236">
                  <c:v>-4.1887036009827794E-3</c:v>
                </c:pt>
                <c:pt idx="237">
                  <c:v>-4.1896682226051363E-3</c:v>
                </c:pt>
                <c:pt idx="238">
                  <c:v>-4.1906024171408651E-3</c:v>
                </c:pt>
                <c:pt idx="239">
                  <c:v>-4.1915061859886249E-3</c:v>
                </c:pt>
                <c:pt idx="240">
                  <c:v>-4.1940349541020883E-3</c:v>
                </c:pt>
                <c:pt idx="241">
                  <c:v>-4.1948170354042524E-3</c:v>
                </c:pt>
                <c:pt idx="242">
                  <c:v>-4.1955686986079321E-3</c:v>
                </c:pt>
                <c:pt idx="243">
                  <c:v>-4.1962899451346569E-3</c:v>
                </c:pt>
                <c:pt idx="244">
                  <c:v>-4.1969807766026879E-3</c:v>
                </c:pt>
                <c:pt idx="245">
                  <c:v>-4.1988707944060621E-3</c:v>
                </c:pt>
                <c:pt idx="246">
                  <c:v>-4.1994399795759474E-3</c:v>
                </c:pt>
                <c:pt idx="247">
                  <c:v>-4.1999787572584157E-3</c:v>
                </c:pt>
                <c:pt idx="248">
                  <c:v>-4.200487128497743E-3</c:v>
                </c:pt>
                <c:pt idx="249">
                  <c:v>-4.2009650948130473E-3</c:v>
                </c:pt>
                <c:pt idx="250">
                  <c:v>-4.2022165792440225E-3</c:v>
                </c:pt>
                <c:pt idx="251">
                  <c:v>-4.2025729406398593E-3</c:v>
                </c:pt>
                <c:pt idx="252">
                  <c:v>-4.2028989044661236E-3</c:v>
                </c:pt>
                <c:pt idx="253">
                  <c:v>-4.2031944722253911E-3</c:v>
                </c:pt>
                <c:pt idx="254">
                  <c:v>-4.2034596452181772E-3</c:v>
                </c:pt>
                <c:pt idx="255">
                  <c:v>-4.2040728106714775E-3</c:v>
                </c:pt>
                <c:pt idx="256">
                  <c:v>-4.20421641933999E-3</c:v>
                </c:pt>
                <c:pt idx="257">
                  <c:v>-4.2043296404993269E-3</c:v>
                </c:pt>
                <c:pt idx="258">
                  <c:v>-4.2044124757519841E-3</c:v>
                </c:pt>
                <c:pt idx="259">
                  <c:v>-4.2044695201868265E-3</c:v>
                </c:pt>
                <c:pt idx="260">
                  <c:v>-4.204609951011351E-3</c:v>
                </c:pt>
                <c:pt idx="261">
                  <c:v>-4.2046511213463811E-3</c:v>
                </c:pt>
                <c:pt idx="262">
                  <c:v>-4.2046894722171935E-3</c:v>
                </c:pt>
                <c:pt idx="263">
                  <c:v>-4.2047250034239481E-3</c:v>
                </c:pt>
                <c:pt idx="264">
                  <c:v>-4.2047577154449289E-3</c:v>
                </c:pt>
                <c:pt idx="265">
                  <c:v>-4.2048389359583549E-3</c:v>
                </c:pt>
                <c:pt idx="266">
                  <c:v>-4.2048603715971744E-3</c:v>
                </c:pt>
                <c:pt idx="267">
                  <c:v>-4.2048789884095994E-3</c:v>
                </c:pt>
                <c:pt idx="268">
                  <c:v>-4.2048947868733588E-3</c:v>
                </c:pt>
                <c:pt idx="269">
                  <c:v>-4.2049077665508028E-3</c:v>
                </c:pt>
                <c:pt idx="270">
                  <c:v>-4.2049297964085186E-3</c:v>
                </c:pt>
                <c:pt idx="271">
                  <c:v>-4.2049315037276935E-3</c:v>
                </c:pt>
                <c:pt idx="272">
                  <c:v>-4.2049303930966619E-3</c:v>
                </c:pt>
                <c:pt idx="273">
                  <c:v>-4.2049264648735818E-3</c:v>
                </c:pt>
                <c:pt idx="274">
                  <c:v>-4.2049197190187071E-3</c:v>
                </c:pt>
                <c:pt idx="275">
                  <c:v>-4.2048825776525023E-3</c:v>
                </c:pt>
                <c:pt idx="276">
                  <c:v>-4.204864563060573E-3</c:v>
                </c:pt>
                <c:pt idx="277">
                  <c:v>-4.2048437312737219E-3</c:v>
                </c:pt>
                <c:pt idx="278">
                  <c:v>-4.2048200831684701E-3</c:v>
                </c:pt>
                <c:pt idx="279">
                  <c:v>-4.2047936180271694E-3</c:v>
                </c:pt>
                <c:pt idx="280">
                  <c:v>-4.2046973247248376E-3</c:v>
                </c:pt>
                <c:pt idx="281">
                  <c:v>-4.2046595946619858E-3</c:v>
                </c:pt>
                <c:pt idx="282">
                  <c:v>-4.2046190485173218E-3</c:v>
                </c:pt>
                <c:pt idx="283">
                  <c:v>-4.2045756865690675E-3</c:v>
                </c:pt>
                <c:pt idx="284">
                  <c:v>-4.2045295089362389E-3</c:v>
                </c:pt>
                <c:pt idx="285">
                  <c:v>-4.2043740830007836E-3</c:v>
                </c:pt>
                <c:pt idx="286">
                  <c:v>-4.2043166438593405E-3</c:v>
                </c:pt>
                <c:pt idx="287">
                  <c:v>-4.2042563896281804E-3</c:v>
                </c:pt>
                <c:pt idx="288">
                  <c:v>-4.2041933205057003E-3</c:v>
                </c:pt>
                <c:pt idx="289">
                  <c:v>-4.204127436610805E-3</c:v>
                </c:pt>
                <c:pt idx="290">
                  <c:v>-4.2039128974802331E-3</c:v>
                </c:pt>
                <c:pt idx="291">
                  <c:v>-4.203835755644203E-3</c:v>
                </c:pt>
                <c:pt idx="292">
                  <c:v>-4.203755799828679E-3</c:v>
                </c:pt>
                <c:pt idx="293">
                  <c:v>-4.203673029874011E-3</c:v>
                </c:pt>
                <c:pt idx="294">
                  <c:v>-4.2035874461769929E-3</c:v>
                </c:pt>
                <c:pt idx="295">
                  <c:v>-4.2033138131055692E-3</c:v>
                </c:pt>
                <c:pt idx="296">
                  <c:v>-4.2032169749508519E-3</c:v>
                </c:pt>
                <c:pt idx="297">
                  <c:v>-4.2031173240851816E-3</c:v>
                </c:pt>
                <c:pt idx="298">
                  <c:v>-4.2030148597513861E-3</c:v>
                </c:pt>
                <c:pt idx="299">
                  <c:v>-4.2029095825855123E-3</c:v>
                </c:pt>
                <c:pt idx="300">
                  <c:v>-4.2025768746829506E-3</c:v>
                </c:pt>
                <c:pt idx="301">
                  <c:v>-4.2024603470948163E-3</c:v>
                </c:pt>
                <c:pt idx="302">
                  <c:v>-4.2023410070678446E-3</c:v>
                </c:pt>
                <c:pt idx="303">
                  <c:v>-4.2022188549194484E-3</c:v>
                </c:pt>
                <c:pt idx="304">
                  <c:v>-4.2020938907680883E-3</c:v>
                </c:pt>
                <c:pt idx="305">
                  <c:v>-4.2017021273594857E-3</c:v>
                </c:pt>
                <c:pt idx="306">
                  <c:v>-4.2015659163791019E-3</c:v>
                </c:pt>
                <c:pt idx="307">
                  <c:v>-4.2014268940269162E-3</c:v>
                </c:pt>
                <c:pt idx="308">
                  <c:v>-4.2012850603019292E-3</c:v>
                </c:pt>
                <c:pt idx="309">
                  <c:v>-4.2011404155211096E-3</c:v>
                </c:pt>
                <c:pt idx="310">
                  <c:v>-4.2006896157873452E-3</c:v>
                </c:pt>
                <c:pt idx="311">
                  <c:v>-4.200533727686584E-3</c:v>
                </c:pt>
                <c:pt idx="312">
                  <c:v>-4.2003750293199138E-3</c:v>
                </c:pt>
                <c:pt idx="313">
                  <c:v>-4.2002135204468605E-3</c:v>
                </c:pt>
                <c:pt idx="314">
                  <c:v>-4.2000492015440427E-3</c:v>
                </c:pt>
                <c:pt idx="315">
                  <c:v>-4.1995393844027618E-3</c:v>
                </c:pt>
                <c:pt idx="316">
                  <c:v>-4.1993638258833732E-3</c:v>
                </c:pt>
                <c:pt idx="317">
                  <c:v>-4.1991854576850507E-3</c:v>
                </c:pt>
                <c:pt idx="318">
                  <c:v>-4.1990042801247629E-3</c:v>
                </c:pt>
                <c:pt idx="319">
                  <c:v>-4.1988202933201935E-3</c:v>
                </c:pt>
                <c:pt idx="320">
                  <c:v>-4.1982514781426783E-3</c:v>
                </c:pt>
                <c:pt idx="321">
                  <c:v>-4.1980562552612621E-3</c:v>
                </c:pt>
                <c:pt idx="322">
                  <c:v>-4.1978582237246487E-3</c:v>
                </c:pt>
                <c:pt idx="323">
                  <c:v>-4.1976573838496956E-3</c:v>
                </c:pt>
                <c:pt idx="324">
                  <c:v>-4.1974537354754204E-3</c:v>
                </c:pt>
                <c:pt idx="325">
                  <c:v>-4.1968281025102083E-3</c:v>
                </c:pt>
                <c:pt idx="326">
                  <c:v>-4.1966261902754987E-3</c:v>
                </c:pt>
                <c:pt idx="327">
                  <c:v>-4.1964344381413277E-3</c:v>
                </c:pt>
                <c:pt idx="328">
                  <c:v>-4.1962528456362946E-3</c:v>
                </c:pt>
                <c:pt idx="329">
                  <c:v>-4.1960814123283008E-3</c:v>
                </c:pt>
                <c:pt idx="330">
                  <c:v>-4.1956280628204778E-3</c:v>
                </c:pt>
                <c:pt idx="331">
                  <c:v>-4.1954972615732E-3</c:v>
                </c:pt>
                <c:pt idx="332">
                  <c:v>-4.1953766172374563E-3</c:v>
                </c:pt>
                <c:pt idx="333">
                  <c:v>-4.1952661291004834E-3</c:v>
                </c:pt>
                <c:pt idx="334">
                  <c:v>-4.19516579708612E-3</c:v>
                </c:pt>
                <c:pt idx="335">
                  <c:v>-4.194925731160648E-3</c:v>
                </c:pt>
                <c:pt idx="336">
                  <c:v>-4.1948660179327302E-3</c:v>
                </c:pt>
                <c:pt idx="337">
                  <c:v>-4.1948164581331326E-3</c:v>
                </c:pt>
                <c:pt idx="338">
                  <c:v>-4.1947770515643468E-3</c:v>
                </c:pt>
                <c:pt idx="339">
                  <c:v>-4.1947477973519609E-3</c:v>
                </c:pt>
                <c:pt idx="340">
                  <c:v>-4.1947209458755852E-3</c:v>
                </c:pt>
                <c:pt idx="341">
                  <c:v>-4.1947322975122159E-3</c:v>
                </c:pt>
                <c:pt idx="342">
                  <c:v>-4.1947537992386152E-3</c:v>
                </c:pt>
                <c:pt idx="343">
                  <c:v>-4.194785450774674E-3</c:v>
                </c:pt>
                <c:pt idx="344">
                  <c:v>-4.1948272514429341E-3</c:v>
                </c:pt>
                <c:pt idx="345">
                  <c:v>-4.195013544684878E-3</c:v>
                </c:pt>
                <c:pt idx="346">
                  <c:v>-4.1950959378067587E-3</c:v>
                </c:pt>
                <c:pt idx="347">
                  <c:v>-4.1951884777827742E-3</c:v>
                </c:pt>
                <c:pt idx="348">
                  <c:v>-4.1952911642519908E-3</c:v>
                </c:pt>
                <c:pt idx="349">
                  <c:v>-4.195403996534508E-3</c:v>
                </c:pt>
                <c:pt idx="350">
                  <c:v>-4.1958033644854398E-3</c:v>
                </c:pt>
                <c:pt idx="351">
                  <c:v>-4.1959567757652305E-3</c:v>
                </c:pt>
                <c:pt idx="352">
                  <c:v>-4.1961203305695971E-3</c:v>
                </c:pt>
                <c:pt idx="353">
                  <c:v>-4.1962940286545125E-3</c:v>
                </c:pt>
                <c:pt idx="354">
                  <c:v>-4.1964778690197768E-3</c:v>
                </c:pt>
                <c:pt idx="355">
                  <c:v>-4.1970902413523969E-3</c:v>
                </c:pt>
                <c:pt idx="356">
                  <c:v>-4.1973146474765244E-3</c:v>
                </c:pt>
                <c:pt idx="357">
                  <c:v>-4.1975491937406018E-3</c:v>
                </c:pt>
                <c:pt idx="358">
                  <c:v>-4.1977938795400016E-3</c:v>
                </c:pt>
                <c:pt idx="359">
                  <c:v>-4.1980487049080306E-3</c:v>
                </c:pt>
                <c:pt idx="360">
                  <c:v>-4.1988740108577227E-3</c:v>
                </c:pt>
                <c:pt idx="361">
                  <c:v>-4.1991693880089054E-3</c:v>
                </c:pt>
                <c:pt idx="362">
                  <c:v>-4.199474902139011E-3</c:v>
                </c:pt>
                <c:pt idx="363">
                  <c:v>-4.1997905524028267E-3</c:v>
                </c:pt>
                <c:pt idx="364">
                  <c:v>-4.2001163385917417E-3</c:v>
                </c:pt>
                <c:pt idx="365">
                  <c:v>-4.2011545071960477E-3</c:v>
                </c:pt>
                <c:pt idx="366">
                  <c:v>-4.2015208320480557E-3</c:v>
                </c:pt>
                <c:pt idx="367">
                  <c:v>-4.2018972899865448E-3</c:v>
                </c:pt>
                <c:pt idx="368">
                  <c:v>-4.2022838811193175E-3</c:v>
                </c:pt>
                <c:pt idx="369">
                  <c:v>-4.2026806044397347E-3</c:v>
                </c:pt>
                <c:pt idx="370">
                  <c:v>-4.2039315643792596E-3</c:v>
                </c:pt>
                <c:pt idx="371">
                  <c:v>-4.2043688126645051E-3</c:v>
                </c:pt>
                <c:pt idx="372">
                  <c:v>-4.2048161910042126E-3</c:v>
                </c:pt>
                <c:pt idx="373">
                  <c:v>-4.2052736987877593E-3</c:v>
                </c:pt>
                <c:pt idx="374">
                  <c:v>-4.2057413354836815E-3</c:v>
                </c:pt>
                <c:pt idx="375">
                  <c:v>-4.2072050148044271E-3</c:v>
                </c:pt>
                <c:pt idx="376">
                  <c:v>-4.2077131627865638E-3</c:v>
                </c:pt>
                <c:pt idx="377">
                  <c:v>-4.2082314372189344E-3</c:v>
                </c:pt>
                <c:pt idx="378">
                  <c:v>-4.2087598375287749E-3</c:v>
                </c:pt>
                <c:pt idx="379">
                  <c:v>-4.209298363699765E-3</c:v>
                </c:pt>
                <c:pt idx="380">
                  <c:v>-4.2109746902100342E-3</c:v>
                </c:pt>
                <c:pt idx="381">
                  <c:v>-4.2115537136094838E-3</c:v>
                </c:pt>
                <c:pt idx="382">
                  <c:v>-4.2121428599992683E-3</c:v>
                </c:pt>
                <c:pt idx="383">
                  <c:v>-4.212742129122593E-3</c:v>
                </c:pt>
                <c:pt idx="384">
                  <c:v>-4.2133515201253635E-3</c:v>
                </c:pt>
                <c:pt idx="385">
                  <c:v>-4.2152404211194261E-3</c:v>
                </c:pt>
                <c:pt idx="386">
                  <c:v>-4.2158902957504241E-3</c:v>
                </c:pt>
                <c:pt idx="387">
                  <c:v>-4.2165502899365048E-3</c:v>
                </c:pt>
                <c:pt idx="388">
                  <c:v>-4.2172204031399874E-3</c:v>
                </c:pt>
                <c:pt idx="389">
                  <c:v>-4.2179006349426507E-3</c:v>
                </c:pt>
                <c:pt idx="390">
                  <c:v>-4.2199978575808705E-3</c:v>
                </c:pt>
                <c:pt idx="391">
                  <c:v>-4.2206934820954167E-3</c:v>
                </c:pt>
                <c:pt idx="392">
                  <c:v>-4.221374146702872E-3</c:v>
                </c:pt>
                <c:pt idx="393">
                  <c:v>-4.2220398524687175E-3</c:v>
                </c:pt>
                <c:pt idx="394">
                  <c:v>-4.222690600139023E-3</c:v>
                </c:pt>
                <c:pt idx="395">
                  <c:v>-4.2245531007572001E-3</c:v>
                </c:pt>
                <c:pt idx="396">
                  <c:v>-4.2251440226996895E-3</c:v>
                </c:pt>
                <c:pt idx="397">
                  <c:v>-4.2257199901089004E-3</c:v>
                </c:pt>
                <c:pt idx="398">
                  <c:v>-4.2262810036078902E-3</c:v>
                </c:pt>
                <c:pt idx="399">
                  <c:v>-4.2268270642168426E-3</c:v>
                </c:pt>
                <c:pt idx="400">
                  <c:v>-4.2283755339995732E-3</c:v>
                </c:pt>
                <c:pt idx="401">
                  <c:v>-4.2288617891770297E-3</c:v>
                </c:pt>
                <c:pt idx="402">
                  <c:v>-4.2293330948042218E-3</c:v>
                </c:pt>
                <c:pt idx="403">
                  <c:v>-4.2297894518970036E-3</c:v>
                </c:pt>
                <c:pt idx="404">
                  <c:v>-4.2302308607149453E-3</c:v>
                </c:pt>
                <c:pt idx="405">
                  <c:v>-4.2322137095285317E-3</c:v>
                </c:pt>
                <c:pt idx="406">
                  <c:v>-4.2325654452082251E-3</c:v>
                </c:pt>
                <c:pt idx="407">
                  <c:v>-4.2329022377125547E-3</c:v>
                </c:pt>
                <c:pt idx="408">
                  <c:v>-4.2340999927454881E-3</c:v>
                </c:pt>
                <c:pt idx="409">
                  <c:v>-4.2343620810485483E-3</c:v>
                </c:pt>
                <c:pt idx="410">
                  <c:v>-4.2346092308734873E-3</c:v>
                </c:pt>
                <c:pt idx="411">
                  <c:v>-4.2348414423908354E-3</c:v>
                </c:pt>
                <c:pt idx="412">
                  <c:v>-4.235448456510249E-3</c:v>
                </c:pt>
                <c:pt idx="413">
                  <c:v>-4.2356209233713749E-3</c:v>
                </c:pt>
                <c:pt idx="414">
                  <c:v>-4.2357784559103884E-3</c:v>
                </c:pt>
                <c:pt idx="415">
                  <c:v>-4.2359210543331249E-3</c:v>
                </c:pt>
                <c:pt idx="416">
                  <c:v>-4.2360487200789887E-3</c:v>
                </c:pt>
                <c:pt idx="417">
                  <c:v>-4.2363421261243372E-3</c:v>
                </c:pt>
                <c:pt idx="418">
                  <c:v>-4.2364100667847682E-3</c:v>
                </c:pt>
                <c:pt idx="419">
                  <c:v>-4.2364630778544132E-3</c:v>
                </c:pt>
                <c:pt idx="420">
                  <c:v>-4.236501160411188E-3</c:v>
                </c:pt>
                <c:pt idx="421">
                  <c:v>-4.2365243148935194E-3</c:v>
                </c:pt>
                <c:pt idx="422">
                  <c:v>-4.2365042167489264E-3</c:v>
                </c:pt>
                <c:pt idx="423">
                  <c:v>-4.236467665943433E-3</c:v>
                </c:pt>
                <c:pt idx="424">
                  <c:v>-4.2364161906444098E-3</c:v>
                </c:pt>
                <c:pt idx="425">
                  <c:v>-4.236349791605587E-3</c:v>
                </c:pt>
                <c:pt idx="426">
                  <c:v>-4.2362684691822361E-3</c:v>
                </c:pt>
                <c:pt idx="427">
                  <c:v>-4.2359349705202165E-3</c:v>
                </c:pt>
                <c:pt idx="428">
                  <c:v>-4.2357939628336894E-3</c:v>
                </c:pt>
                <c:pt idx="429">
                  <c:v>-4.2356380353196776E-3</c:v>
                </c:pt>
                <c:pt idx="430">
                  <c:v>-4.2354671888467088E-3</c:v>
                </c:pt>
                <c:pt idx="431">
                  <c:v>-4.2352814242827552E-3</c:v>
                </c:pt>
                <c:pt idx="432">
                  <c:v>-4.2346346277689628E-3</c:v>
                </c:pt>
                <c:pt idx="433">
                  <c:v>-4.2343891971587944E-3</c:v>
                </c:pt>
                <c:pt idx="434">
                  <c:v>-4.234128851513641E-3</c:v>
                </c:pt>
                <c:pt idx="435">
                  <c:v>-4.2338535919359543E-3</c:v>
                </c:pt>
                <c:pt idx="436">
                  <c:v>-4.2335634190112659E-3</c:v>
                </c:pt>
                <c:pt idx="437">
                  <c:v>-4.2326034265046664E-3</c:v>
                </c:pt>
                <c:pt idx="438">
                  <c:v>-4.232253606977654E-3</c:v>
                </c:pt>
                <c:pt idx="439">
                  <c:v>-4.2318888772551189E-3</c:v>
                </c:pt>
                <c:pt idx="440">
                  <c:v>-4.2315092383554687E-3</c:v>
                </c:pt>
                <c:pt idx="441">
                  <c:v>-4.2311146908190489E-3</c:v>
                </c:pt>
                <c:pt idx="442">
                  <c:v>-4.2298416035709829E-3</c:v>
                </c:pt>
                <c:pt idx="443">
                  <c:v>-4.229387428546949E-3</c:v>
                </c:pt>
                <c:pt idx="444">
                  <c:v>-4.228918348412769E-3</c:v>
                </c:pt>
                <c:pt idx="445">
                  <c:v>-4.2284343635454746E-3</c:v>
                </c:pt>
                <c:pt idx="446">
                  <c:v>-4.2279354751172393E-3</c:v>
                </c:pt>
                <c:pt idx="447">
                  <c:v>-4.2263493933349938E-3</c:v>
                </c:pt>
                <c:pt idx="448">
                  <c:v>-4.225790896243975E-3</c:v>
                </c:pt>
                <c:pt idx="449">
                  <c:v>-4.22521749869742E-3</c:v>
                </c:pt>
                <c:pt idx="450">
                  <c:v>-4.2246292014259668E-3</c:v>
                </c:pt>
                <c:pt idx="451">
                  <c:v>-4.2240243954617673E-3</c:v>
                </c:pt>
                <c:pt idx="452">
                  <c:v>-4.2220674760817811E-3</c:v>
                </c:pt>
                <c:pt idx="453">
                  <c:v>-4.2213660633284578E-3</c:v>
                </c:pt>
                <c:pt idx="454">
                  <c:v>-4.2206400989357462E-3</c:v>
                </c:pt>
                <c:pt idx="455">
                  <c:v>-4.2198895843623685E-3</c:v>
                </c:pt>
                <c:pt idx="456">
                  <c:v>-4.2191145206277314E-3</c:v>
                </c:pt>
                <c:pt idx="457">
                  <c:v>-4.2166420451386077E-3</c:v>
                </c:pt>
                <c:pt idx="458">
                  <c:v>-4.2157687953925382E-3</c:v>
                </c:pt>
                <c:pt idx="459">
                  <c:v>-4.2148710020318836E-3</c:v>
                </c:pt>
                <c:pt idx="460">
                  <c:v>-4.2139486660252023E-3</c:v>
                </c:pt>
                <c:pt idx="461">
                  <c:v>-4.2130017882198167E-3</c:v>
                </c:pt>
                <c:pt idx="462">
                  <c:v>-4.2100139162400962E-3</c:v>
                </c:pt>
                <c:pt idx="463">
                  <c:v>-4.2089688830214689E-3</c:v>
                </c:pt>
                <c:pt idx="464">
                  <c:v>-4.2078993133284337E-3</c:v>
                </c:pt>
                <c:pt idx="465">
                  <c:v>-4.2068052085548757E-3</c:v>
                </c:pt>
                <c:pt idx="466">
                  <c:v>-4.2056865694957146E-3</c:v>
                </c:pt>
                <c:pt idx="467">
                  <c:v>-4.2021834585075357E-3</c:v>
                </c:pt>
                <c:pt idx="468">
                  <c:v>-4.2009666934436085E-3</c:v>
                </c:pt>
                <c:pt idx="469">
                  <c:v>-4.199725399633758E-3</c:v>
                </c:pt>
                <c:pt idx="470">
                  <c:v>-4.1984595779419598E-3</c:v>
                </c:pt>
                <c:pt idx="471">
                  <c:v>-4.1917625884817511E-3</c:v>
                </c:pt>
                <c:pt idx="472">
                  <c:v>-4.1903496214757974E-3</c:v>
                </c:pt>
                <c:pt idx="473">
                  <c:v>-4.1889121340163982E-3</c:v>
                </c:pt>
                <c:pt idx="474">
                  <c:v>-4.1874501269529851E-3</c:v>
                </c:pt>
                <c:pt idx="475">
                  <c:v>-4.1829169982763315E-3</c:v>
                </c:pt>
                <c:pt idx="476">
                  <c:v>-4.1813569230052527E-3</c:v>
                </c:pt>
                <c:pt idx="477">
                  <c:v>-4.1797723332254177E-3</c:v>
                </c:pt>
                <c:pt idx="478">
                  <c:v>-4.1781632298948379E-3</c:v>
                </c:pt>
                <c:pt idx="479">
                  <c:v>-4.1765296140889863E-3</c:v>
                </c:pt>
                <c:pt idx="480">
                  <c:v>-4.1714817014738559E-3</c:v>
                </c:pt>
                <c:pt idx="481">
                  <c:v>-4.1697500455311065E-3</c:v>
                </c:pt>
                <c:pt idx="482">
                  <c:v>-4.1679938820664564E-3</c:v>
                </c:pt>
                <c:pt idx="483">
                  <c:v>-4.1662132119846262E-3</c:v>
                </c:pt>
                <c:pt idx="484">
                  <c:v>-4.1644080363887337E-3</c:v>
                </c:pt>
                <c:pt idx="485">
                  <c:v>-4.1588454856464896E-3</c:v>
                </c:pt>
                <c:pt idx="486">
                  <c:v>-4.1569422973143366E-3</c:v>
                </c:pt>
                <c:pt idx="487">
                  <c:v>-4.1550146084374795E-3</c:v>
                </c:pt>
                <c:pt idx="488">
                  <c:v>-4.1530624196305377E-3</c:v>
                </c:pt>
                <c:pt idx="489">
                  <c:v>-4.1510857320233852E-3</c:v>
                </c:pt>
                <c:pt idx="490">
                  <c:v>-4.1450086859624591E-3</c:v>
                </c:pt>
                <c:pt idx="491">
                  <c:v>-4.1408348452799393E-3</c:v>
                </c:pt>
                <c:pt idx="492">
                  <c:v>-4.1387111848396607E-3</c:v>
                </c:pt>
                <c:pt idx="493">
                  <c:v>-4.1365630321057445E-3</c:v>
                </c:pt>
                <c:pt idx="494">
                  <c:v>-4.1299716302550804E-3</c:v>
                </c:pt>
                <c:pt idx="495">
                  <c:v>-4.1277255179729133E-3</c:v>
                </c:pt>
                <c:pt idx="496">
                  <c:v>-4.1254549182407896E-3</c:v>
                </c:pt>
                <c:pt idx="497">
                  <c:v>-4.1231598319275697E-3</c:v>
                </c:pt>
                <c:pt idx="498">
                  <c:v>-4.1208402598585936E-3</c:v>
                </c:pt>
                <c:pt idx="499">
                  <c:v>-4.113734638190647E-3</c:v>
                </c:pt>
                <c:pt idx="500">
                  <c:v>-4.1113171321627284E-3</c:v>
                </c:pt>
                <c:pt idx="501">
                  <c:v>-4.1088751448820071E-3</c:v>
                </c:pt>
                <c:pt idx="502">
                  <c:v>-4.1064086774028619E-3</c:v>
                </c:pt>
                <c:pt idx="503">
                  <c:v>-4.1039177303797691E-3</c:v>
                </c:pt>
                <c:pt idx="504">
                  <c:v>-4.0962980215908384E-3</c:v>
                </c:pt>
                <c:pt idx="505">
                  <c:v>-4.0937091657279323E-3</c:v>
                </c:pt>
                <c:pt idx="506">
                  <c:v>-4.0910958346814796E-3</c:v>
                </c:pt>
                <c:pt idx="507">
                  <c:v>-4.0884580294933137E-3</c:v>
                </c:pt>
                <c:pt idx="508">
                  <c:v>-4.0857957510443965E-3</c:v>
                </c:pt>
                <c:pt idx="509">
                  <c:v>-4.0776620841580513E-3</c:v>
                </c:pt>
                <c:pt idx="510">
                  <c:v>-4.0749019209210813E-3</c:v>
                </c:pt>
                <c:pt idx="511">
                  <c:v>-4.0721172886813983E-3</c:v>
                </c:pt>
                <c:pt idx="512">
                  <c:v>-4.0693081881496562E-3</c:v>
                </c:pt>
                <c:pt idx="513">
                  <c:v>-4.0664746203138424E-3</c:v>
                </c:pt>
                <c:pt idx="514">
                  <c:v>-4.0578309163721293E-3</c:v>
                </c:pt>
                <c:pt idx="515">
                  <c:v>-4.0549222612661362E-3</c:v>
                </c:pt>
                <c:pt idx="516">
                  <c:v>-4.0520119159030976E-3</c:v>
                </c:pt>
                <c:pt idx="517">
                  <c:v>-4.0490998806662626E-3</c:v>
                </c:pt>
                <c:pt idx="518">
                  <c:v>-4.0461861553419132E-3</c:v>
                </c:pt>
                <c:pt idx="519">
                  <c:v>-4.037434838377818E-3</c:v>
                </c:pt>
                <c:pt idx="520">
                  <c:v>-4.0345143524755933E-3</c:v>
                </c:pt>
                <c:pt idx="521">
                  <c:v>-4.0315921765327056E-3</c:v>
                </c:pt>
                <c:pt idx="522">
                  <c:v>-4.0286683103335497E-3</c:v>
                </c:pt>
                <c:pt idx="523">
                  <c:v>-4.0257427540230095E-3</c:v>
                </c:pt>
                <c:pt idx="524">
                  <c:v>-4.0169559441960434E-3</c:v>
                </c:pt>
                <c:pt idx="525">
                  <c:v>-4.0140236271728469E-3</c:v>
                </c:pt>
                <c:pt idx="526">
                  <c:v>-4.0110896201235313E-3</c:v>
                </c:pt>
                <c:pt idx="527">
                  <c:v>-4.0081539226748397E-3</c:v>
                </c:pt>
                <c:pt idx="528">
                  <c:v>-4.0052165351305291E-3</c:v>
                </c:pt>
                <c:pt idx="529">
                  <c:v>-3.9963942309788614E-3</c:v>
                </c:pt>
                <c:pt idx="530">
                  <c:v>-3.9934500824255759E-3</c:v>
                </c:pt>
                <c:pt idx="531">
                  <c:v>-3.9905042435428584E-3</c:v>
                </c:pt>
                <c:pt idx="532">
                  <c:v>-3.9875567145947199E-3</c:v>
                </c:pt>
                <c:pt idx="533">
                  <c:v>-3.9846074952077926E-3</c:v>
                </c:pt>
                <c:pt idx="534">
                  <c:v>-3.9757496953403137E-3</c:v>
                </c:pt>
                <c:pt idx="535">
                  <c:v>-3.9727937146463166E-3</c:v>
                </c:pt>
                <c:pt idx="536">
                  <c:v>-3.9698360435981295E-3</c:v>
                </c:pt>
                <c:pt idx="537">
                  <c:v>-3.9668766824196844E-3</c:v>
                </c:pt>
                <c:pt idx="538">
                  <c:v>-3.9639156306182644E-3</c:v>
                </c:pt>
                <c:pt idx="539">
                  <c:v>-3.9550223333565393E-3</c:v>
                </c:pt>
                <c:pt idx="540">
                  <c:v>-3.9520545200278923E-3</c:v>
                </c:pt>
                <c:pt idx="541">
                  <c:v>-3.9490850163595992E-3</c:v>
                </c:pt>
                <c:pt idx="542">
                  <c:v>-3.9461138220977521E-3</c:v>
                </c:pt>
                <c:pt idx="543">
                  <c:v>-3.9431409376652349E-3</c:v>
                </c:pt>
                <c:pt idx="544">
                  <c:v>-3.9342121409636777E-3</c:v>
                </c:pt>
                <c:pt idx="545">
                  <c:v>-3.9312324945035559E-3</c:v>
                </c:pt>
                <c:pt idx="546">
                  <c:v>-3.928251157399365E-3</c:v>
                </c:pt>
                <c:pt idx="547">
                  <c:v>-3.9252681297952119E-3</c:v>
                </c:pt>
                <c:pt idx="548">
                  <c:v>-3.9222834116759975E-3</c:v>
                </c:pt>
                <c:pt idx="549">
                  <c:v>-3.9133191137588064E-3</c:v>
                </c:pt>
                <c:pt idx="550">
                  <c:v>-3.9103276333886106E-3</c:v>
                </c:pt>
                <c:pt idx="551">
                  <c:v>-3.9073344623482553E-3</c:v>
                </c:pt>
                <c:pt idx="552">
                  <c:v>-3.9043396005428166E-3</c:v>
                </c:pt>
                <c:pt idx="553">
                  <c:v>-3.9013430482751632E-3</c:v>
                </c:pt>
                <c:pt idx="554">
                  <c:v>-3.8923432470797659E-3</c:v>
                </c:pt>
                <c:pt idx="555">
                  <c:v>-3.889339931898661E-3</c:v>
                </c:pt>
                <c:pt idx="556">
                  <c:v>-3.8863349261003544E-3</c:v>
                </c:pt>
                <c:pt idx="557">
                  <c:v>-3.8833282295104299E-3</c:v>
                </c:pt>
                <c:pt idx="558">
                  <c:v>-3.8803198421136775E-3</c:v>
                </c:pt>
                <c:pt idx="559">
                  <c:v>-3.8712845354076375E-3</c:v>
                </c:pt>
                <c:pt idx="560">
                  <c:v>-3.8682693847506E-3</c:v>
                </c:pt>
                <c:pt idx="561">
                  <c:v>-3.8652525436085883E-3</c:v>
                </c:pt>
                <c:pt idx="562">
                  <c:v>-3.8622340112099973E-3</c:v>
                </c:pt>
                <c:pt idx="563">
                  <c:v>-3.859213788136695E-3</c:v>
                </c:pt>
                <c:pt idx="564">
                  <c:v>-3.8501429734416615E-3</c:v>
                </c:pt>
                <c:pt idx="565">
                  <c:v>-3.8471159864815752E-3</c:v>
                </c:pt>
                <c:pt idx="566">
                  <c:v>-3.8440873088497751E-3</c:v>
                </c:pt>
                <c:pt idx="567">
                  <c:v>-3.8410569400534333E-3</c:v>
                </c:pt>
                <c:pt idx="568">
                  <c:v>-3.8380248803955297E-3</c:v>
                </c:pt>
                <c:pt idx="569">
                  <c:v>-3.8289185550245408E-3</c:v>
                </c:pt>
                <c:pt idx="570">
                  <c:v>-3.8258797310107839E-3</c:v>
                </c:pt>
                <c:pt idx="571">
                  <c:v>-3.8228392160188918E-3</c:v>
                </c:pt>
                <c:pt idx="572">
                  <c:v>-3.8197970099140832E-3</c:v>
                </c:pt>
                <c:pt idx="573">
                  <c:v>-3.8167531127207832E-3</c:v>
                </c:pt>
                <c:pt idx="574">
                  <c:v>-3.8076112738983925E-3</c:v>
                </c:pt>
                <c:pt idx="575">
                  <c:v>-3.8045606119978537E-3</c:v>
                </c:pt>
                <c:pt idx="576">
                  <c:v>-3.8015082587725679E-3</c:v>
                </c:pt>
                <c:pt idx="577">
                  <c:v>-3.7984542143661981E-3</c:v>
                </c:pt>
                <c:pt idx="578">
                  <c:v>-3.7953984786835981E-3</c:v>
                </c:pt>
                <c:pt idx="579">
                  <c:v>-3.7862211842669691E-3</c:v>
                </c:pt>
                <c:pt idx="580">
                  <c:v>-3.7831590465383647E-3</c:v>
                </c:pt>
                <c:pt idx="581">
                  <c:v>-3.7800955807918424E-3</c:v>
                </c:pt>
                <c:pt idx="582">
                  <c:v>-3.7770307870153008E-3</c:v>
                </c:pt>
                <c:pt idx="583">
                  <c:v>-3.7739646650770675E-3</c:v>
                </c:pt>
                <c:pt idx="584">
                  <c:v>-3.7647583302102827E-3</c:v>
                </c:pt>
                <c:pt idx="585">
                  <c:v>-3.7616868952655702E-3</c:v>
                </c:pt>
                <c:pt idx="586">
                  <c:v>-3.7586141323764366E-3</c:v>
                </c:pt>
                <c:pt idx="587">
                  <c:v>-3.7555400407348616E-3</c:v>
                </c:pt>
                <c:pt idx="588">
                  <c:v>-3.7524646211649637E-3</c:v>
                </c:pt>
                <c:pt idx="589">
                  <c:v>-3.7432303912985354E-3</c:v>
                </c:pt>
                <c:pt idx="590">
                  <c:v>-3.7401496577427196E-3</c:v>
                </c:pt>
                <c:pt idx="591">
                  <c:v>-3.7370675955603616E-3</c:v>
                </c:pt>
                <c:pt idx="592">
                  <c:v>-3.733984205017804E-3</c:v>
                </c:pt>
                <c:pt idx="593">
                  <c:v>-3.7308994857048194E-3</c:v>
                </c:pt>
                <c:pt idx="594">
                  <c:v>-3.7216373558960347E-3</c:v>
                </c:pt>
                <c:pt idx="595">
                  <c:v>-3.7185473219357723E-3</c:v>
                </c:pt>
                <c:pt idx="596">
                  <c:v>-3.7154559591437986E-3</c:v>
                </c:pt>
                <c:pt idx="597">
                  <c:v>-3.712363267427965E-3</c:v>
                </c:pt>
                <c:pt idx="598">
                  <c:v>-3.7092692470150901E-3</c:v>
                </c:pt>
                <c:pt idx="599">
                  <c:v>-3.699979212037352E-3</c:v>
                </c:pt>
                <c:pt idx="600">
                  <c:v>-3.6968798759565713E-3</c:v>
                </c:pt>
                <c:pt idx="601">
                  <c:v>-3.6937792105198319E-3</c:v>
                </c:pt>
                <c:pt idx="602">
                  <c:v>-3.6906772161927615E-3</c:v>
                </c:pt>
                <c:pt idx="603">
                  <c:v>-3.6875738928435764E-3</c:v>
                </c:pt>
                <c:pt idx="604">
                  <c:v>-3.6782559473451659E-3</c:v>
                </c:pt>
                <c:pt idx="605">
                  <c:v>-3.6751473072265117E-3</c:v>
                </c:pt>
                <c:pt idx="606">
                  <c:v>-3.6720373375860316E-3</c:v>
                </c:pt>
                <c:pt idx="607">
                  <c:v>-3.668926038809639E-3</c:v>
                </c:pt>
                <c:pt idx="608">
                  <c:v>-3.6658134105264084E-3</c:v>
                </c:pt>
                <c:pt idx="609">
                  <c:v>-3.6564675492690712E-3</c:v>
                </c:pt>
                <c:pt idx="610">
                  <c:v>-3.6533496031935231E-3</c:v>
                </c:pt>
                <c:pt idx="611">
                  <c:v>-3.6502303276290116E-3</c:v>
                </c:pt>
                <c:pt idx="612">
                  <c:v>-3.6471097224037852E-3</c:v>
                </c:pt>
                <c:pt idx="613">
                  <c:v>-3.6439877875453774E-3</c:v>
                </c:pt>
                <c:pt idx="614">
                  <c:v>-3.6346140048473252E-3</c:v>
                </c:pt>
                <c:pt idx="615">
                  <c:v>-3.6314867510530702E-3</c:v>
                </c:pt>
                <c:pt idx="616">
                  <c:v>-3.6283581674041443E-3</c:v>
                </c:pt>
                <c:pt idx="617">
                  <c:v>-3.625228254046986E-3</c:v>
                </c:pt>
                <c:pt idx="618">
                  <c:v>-3.6220970106521921E-3</c:v>
                </c:pt>
                <c:pt idx="619">
                  <c:v>-3.6126953008256413E-3</c:v>
                </c:pt>
                <c:pt idx="620">
                  <c:v>-3.609558737389662E-3</c:v>
                </c:pt>
                <c:pt idx="621">
                  <c:v>-3.6064208439322565E-3</c:v>
                </c:pt>
                <c:pt idx="622">
                  <c:v>-3.6032816203613871E-3</c:v>
                </c:pt>
                <c:pt idx="623">
                  <c:v>-3.6001410665450484E-3</c:v>
                </c:pt>
                <c:pt idx="624">
                  <c:v>-3.5907114237372362E-3</c:v>
                </c:pt>
                <c:pt idx="625">
                  <c:v>-3.5875655486947711E-3</c:v>
                </c:pt>
                <c:pt idx="626">
                  <c:v>-3.5844183435036481E-3</c:v>
                </c:pt>
                <c:pt idx="627">
                  <c:v>-3.5812698077929417E-3</c:v>
                </c:pt>
                <c:pt idx="628">
                  <c:v>-3.5781199416298204E-3</c:v>
                </c:pt>
                <c:pt idx="629">
                  <c:v>-3.5686623598228939E-3</c:v>
                </c:pt>
                <c:pt idx="630">
                  <c:v>-3.5655071713664999E-3</c:v>
                </c:pt>
                <c:pt idx="631">
                  <c:v>-3.5623506522356463E-3</c:v>
                </c:pt>
                <c:pt idx="632">
                  <c:v>-3.5591928023382957E-3</c:v>
                </c:pt>
                <c:pt idx="633">
                  <c:v>-3.5560336218211086E-3</c:v>
                </c:pt>
                <c:pt idx="634">
                  <c:v>-3.5465480949912198E-3</c:v>
                </c:pt>
                <c:pt idx="635">
                  <c:v>-3.5433835909929323E-3</c:v>
                </c:pt>
                <c:pt idx="636">
                  <c:v>-3.5402177559534787E-3</c:v>
                </c:pt>
                <c:pt idx="637">
                  <c:v>-3.5370505899798843E-3</c:v>
                </c:pt>
                <c:pt idx="638">
                  <c:v>-3.5338820929001757E-3</c:v>
                </c:pt>
                <c:pt idx="639">
                  <c:v>-3.5243686149778464E-3</c:v>
                </c:pt>
                <c:pt idx="640">
                  <c:v>-3.5211947933078136E-3</c:v>
                </c:pt>
                <c:pt idx="641">
                  <c:v>-3.5180196403092889E-3</c:v>
                </c:pt>
                <c:pt idx="642">
                  <c:v>-3.5148431560093618E-3</c:v>
                </c:pt>
                <c:pt idx="643">
                  <c:v>-3.5116653404354548E-3</c:v>
                </c:pt>
                <c:pt idx="644">
                  <c:v>-3.5021274016456827E-3</c:v>
                </c:pt>
                <c:pt idx="645">
                  <c:v>-3.4989652396832938E-3</c:v>
                </c:pt>
                <c:pt idx="646">
                  <c:v>-3.4958227254061613E-3</c:v>
                </c:pt>
                <c:pt idx="647">
                  <c:v>-3.4926998577649027E-3</c:v>
                </c:pt>
                <c:pt idx="648">
                  <c:v>-3.4895966363462927E-3</c:v>
                </c:pt>
                <c:pt idx="649">
                  <c:v>-3.4804048424096345E-3</c:v>
                </c:pt>
                <c:pt idx="650">
                  <c:v>-3.4773801990580777E-3</c:v>
                </c:pt>
                <c:pt idx="651">
                  <c:v>-3.4743751984518401E-3</c:v>
                </c:pt>
                <c:pt idx="652">
                  <c:v>-3.4713898399715282E-3</c:v>
                </c:pt>
                <c:pt idx="653">
                  <c:v>-3.4684241233550184E-3</c:v>
                </c:pt>
                <c:pt idx="654">
                  <c:v>-3.4596448156782866E-3</c:v>
                </c:pt>
                <c:pt idx="655">
                  <c:v>-3.4567576586161941E-3</c:v>
                </c:pt>
                <c:pt idx="656">
                  <c:v>-3.4538901398597499E-3</c:v>
                </c:pt>
                <c:pt idx="657">
                  <c:v>-3.451042258542647E-3</c:v>
                </c:pt>
                <c:pt idx="658">
                  <c:v>-3.4482140143148321E-3</c:v>
                </c:pt>
                <c:pt idx="659">
                  <c:v>-3.439847096867843E-3</c:v>
                </c:pt>
                <c:pt idx="660">
                  <c:v>-3.4316568888478338E-3</c:v>
                </c:pt>
                <c:pt idx="661">
                  <c:v>-3.4289660851507531E-3</c:v>
                </c:pt>
                <c:pt idx="662">
                  <c:v>-3.4210114620165655E-3</c:v>
                </c:pt>
                <c:pt idx="663">
                  <c:v>-3.4158065302709595E-3</c:v>
                </c:pt>
                <c:pt idx="664">
                  <c:v>-3.4132335073583375E-3</c:v>
                </c:pt>
                <c:pt idx="665">
                  <c:v>-3.4106801124518249E-3</c:v>
                </c:pt>
                <c:pt idx="666">
                  <c:v>-3.4031376883857378E-3</c:v>
                </c:pt>
                <c:pt idx="667">
                  <c:v>-3.4006627983933502E-3</c:v>
                </c:pt>
                <c:pt idx="668">
                  <c:v>-3.3982075330452055E-3</c:v>
                </c:pt>
                <c:pt idx="669">
                  <c:v>-3.3957718918087298E-3</c:v>
                </c:pt>
                <c:pt idx="670">
                  <c:v>-3.393355873871573E-3</c:v>
                </c:pt>
                <c:pt idx="671">
                  <c:v>-3.3862255535458408E-3</c:v>
                </c:pt>
                <c:pt idx="672">
                  <c:v>-3.3838880224102974E-3</c:v>
                </c:pt>
                <c:pt idx="673">
                  <c:v>-3.3815701114502383E-3</c:v>
                </c:pt>
                <c:pt idx="674">
                  <c:v>-3.3792718199258109E-3</c:v>
                </c:pt>
                <c:pt idx="675">
                  <c:v>-3.3769931472952264E-3</c:v>
                </c:pt>
                <c:pt idx="676">
                  <c:v>-3.3702748356979617E-3</c:v>
                </c:pt>
                <c:pt idx="677">
                  <c:v>-3.3680746318870414E-3</c:v>
                </c:pt>
                <c:pt idx="678">
                  <c:v>-3.365894043645512E-3</c:v>
                </c:pt>
                <c:pt idx="679">
                  <c:v>-3.3637330703466528E-3</c:v>
                </c:pt>
                <c:pt idx="680">
                  <c:v>-3.3615917113193339E-3</c:v>
                </c:pt>
                <c:pt idx="681">
                  <c:v>-3.3552853137162053E-3</c:v>
                </c:pt>
                <c:pt idx="682">
                  <c:v>-3.3532224053784976E-3</c:v>
                </c:pt>
                <c:pt idx="683">
                  <c:v>-3.3511791083866704E-3</c:v>
                </c:pt>
                <c:pt idx="684">
                  <c:v>-3.3491554215063779E-3</c:v>
                </c:pt>
                <c:pt idx="685">
                  <c:v>-3.347151344697652E-3</c:v>
                </c:pt>
                <c:pt idx="686">
                  <c:v>-3.3412567660749959E-3</c:v>
                </c:pt>
                <c:pt idx="687">
                  <c:v>-3.3393311217975175E-3</c:v>
                </c:pt>
                <c:pt idx="688">
                  <c:v>-3.3374250842260755E-3</c:v>
                </c:pt>
                <c:pt idx="689">
                  <c:v>-3.3355386524771546E-3</c:v>
                </c:pt>
                <c:pt idx="690">
                  <c:v>-3.333671825904827E-3</c:v>
                </c:pt>
                <c:pt idx="691">
                  <c:v>-3.3281889717280411E-3</c:v>
                </c:pt>
                <c:pt idx="692">
                  <c:v>-3.3264005596993496E-3</c:v>
                </c:pt>
                <c:pt idx="693">
                  <c:v>-3.3246317500390532E-3</c:v>
                </c:pt>
                <c:pt idx="694">
                  <c:v>-3.3228825416957708E-3</c:v>
                </c:pt>
                <c:pt idx="695">
                  <c:v>-3.321152933935978E-3</c:v>
                </c:pt>
                <c:pt idx="696">
                  <c:v>-3.3160817089151751E-3</c:v>
                </c:pt>
                <c:pt idx="697">
                  <c:v>-3.3144304978031114E-3</c:v>
                </c:pt>
                <c:pt idx="698">
                  <c:v>-3.312798884066992E-3</c:v>
                </c:pt>
                <c:pt idx="699">
                  <c:v>-3.3111868673249001E-3</c:v>
                </c:pt>
                <c:pt idx="700">
                  <c:v>-3.3095944467553817E-3</c:v>
                </c:pt>
                <c:pt idx="701">
                  <c:v>-3.3049347559226394E-3</c:v>
                </c:pt>
                <c:pt idx="702">
                  <c:v>-3.3034207137583316E-3</c:v>
                </c:pt>
                <c:pt idx="703">
                  <c:v>-3.3019262644389258E-3</c:v>
                </c:pt>
                <c:pt idx="704">
                  <c:v>-3.3004514075744007E-3</c:v>
                </c:pt>
                <c:pt idx="705">
                  <c:v>-3.2989961423351977E-3</c:v>
                </c:pt>
                <c:pt idx="706">
                  <c:v>-3.294738017834975E-3</c:v>
                </c:pt>
                <c:pt idx="707">
                  <c:v>-3.2933018790713975E-3</c:v>
                </c:pt>
                <c:pt idx="708">
                  <c:v>-3.2918260969780899E-3</c:v>
                </c:pt>
                <c:pt idx="709">
                  <c:v>-3.2903106728533471E-3</c:v>
                </c:pt>
                <c:pt idx="710">
                  <c:v>-3.2887556077121349E-3</c:v>
                </c:pt>
                <c:pt idx="711">
                  <c:v>-3.2838525792140416E-3</c:v>
                </c:pt>
                <c:pt idx="712">
                  <c:v>-3.2821389628489017E-3</c:v>
                </c:pt>
                <c:pt idx="713">
                  <c:v>-3.2803857117054136E-3</c:v>
                </c:pt>
                <c:pt idx="714">
                  <c:v>-3.2785928271288345E-3</c:v>
                </c:pt>
                <c:pt idx="715">
                  <c:v>-3.2767603099415066E-3</c:v>
                </c:pt>
                <c:pt idx="716">
                  <c:v>-3.2710249771644717E-3</c:v>
                </c:pt>
                <c:pt idx="717">
                  <c:v>-3.2690339427248194E-3</c:v>
                </c:pt>
                <c:pt idx="718">
                  <c:v>-3.2670032820270034E-3</c:v>
                </c:pt>
                <c:pt idx="719">
                  <c:v>-3.2649329960645623E-3</c:v>
                </c:pt>
                <c:pt idx="720">
                  <c:v>-3.2628230861050378E-3</c:v>
                </c:pt>
                <c:pt idx="721">
                  <c:v>-3.2562556229778217E-3</c:v>
                </c:pt>
                <c:pt idx="722">
                  <c:v>-3.2539872280986648E-3</c:v>
                </c:pt>
                <c:pt idx="723">
                  <c:v>-3.2516792148526985E-3</c:v>
                </c:pt>
                <c:pt idx="724">
                  <c:v>-3.2493315842802017E-3</c:v>
                </c:pt>
                <c:pt idx="725">
                  <c:v>-3.2469443375362506E-3</c:v>
                </c:pt>
                <c:pt idx="726">
                  <c:v>-3.2395449115965036E-3</c:v>
                </c:pt>
                <c:pt idx="727">
                  <c:v>-3.2369992111452861E-3</c:v>
                </c:pt>
                <c:pt idx="728">
                  <c:v>-3.2344138999486072E-3</c:v>
                </c:pt>
                <c:pt idx="729">
                  <c:v>-3.2317889792528032E-3</c:v>
                </c:pt>
                <c:pt idx="730">
                  <c:v>-3.2291244498217075E-3</c:v>
                </c:pt>
                <c:pt idx="731">
                  <c:v>-3.2208932203465768E-3</c:v>
                </c:pt>
                <c:pt idx="732">
                  <c:v>-3.2180702668627159E-3</c:v>
                </c:pt>
                <c:pt idx="733">
                  <c:v>-3.2152077100244814E-3</c:v>
                </c:pt>
                <c:pt idx="734">
                  <c:v>-3.2123055505276499E-3</c:v>
                </c:pt>
                <c:pt idx="735">
                  <c:v>-3.2093637899397454E-3</c:v>
                </c:pt>
                <c:pt idx="736">
                  <c:v>-3.2003009087864243E-3</c:v>
                </c:pt>
                <c:pt idx="737">
                  <c:v>-3.1972007520437717E-3</c:v>
                </c:pt>
                <c:pt idx="738">
                  <c:v>-3.1940609988292401E-3</c:v>
                </c:pt>
                <c:pt idx="739">
                  <c:v>-3.1908816500050285E-3</c:v>
                </c:pt>
                <c:pt idx="740">
                  <c:v>-3.1743910045263224E-3</c:v>
                </c:pt>
                <c:pt idx="741">
                  <c:v>-3.1709741016761051E-3</c:v>
                </c:pt>
                <c:pt idx="742">
                  <c:v>-3.1675176095964375E-3</c:v>
                </c:pt>
                <c:pt idx="743">
                  <c:v>-3.1640215293513574E-3</c:v>
                </c:pt>
                <c:pt idx="744">
                  <c:v>-3.1532957673602313E-3</c:v>
                </c:pt>
                <c:pt idx="745">
                  <c:v>-3.1496413425251557E-3</c:v>
                </c:pt>
                <c:pt idx="746">
                  <c:v>-3.1422137419492291E-3</c:v>
                </c:pt>
                <c:pt idx="747">
                  <c:v>-3.1384405677965521E-3</c:v>
                </c:pt>
                <c:pt idx="748">
                  <c:v>-3.1268835594294719E-3</c:v>
                </c:pt>
                <c:pt idx="749">
                  <c:v>-3.1229520639162178E-3</c:v>
                </c:pt>
                <c:pt idx="750">
                  <c:v>-3.1189809902443244E-3</c:v>
                </c:pt>
                <c:pt idx="751">
                  <c:v>-3.1149703389782291E-3</c:v>
                </c:pt>
                <c:pt idx="752">
                  <c:v>-3.1109201108767692E-3</c:v>
                </c:pt>
                <c:pt idx="753">
                  <c:v>-3.0985319733982664E-3</c:v>
                </c:pt>
                <c:pt idx="754">
                  <c:v>-3.0943234455308444E-3</c:v>
                </c:pt>
                <c:pt idx="755">
                  <c:v>-3.0900753445526341E-3</c:v>
                </c:pt>
                <c:pt idx="756">
                  <c:v>-3.0857876712740984E-3</c:v>
                </c:pt>
                <c:pt idx="757">
                  <c:v>-3.081460426222149E-3</c:v>
                </c:pt>
                <c:pt idx="758">
                  <c:v>-3.0682412674184478E-3</c:v>
                </c:pt>
                <c:pt idx="759">
                  <c:v>-3.063755742321761E-3</c:v>
                </c:pt>
                <c:pt idx="760">
                  <c:v>-3.0592306488130827E-3</c:v>
                </c:pt>
                <c:pt idx="761">
                  <c:v>-3.0546659874313153E-3</c:v>
                </c:pt>
                <c:pt idx="762">
                  <c:v>-3.0500617591486812E-3</c:v>
                </c:pt>
                <c:pt idx="763">
                  <c:v>-3.0360116774892365E-3</c:v>
                </c:pt>
                <c:pt idx="764">
                  <c:v>-3.0312491866512081E-3</c:v>
                </c:pt>
                <c:pt idx="765">
                  <c:v>-3.0264471318710573E-3</c:v>
                </c:pt>
                <c:pt idx="766">
                  <c:v>-3.0216055135353637E-3</c:v>
                </c:pt>
                <c:pt idx="767">
                  <c:v>-3.0167243322251069E-3</c:v>
                </c:pt>
                <c:pt idx="768">
                  <c:v>-3.0018503516383577E-3</c:v>
                </c:pt>
                <c:pt idx="769">
                  <c:v>-2.9968525384954647E-3</c:v>
                </c:pt>
                <c:pt idx="770">
                  <c:v>-2.9918567792001083E-3</c:v>
                </c:pt>
                <c:pt idx="771">
                  <c:v>-2.9868630733449475E-3</c:v>
                </c:pt>
                <c:pt idx="772">
                  <c:v>-2.9818714207214825E-3</c:v>
                </c:pt>
                <c:pt idx="773">
                  <c:v>-2.9669087798059879E-3</c:v>
                </c:pt>
                <c:pt idx="774">
                  <c:v>-2.9619253377912713E-3</c:v>
                </c:pt>
                <c:pt idx="775">
                  <c:v>-2.9569439478883686E-3</c:v>
                </c:pt>
                <c:pt idx="776">
                  <c:v>-2.9519646094905427E-3</c:v>
                </c:pt>
                <c:pt idx="777">
                  <c:v>-2.9469873228279431E-3</c:v>
                </c:pt>
                <c:pt idx="778">
                  <c:v>-2.9320677695355846E-3</c:v>
                </c:pt>
                <c:pt idx="779">
                  <c:v>-2.9270986866557491E-3</c:v>
                </c:pt>
                <c:pt idx="780">
                  <c:v>-2.9221316541111486E-3</c:v>
                </c:pt>
                <c:pt idx="781">
                  <c:v>-2.9171666715341882E-3</c:v>
                </c:pt>
                <c:pt idx="782">
                  <c:v>-2.912203738875907E-3</c:v>
                </c:pt>
                <c:pt idx="783">
                  <c:v>-2.8973272375726333E-3</c:v>
                </c:pt>
                <c:pt idx="784">
                  <c:v>-2.8923725021469116E-3</c:v>
                </c:pt>
                <c:pt idx="785">
                  <c:v>-2.8874198150000696E-3</c:v>
                </c:pt>
                <c:pt idx="786">
                  <c:v>-2.8824691766013988E-3</c:v>
                </c:pt>
                <c:pt idx="787">
                  <c:v>-2.8775205860648301E-3</c:v>
                </c:pt>
                <c:pt idx="788">
                  <c:v>-2.8626871016154132E-3</c:v>
                </c:pt>
                <c:pt idx="789">
                  <c:v>-2.8577467016779323E-3</c:v>
                </c:pt>
                <c:pt idx="790">
                  <c:v>-2.8528083485201972E-3</c:v>
                </c:pt>
                <c:pt idx="791">
                  <c:v>-2.8478720422921988E-3</c:v>
                </c:pt>
                <c:pt idx="792">
                  <c:v>-2.8429377824668034E-3</c:v>
                </c:pt>
                <c:pt idx="793">
                  <c:v>-2.8281472798771246E-3</c:v>
                </c:pt>
                <c:pt idx="794">
                  <c:v>-2.8232212036551907E-3</c:v>
                </c:pt>
                <c:pt idx="795">
                  <c:v>-2.8182971729519002E-3</c:v>
                </c:pt>
                <c:pt idx="796">
                  <c:v>-2.8133751873195001E-3</c:v>
                </c:pt>
                <c:pt idx="797">
                  <c:v>-2.8084552466290935E-3</c:v>
                </c:pt>
                <c:pt idx="798">
                  <c:v>-2.7937076909265723E-3</c:v>
                </c:pt>
                <c:pt idx="799">
                  <c:v>-2.7887959273585894E-3</c:v>
                </c:pt>
                <c:pt idx="800">
                  <c:v>-2.7838862072903092E-3</c:v>
                </c:pt>
                <c:pt idx="801">
                  <c:v>-2.7789785307916759E-3</c:v>
                </c:pt>
                <c:pt idx="802">
                  <c:v>-2.7740728974947615E-3</c:v>
                </c:pt>
                <c:pt idx="803">
                  <c:v>-2.759368254644512E-3</c:v>
                </c:pt>
                <c:pt idx="804">
                  <c:v>-2.7544707919061606E-3</c:v>
                </c:pt>
                <c:pt idx="805">
                  <c:v>-2.7495753713245863E-3</c:v>
                </c:pt>
                <c:pt idx="806">
                  <c:v>-2.7446819924521471E-3</c:v>
                </c:pt>
                <c:pt idx="807">
                  <c:v>-2.739790655358787E-3</c:v>
                </c:pt>
                <c:pt idx="808">
                  <c:v>-2.7251288910300486E-3</c:v>
                </c:pt>
                <c:pt idx="809">
                  <c:v>-2.7202457177281092E-3</c:v>
                </c:pt>
                <c:pt idx="810">
                  <c:v>-2.715364585319735E-3</c:v>
                </c:pt>
                <c:pt idx="811">
                  <c:v>-2.710485492838588E-3</c:v>
                </c:pt>
                <c:pt idx="812">
                  <c:v>-2.7056084403546121E-3</c:v>
                </c:pt>
                <c:pt idx="813">
                  <c:v>-2.6909895207951617E-3</c:v>
                </c:pt>
                <c:pt idx="814">
                  <c:v>-2.6861206258901316E-3</c:v>
                </c:pt>
                <c:pt idx="815">
                  <c:v>-2.6812537700562356E-3</c:v>
                </c:pt>
                <c:pt idx="816">
                  <c:v>-2.6763889527257056E-3</c:v>
                </c:pt>
                <c:pt idx="817">
                  <c:v>-2.6715261739282958E-3</c:v>
                </c:pt>
                <c:pt idx="818">
                  <c:v>-2.6569500652883216E-3</c:v>
                </c:pt>
                <c:pt idx="819">
                  <c:v>-2.6520954377344808E-3</c:v>
                </c:pt>
                <c:pt idx="820">
                  <c:v>-2.6472428473488518E-3</c:v>
                </c:pt>
                <c:pt idx="821">
                  <c:v>-2.6423922941611888E-3</c:v>
                </c:pt>
                <c:pt idx="822">
                  <c:v>-2.6375437776035016E-3</c:v>
                </c:pt>
                <c:pt idx="823">
                  <c:v>-2.6230104467727111E-3</c:v>
                </c:pt>
                <c:pt idx="824">
                  <c:v>-2.6181700753987736E-3</c:v>
                </c:pt>
                <c:pt idx="825">
                  <c:v>-2.6133317394485545E-3</c:v>
                </c:pt>
                <c:pt idx="826">
                  <c:v>-2.6084954390712678E-3</c:v>
                </c:pt>
                <c:pt idx="827">
                  <c:v>-2.6036611740177795E-3</c:v>
                </c:pt>
                <c:pt idx="828">
                  <c:v>-2.589170587748546E-3</c:v>
                </c:pt>
                <c:pt idx="829">
                  <c:v>-2.5843444614966904E-3</c:v>
                </c:pt>
                <c:pt idx="830">
                  <c:v>-2.5795203691225677E-3</c:v>
                </c:pt>
                <c:pt idx="831">
                  <c:v>-2.5746983107355348E-3</c:v>
                </c:pt>
                <c:pt idx="832">
                  <c:v>-2.5698782860861247E-3</c:v>
                </c:pt>
                <c:pt idx="833">
                  <c:v>-2.5554299265790892E-3</c:v>
                </c:pt>
                <c:pt idx="834">
                  <c:v>-2.5506151227432383E-3</c:v>
                </c:pt>
                <c:pt idx="835">
                  <c:v>-2.5457994401539841E-3</c:v>
                </c:pt>
                <c:pt idx="836">
                  <c:v>-2.5409828785192268E-3</c:v>
                </c:pt>
                <c:pt idx="837">
                  <c:v>-2.5361654374292941E-3</c:v>
                </c:pt>
                <c:pt idx="838">
                  <c:v>-2.5217078372966606E-3</c:v>
                </c:pt>
                <c:pt idx="839">
                  <c:v>-2.5168868774596564E-3</c:v>
                </c:pt>
                <c:pt idx="840">
                  <c:v>-2.5120650375858311E-3</c:v>
                </c:pt>
                <c:pt idx="841">
                  <c:v>-2.5072423171045299E-3</c:v>
                </c:pt>
                <c:pt idx="842">
                  <c:v>-2.5024187164417455E-3</c:v>
                </c:pt>
                <c:pt idx="843">
                  <c:v>-2.4879426287742756E-3</c:v>
                </c:pt>
                <c:pt idx="844">
                  <c:v>-2.4831155041905584E-3</c:v>
                </c:pt>
                <c:pt idx="845">
                  <c:v>-2.478287497847842E-3</c:v>
                </c:pt>
                <c:pt idx="846">
                  <c:v>-2.473458610132151E-3</c:v>
                </c:pt>
                <c:pt idx="847">
                  <c:v>-2.4686288405526557E-3</c:v>
                </c:pt>
                <c:pt idx="848">
                  <c:v>-2.4541342390297372E-3</c:v>
                </c:pt>
                <c:pt idx="849">
                  <c:v>-2.4493009403540045E-3</c:v>
                </c:pt>
                <c:pt idx="850">
                  <c:v>-2.4444667589940128E-3</c:v>
                </c:pt>
                <c:pt idx="851">
                  <c:v>-2.4396316947378205E-3</c:v>
                </c:pt>
                <c:pt idx="852">
                  <c:v>-2.4347957474533111E-3</c:v>
                </c:pt>
                <c:pt idx="853">
                  <c:v>-2.4202826051509252E-3</c:v>
                </c:pt>
                <c:pt idx="854">
                  <c:v>-2.4154431235937635E-3</c:v>
                </c:pt>
                <c:pt idx="855">
                  <c:v>-2.4106027581478617E-3</c:v>
                </c:pt>
                <c:pt idx="856">
                  <c:v>-2.4057615084817074E-3</c:v>
                </c:pt>
                <c:pt idx="857">
                  <c:v>-2.400919374343391E-3</c:v>
                </c:pt>
                <c:pt idx="858">
                  <c:v>-2.386387664251699E-3</c:v>
                </c:pt>
                <c:pt idx="859">
                  <c:v>-2.3815419909422042E-3</c:v>
                </c:pt>
                <c:pt idx="860">
                  <c:v>-2.3766954323001244E-3</c:v>
                </c:pt>
                <c:pt idx="861">
                  <c:v>-2.3718479881131849E-3</c:v>
                </c:pt>
                <c:pt idx="862">
                  <c:v>-2.3669996584486652E-3</c:v>
                </c:pt>
                <c:pt idx="863">
                  <c:v>-2.3524493533128021E-3</c:v>
                </c:pt>
                <c:pt idx="864">
                  <c:v>-2.3475974790193588E-3</c:v>
                </c:pt>
                <c:pt idx="865">
                  <c:v>-2.3427447181881833E-3</c:v>
                </c:pt>
                <c:pt idx="866">
                  <c:v>-2.3378910706072231E-3</c:v>
                </c:pt>
                <c:pt idx="867">
                  <c:v>-2.3330365360643146E-3</c:v>
                </c:pt>
                <c:pt idx="868">
                  <c:v>-2.3184676087431022E-3</c:v>
                </c:pt>
                <c:pt idx="869">
                  <c:v>-2.3136095244713495E-3</c:v>
                </c:pt>
                <c:pt idx="870">
                  <c:v>-2.3087505524563845E-3</c:v>
                </c:pt>
                <c:pt idx="871">
                  <c:v>-2.3038906921274416E-3</c:v>
                </c:pt>
                <c:pt idx="872">
                  <c:v>-2.2990299435913242E-3</c:v>
                </c:pt>
                <c:pt idx="873">
                  <c:v>-2.2844423668582081E-3</c:v>
                </c:pt>
                <c:pt idx="874">
                  <c:v>-2.2795780634919938E-3</c:v>
                </c:pt>
                <c:pt idx="875">
                  <c:v>-2.2747128709379449E-3</c:v>
                </c:pt>
                <c:pt idx="876">
                  <c:v>-2.2698467889038509E-3</c:v>
                </c:pt>
                <c:pt idx="877">
                  <c:v>-2.2649798174171343E-3</c:v>
                </c:pt>
                <c:pt idx="878">
                  <c:v>-2.2503735636009159E-3</c:v>
                </c:pt>
                <c:pt idx="879">
                  <c:v>-2.2455030317830582E-3</c:v>
                </c:pt>
                <c:pt idx="880">
                  <c:v>-2.2406316096511558E-3</c:v>
                </c:pt>
                <c:pt idx="881">
                  <c:v>-2.235759296753792E-3</c:v>
                </c:pt>
                <c:pt idx="882">
                  <c:v>-2.2308860929584062E-3</c:v>
                </c:pt>
                <c:pt idx="883">
                  <c:v>-2.2162611344614946E-3</c:v>
                </c:pt>
                <c:pt idx="884">
                  <c:v>-2.2113843651518916E-3</c:v>
                </c:pt>
                <c:pt idx="885">
                  <c:v>-2.2065067041624475E-3</c:v>
                </c:pt>
                <c:pt idx="886">
                  <c:v>-2.2016281511215707E-3</c:v>
                </c:pt>
                <c:pt idx="887">
                  <c:v>-2.1967487059365576E-3</c:v>
                </c:pt>
                <c:pt idx="888">
                  <c:v>-2.1821050149164467E-3</c:v>
                </c:pt>
                <c:pt idx="889">
                  <c:v>-2.1772219988335229E-3</c:v>
                </c:pt>
                <c:pt idx="890">
                  <c:v>-2.1723380897845646E-3</c:v>
                </c:pt>
                <c:pt idx="891">
                  <c:v>-2.1674532872384411E-3</c:v>
                </c:pt>
                <c:pt idx="892">
                  <c:v>-2.162567591341702E-3</c:v>
                </c:pt>
                <c:pt idx="893">
                  <c:v>-2.1479051400692395E-3</c:v>
                </c:pt>
                <c:pt idx="894">
                  <c:v>-2.1430158678498179E-3</c:v>
                </c:pt>
                <c:pt idx="895">
                  <c:v>-2.1381257014576605E-3</c:v>
                </c:pt>
                <c:pt idx="896">
                  <c:v>-2.1332346400025903E-3</c:v>
                </c:pt>
                <c:pt idx="897">
                  <c:v>-2.1283426840299491E-3</c:v>
                </c:pt>
                <c:pt idx="898">
                  <c:v>-2.113666610438214E-3</c:v>
                </c:pt>
                <c:pt idx="899">
                  <c:v>-2.1088020687359821E-3</c:v>
                </c:pt>
                <c:pt idx="900">
                  <c:v>-2.1039676265837137E-3</c:v>
                </c:pt>
                <c:pt idx="901">
                  <c:v>-2.0991632837411567E-3</c:v>
                </c:pt>
                <c:pt idx="902">
                  <c:v>-2.0943890395240805E-3</c:v>
                </c:pt>
                <c:pt idx="903">
                  <c:v>-2.0802468952270114E-3</c:v>
                </c:pt>
                <c:pt idx="904">
                  <c:v>-2.0755930415801149E-3</c:v>
                </c:pt>
                <c:pt idx="905">
                  <c:v>-2.0709692841799354E-3</c:v>
                </c:pt>
                <c:pt idx="906">
                  <c:v>-2.0663756231247277E-3</c:v>
                </c:pt>
                <c:pt idx="907">
                  <c:v>-2.0618120574730225E-3</c:v>
                </c:pt>
                <c:pt idx="908">
                  <c:v>-2.0483019293867644E-3</c:v>
                </c:pt>
                <c:pt idx="909">
                  <c:v>-2.0438587416234943E-3</c:v>
                </c:pt>
                <c:pt idx="910">
                  <c:v>-2.0394456469884359E-3</c:v>
                </c:pt>
                <c:pt idx="911">
                  <c:v>-2.0350626454410659E-3</c:v>
                </c:pt>
                <c:pt idx="912">
                  <c:v>-2.0307097360606763E-3</c:v>
                </c:pt>
                <c:pt idx="913">
                  <c:v>-2.0178315582947137E-3</c:v>
                </c:pt>
                <c:pt idx="914">
                  <c:v>-2.0135990145431215E-3</c:v>
                </c:pt>
                <c:pt idx="915">
                  <c:v>-2.0010819219833387E-3</c:v>
                </c:pt>
                <c:pt idx="916">
                  <c:v>-1.9888356296680065E-3</c:v>
                </c:pt>
                <c:pt idx="917">
                  <c:v>-1.9794015425282918E-3</c:v>
                </c:pt>
                <c:pt idx="918">
                  <c:v>-1.9714910749158987E-3</c:v>
                </c:pt>
                <c:pt idx="919">
                  <c:v>-1.9675806020842401E-3</c:v>
                </c:pt>
                <c:pt idx="920">
                  <c:v>-1.9560282226234182E-3</c:v>
                </c:pt>
                <c:pt idx="921">
                  <c:v>-1.9522371078098955E-3</c:v>
                </c:pt>
                <c:pt idx="922">
                  <c:v>-1.9484758313511596E-3</c:v>
                </c:pt>
                <c:pt idx="923">
                  <c:v>-1.9447443927059771E-3</c:v>
                </c:pt>
                <c:pt idx="924">
                  <c:v>-1.9410427918892248E-3</c:v>
                </c:pt>
                <c:pt idx="925">
                  <c:v>-1.9301170100139986E-3</c:v>
                </c:pt>
                <c:pt idx="926">
                  <c:v>-1.9265347549398681E-3</c:v>
                </c:pt>
                <c:pt idx="927">
                  <c:v>-1.9229823354537379E-3</c:v>
                </c:pt>
                <c:pt idx="928">
                  <c:v>-1.9194597507564692E-3</c:v>
                </c:pt>
                <c:pt idx="929">
                  <c:v>-1.9159670008839225E-3</c:v>
                </c:pt>
                <c:pt idx="930">
                  <c:v>-1.905667754030449E-3</c:v>
                </c:pt>
                <c:pt idx="931">
                  <c:v>-1.9022943378578239E-3</c:v>
                </c:pt>
                <c:pt idx="932">
                  <c:v>-1.8989507543750728E-3</c:v>
                </c:pt>
                <c:pt idx="933">
                  <c:v>-1.8956370029640235E-3</c:v>
                </c:pt>
                <c:pt idx="934">
                  <c:v>-1.8923530830033952E-3</c:v>
                </c:pt>
                <c:pt idx="935">
                  <c:v>-1.8826803086837707E-3</c:v>
                </c:pt>
                <c:pt idx="936">
                  <c:v>-1.8795157109325888E-3</c:v>
                </c:pt>
                <c:pt idx="937">
                  <c:v>-1.8763809426826095E-3</c:v>
                </c:pt>
                <c:pt idx="938">
                  <c:v>-1.8732760035361506E-3</c:v>
                </c:pt>
                <c:pt idx="939">
                  <c:v>-1.8702008930526759E-3</c:v>
                </c:pt>
                <c:pt idx="940">
                  <c:v>-1.8611545289763942E-3</c:v>
                </c:pt>
                <c:pt idx="941">
                  <c:v>-1.8581987287271673E-3</c:v>
                </c:pt>
                <c:pt idx="942">
                  <c:v>-1.8552727551381931E-3</c:v>
                </c:pt>
                <c:pt idx="943">
                  <c:v>-1.8523766073936798E-3</c:v>
                </c:pt>
                <c:pt idx="944">
                  <c:v>-1.8495102854736434E-3</c:v>
                </c:pt>
                <c:pt idx="945">
                  <c:v>-1.8410902694293574E-3</c:v>
                </c:pt>
                <c:pt idx="946">
                  <c:v>-1.838343245842422E-3</c:v>
                </c:pt>
                <c:pt idx="947">
                  <c:v>-1.8356260458237683E-3</c:v>
                </c:pt>
                <c:pt idx="948">
                  <c:v>-1.8329386690978389E-3</c:v>
                </c:pt>
                <c:pt idx="949">
                  <c:v>-1.8302811147475895E-3</c:v>
                </c:pt>
                <c:pt idx="950">
                  <c:v>-1.8224873840458899E-3</c:v>
                </c:pt>
                <c:pt idx="951">
                  <c:v>-1.819949116321995E-3</c:v>
                </c:pt>
                <c:pt idx="952">
                  <c:v>-1.8174406690232292E-3</c:v>
                </c:pt>
                <c:pt idx="953">
                  <c:v>-1.8149620418552725E-3</c:v>
                </c:pt>
                <c:pt idx="954">
                  <c:v>-1.8125132345609973E-3</c:v>
                </c:pt>
                <c:pt idx="955">
                  <c:v>-1.8053457259961103E-3</c:v>
                </c:pt>
                <c:pt idx="956">
                  <c:v>-1.8030161928579425E-3</c:v>
                </c:pt>
                <c:pt idx="957">
                  <c:v>-1.8007164775092344E-3</c:v>
                </c:pt>
                <c:pt idx="958">
                  <c:v>-1.7984465789188109E-3</c:v>
                </c:pt>
                <c:pt idx="959">
                  <c:v>-1.7962064970102887E-3</c:v>
                </c:pt>
                <c:pt idx="960">
                  <c:v>-1.7896484862000017E-3</c:v>
                </c:pt>
                <c:pt idx="961">
                  <c:v>-1.7874277015893503E-3</c:v>
                </c:pt>
                <c:pt idx="962">
                  <c:v>-1.785136767597173E-3</c:v>
                </c:pt>
                <c:pt idx="963">
                  <c:v>-1.7827756852171195E-3</c:v>
                </c:pt>
                <c:pt idx="964">
                  <c:v>-1.7803444550703595E-3</c:v>
                </c:pt>
                <c:pt idx="965">
                  <c:v>-1.7726298871677537E-3</c:v>
                </c:pt>
                <c:pt idx="966">
                  <c:v>-1.7699180745398557E-3</c:v>
                </c:pt>
                <c:pt idx="967">
                  <c:v>-1.7671361183047019E-3</c:v>
                </c:pt>
                <c:pt idx="968">
                  <c:v>-1.7642840192338971E-3</c:v>
                </c:pt>
                <c:pt idx="969">
                  <c:v>-1.7613617776857105E-3</c:v>
                </c:pt>
                <c:pt idx="970">
                  <c:v>-1.7521742065625956E-3</c:v>
                </c:pt>
                <c:pt idx="971">
                  <c:v>-1.7489714026592829E-3</c:v>
                </c:pt>
                <c:pt idx="972">
                  <c:v>-1.7456984599621972E-3</c:v>
                </c:pt>
                <c:pt idx="973">
                  <c:v>-1.7423553785815837E-3</c:v>
                </c:pt>
                <c:pt idx="974">
                  <c:v>-1.738942159490442E-3</c:v>
                </c:pt>
                <c:pt idx="975">
                  <c:v>-1.7282816801577061E-3</c:v>
                </c:pt>
                <c:pt idx="976">
                  <c:v>-1.7245879147138599E-3</c:v>
                </c:pt>
                <c:pt idx="977">
                  <c:v>-1.7208240137702724E-3</c:v>
                </c:pt>
                <c:pt idx="978">
                  <c:v>-1.7169899780122844E-3</c:v>
                </c:pt>
                <c:pt idx="979">
                  <c:v>-1.7130858078712174E-3</c:v>
                </c:pt>
                <c:pt idx="980">
                  <c:v>-1.7009524933639941E-3</c:v>
                </c:pt>
                <c:pt idx="981">
                  <c:v>-1.696767788550102E-3</c:v>
                </c:pt>
                <c:pt idx="982">
                  <c:v>-1.6925129507292525E-3</c:v>
                </c:pt>
                <c:pt idx="983">
                  <c:v>-1.6881879805636935E-3</c:v>
                </c:pt>
                <c:pt idx="984">
                  <c:v>-1.6837928781420208E-3</c:v>
                </c:pt>
                <c:pt idx="985">
                  <c:v>-1.6701867788445623E-3</c:v>
                </c:pt>
                <c:pt idx="986">
                  <c:v>-1.6655111491882257E-3</c:v>
                </c:pt>
                <c:pt idx="987">
                  <c:v>-1.6607653880171824E-3</c:v>
                </c:pt>
                <c:pt idx="988">
                  <c:v>-1.6559494956510656E-3</c:v>
                </c:pt>
                <c:pt idx="989">
                  <c:v>-1.630818066554518E-3</c:v>
                </c:pt>
                <c:pt idx="990">
                  <c:v>-1.6255813873993219E-3</c:v>
                </c:pt>
                <c:pt idx="991">
                  <c:v>-1.6202745769988702E-3</c:v>
                </c:pt>
                <c:pt idx="992">
                  <c:v>-1.6148976352355904E-3</c:v>
                </c:pt>
                <c:pt idx="993">
                  <c:v>-1.5983460211748124E-3</c:v>
                </c:pt>
                <c:pt idx="994">
                  <c:v>-1.5926885528925183E-3</c:v>
                </c:pt>
                <c:pt idx="995">
                  <c:v>-1.5869609524801209E-3</c:v>
                </c:pt>
                <c:pt idx="996">
                  <c:v>-1.58116321997126E-3</c:v>
                </c:pt>
                <c:pt idx="997">
                  <c:v>-1.5752953544673209E-3</c:v>
                </c:pt>
                <c:pt idx="998">
                  <c:v>-1.5572709597150292E-3</c:v>
                </c:pt>
                <c:pt idx="999">
                  <c:v>-1.5511225607303114E-3</c:v>
                </c:pt>
                <c:pt idx="1000">
                  <c:v>-1.5449040273879389E-3</c:v>
                </c:pt>
                <c:pt idx="1001">
                  <c:v>-1.5386153591399054E-3</c:v>
                </c:pt>
                <c:pt idx="1002">
                  <c:v>-1.512759329445168E-3</c:v>
                </c:pt>
                <c:pt idx="1003">
                  <c:v>-1.5061199803666492E-3</c:v>
                </c:pt>
                <c:pt idx="1004">
                  <c:v>-1.4994104929844099E-3</c:v>
                </c:pt>
                <c:pt idx="1005">
                  <c:v>-1.4926308673257616E-3</c:v>
                </c:pt>
                <c:pt idx="1006">
                  <c:v>-1.4857811024054923E-3</c:v>
                </c:pt>
                <c:pt idx="1007">
                  <c:v>-1.4648109660350128E-3</c:v>
                </c:pt>
                <c:pt idx="1008">
                  <c:v>-1.4576806373151063E-3</c:v>
                </c:pt>
                <c:pt idx="1009">
                  <c:v>-1.4504801661439082E-3</c:v>
                </c:pt>
                <c:pt idx="1010">
                  <c:v>-1.4432095511666132E-3</c:v>
                </c:pt>
                <c:pt idx="1011">
                  <c:v>-1.4358687916562474E-3</c:v>
                </c:pt>
                <c:pt idx="1012">
                  <c:v>-1.4134256377302812E-3</c:v>
                </c:pt>
                <c:pt idx="1013">
                  <c:v>-1.4058042914621982E-3</c:v>
                </c:pt>
                <c:pt idx="1014">
                  <c:v>-1.3981127961150142E-3</c:v>
                </c:pt>
                <c:pt idx="1015">
                  <c:v>-1.39035115039432E-3</c:v>
                </c:pt>
                <c:pt idx="1016">
                  <c:v>-1.3825193537457814E-3</c:v>
                </c:pt>
                <c:pt idx="1017">
                  <c:v>-1.3586030451891995E-3</c:v>
                </c:pt>
                <c:pt idx="1018">
                  <c:v>-1.3504906324663946E-3</c:v>
                </c:pt>
                <c:pt idx="1019">
                  <c:v>-1.3423080630396989E-3</c:v>
                </c:pt>
                <c:pt idx="1020">
                  <c:v>-1.3340553352285678E-3</c:v>
                </c:pt>
                <c:pt idx="1021">
                  <c:v>-1.3257324481794619E-3</c:v>
                </c:pt>
                <c:pt idx="1022">
                  <c:v>-1.3003428174355181E-3</c:v>
                </c:pt>
                <c:pt idx="1023">
                  <c:v>-1.2917519475887929E-3</c:v>
                </c:pt>
                <c:pt idx="1024">
                  <c:v>-1.2831542521060113E-3</c:v>
                </c:pt>
                <c:pt idx="1025">
                  <c:v>-1.2745623985072063E-3</c:v>
                </c:pt>
                <c:pt idx="1026">
                  <c:v>-1.2659763863432927E-3</c:v>
                </c:pt>
                <c:pt idx="1027">
                  <c:v>-1.2402533926779702E-3</c:v>
                </c:pt>
                <c:pt idx="1028">
                  <c:v>-1.2316907405860444E-3</c:v>
                </c:pt>
                <c:pt idx="1029">
                  <c:v>-1.2231339272141817E-3</c:v>
                </c:pt>
                <c:pt idx="1030">
                  <c:v>-1.2145829518334095E-3</c:v>
                </c:pt>
                <c:pt idx="1031">
                  <c:v>-1.2060378140772432E-3</c:v>
                </c:pt>
                <c:pt idx="1032">
                  <c:v>-1.1804374207898816E-3</c:v>
                </c:pt>
                <c:pt idx="1033">
                  <c:v>-1.1719156280080023E-3</c:v>
                </c:pt>
                <c:pt idx="1034">
                  <c:v>-1.163399670088161E-3</c:v>
                </c:pt>
                <c:pt idx="1035">
                  <c:v>-1.1548895465830489E-3</c:v>
                </c:pt>
                <c:pt idx="1036">
                  <c:v>-1.1463852568427413E-3</c:v>
                </c:pt>
                <c:pt idx="1037">
                  <c:v>-1.1209073854463458E-3</c:v>
                </c:pt>
                <c:pt idx="1038">
                  <c:v>-1.1124264259174677E-3</c:v>
                </c:pt>
                <c:pt idx="1039">
                  <c:v>-1.1039512974689858E-3</c:v>
                </c:pt>
                <c:pt idx="1040">
                  <c:v>-1.095481999850989E-3</c:v>
                </c:pt>
                <c:pt idx="1041">
                  <c:v>-1.0870185323330617E-3</c:v>
                </c:pt>
                <c:pt idx="1042">
                  <c:v>-1.0616631054867209E-3</c:v>
                </c:pt>
                <c:pt idx="1043">
                  <c:v>-1.0532229536723836E-3</c:v>
                </c:pt>
                <c:pt idx="1044">
                  <c:v>-1.0447886291897746E-3</c:v>
                </c:pt>
                <c:pt idx="1045">
                  <c:v>-1.0363601317867621E-3</c:v>
                </c:pt>
                <c:pt idx="1046">
                  <c:v>-1.027937461013928E-3</c:v>
                </c:pt>
                <c:pt idx="1047">
                  <c:v>-1.0027044030057608E-3</c:v>
                </c:pt>
                <c:pt idx="1048">
                  <c:v>-9.9430503336439546E-4</c:v>
                </c:pt>
                <c:pt idx="1049">
                  <c:v>-9.859114878175701E-4</c:v>
                </c:pt>
                <c:pt idx="1050">
                  <c:v>-9.7752376563564614E-4</c:v>
                </c:pt>
                <c:pt idx="1051">
                  <c:v>-9.6914186668528579E-4</c:v>
                </c:pt>
                <c:pt idx="1052">
                  <c:v>-9.4403110251606304E-4</c:v>
                </c:pt>
                <c:pt idx="1053">
                  <c:v>-9.3567249065973357E-4</c:v>
                </c:pt>
                <c:pt idx="1054">
                  <c:v>-9.2731969909809475E-4</c:v>
                </c:pt>
                <c:pt idx="1055">
                  <c:v>-9.189727275773496E-4</c:v>
                </c:pt>
                <c:pt idx="1056">
                  <c:v>-9.1063157576631859E-4</c:v>
                </c:pt>
                <c:pt idx="1057">
                  <c:v>-8.8564303230387331E-4</c:v>
                </c:pt>
                <c:pt idx="1058">
                  <c:v>-8.7732515356520047E-4</c:v>
                </c:pt>
                <c:pt idx="1059">
                  <c:v>-8.690130919518646E-4</c:v>
                </c:pt>
                <c:pt idx="1060">
                  <c:v>-8.6070684677241882E-4</c:v>
                </c:pt>
                <c:pt idx="1061">
                  <c:v>-8.5240641805184314E-4</c:v>
                </c:pt>
                <c:pt idx="1062">
                  <c:v>-8.2754002287843687E-4</c:v>
                </c:pt>
                <c:pt idx="1063">
                  <c:v>-8.1926285366362706E-4</c:v>
                </c:pt>
                <c:pt idx="1064">
                  <c:v>-8.1099149800201165E-4</c:v>
                </c:pt>
                <c:pt idx="1065">
                  <c:v>-8.027259556380173E-4</c:v>
                </c:pt>
                <c:pt idx="1066">
                  <c:v>-7.9446622587919791E-4</c:v>
                </c:pt>
                <c:pt idx="1067">
                  <c:v>-7.6972190860569167E-4</c:v>
                </c:pt>
                <c:pt idx="1068">
                  <c:v>-7.6148542516174533E-4</c:v>
                </c:pt>
                <c:pt idx="1069">
                  <c:v>-7.5325475208976034E-4</c:v>
                </c:pt>
                <c:pt idx="1070">
                  <c:v>-7.4502988893587752E-4</c:v>
                </c:pt>
                <c:pt idx="1071">
                  <c:v>-7.3681083512455725E-4</c:v>
                </c:pt>
                <c:pt idx="1072">
                  <c:v>-7.1218852595700266E-4</c:v>
                </c:pt>
                <c:pt idx="1073">
                  <c:v>-7.0399270536591896E-4</c:v>
                </c:pt>
                <c:pt idx="1074">
                  <c:v>-6.9580269172120346E-4</c:v>
                </c:pt>
                <c:pt idx="1075">
                  <c:v>-6.8761848504750311E-4</c:v>
                </c:pt>
                <c:pt idx="1076">
                  <c:v>-6.7944008432885283E-4</c:v>
                </c:pt>
                <c:pt idx="1077">
                  <c:v>-6.5493971490548919E-4</c:v>
                </c:pt>
                <c:pt idx="1078">
                  <c:v>-6.4678453440780714E-4</c:v>
                </c:pt>
                <c:pt idx="1079">
                  <c:v>-6.3863515782514035E-4</c:v>
                </c:pt>
                <c:pt idx="1080">
                  <c:v>-6.3049158482009204E-4</c:v>
                </c:pt>
                <c:pt idx="1081">
                  <c:v>-6.2235381473718654E-4</c:v>
                </c:pt>
                <c:pt idx="1082">
                  <c:v>-5.9797531804928195E-4</c:v>
                </c:pt>
                <c:pt idx="1083">
                  <c:v>-5.8986075560407691E-4</c:v>
                </c:pt>
                <c:pt idx="1084">
                  <c:v>-5.8175199375554154E-4</c:v>
                </c:pt>
                <c:pt idx="1085">
                  <c:v>-5.7364903228673825E-4</c:v>
                </c:pt>
                <c:pt idx="1086">
                  <c:v>-5.6555187081941405E-4</c:v>
                </c:pt>
                <c:pt idx="1087">
                  <c:v>-5.412951810140898E-4</c:v>
                </c:pt>
                <c:pt idx="1088">
                  <c:v>-5.3322121469778772E-4</c:v>
                </c:pt>
                <c:pt idx="1089">
                  <c:v>-5.2515287408250177E-4</c:v>
                </c:pt>
                <c:pt idx="1090">
                  <c:v>-5.1708947093043189E-4</c:v>
                </c:pt>
                <c:pt idx="1091">
                  <c:v>-5.0903083342757061E-4</c:v>
                </c:pt>
                <c:pt idx="1092">
                  <c:v>-4.8488350750164333E-4</c:v>
                </c:pt>
                <c:pt idx="1093">
                  <c:v>-4.7684392640257034E-4</c:v>
                </c:pt>
                <c:pt idx="1094">
                  <c:v>-4.6880910853497326E-4</c:v>
                </c:pt>
                <c:pt idx="1095">
                  <c:v>-4.6077905305630384E-4</c:v>
                </c:pt>
                <c:pt idx="1096">
                  <c:v>-4.52753759841662E-4</c:v>
                </c:pt>
                <c:pt idx="1097">
                  <c:v>-4.2870644834669402E-4</c:v>
                </c:pt>
                <c:pt idx="1098">
                  <c:v>-4.2070019927054059E-4</c:v>
                </c:pt>
                <c:pt idx="1099">
                  <c:v>-4.1269870995908065E-4</c:v>
                </c:pt>
                <c:pt idx="1100">
                  <c:v>-4.0470198032704907E-4</c:v>
                </c:pt>
                <c:pt idx="1101">
                  <c:v>-3.967100094910414E-4</c:v>
                </c:pt>
                <c:pt idx="1102">
                  <c:v>-3.7276264734975584E-4</c:v>
                </c:pt>
                <c:pt idx="1103">
                  <c:v>-3.6478970852971138E-4</c:v>
                </c:pt>
                <c:pt idx="1104">
                  <c:v>-3.5682152644211929E-4</c:v>
                </c:pt>
                <c:pt idx="1105">
                  <c:v>-3.4885810080154123E-4</c:v>
                </c:pt>
                <c:pt idx="1106">
                  <c:v>-3.4089943124326894E-4</c:v>
                </c:pt>
                <c:pt idx="1107">
                  <c:v>-3.170519540903749E-4</c:v>
                </c:pt>
                <c:pt idx="1108">
                  <c:v>-3.091123040894761E-4</c:v>
                </c:pt>
                <c:pt idx="1109">
                  <c:v>-3.0117740786439473E-4</c:v>
                </c:pt>
                <c:pt idx="1110">
                  <c:v>-2.9324726532942158E-4</c:v>
                </c:pt>
                <c:pt idx="1111">
                  <c:v>-2.8532187559937583E-4</c:v>
                </c:pt>
                <c:pt idx="1112">
                  <c:v>-2.6157422014050358E-4</c:v>
                </c:pt>
                <c:pt idx="1113">
                  <c:v>-2.5366783829150474E-4</c:v>
                </c:pt>
                <c:pt idx="1114">
                  <c:v>-2.4576620709826358E-4</c:v>
                </c:pt>
                <c:pt idx="1115">
                  <c:v>-2.3786932651392867E-4</c:v>
                </c:pt>
                <c:pt idx="1116">
                  <c:v>-2.2997719589290533E-4</c:v>
                </c:pt>
                <c:pt idx="1117">
                  <c:v>-2.0632930010455741E-4</c:v>
                </c:pt>
                <c:pt idx="1118">
                  <c:v>-1.9845616543201494E-4</c:v>
                </c:pt>
                <c:pt idx="1119">
                  <c:v>-1.9058777880986977E-4</c:v>
                </c:pt>
                <c:pt idx="1120">
                  <c:v>-1.827241397119872E-4</c:v>
                </c:pt>
                <c:pt idx="1121">
                  <c:v>-1.7486524757126531E-4</c:v>
                </c:pt>
                <c:pt idx="1122">
                  <c:v>-1.5131705038262666E-4</c:v>
                </c:pt>
                <c:pt idx="1123">
                  <c:v>-1.434771427207826E-4</c:v>
                </c:pt>
                <c:pt idx="1124">
                  <c:v>-1.3564198026083663E-4</c:v>
                </c:pt>
                <c:pt idx="1125">
                  <c:v>-1.2781156227548163E-4</c:v>
                </c:pt>
                <c:pt idx="1126">
                  <c:v>-1.1998588891704021E-4</c:v>
                </c:pt>
                <c:pt idx="1127">
                  <c:v>-9.6537329729806665E-5</c:v>
                </c:pt>
                <c:pt idx="1128">
                  <c:v>-8.873062924441566E-5</c:v>
                </c:pt>
                <c:pt idx="1129">
                  <c:v>-8.0928670907920441E-5</c:v>
                </c:pt>
                <c:pt idx="1130">
                  <c:v>-7.3131454592312295E-5</c:v>
                </c:pt>
                <c:pt idx="1131">
                  <c:v>-6.5338979569729005E-5</c:v>
                </c:pt>
                <c:pt idx="1132">
                  <c:v>-4.1989999458480476E-5</c:v>
                </c:pt>
                <c:pt idx="1133">
                  <c:v>-3.4216486525906475E-5</c:v>
                </c:pt>
                <c:pt idx="1134">
                  <c:v>-2.644771268556223E-5</c:v>
                </c:pt>
                <c:pt idx="1135">
                  <c:v>-1.8683678447928287E-5</c:v>
                </c:pt>
                <c:pt idx="1136">
                  <c:v>-1.0924382405352873E-5</c:v>
                </c:pt>
                <c:pt idx="1137">
                  <c:v>1.2325076761854348E-5</c:v>
                </c:pt>
                <c:pt idx="1138">
                  <c:v>2.0065421753479029E-5</c:v>
                </c:pt>
                <c:pt idx="1139">
                  <c:v>2.7801029954366285E-5</c:v>
                </c:pt>
                <c:pt idx="1140">
                  <c:v>3.5531901813934397E-5</c:v>
                </c:pt>
                <c:pt idx="1141">
                  <c:v>4.3258037781157554E-5</c:v>
                </c:pt>
                <c:pt idx="1142">
                  <c:v>6.6408033382314713E-5</c:v>
                </c:pt>
                <c:pt idx="1143">
                  <c:v>7.4115229233839841E-5</c:v>
                </c:pt>
                <c:pt idx="1144">
                  <c:v>8.1817691039987039E-5</c:v>
                </c:pt>
                <c:pt idx="1145">
                  <c:v>8.951541917068262E-5</c:v>
                </c:pt>
                <c:pt idx="1146">
                  <c:v>9.7208413915694791E-5</c:v>
                </c:pt>
                <c:pt idx="1147">
                  <c:v>1.2025900225443031E-4</c:v>
                </c:pt>
                <c:pt idx="1148">
                  <c:v>1.2793306779501634E-4</c:v>
                </c:pt>
                <c:pt idx="1149">
                  <c:v>1.3560240163990045E-4</c:v>
                </c:pt>
                <c:pt idx="1150">
                  <c:v>1.4326700447919727E-4</c:v>
                </c:pt>
                <c:pt idx="1151">
                  <c:v>1.5092687684337136E-4</c:v>
                </c:pt>
                <c:pt idx="1152">
                  <c:v>1.7387811318814173E-4</c:v>
                </c:pt>
                <c:pt idx="1153">
                  <c:v>1.8151906631591608E-4</c:v>
                </c:pt>
                <c:pt idx="1154">
                  <c:v>1.8915034680277998E-4</c:v>
                </c:pt>
                <c:pt idx="1155">
                  <c:v>1.9675217892345387E-4</c:v>
                </c:pt>
                <c:pt idx="1156">
                  <c:v>2.0431961807365617E-4</c:v>
                </c:pt>
                <c:pt idx="1157">
                  <c:v>2.268155756053325E-4</c:v>
                </c:pt>
                <c:pt idx="1158">
                  <c:v>2.3424544015426818E-4</c:v>
                </c:pt>
                <c:pt idx="1159">
                  <c:v>2.4164090987088827E-4</c:v>
                </c:pt>
                <c:pt idx="1160">
                  <c:v>2.4900198463306822E-4</c:v>
                </c:pt>
                <c:pt idx="1161">
                  <c:v>2.5632866376268382E-4</c:v>
                </c:pt>
                <c:pt idx="1162">
                  <c:v>2.7810232454594797E-4</c:v>
                </c:pt>
                <c:pt idx="1163">
                  <c:v>2.8529141763344867E-4</c:v>
                </c:pt>
                <c:pt idx="1164">
                  <c:v>2.9244611327006176E-4</c:v>
                </c:pt>
                <c:pt idx="1165">
                  <c:v>2.9956641095951753E-4</c:v>
                </c:pt>
                <c:pt idx="1166">
                  <c:v>3.066523103674168E-4</c:v>
                </c:pt>
                <c:pt idx="1167">
                  <c:v>3.2770361338596565E-4</c:v>
                </c:pt>
                <c:pt idx="1168">
                  <c:v>3.3465191472736855E-4</c:v>
                </c:pt>
                <c:pt idx="1169">
                  <c:v>3.4156581545419229E-4</c:v>
                </c:pt>
                <c:pt idx="1170">
                  <c:v>3.4844531525424216E-4</c:v>
                </c:pt>
                <c:pt idx="1171">
                  <c:v>3.7561929506946257E-4</c:v>
                </c:pt>
                <c:pt idx="1172">
                  <c:v>3.8232678311844737E-4</c:v>
                </c:pt>
                <c:pt idx="1173">
                  <c:v>3.8899986708296197E-4</c:v>
                </c:pt>
                <c:pt idx="1174">
                  <c:v>3.9673179058929975E-4</c:v>
                </c:pt>
                <c:pt idx="1175">
                  <c:v>4.2308535706836459E-4</c:v>
                </c:pt>
                <c:pt idx="1176">
                  <c:v>4.2958702470308197E-4</c:v>
                </c:pt>
                <c:pt idx="1177">
                  <c:v>4.3605400178781117E-4</c:v>
                </c:pt>
                <c:pt idx="1178">
                  <c:v>4.4248628773191356E-4</c:v>
                </c:pt>
                <c:pt idx="1179">
                  <c:v>4.48883882106621E-4</c:v>
                </c:pt>
                <c:pt idx="1180">
                  <c:v>4.6786851095248494E-4</c:v>
                </c:pt>
                <c:pt idx="1181">
                  <c:v>4.7412733404472718E-4</c:v>
                </c:pt>
                <c:pt idx="1182">
                  <c:v>4.8035146308289534E-4</c:v>
                </c:pt>
                <c:pt idx="1183">
                  <c:v>4.8654089765998165E-4</c:v>
                </c:pt>
                <c:pt idx="1184">
                  <c:v>4.926956369744051E-4</c:v>
                </c:pt>
                <c:pt idx="1185">
                  <c:v>5.1095167936576757E-4</c:v>
                </c:pt>
                <c:pt idx="1186">
                  <c:v>5.1696763311337435E-4</c:v>
                </c:pt>
                <c:pt idx="1187">
                  <c:v>5.2294888923820615E-4</c:v>
                </c:pt>
                <c:pt idx="1188">
                  <c:v>5.288954472002505E-4</c:v>
                </c:pt>
                <c:pt idx="1189">
                  <c:v>5.3480730630095508E-4</c:v>
                </c:pt>
                <c:pt idx="1190">
                  <c:v>5.5233468592019719E-4</c:v>
                </c:pt>
                <c:pt idx="1191">
                  <c:v>5.5810774491615867E-4</c:v>
                </c:pt>
                <c:pt idx="1192">
                  <c:v>5.638461022587915E-4</c:v>
                </c:pt>
                <c:pt idx="1193">
                  <c:v>5.6954975783152229E-4</c:v>
                </c:pt>
                <c:pt idx="1194">
                  <c:v>5.7521871072307995E-4</c:v>
                </c:pt>
                <c:pt idx="1195">
                  <c:v>5.9201734927927241E-4</c:v>
                </c:pt>
                <c:pt idx="1196">
                  <c:v>5.9754748695417526E-4</c:v>
                </c:pt>
                <c:pt idx="1197">
                  <c:v>6.0304291920054709E-4</c:v>
                </c:pt>
                <c:pt idx="1198">
                  <c:v>6.0850364568776349E-4</c:v>
                </c:pt>
                <c:pt idx="1199">
                  <c:v>6.139296659291027E-4</c:v>
                </c:pt>
                <c:pt idx="1200">
                  <c:v>6.2999948292019603E-4</c:v>
                </c:pt>
                <c:pt idx="1201">
                  <c:v>6.3528667225942748E-4</c:v>
                </c:pt>
                <c:pt idx="1202">
                  <c:v>6.4053915233164282E-4</c:v>
                </c:pt>
                <c:pt idx="1203">
                  <c:v>6.4575692283197483E-4</c:v>
                </c:pt>
                <c:pt idx="1204">
                  <c:v>6.5093998297793831E-4</c:v>
                </c:pt>
                <c:pt idx="1205">
                  <c:v>6.6628089640952126E-4</c:v>
                </c:pt>
                <c:pt idx="1206">
                  <c:v>6.7132510987422123E-4</c:v>
                </c:pt>
                <c:pt idx="1207">
                  <c:v>6.7633461025051744E-4</c:v>
                </c:pt>
                <c:pt idx="1208">
                  <c:v>6.8130939693777925E-4</c:v>
                </c:pt>
                <c:pt idx="1209">
                  <c:v>6.86249469419975E-4</c:v>
                </c:pt>
                <c:pt idx="1210">
                  <c:v>7.008613954826437E-4</c:v>
                </c:pt>
                <c:pt idx="1211">
                  <c:v>7.0566260517046508E-4</c:v>
                </c:pt>
                <c:pt idx="1212">
                  <c:v>7.1042909780372199E-4</c:v>
                </c:pt>
                <c:pt idx="1213">
                  <c:v>7.1516087256862093E-4</c:v>
                </c:pt>
                <c:pt idx="1214">
                  <c:v>7.1985792905282509E-4</c:v>
                </c:pt>
                <c:pt idx="1215">
                  <c:v>7.3374078308585666E-4</c:v>
                </c:pt>
                <c:pt idx="1216">
                  <c:v>7.3831441942484588E-4</c:v>
                </c:pt>
                <c:pt idx="1217">
                  <c:v>7.4293062953700861E-4</c:v>
                </c:pt>
                <c:pt idx="1218">
                  <c:v>7.4760487380864937E-4</c:v>
                </c:pt>
                <c:pt idx="1219">
                  <c:v>7.5233715329137141E-4</c:v>
                </c:pt>
                <c:pt idx="1220">
                  <c:v>7.6688221974041682E-4</c:v>
                </c:pt>
                <c:pt idx="1221">
                  <c:v>7.7184665621410353E-4</c:v>
                </c:pt>
                <c:pt idx="1222">
                  <c:v>7.7686913578278727E-4</c:v>
                </c:pt>
                <c:pt idx="1223">
                  <c:v>7.8194966003830579E-4</c:v>
                </c:pt>
                <c:pt idx="1224">
                  <c:v>7.8708823058137867E-4</c:v>
                </c:pt>
                <c:pt idx="1225">
                  <c:v>8.0285223602194478E-4</c:v>
                </c:pt>
                <c:pt idx="1226">
                  <c:v>8.0822300785077239E-4</c:v>
                </c:pt>
                <c:pt idx="1227">
                  <c:v>8.1365183460535562E-4</c:v>
                </c:pt>
                <c:pt idx="1228">
                  <c:v>8.1913871730709964E-4</c:v>
                </c:pt>
                <c:pt idx="1229">
                  <c:v>8.2468365810850486E-4</c:v>
                </c:pt>
                <c:pt idx="1230">
                  <c:v>8.4166684621789223E-4</c:v>
                </c:pt>
                <c:pt idx="1231">
                  <c:v>8.4744403657666112E-4</c:v>
                </c:pt>
                <c:pt idx="1232">
                  <c:v>8.5327929410627945E-4</c:v>
                </c:pt>
                <c:pt idx="1233">
                  <c:v>8.5917262029799879E-4</c:v>
                </c:pt>
                <c:pt idx="1234">
                  <c:v>8.6512401721572374E-4</c:v>
                </c:pt>
                <c:pt idx="1235">
                  <c:v>8.8332665069645877E-4</c:v>
                </c:pt>
                <c:pt idx="1236">
                  <c:v>8.8951034918305361E-4</c:v>
                </c:pt>
                <c:pt idx="1237">
                  <c:v>8.9575212813897132E-4</c:v>
                </c:pt>
                <c:pt idx="1238">
                  <c:v>9.0205198920823015E-4</c:v>
                </c:pt>
                <c:pt idx="1239">
                  <c:v>9.3442259966636243E-4</c:v>
                </c:pt>
                <c:pt idx="1240">
                  <c:v>9.4107099712648079E-4</c:v>
                </c:pt>
                <c:pt idx="1241">
                  <c:v>9.4777749160468439E-4</c:v>
                </c:pt>
                <c:pt idx="1242">
                  <c:v>9.545420847456576E-4</c:v>
                </c:pt>
                <c:pt idx="1243">
                  <c:v>9.7518447945521558E-4</c:v>
                </c:pt>
                <c:pt idx="1244">
                  <c:v>9.8218149012962996E-4</c:v>
                </c:pt>
                <c:pt idx="1245">
                  <c:v>9.8923661071803615E-4</c:v>
                </c:pt>
                <c:pt idx="1246">
                  <c:v>9.9634984356655742E-4</c:v>
                </c:pt>
                <c:pt idx="1247">
                  <c:v>1.0035211910290887E-3</c:v>
                </c:pt>
                <c:pt idx="1248">
                  <c:v>1.025383943685787E-3</c:v>
                </c:pt>
                <c:pt idx="1249">
                  <c:v>1.0327877727180912E-3</c:v>
                </c:pt>
                <c:pt idx="1250">
                  <c:v>1.0402497279720091E-3</c:v>
                </c:pt>
                <c:pt idx="1251">
                  <c:v>1.0477698121822421E-3</c:v>
                </c:pt>
                <c:pt idx="1252">
                  <c:v>1.0553480275357074E-3</c:v>
                </c:pt>
                <c:pt idx="1253">
                  <c:v>1.0784314858214294E-3</c:v>
                </c:pt>
                <c:pt idx="1254">
                  <c:v>1.0862422513269188E-3</c:v>
                </c:pt>
                <c:pt idx="1255">
                  <c:v>1.0941111604156895E-3</c:v>
                </c:pt>
                <c:pt idx="1256">
                  <c:v>1.1020382160558118E-3</c:v>
                </c:pt>
                <c:pt idx="1257">
                  <c:v>1.1100234206626869E-3</c:v>
                </c:pt>
                <c:pt idx="1258">
                  <c:v>1.1343279553310825E-3</c:v>
                </c:pt>
                <c:pt idx="1259">
                  <c:v>1.1425457826594876E-3</c:v>
                </c:pt>
                <c:pt idx="1260">
                  <c:v>1.150821772552435E-3</c:v>
                </c:pt>
                <c:pt idx="1261">
                  <c:v>1.1591559275674346E-3</c:v>
                </c:pt>
                <c:pt idx="1262">
                  <c:v>1.1675482505113521E-3</c:v>
                </c:pt>
                <c:pt idx="1263">
                  <c:v>1.1930742554742135E-3</c:v>
                </c:pt>
                <c:pt idx="1264">
                  <c:v>1.2016992786589853E-3</c:v>
                </c:pt>
                <c:pt idx="1265">
                  <c:v>1.2103824838063382E-3</c:v>
                </c:pt>
                <c:pt idx="1266">
                  <c:v>1.2191238744234667E-3</c:v>
                </c:pt>
                <c:pt idx="1267">
                  <c:v>1.2279234529108951E-3</c:v>
                </c:pt>
                <c:pt idx="1268">
                  <c:v>1.2546713464527404E-3</c:v>
                </c:pt>
                <c:pt idx="1269">
                  <c:v>1.2637037070128976E-3</c:v>
                </c:pt>
                <c:pt idx="1270">
                  <c:v>1.2727942708699036E-3</c:v>
                </c:pt>
                <c:pt idx="1271">
                  <c:v>1.2819430408852472E-3</c:v>
                </c:pt>
                <c:pt idx="1272">
                  <c:v>1.2911500201679971E-3</c:v>
                </c:pt>
                <c:pt idx="1273">
                  <c:v>1.3191202457618623E-3</c:v>
                </c:pt>
                <c:pt idx="1274">
                  <c:v>1.328560094143727E-3</c:v>
                </c:pt>
                <c:pt idx="1275">
                  <c:v>1.3380581678188452E-3</c:v>
                </c:pt>
                <c:pt idx="1276">
                  <c:v>1.3476144699571257E-3</c:v>
                </c:pt>
                <c:pt idx="1277">
                  <c:v>1.3572290039818302E-3</c:v>
                </c:pt>
                <c:pt idx="1278">
                  <c:v>1.3864220305377373E-3</c:v>
                </c:pt>
                <c:pt idx="1279">
                  <c:v>1.3962695254057245E-3</c:v>
                </c:pt>
                <c:pt idx="1280">
                  <c:v>1.4061643510125954E-3</c:v>
                </c:pt>
                <c:pt idx="1281">
                  <c:v>1.4160628385391227E-3</c:v>
                </c:pt>
                <c:pt idx="1282">
                  <c:v>1.425954070667812E-3</c:v>
                </c:pt>
                <c:pt idx="1283">
                  <c:v>1.4555842393959573E-3</c:v>
                </c:pt>
                <c:pt idx="1284">
                  <c:v>1.4654464547401158E-3</c:v>
                </c:pt>
                <c:pt idx="1285">
                  <c:v>1.475301416890451E-3</c:v>
                </c:pt>
                <c:pt idx="1286">
                  <c:v>1.4851491268303985E-3</c:v>
                </c:pt>
                <c:pt idx="1287">
                  <c:v>1.4949895844271754E-3</c:v>
                </c:pt>
                <c:pt idx="1288">
                  <c:v>1.5244674497250088E-3</c:v>
                </c:pt>
                <c:pt idx="1289">
                  <c:v>1.5342789039609617E-3</c:v>
                </c:pt>
                <c:pt idx="1290">
                  <c:v>1.5440831082202955E-3</c:v>
                </c:pt>
                <c:pt idx="1291">
                  <c:v>1.5538800632515226E-3</c:v>
                </c:pt>
                <c:pt idx="1292">
                  <c:v>1.5636697695593504E-3</c:v>
                </c:pt>
                <c:pt idx="1293">
                  <c:v>1.592995399696262E-3</c:v>
                </c:pt>
                <c:pt idx="1294">
                  <c:v>1.6027561150633307E-3</c:v>
                </c:pt>
                <c:pt idx="1295">
                  <c:v>1.6125095839221171E-3</c:v>
                </c:pt>
                <c:pt idx="1296">
                  <c:v>1.6222558066218973E-3</c:v>
                </c:pt>
                <c:pt idx="1297">
                  <c:v>1.6319947837488691E-3</c:v>
                </c:pt>
                <c:pt idx="1298">
                  <c:v>1.6611682450196064E-3</c:v>
                </c:pt>
                <c:pt idx="1299">
                  <c:v>1.6708782437397929E-3</c:v>
                </c:pt>
                <c:pt idx="1300">
                  <c:v>1.6805809987900933E-3</c:v>
                </c:pt>
                <c:pt idx="1301">
                  <c:v>1.6902765109980677E-3</c:v>
                </c:pt>
                <c:pt idx="1302">
                  <c:v>1.6999647803943585E-3</c:v>
                </c:pt>
                <c:pt idx="1303">
                  <c:v>1.7289861373581683E-3</c:v>
                </c:pt>
                <c:pt idx="1304">
                  <c:v>1.7386454406780327E-3</c:v>
                </c:pt>
                <c:pt idx="1305">
                  <c:v>1.7482975033316084E-3</c:v>
                </c:pt>
                <c:pt idx="1306">
                  <c:v>1.7579423260718485E-3</c:v>
                </c:pt>
                <c:pt idx="1307">
                  <c:v>1.7675799090064448E-3</c:v>
                </c:pt>
                <c:pt idx="1308">
                  <c:v>1.7964492240913899E-3</c:v>
                </c:pt>
                <c:pt idx="1309">
                  <c:v>1.8060578525946891E-3</c:v>
                </c:pt>
                <c:pt idx="1310">
                  <c:v>1.8156592435287777E-3</c:v>
                </c:pt>
                <c:pt idx="1311">
                  <c:v>1.825253397322868E-3</c:v>
                </c:pt>
                <c:pt idx="1312">
                  <c:v>1.8348403142505187E-3</c:v>
                </c:pt>
                <c:pt idx="1313">
                  <c:v>1.8635576484642424E-3</c:v>
                </c:pt>
                <c:pt idx="1314">
                  <c:v>1.8731156222409062E-3</c:v>
                </c:pt>
                <c:pt idx="1315">
                  <c:v>1.8826663613893402E-3</c:v>
                </c:pt>
                <c:pt idx="1316">
                  <c:v>1.8922098660243414E-3</c:v>
                </c:pt>
                <c:pt idx="1317">
                  <c:v>1.9017461367363264E-3</c:v>
                </c:pt>
                <c:pt idx="1318">
                  <c:v>1.9303115488742417E-3</c:v>
                </c:pt>
                <c:pt idx="1319">
                  <c:v>1.9398188877506328E-3</c:v>
                </c:pt>
                <c:pt idx="1320">
                  <c:v>1.9493189942325628E-3</c:v>
                </c:pt>
                <c:pt idx="1321">
                  <c:v>1.958811869312127E-3</c:v>
                </c:pt>
                <c:pt idx="1322">
                  <c:v>1.9682975131054548E-3</c:v>
                </c:pt>
                <c:pt idx="1323">
                  <c:v>1.9967110603005267E-3</c:v>
                </c:pt>
                <c:pt idx="1324">
                  <c:v>2.0061677827269975E-3</c:v>
                </c:pt>
                <c:pt idx="1325">
                  <c:v>2.0156172757994639E-3</c:v>
                </c:pt>
                <c:pt idx="1326">
                  <c:v>2.0250595397908189E-3</c:v>
                </c:pt>
                <c:pt idx="1327">
                  <c:v>2.0344945750589982E-3</c:v>
                </c:pt>
                <c:pt idx="1328">
                  <c:v>2.0627563128694515E-3</c:v>
                </c:pt>
                <c:pt idx="1329">
                  <c:v>2.0721624372757041E-3</c:v>
                </c:pt>
                <c:pt idx="1330">
                  <c:v>2.0815613348950102E-3</c:v>
                </c:pt>
                <c:pt idx="1331">
                  <c:v>2.0909530059263215E-3</c:v>
                </c:pt>
                <c:pt idx="1332">
                  <c:v>2.1003374509636075E-3</c:v>
                </c:pt>
                <c:pt idx="1333">
                  <c:v>2.1284474327274427E-3</c:v>
                </c:pt>
                <c:pt idx="1334">
                  <c:v>2.1378029768810425E-3</c:v>
                </c:pt>
                <c:pt idx="1335">
                  <c:v>2.1471512965081097E-3</c:v>
                </c:pt>
                <c:pt idx="1336">
                  <c:v>2.1564923923633739E-3</c:v>
                </c:pt>
                <c:pt idx="1337">
                  <c:v>2.1658262644073112E-3</c:v>
                </c:pt>
                <c:pt idx="1338">
                  <c:v>2.1937845420387792E-3</c:v>
                </c:pt>
                <c:pt idx="1339">
                  <c:v>2.2030895228919434E-3</c:v>
                </c:pt>
                <c:pt idx="1340">
                  <c:v>2.212387281801842E-3</c:v>
                </c:pt>
                <c:pt idx="1341">
                  <c:v>2.2216778190500275E-3</c:v>
                </c:pt>
                <c:pt idx="1342">
                  <c:v>2.2309611349924374E-3</c:v>
                </c:pt>
                <c:pt idx="1343">
                  <c:v>2.2587677585099719E-3</c:v>
                </c:pt>
                <c:pt idx="1344">
                  <c:v>2.2680221925881483E-3</c:v>
                </c:pt>
                <c:pt idx="1345">
                  <c:v>2.2772694070809507E-3</c:v>
                </c:pt>
                <c:pt idx="1346">
                  <c:v>2.286509424538119E-3</c:v>
                </c:pt>
                <c:pt idx="1347">
                  <c:v>2.2957423344955874E-3</c:v>
                </c:pt>
                <c:pt idx="1348">
                  <c:v>2.3233985571973204E-3</c:v>
                </c:pt>
                <c:pt idx="1349">
                  <c:v>2.3326031300439087E-3</c:v>
                </c:pt>
                <c:pt idx="1350">
                  <c:v>2.3418006194024787E-3</c:v>
                </c:pt>
                <c:pt idx="1351">
                  <c:v>2.3509910255603561E-3</c:v>
                </c:pt>
                <c:pt idx="1352">
                  <c:v>2.3601743487999816E-3</c:v>
                </c:pt>
                <c:pt idx="1353">
                  <c:v>2.3876818246728604E-3</c:v>
                </c:pt>
                <c:pt idx="1354">
                  <c:v>2.396836819738013E-3</c:v>
                </c:pt>
                <c:pt idx="1355">
                  <c:v>2.405984733395039E-3</c:v>
                </c:pt>
                <c:pt idx="1356">
                  <c:v>2.4151255661668536E-3</c:v>
                </c:pt>
                <c:pt idx="1357">
                  <c:v>2.4242593181018623E-3</c:v>
                </c:pt>
                <c:pt idx="1358">
                  <c:v>2.4516180930262976E-3</c:v>
                </c:pt>
                <c:pt idx="1359">
                  <c:v>2.4607235253550908E-3</c:v>
                </c:pt>
                <c:pt idx="1360">
                  <c:v>2.4698218785208503E-3</c:v>
                </c:pt>
                <c:pt idx="1361">
                  <c:v>2.4789131526474772E-3</c:v>
                </c:pt>
                <c:pt idx="1362">
                  <c:v>2.4879973482658801E-3</c:v>
                </c:pt>
                <c:pt idx="1363">
                  <c:v>2.515207466532221E-3</c:v>
                </c:pt>
                <c:pt idx="1364">
                  <c:v>2.5242633504256595E-3</c:v>
                </c:pt>
                <c:pt idx="1365">
                  <c:v>2.5333121575670248E-3</c:v>
                </c:pt>
                <c:pt idx="1366">
                  <c:v>2.5423538877666907E-3</c:v>
                </c:pt>
                <c:pt idx="1367">
                  <c:v>2.5513885411496684E-3</c:v>
                </c:pt>
                <c:pt idx="1368">
                  <c:v>2.5784500449816949E-3</c:v>
                </c:pt>
                <c:pt idx="1369">
                  <c:v>2.5874563951140406E-3</c:v>
                </c:pt>
                <c:pt idx="1370">
                  <c:v>2.5964556697175567E-3</c:v>
                </c:pt>
                <c:pt idx="1371">
                  <c:v>2.6054478697190575E-3</c:v>
                </c:pt>
                <c:pt idx="1372">
                  <c:v>2.6144329947708211E-3</c:v>
                </c:pt>
                <c:pt idx="1373">
                  <c:v>2.6413459251140026E-3</c:v>
                </c:pt>
                <c:pt idx="1374">
                  <c:v>2.6503027543800517E-3</c:v>
                </c:pt>
                <c:pt idx="1375">
                  <c:v>2.6592525101432063E-3</c:v>
                </c:pt>
                <c:pt idx="1376">
                  <c:v>2.6681951930982439E-3</c:v>
                </c:pt>
                <c:pt idx="1377">
                  <c:v>2.6771308030513197E-3</c:v>
                </c:pt>
                <c:pt idx="1378">
                  <c:v>2.7038951990259186E-3</c:v>
                </c:pt>
                <c:pt idx="1379">
                  <c:v>2.7128025205307438E-3</c:v>
                </c:pt>
                <c:pt idx="1380">
                  <c:v>2.721702770252854E-3</c:v>
                </c:pt>
                <c:pt idx="1381">
                  <c:v>2.7305959488816978E-3</c:v>
                </c:pt>
                <c:pt idx="1382">
                  <c:v>2.7394820565518341E-3</c:v>
                </c:pt>
                <c:pt idx="1383">
                  <c:v>2.7660979554369192E-3</c:v>
                </c:pt>
                <c:pt idx="1384">
                  <c:v>2.7749557813070425E-3</c:v>
                </c:pt>
                <c:pt idx="1385">
                  <c:v>2.7838065373566589E-3</c:v>
                </c:pt>
                <c:pt idx="1386">
                  <c:v>2.7926502238020401E-3</c:v>
                </c:pt>
                <c:pt idx="1387">
                  <c:v>2.8014868410928262E-3</c:v>
                </c:pt>
                <c:pt idx="1388">
                  <c:v>2.8279542788203216E-3</c:v>
                </c:pt>
                <c:pt idx="1389">
                  <c:v>2.8367626209131469E-3</c:v>
                </c:pt>
                <c:pt idx="1390">
                  <c:v>2.8455638948381434E-3</c:v>
                </c:pt>
                <c:pt idx="1391">
                  <c:v>2.854358100893073E-3</c:v>
                </c:pt>
                <c:pt idx="1392">
                  <c:v>2.8631452392884338E-3</c:v>
                </c:pt>
                <c:pt idx="1393">
                  <c:v>2.8894642500330026E-3</c:v>
                </c:pt>
                <c:pt idx="1394">
                  <c:v>2.8982231196204022E-3</c:v>
                </c:pt>
                <c:pt idx="1395">
                  <c:v>2.9069749227046415E-3</c:v>
                </c:pt>
                <c:pt idx="1396">
                  <c:v>2.9157196592566326E-3</c:v>
                </c:pt>
                <c:pt idx="1397">
                  <c:v>2.9244573298159438E-3</c:v>
                </c:pt>
                <c:pt idx="1398">
                  <c:v>2.9506279461539719E-3</c:v>
                </c:pt>
                <c:pt idx="1399">
                  <c:v>2.9593373538479018E-3</c:v>
                </c:pt>
                <c:pt idx="1400">
                  <c:v>2.9680396967042277E-3</c:v>
                </c:pt>
                <c:pt idx="1401">
                  <c:v>2.9767349745417615E-3</c:v>
                </c:pt>
                <c:pt idx="1402">
                  <c:v>2.9854231874926196E-3</c:v>
                </c:pt>
                <c:pt idx="1403">
                  <c:v>3.011445440491034E-3</c:v>
                </c:pt>
                <c:pt idx="1404">
                  <c:v>3.020105396551509E-3</c:v>
                </c:pt>
                <c:pt idx="1405">
                  <c:v>3.0287582890542453E-3</c:v>
                </c:pt>
                <c:pt idx="1406">
                  <c:v>3.0374041180518674E-3</c:v>
                </c:pt>
                <c:pt idx="1407">
                  <c:v>3.0460428836056597E-3</c:v>
                </c:pt>
                <c:pt idx="1408">
                  <c:v>3.0719168023261023E-3</c:v>
                </c:pt>
                <c:pt idx="1409">
                  <c:v>3.0805273164344893E-3</c:v>
                </c:pt>
                <c:pt idx="1410">
                  <c:v>3.0891307683453828E-3</c:v>
                </c:pt>
                <c:pt idx="1411">
                  <c:v>3.0977238934701834E-3</c:v>
                </c:pt>
                <c:pt idx="1412">
                  <c:v>3.1062936350712E-3</c:v>
                </c:pt>
                <c:pt idx="1413">
                  <c:v>3.1318429611530973E-3</c:v>
                </c:pt>
                <c:pt idx="1414">
                  <c:v>3.1403061004080524E-3</c:v>
                </c:pt>
                <c:pt idx="1415">
                  <c:v>3.148742586767117E-3</c:v>
                </c:pt>
                <c:pt idx="1416">
                  <c:v>3.1571524189129008E-3</c:v>
                </c:pt>
                <c:pt idx="1417">
                  <c:v>3.1655355959390175E-3</c:v>
                </c:pt>
                <c:pt idx="1418">
                  <c:v>3.1905251862516248E-3</c:v>
                </c:pt>
                <c:pt idx="1419">
                  <c:v>3.1988017326090024E-3</c:v>
                </c:pt>
                <c:pt idx="1420">
                  <c:v>3.2070516187618914E-3</c:v>
                </c:pt>
                <c:pt idx="1421">
                  <c:v>3.2152748435751999E-3</c:v>
                </c:pt>
                <c:pt idx="1422">
                  <c:v>3.2234714058325675E-3</c:v>
                </c:pt>
                <c:pt idx="1423">
                  <c:v>3.2479011082560127E-3</c:v>
                </c:pt>
                <c:pt idx="1424">
                  <c:v>3.2559910104910106E-3</c:v>
                </c:pt>
                <c:pt idx="1425">
                  <c:v>3.2640542449995369E-3</c:v>
                </c:pt>
                <c:pt idx="1426">
                  <c:v>3.2720908109831193E-3</c:v>
                </c:pt>
                <c:pt idx="1427">
                  <c:v>3.2801007069152011E-3</c:v>
                </c:pt>
                <c:pt idx="1428">
                  <c:v>3.3039703649218044E-3</c:v>
                </c:pt>
                <c:pt idx="1429">
                  <c:v>3.3118735709289915E-3</c:v>
                </c:pt>
                <c:pt idx="1430">
                  <c:v>3.3197501013135788E-3</c:v>
                </c:pt>
                <c:pt idx="1431">
                  <c:v>3.3275999553641356E-3</c:v>
                </c:pt>
                <c:pt idx="1432">
                  <c:v>3.3354231318980521E-3</c:v>
                </c:pt>
                <c:pt idx="1433">
                  <c:v>3.3587325855886085E-3</c:v>
                </c:pt>
                <c:pt idx="1434">
                  <c:v>3.3664490411036141E-3</c:v>
                </c:pt>
                <c:pt idx="1435">
                  <c:v>3.3741388134358452E-3</c:v>
                </c:pt>
                <c:pt idx="1436">
                  <c:v>3.3818019016562673E-3</c:v>
                </c:pt>
                <c:pt idx="1437">
                  <c:v>3.3894383045083298E-3</c:v>
                </c:pt>
                <c:pt idx="1438">
                  <c:v>3.4121873895835986E-3</c:v>
                </c:pt>
                <c:pt idx="1439">
                  <c:v>3.4197170397736176E-3</c:v>
                </c:pt>
                <c:pt idx="1440">
                  <c:v>3.4272199987710472E-3</c:v>
                </c:pt>
                <c:pt idx="1441">
                  <c:v>3.434696265733006E-3</c:v>
                </c:pt>
                <c:pt idx="1442">
                  <c:v>3.4421458391855619E-3</c:v>
                </c:pt>
                <c:pt idx="1443">
                  <c:v>3.4643343880520483E-3</c:v>
                </c:pt>
                <c:pt idx="1444">
                  <c:v>3.4716771766500898E-3</c:v>
                </c:pt>
                <c:pt idx="1445">
                  <c:v>3.4789932659797795E-3</c:v>
                </c:pt>
                <c:pt idx="1446">
                  <c:v>3.4862826548205383E-3</c:v>
                </c:pt>
                <c:pt idx="1447">
                  <c:v>3.4935453422659801E-3</c:v>
                </c:pt>
                <c:pt idx="1448">
                  <c:v>3.5151731834923705E-3</c:v>
                </c:pt>
                <c:pt idx="1449">
                  <c:v>3.522329052940254E-3</c:v>
                </c:pt>
                <c:pt idx="1450">
                  <c:v>3.5294582149956177E-3</c:v>
                </c:pt>
                <c:pt idx="1451">
                  <c:v>3.5365606681230233E-3</c:v>
                </c:pt>
                <c:pt idx="1452">
                  <c:v>3.5436364116003816E-3</c:v>
                </c:pt>
                <c:pt idx="1453">
                  <c:v>3.564703370622313E-3</c:v>
                </c:pt>
                <c:pt idx="1454">
                  <c:v>3.5716722624072883E-3</c:v>
                </c:pt>
                <c:pt idx="1455">
                  <c:v>3.5786144382934371E-3</c:v>
                </c:pt>
                <c:pt idx="1456">
                  <c:v>3.58552989692007E-3</c:v>
                </c:pt>
                <c:pt idx="1457">
                  <c:v>3.5924186373392786E-3</c:v>
                </c:pt>
                <c:pt idx="1458">
                  <c:v>3.6129245358300643E-3</c:v>
                </c:pt>
                <c:pt idx="1459">
                  <c:v>3.6197063905585303E-3</c:v>
                </c:pt>
                <c:pt idx="1460">
                  <c:v>3.6264615204184558E-3</c:v>
                </c:pt>
                <c:pt idx="1461">
                  <c:v>3.6331899247956656E-3</c:v>
                </c:pt>
                <c:pt idx="1462">
                  <c:v>3.6398916018653971E-3</c:v>
                </c:pt>
                <c:pt idx="1463">
                  <c:v>3.6598362589392863E-3</c:v>
                </c:pt>
                <c:pt idx="1464">
                  <c:v>3.6664310156875324E-3</c:v>
                </c:pt>
                <c:pt idx="1465">
                  <c:v>3.6729990390318434E-3</c:v>
                </c:pt>
                <c:pt idx="1466">
                  <c:v>3.6795403278016003E-3</c:v>
                </c:pt>
                <c:pt idx="1467">
                  <c:v>3.6860548807575721E-3</c:v>
                </c:pt>
                <c:pt idx="1468">
                  <c:v>3.7054381121561786E-3</c:v>
                </c:pt>
                <c:pt idx="1469">
                  <c:v>3.7118457093707757E-3</c:v>
                </c:pt>
                <c:pt idx="1470">
                  <c:v>3.7182265641777512E-3</c:v>
                </c:pt>
                <c:pt idx="1471">
                  <c:v>3.724580675511513E-3</c:v>
                </c:pt>
                <c:pt idx="1472">
                  <c:v>3.7309080423786334E-3</c:v>
                </c:pt>
                <c:pt idx="1473">
                  <c:v>3.74972966121212E-3</c:v>
                </c:pt>
                <c:pt idx="1474">
                  <c:v>3.7559500359678477E-3</c:v>
                </c:pt>
                <c:pt idx="1475">
                  <c:v>3.7621535430507613E-3</c:v>
                </c:pt>
                <c:pt idx="1476">
                  <c:v>3.7683797153635901E-3</c:v>
                </c:pt>
                <c:pt idx="1477">
                  <c:v>3.7746384381218689E-3</c:v>
                </c:pt>
                <c:pt idx="1478">
                  <c:v>3.7936099334281437E-3</c:v>
                </c:pt>
                <c:pt idx="1479">
                  <c:v>3.7999988817905006E-3</c:v>
                </c:pt>
                <c:pt idx="1480">
                  <c:v>3.8064203922445472E-3</c:v>
                </c:pt>
                <c:pt idx="1481">
                  <c:v>3.812874467102878E-3</c:v>
                </c:pt>
                <c:pt idx="1482">
                  <c:v>3.8193611090726609E-3</c:v>
                </c:pt>
                <c:pt idx="1483">
                  <c:v>3.8390164587411846E-3</c:v>
                </c:pt>
                <c:pt idx="1484">
                  <c:v>3.8456333916174756E-3</c:v>
                </c:pt>
                <c:pt idx="1485">
                  <c:v>3.8522829027300975E-3</c:v>
                </c:pt>
                <c:pt idx="1486">
                  <c:v>3.8589649952118776E-3</c:v>
                </c:pt>
                <c:pt idx="1487">
                  <c:v>3.8656796712315256E-3</c:v>
                </c:pt>
                <c:pt idx="1488">
                  <c:v>3.8860192240006697E-3</c:v>
                </c:pt>
                <c:pt idx="1489">
                  <c:v>3.8928642579814099E-3</c:v>
                </c:pt>
                <c:pt idx="1490">
                  <c:v>3.8997418877819712E-3</c:v>
                </c:pt>
                <c:pt idx="1491">
                  <c:v>3.906652115669651E-3</c:v>
                </c:pt>
                <c:pt idx="1492">
                  <c:v>3.9135949440853857E-3</c:v>
                </c:pt>
                <c:pt idx="1493">
                  <c:v>3.9346190579345741E-3</c:v>
                </c:pt>
                <c:pt idx="1494">
                  <c:v>3.9416923136810222E-3</c:v>
                </c:pt>
                <c:pt idx="1495">
                  <c:v>3.9487981826609175E-3</c:v>
                </c:pt>
                <c:pt idx="1496">
                  <c:v>3.9559366670136598E-3</c:v>
                </c:pt>
                <c:pt idx="1497">
                  <c:v>3.9631077698349948E-3</c:v>
                </c:pt>
                <c:pt idx="1498">
                  <c:v>3.9848168124800853E-3</c:v>
                </c:pt>
                <c:pt idx="1499">
                  <c:v>3.9921184133544507E-3</c:v>
                </c:pt>
              </c:numCache>
            </c:numRef>
          </c:val>
          <c:smooth val="0"/>
        </c:ser>
        <c:ser>
          <c:idx val="3"/>
          <c:order val="1"/>
          <c:tx>
            <c:v>EUR1ML</c:v>
          </c:tx>
          <c:marker>
            <c:symbol val="none"/>
          </c:marker>
          <c:val>
            <c:numRef>
              <c:f>Forwards!$G$15:$G$1514</c:f>
              <c:numCache>
                <c:formatCode>0.00000%</c:formatCode>
                <c:ptCount val="1500"/>
                <c:pt idx="0">
                  <c:v>-3.4874538955719106E-3</c:v>
                </c:pt>
                <c:pt idx="1">
                  <c:v>-3.4887271197833456E-3</c:v>
                </c:pt>
                <c:pt idx="2">
                  <c:v>-3.4899996600854448E-3</c:v>
                </c:pt>
                <c:pt idx="3">
                  <c:v>-3.4912722003875435E-3</c:v>
                </c:pt>
                <c:pt idx="4">
                  <c:v>-3.495096660387199E-3</c:v>
                </c:pt>
                <c:pt idx="5">
                  <c:v>-3.4963760397826557E-3</c:v>
                </c:pt>
                <c:pt idx="6">
                  <c:v>-3.4976588387247917E-3</c:v>
                </c:pt>
                <c:pt idx="7">
                  <c:v>-3.4989457411229428E-3</c:v>
                </c:pt>
                <c:pt idx="8">
                  <c:v>-3.5002374308864435E-3</c:v>
                </c:pt>
                <c:pt idx="9">
                  <c:v>-3.5041480634624088E-3</c:v>
                </c:pt>
                <c:pt idx="10">
                  <c:v>-3.50546574178067E-3</c:v>
                </c:pt>
                <c:pt idx="11">
                  <c:v>-3.5067916270109614E-3</c:v>
                </c:pt>
                <c:pt idx="12">
                  <c:v>-3.5081264030626174E-3</c:v>
                </c:pt>
                <c:pt idx="13">
                  <c:v>-3.5094707538449745E-3</c:v>
                </c:pt>
                <c:pt idx="14">
                  <c:v>-3.5135680936696115E-3</c:v>
                </c:pt>
                <c:pt idx="15">
                  <c:v>-3.5149575824681314E-3</c:v>
                </c:pt>
                <c:pt idx="16">
                  <c:v>-3.5163600655440308E-3</c:v>
                </c:pt>
                <c:pt idx="17">
                  <c:v>-3.5177762268066471E-3</c:v>
                </c:pt>
                <c:pt idx="18">
                  <c:v>-3.519206750165314E-3</c:v>
                </c:pt>
                <c:pt idx="19">
                  <c:v>-3.5235913319109839E-3</c:v>
                </c:pt>
                <c:pt idx="20">
                  <c:v>-3.5250861427472157E-3</c:v>
                </c:pt>
                <c:pt idx="21">
                  <c:v>-3.5265987352261783E-3</c:v>
                </c:pt>
                <c:pt idx="22">
                  <c:v>-3.528129793257207E-3</c:v>
                </c:pt>
                <c:pt idx="23">
                  <c:v>-3.5296800007496385E-3</c:v>
                </c:pt>
                <c:pt idx="24">
                  <c:v>-3.5344523590887028E-3</c:v>
                </c:pt>
                <c:pt idx="25">
                  <c:v>-3.5360857044054411E-3</c:v>
                </c:pt>
                <c:pt idx="26">
                  <c:v>-3.5377398240423017E-3</c:v>
                </c:pt>
                <c:pt idx="27">
                  <c:v>-3.539413607220663E-3</c:v>
                </c:pt>
                <c:pt idx="28">
                  <c:v>-3.5411059431619024E-3</c:v>
                </c:pt>
                <c:pt idx="29">
                  <c:v>-3.5462831597766601E-3</c:v>
                </c:pt>
                <c:pt idx="30">
                  <c:v>-3.5480385989831846E-3</c:v>
                </c:pt>
                <c:pt idx="31">
                  <c:v>-3.5498070370594734E-3</c:v>
                </c:pt>
                <c:pt idx="32">
                  <c:v>-3.5515873632269053E-3</c:v>
                </c:pt>
                <c:pt idx="33">
                  <c:v>-3.553378466706857E-3</c:v>
                </c:pt>
                <c:pt idx="34">
                  <c:v>-3.5588053332356053E-3</c:v>
                </c:pt>
                <c:pt idx="35">
                  <c:v>-3.5606284381794104E-3</c:v>
                </c:pt>
                <c:pt idx="36">
                  <c:v>-3.5624567665426226E-3</c:v>
                </c:pt>
                <c:pt idx="37">
                  <c:v>-3.5642892075466192E-3</c:v>
                </c:pt>
                <c:pt idx="38">
                  <c:v>-3.5661246504127778E-3</c:v>
                </c:pt>
                <c:pt idx="39">
                  <c:v>-3.5716378823980005E-3</c:v>
                </c:pt>
                <c:pt idx="40">
                  <c:v>-3.5734742249265818E-3</c:v>
                </c:pt>
                <c:pt idx="41">
                  <c:v>-3.575308015424212E-3</c:v>
                </c:pt>
                <c:pt idx="42">
                  <c:v>-3.5771381431122682E-3</c:v>
                </c:pt>
                <c:pt idx="43">
                  <c:v>-3.5789634972121297E-3</c:v>
                </c:pt>
                <c:pt idx="44">
                  <c:v>-3.5843998101963105E-3</c:v>
                </c:pt>
                <c:pt idx="45">
                  <c:v>-3.5861949621571626E-3</c:v>
                </c:pt>
                <c:pt idx="46">
                  <c:v>-3.5879800212081201E-3</c:v>
                </c:pt>
                <c:pt idx="47">
                  <c:v>-3.589755049427633E-3</c:v>
                </c:pt>
                <c:pt idx="48">
                  <c:v>-3.5915203434655667E-3</c:v>
                </c:pt>
                <c:pt idx="49">
                  <c:v>-3.5967607869885369E-3</c:v>
                </c:pt>
                <c:pt idx="50">
                  <c:v>-3.5984901107987983E-3</c:v>
                </c:pt>
                <c:pt idx="51">
                  <c:v>-3.6002111836768032E-3</c:v>
                </c:pt>
                <c:pt idx="52">
                  <c:v>-3.6019243022724161E-3</c:v>
                </c:pt>
                <c:pt idx="53">
                  <c:v>-3.6036297632355027E-3</c:v>
                </c:pt>
                <c:pt idx="54">
                  <c:v>-3.6087031668282413E-3</c:v>
                </c:pt>
                <c:pt idx="55">
                  <c:v>-3.6103809637598634E-3</c:v>
                </c:pt>
                <c:pt idx="56">
                  <c:v>-3.6120525863082816E-3</c:v>
                </c:pt>
                <c:pt idx="57">
                  <c:v>-3.6137183311233602E-3</c:v>
                </c:pt>
                <c:pt idx="58">
                  <c:v>-3.6153784948549624E-3</c:v>
                </c:pt>
                <c:pt idx="59">
                  <c:v>-3.6203284660475663E-3</c:v>
                </c:pt>
                <c:pt idx="60">
                  <c:v>-3.6219692719439149E-3</c:v>
                </c:pt>
                <c:pt idx="61">
                  <c:v>-3.6236059800061103E-3</c:v>
                </c:pt>
                <c:pt idx="62">
                  <c:v>-3.6252388868840196E-3</c:v>
                </c:pt>
                <c:pt idx="63">
                  <c:v>-3.6268682892275053E-3</c:v>
                </c:pt>
                <c:pt idx="64">
                  <c:v>-3.6317384355500693E-3</c:v>
                </c:pt>
                <c:pt idx="65">
                  <c:v>-3.6333567862545085E-3</c:v>
                </c:pt>
                <c:pt idx="66">
                  <c:v>-3.6349731156738482E-3</c:v>
                </c:pt>
                <c:pt idx="67">
                  <c:v>-3.6365877204579526E-3</c:v>
                </c:pt>
                <c:pt idx="68">
                  <c:v>-3.6382008972566855E-3</c:v>
                </c:pt>
                <c:pt idx="69">
                  <c:v>-3.6430337187227961E-3</c:v>
                </c:pt>
                <c:pt idx="70">
                  <c:v>-3.6446426323708818E-3</c:v>
                </c:pt>
                <c:pt idx="71">
                  <c:v>-3.6462506168237997E-3</c:v>
                </c:pt>
                <c:pt idx="72">
                  <c:v>-3.6478577226166345E-3</c:v>
                </c:pt>
                <c:pt idx="73">
                  <c:v>-3.6494640002844706E-3</c:v>
                </c:pt>
                <c:pt idx="74">
                  <c:v>-3.6542783698888331E-3</c:v>
                </c:pt>
                <c:pt idx="75">
                  <c:v>-3.6558818404075198E-3</c:v>
                </c:pt>
                <c:pt idx="76">
                  <c:v>-3.6574847354766313E-3</c:v>
                </c:pt>
                <c:pt idx="77">
                  <c:v>-3.6590871056312517E-3</c:v>
                </c:pt>
                <c:pt idx="78">
                  <c:v>-3.6606890014064652E-3</c:v>
                </c:pt>
                <c:pt idx="79">
                  <c:v>-3.6654923478065139E-3</c:v>
                </c:pt>
                <c:pt idx="80">
                  <c:v>-3.6670928514149471E-3</c:v>
                </c:pt>
                <c:pt idx="81">
                  <c:v>-3.6686931333193974E-3</c:v>
                </c:pt>
                <c:pt idx="82">
                  <c:v>-3.6702932440549484E-3</c:v>
                </c:pt>
                <c:pt idx="83">
                  <c:v>-3.6718932341566861E-3</c:v>
                </c:pt>
                <c:pt idx="84">
                  <c:v>-3.6766929860098554E-3</c:v>
                </c:pt>
                <c:pt idx="85">
                  <c:v>-3.6782929989271807E-3</c:v>
                </c:pt>
                <c:pt idx="86">
                  <c:v>-3.679893143886114E-3</c:v>
                </c:pt>
                <c:pt idx="87">
                  <c:v>-3.6814934714217411E-3</c:v>
                </c:pt>
                <c:pt idx="88">
                  <c:v>-3.6830940320691456E-3</c:v>
                </c:pt>
                <c:pt idx="89">
                  <c:v>-3.6878976180328722E-3</c:v>
                </c:pt>
                <c:pt idx="90">
                  <c:v>-3.6894995771649341E-3</c:v>
                </c:pt>
                <c:pt idx="91">
                  <c:v>-3.6911017862044024E-3</c:v>
                </c:pt>
                <c:pt idx="92">
                  <c:v>-3.6927040598065649E-3</c:v>
                </c:pt>
                <c:pt idx="93">
                  <c:v>-3.6943062126267106E-3</c:v>
                </c:pt>
                <c:pt idx="94">
                  <c:v>-3.699110092947946E-3</c:v>
                </c:pt>
                <c:pt idx="95">
                  <c:v>-3.7007099091929205E-3</c:v>
                </c:pt>
                <c:pt idx="96">
                  <c:v>-3.7023086779323249E-3</c:v>
                </c:pt>
                <c:pt idx="97">
                  <c:v>-3.7039062138214496E-3</c:v>
                </c:pt>
                <c:pt idx="98">
                  <c:v>-3.7055023315155831E-3</c:v>
                </c:pt>
                <c:pt idx="99">
                  <c:v>-3.7102803219809261E-3</c:v>
                </c:pt>
                <c:pt idx="100">
                  <c:v>-3.7118689134479858E-3</c:v>
                </c:pt>
                <c:pt idx="101">
                  <c:v>-3.7134551599965018E-3</c:v>
                </c:pt>
                <c:pt idx="102">
                  <c:v>-3.7150388762817606E-3</c:v>
                </c:pt>
                <c:pt idx="103">
                  <c:v>-3.7166198769590544E-3</c:v>
                </c:pt>
                <c:pt idx="104">
                  <c:v>-3.721344731896027E-3</c:v>
                </c:pt>
                <c:pt idx="105">
                  <c:v>-3.7229130166943473E-3</c:v>
                </c:pt>
                <c:pt idx="106">
                  <c:v>-3.7244776591611461E-3</c:v>
                </c:pt>
                <c:pt idx="107">
                  <c:v>-3.7260384739517152E-3</c:v>
                </c:pt>
                <c:pt idx="108">
                  <c:v>-3.7275952757213427E-3</c:v>
                </c:pt>
                <c:pt idx="109">
                  <c:v>-3.7322397494574657E-3</c:v>
                </c:pt>
                <c:pt idx="110">
                  <c:v>-3.7337786456962184E-3</c:v>
                </c:pt>
                <c:pt idx="111">
                  <c:v>-3.7353126021904761E-3</c:v>
                </c:pt>
                <c:pt idx="112">
                  <c:v>-3.7368416033131862E-3</c:v>
                </c:pt>
                <c:pt idx="113">
                  <c:v>-3.7383663123079286E-3</c:v>
                </c:pt>
                <c:pt idx="114">
                  <c:v>-3.7429230161367473E-3</c:v>
                </c:pt>
                <c:pt idx="115">
                  <c:v>-3.7444388862320145E-3</c:v>
                </c:pt>
                <c:pt idx="116">
                  <c:v>-3.7459546290055101E-3</c:v>
                </c:pt>
                <c:pt idx="117">
                  <c:v>-3.747471077418474E-3</c:v>
                </c:pt>
                <c:pt idx="118">
                  <c:v>-3.7489890644321461E-3</c:v>
                </c:pt>
                <c:pt idx="119">
                  <c:v>-3.753560586689797E-3</c:v>
                </c:pt>
                <c:pt idx="120">
                  <c:v>-3.7550930577186902E-3</c:v>
                </c:pt>
                <c:pt idx="121">
                  <c:v>-3.7566312321544869E-3</c:v>
                </c:pt>
                <c:pt idx="122">
                  <c:v>-3.7581759429584256E-3</c:v>
                </c:pt>
                <c:pt idx="123">
                  <c:v>-3.7597280230917468E-3</c:v>
                </c:pt>
                <c:pt idx="124">
                  <c:v>-3.7644368090803911E-3</c:v>
                </c:pt>
                <c:pt idx="125">
                  <c:v>-3.7660266961436306E-3</c:v>
                </c:pt>
                <c:pt idx="126">
                  <c:v>-3.7676281173424481E-3</c:v>
                </c:pt>
                <c:pt idx="127">
                  <c:v>-3.7692419056380815E-3</c:v>
                </c:pt>
                <c:pt idx="128">
                  <c:v>-3.7708688939917718E-3</c:v>
                </c:pt>
                <c:pt idx="129">
                  <c:v>-3.7758373890135711E-3</c:v>
                </c:pt>
                <c:pt idx="130">
                  <c:v>-3.777525507211877E-3</c:v>
                </c:pt>
                <c:pt idx="131">
                  <c:v>-3.779230990274436E-3</c:v>
                </c:pt>
                <c:pt idx="132">
                  <c:v>-3.7809546711624854E-3</c:v>
                </c:pt>
                <c:pt idx="133">
                  <c:v>-3.7826973828372652E-3</c:v>
                </c:pt>
                <c:pt idx="134">
                  <c:v>-3.78803702106009E-3</c:v>
                </c:pt>
                <c:pt idx="135">
                  <c:v>-3.7898490961620107E-3</c:v>
                </c:pt>
                <c:pt idx="136">
                  <c:v>-3.7916745791819347E-3</c:v>
                </c:pt>
                <c:pt idx="137">
                  <c:v>-3.7935118561623691E-3</c:v>
                </c:pt>
                <c:pt idx="138">
                  <c:v>-3.7953593131458234E-3</c:v>
                </c:pt>
                <c:pt idx="139">
                  <c:v>-3.8009466245393919E-3</c:v>
                </c:pt>
                <c:pt idx="140">
                  <c:v>-3.8028186619600106E-3</c:v>
                </c:pt>
                <c:pt idx="141">
                  <c:v>-3.8046928095961914E-3</c:v>
                </c:pt>
                <c:pt idx="142">
                  <c:v>-3.8065674534904425E-3</c:v>
                </c:pt>
                <c:pt idx="143">
                  <c:v>-3.8084409796852715E-3</c:v>
                </c:pt>
                <c:pt idx="144">
                  <c:v>-3.8140387124983169E-3</c:v>
                </c:pt>
                <c:pt idx="145">
                  <c:v>-3.8158916283205454E-3</c:v>
                </c:pt>
                <c:pt idx="146">
                  <c:v>-3.8177353566558941E-3</c:v>
                </c:pt>
                <c:pt idx="147">
                  <c:v>-3.8195682835468719E-3</c:v>
                </c:pt>
                <c:pt idx="148">
                  <c:v>-3.8213887950359882E-3</c:v>
                </c:pt>
                <c:pt idx="149">
                  <c:v>-3.8285144078239932E-3</c:v>
                </c:pt>
                <c:pt idx="150">
                  <c:v>-3.8302486329414224E-3</c:v>
                </c:pt>
                <c:pt idx="151">
                  <c:v>-3.8319607589120388E-3</c:v>
                </c:pt>
                <c:pt idx="152">
                  <c:v>-3.8336491717783526E-3</c:v>
                </c:pt>
                <c:pt idx="153">
                  <c:v>-3.8385647192542048E-3</c:v>
                </c:pt>
                <c:pt idx="154">
                  <c:v>-3.8401467788497213E-3</c:v>
                </c:pt>
                <c:pt idx="155">
                  <c:v>-3.8417000488638609E-3</c:v>
                </c:pt>
                <c:pt idx="156">
                  <c:v>-3.8432260830773219E-3</c:v>
                </c:pt>
                <c:pt idx="157">
                  <c:v>-3.8447264352708048E-3</c:v>
                </c:pt>
                <c:pt idx="158">
                  <c:v>-3.8490889375383829E-3</c:v>
                </c:pt>
                <c:pt idx="159">
                  <c:v>-3.8505020994589506E-3</c:v>
                </c:pt>
                <c:pt idx="160">
                  <c:v>-3.851897348263039E-3</c:v>
                </c:pt>
                <c:pt idx="161">
                  <c:v>-3.8532762377313469E-3</c:v>
                </c:pt>
                <c:pt idx="162">
                  <c:v>-3.854640321644575E-3</c:v>
                </c:pt>
                <c:pt idx="163">
                  <c:v>-3.8586592778607751E-3</c:v>
                </c:pt>
                <c:pt idx="164">
                  <c:v>-3.8599796773606792E-3</c:v>
                </c:pt>
                <c:pt idx="165">
                  <c:v>-3.8612930402090019E-3</c:v>
                </c:pt>
                <c:pt idx="166">
                  <c:v>-3.8626009201864426E-3</c:v>
                </c:pt>
                <c:pt idx="167">
                  <c:v>-3.8639048710737015E-3</c:v>
                </c:pt>
                <c:pt idx="168">
                  <c:v>-3.8678086870013802E-3</c:v>
                </c:pt>
                <c:pt idx="169">
                  <c:v>-3.8691124593349066E-3</c:v>
                </c:pt>
                <c:pt idx="170">
                  <c:v>-3.8704200714817488E-3</c:v>
                </c:pt>
                <c:pt idx="171">
                  <c:v>-3.8717330772226077E-3</c:v>
                </c:pt>
                <c:pt idx="172">
                  <c:v>-3.8730530303381816E-3</c:v>
                </c:pt>
                <c:pt idx="173">
                  <c:v>-3.8770701117401955E-3</c:v>
                </c:pt>
                <c:pt idx="174">
                  <c:v>-3.8784333921616297E-3</c:v>
                </c:pt>
                <c:pt idx="175">
                  <c:v>-3.8798113888612773E-3</c:v>
                </c:pt>
                <c:pt idx="176">
                  <c:v>-3.8812056556198397E-3</c:v>
                </c:pt>
                <c:pt idx="177">
                  <c:v>-3.8826172816318824E-3</c:v>
                </c:pt>
                <c:pt idx="178">
                  <c:v>-3.8869467653446935E-3</c:v>
                </c:pt>
                <c:pt idx="179">
                  <c:v>-3.8884173493541939E-3</c:v>
                </c:pt>
                <c:pt idx="180">
                  <c:v>-3.8898995885228087E-3</c:v>
                </c:pt>
                <c:pt idx="181">
                  <c:v>-3.8913922491144396E-3</c:v>
                </c:pt>
                <c:pt idx="182">
                  <c:v>-3.8928940973929865E-3</c:v>
                </c:pt>
                <c:pt idx="183">
                  <c:v>-3.8974424309891247E-3</c:v>
                </c:pt>
                <c:pt idx="184">
                  <c:v>-3.898968692654338E-3</c:v>
                </c:pt>
                <c:pt idx="185">
                  <c:v>-3.900497973325969E-3</c:v>
                </c:pt>
                <c:pt idx="186">
                  <c:v>-3.9020290392679183E-3</c:v>
                </c:pt>
                <c:pt idx="187">
                  <c:v>-3.9035606567440853E-3</c:v>
                </c:pt>
                <c:pt idx="188">
                  <c:v>-3.9081464810168994E-3</c:v>
                </c:pt>
                <c:pt idx="189">
                  <c:v>-3.9096679672689424E-3</c:v>
                </c:pt>
                <c:pt idx="190">
                  <c:v>-3.9111838363747051E-3</c:v>
                </c:pt>
                <c:pt idx="191">
                  <c:v>-3.9126928545980899E-3</c:v>
                </c:pt>
                <c:pt idx="192">
                  <c:v>-3.9141937882029932E-3</c:v>
                </c:pt>
                <c:pt idx="193">
                  <c:v>-3.9186357439458313E-3</c:v>
                </c:pt>
                <c:pt idx="194">
                  <c:v>-3.9200920017158202E-3</c:v>
                </c:pt>
                <c:pt idx="195">
                  <c:v>-3.9215340061868314E-3</c:v>
                </c:pt>
                <c:pt idx="196">
                  <c:v>-3.9229605236227654E-3</c:v>
                </c:pt>
                <c:pt idx="197">
                  <c:v>-3.9243706578158946E-3</c:v>
                </c:pt>
                <c:pt idx="198">
                  <c:v>-3.9285086501095962E-3</c:v>
                </c:pt>
                <c:pt idx="199">
                  <c:v>-3.9298598155593943E-3</c:v>
                </c:pt>
                <c:pt idx="200">
                  <c:v>-3.9311982174087007E-3</c:v>
                </c:pt>
                <c:pt idx="201">
                  <c:v>-3.9325246470916578E-3</c:v>
                </c:pt>
                <c:pt idx="202">
                  <c:v>-3.9338398960423997E-3</c:v>
                </c:pt>
                <c:pt idx="203">
                  <c:v>-3.9377264728427189E-3</c:v>
                </c:pt>
                <c:pt idx="204">
                  <c:v>-3.9390049132059807E-3</c:v>
                </c:pt>
                <c:pt idx="205">
                  <c:v>-3.9402761300077168E-3</c:v>
                </c:pt>
                <c:pt idx="206">
                  <c:v>-3.9415409146820648E-3</c:v>
                </c:pt>
                <c:pt idx="207">
                  <c:v>-3.9428000586631626E-3</c:v>
                </c:pt>
                <c:pt idx="208">
                  <c:v>-3.9465515607883242E-3</c:v>
                </c:pt>
                <c:pt idx="209">
                  <c:v>-3.9477960563377946E-3</c:v>
                </c:pt>
                <c:pt idx="210">
                  <c:v>-3.9490388683647015E-3</c:v>
                </c:pt>
                <c:pt idx="211">
                  <c:v>-3.9502807883031827E-3</c:v>
                </c:pt>
                <c:pt idx="212">
                  <c:v>-3.9515226075873778E-3</c:v>
                </c:pt>
                <c:pt idx="213">
                  <c:v>-3.9552553758556109E-3</c:v>
                </c:pt>
                <c:pt idx="214">
                  <c:v>-3.9565047068640304E-3</c:v>
                </c:pt>
                <c:pt idx="215">
                  <c:v>-3.9577578943888513E-3</c:v>
                </c:pt>
                <c:pt idx="216">
                  <c:v>-3.9590157298642096E-3</c:v>
                </c:pt>
                <c:pt idx="217">
                  <c:v>-3.9602790047242433E-3</c:v>
                </c:pt>
                <c:pt idx="218">
                  <c:v>-3.9641093799537746E-3</c:v>
                </c:pt>
                <c:pt idx="219">
                  <c:v>-3.9654021088691279E-3</c:v>
                </c:pt>
                <c:pt idx="220">
                  <c:v>-3.966702927391293E-3</c:v>
                </c:pt>
                <c:pt idx="221">
                  <c:v>-3.9680113200058556E-3</c:v>
                </c:pt>
                <c:pt idx="222">
                  <c:v>-3.9693267711983999E-3</c:v>
                </c:pt>
                <c:pt idx="223">
                  <c:v>-3.9733103210997803E-3</c:v>
                </c:pt>
                <c:pt idx="224">
                  <c:v>-3.9746488514601089E-3</c:v>
                </c:pt>
                <c:pt idx="225">
                  <c:v>-3.9759918628263467E-3</c:v>
                </c:pt>
                <c:pt idx="226">
                  <c:v>-3.9773388396840805E-3</c:v>
                </c:pt>
                <c:pt idx="227">
                  <c:v>-3.9841151633406647E-3</c:v>
                </c:pt>
                <c:pt idx="228">
                  <c:v>-3.9854751073446631E-3</c:v>
                </c:pt>
                <c:pt idx="229">
                  <c:v>-3.986835408239256E-3</c:v>
                </c:pt>
                <c:pt idx="230">
                  <c:v>-3.9881955505100264E-3</c:v>
                </c:pt>
                <c:pt idx="231">
                  <c:v>-3.9922698704352669E-3</c:v>
                </c:pt>
                <c:pt idx="232">
                  <c:v>-3.9936242230666072E-3</c:v>
                </c:pt>
                <c:pt idx="233">
                  <c:v>-3.9949758395020542E-3</c:v>
                </c:pt>
                <c:pt idx="234">
                  <c:v>-3.9963242042271932E-3</c:v>
                </c:pt>
                <c:pt idx="235">
                  <c:v>-3.9976688017276081E-3</c:v>
                </c:pt>
                <c:pt idx="236">
                  <c:v>-4.002999209193751E-3</c:v>
                </c:pt>
                <c:pt idx="237">
                  <c:v>-4.0043172960504232E-3</c:v>
                </c:pt>
                <c:pt idx="238">
                  <c:v>-4.0056288717724257E-3</c:v>
                </c:pt>
                <c:pt idx="239">
                  <c:v>-4.0069337700218812E-3</c:v>
                </c:pt>
                <c:pt idx="240">
                  <c:v>-4.0108067365562236E-3</c:v>
                </c:pt>
                <c:pt idx="241">
                  <c:v>-4.012083261536745E-3</c:v>
                </c:pt>
                <c:pt idx="242">
                  <c:v>-4.013352277355344E-3</c:v>
                </c:pt>
                <c:pt idx="243">
                  <c:v>-4.0146136176741464E-3</c:v>
                </c:pt>
                <c:pt idx="244">
                  <c:v>-4.0158671161552783E-3</c:v>
                </c:pt>
                <c:pt idx="245">
                  <c:v>-4.0195788971938888E-3</c:v>
                </c:pt>
                <c:pt idx="246">
                  <c:v>-4.0207993649455809E-3</c:v>
                </c:pt>
                <c:pt idx="247">
                  <c:v>-4.0220111591702254E-3</c:v>
                </c:pt>
                <c:pt idx="248">
                  <c:v>-4.0232141135299482E-3</c:v>
                </c:pt>
                <c:pt idx="249">
                  <c:v>-4.0244080616868728E-3</c:v>
                </c:pt>
                <c:pt idx="250">
                  <c:v>-4.0279342055621085E-3</c:v>
                </c:pt>
                <c:pt idx="251">
                  <c:v>-4.02909046552909E-3</c:v>
                </c:pt>
                <c:pt idx="252">
                  <c:v>-4.0302368876038996E-3</c:v>
                </c:pt>
                <c:pt idx="253">
                  <c:v>-4.031373305448659E-3</c:v>
                </c:pt>
                <c:pt idx="254">
                  <c:v>-4.0324995527254949E-3</c:v>
                </c:pt>
                <c:pt idx="255">
                  <c:v>-4.0358156077697112E-3</c:v>
                </c:pt>
                <c:pt idx="256">
                  <c:v>-4.0368995093961009E-3</c:v>
                </c:pt>
                <c:pt idx="257">
                  <c:v>-4.0379724087651926E-3</c:v>
                </c:pt>
                <c:pt idx="258">
                  <c:v>-4.0390341395391089E-3</c:v>
                </c:pt>
                <c:pt idx="259">
                  <c:v>-4.0400845353799758E-3</c:v>
                </c:pt>
                <c:pt idx="260">
                  <c:v>-4.0431669830822119E-3</c:v>
                </c:pt>
                <c:pt idx="261">
                  <c:v>-4.0441716545824022E-3</c:v>
                </c:pt>
                <c:pt idx="262">
                  <c:v>-4.0451649889327763E-3</c:v>
                </c:pt>
                <c:pt idx="263">
                  <c:v>-4.0461470271636124E-3</c:v>
                </c:pt>
                <c:pt idx="264">
                  <c:v>-4.047117810305186E-3</c:v>
                </c:pt>
                <c:pt idx="265">
                  <c:v>-4.0499630394971124E-3</c:v>
                </c:pt>
                <c:pt idx="266">
                  <c:v>-4.0508892125844138E-3</c:v>
                </c:pt>
                <c:pt idx="267">
                  <c:v>-4.0518043357338392E-3</c:v>
                </c:pt>
                <c:pt idx="268">
                  <c:v>-4.0527084499756665E-3</c:v>
                </c:pt>
                <c:pt idx="269">
                  <c:v>-4.0536015963401738E-3</c:v>
                </c:pt>
                <c:pt idx="270">
                  <c:v>-4.0562156384725424E-3</c:v>
                </c:pt>
                <c:pt idx="271">
                  <c:v>-4.0570653236305394E-3</c:v>
                </c:pt>
                <c:pt idx="272">
                  <c:v>-4.057904246062601E-3</c:v>
                </c:pt>
                <c:pt idx="273">
                  <c:v>-4.0587324467990056E-3</c:v>
                </c:pt>
                <c:pt idx="274">
                  <c:v>-4.0595499668700293E-3</c:v>
                </c:pt>
                <c:pt idx="275">
                  <c:v>-4.061938853393593E-3</c:v>
                </c:pt>
                <c:pt idx="276">
                  <c:v>-4.0627140611058698E-3</c:v>
                </c:pt>
                <c:pt idx="277">
                  <c:v>-4.0634787933041512E-3</c:v>
                </c:pt>
                <c:pt idx="278">
                  <c:v>-4.0642330910187173E-3</c:v>
                </c:pt>
                <c:pt idx="279">
                  <c:v>-4.0649769952798426E-3</c:v>
                </c:pt>
                <c:pt idx="280">
                  <c:v>-4.0671467576453551E-3</c:v>
                </c:pt>
                <c:pt idx="281">
                  <c:v>-4.0678494750924533E-3</c:v>
                </c:pt>
                <c:pt idx="282">
                  <c:v>-4.0685418644192482E-3</c:v>
                </c:pt>
                <c:pt idx="283">
                  <c:v>-4.0692238268377652E-3</c:v>
                </c:pt>
                <c:pt idx="284">
                  <c:v>-4.069895263560031E-3</c:v>
                </c:pt>
                <c:pt idx="285">
                  <c:v>-4.0718454316695926E-3</c:v>
                </c:pt>
                <c:pt idx="286">
                  <c:v>-4.0724737777271224E-3</c:v>
                </c:pt>
                <c:pt idx="287">
                  <c:v>-4.0730911041485345E-3</c:v>
                </c:pt>
                <c:pt idx="288">
                  <c:v>-4.0736973121458554E-3</c:v>
                </c:pt>
                <c:pt idx="289">
                  <c:v>-4.0742923029311127E-3</c:v>
                </c:pt>
                <c:pt idx="290">
                  <c:v>-4.076008984134764E-3</c:v>
                </c:pt>
                <c:pt idx="291">
                  <c:v>-4.0765581181920309E-3</c:v>
                </c:pt>
                <c:pt idx="292">
                  <c:v>-4.077095541097365E-3</c:v>
                </c:pt>
                <c:pt idx="293">
                  <c:v>-4.0776211540627964E-3</c:v>
                </c:pt>
                <c:pt idx="294">
                  <c:v>-4.0781348583003489E-3</c:v>
                </c:pt>
                <c:pt idx="295">
                  <c:v>-4.079603530766006E-3</c:v>
                </c:pt>
                <c:pt idx="296">
                  <c:v>-4.080068612212313E-3</c:v>
                </c:pt>
                <c:pt idx="297">
                  <c:v>-4.0805212909908756E-3</c:v>
                </c:pt>
                <c:pt idx="298">
                  <c:v>-4.0809614683137204E-3</c:v>
                </c:pt>
                <c:pt idx="299">
                  <c:v>-4.0813890453928739E-3</c:v>
                </c:pt>
                <c:pt idx="300">
                  <c:v>-4.08259518728845E-3</c:v>
                </c:pt>
                <c:pt idx="301">
                  <c:v>-4.0829713755131045E-3</c:v>
                </c:pt>
                <c:pt idx="302">
                  <c:v>-4.0833344695541994E-3</c:v>
                </c:pt>
                <c:pt idx="303">
                  <c:v>-4.0836843964880453E-3</c:v>
                </c:pt>
                <c:pt idx="304">
                  <c:v>-4.0840211868480789E-3</c:v>
                </c:pt>
                <c:pt idx="305">
                  <c:v>-4.0849533024624922E-3</c:v>
                </c:pt>
                <c:pt idx="306">
                  <c:v>-4.0852381105044655E-3</c:v>
                </c:pt>
                <c:pt idx="307">
                  <c:v>-4.0855100639612205E-3</c:v>
                </c:pt>
                <c:pt idx="308">
                  <c:v>-4.0857692192304779E-3</c:v>
                </c:pt>
                <c:pt idx="309">
                  <c:v>-4.0860156327099549E-3</c:v>
                </c:pt>
                <c:pt idx="310">
                  <c:v>-4.0866789863869052E-3</c:v>
                </c:pt>
                <c:pt idx="311">
                  <c:v>-4.0868749966844562E-3</c:v>
                </c:pt>
                <c:pt idx="312">
                  <c:v>-4.0870585471808243E-3</c:v>
                </c:pt>
                <c:pt idx="313">
                  <c:v>-4.0872296942737266E-3</c:v>
                </c:pt>
                <c:pt idx="314">
                  <c:v>-4.0873884943608838E-3</c:v>
                </c:pt>
                <c:pt idx="315">
                  <c:v>-4.0877913765650711E-3</c:v>
                </c:pt>
                <c:pt idx="316">
                  <c:v>-4.0879013526064359E-3</c:v>
                </c:pt>
                <c:pt idx="317">
                  <c:v>-4.0879992636306487E-3</c:v>
                </c:pt>
                <c:pt idx="318">
                  <c:v>-4.088085166035431E-3</c:v>
                </c:pt>
                <c:pt idx="319">
                  <c:v>-4.088159116218501E-3</c:v>
                </c:pt>
                <c:pt idx="320">
                  <c:v>-4.0883098174146265E-3</c:v>
                </c:pt>
                <c:pt idx="321">
                  <c:v>-4.0883365226880367E-3</c:v>
                </c:pt>
                <c:pt idx="322">
                  <c:v>-4.0883515577283293E-3</c:v>
                </c:pt>
                <c:pt idx="323">
                  <c:v>-4.0883549789332251E-3</c:v>
                </c:pt>
                <c:pt idx="324">
                  <c:v>-4.0883468427004421E-3</c:v>
                </c:pt>
                <c:pt idx="325">
                  <c:v>-4.0882536533532066E-3</c:v>
                </c:pt>
                <c:pt idx="326">
                  <c:v>-4.0881998269561397E-3</c:v>
                </c:pt>
                <c:pt idx="327">
                  <c:v>-4.088134578765442E-3</c:v>
                </c:pt>
                <c:pt idx="328">
                  <c:v>-4.0880578188342859E-3</c:v>
                </c:pt>
                <c:pt idx="329">
                  <c:v>-4.0879694572158445E-3</c:v>
                </c:pt>
                <c:pt idx="330">
                  <c:v>-4.0876338627685322E-3</c:v>
                </c:pt>
                <c:pt idx="331">
                  <c:v>-4.0874981949326726E-3</c:v>
                </c:pt>
                <c:pt idx="332">
                  <c:v>-4.0873504756753897E-3</c:v>
                </c:pt>
                <c:pt idx="333">
                  <c:v>-4.0871906150498566E-3</c:v>
                </c:pt>
                <c:pt idx="334">
                  <c:v>-4.0870185231092438E-3</c:v>
                </c:pt>
                <c:pt idx="335">
                  <c:v>-4.0864279599286558E-3</c:v>
                </c:pt>
                <c:pt idx="336">
                  <c:v>-4.0862060432594518E-3</c:v>
                </c:pt>
                <c:pt idx="337">
                  <c:v>-4.085971445541031E-3</c:v>
                </c:pt>
                <c:pt idx="338">
                  <c:v>-4.0857240768265666E-3</c:v>
                </c:pt>
                <c:pt idx="339">
                  <c:v>-4.0854638471692298E-3</c:v>
                </c:pt>
                <c:pt idx="340">
                  <c:v>-4.0846050930717125E-3</c:v>
                </c:pt>
                <c:pt idx="341">
                  <c:v>-4.0842925201746124E-3</c:v>
                </c:pt>
                <c:pt idx="342">
                  <c:v>-4.0839666366005029E-3</c:v>
                </c:pt>
                <c:pt idx="343">
                  <c:v>-4.0836273524025553E-3</c:v>
                </c:pt>
                <c:pt idx="344">
                  <c:v>-4.083274577633942E-3</c:v>
                </c:pt>
                <c:pt idx="345">
                  <c:v>-4.0821344104358375E-3</c:v>
                </c:pt>
                <c:pt idx="346">
                  <c:v>-4.0817268324669816E-3</c:v>
                </c:pt>
                <c:pt idx="347">
                  <c:v>-4.0813056654974778E-3</c:v>
                </c:pt>
                <c:pt idx="348">
                  <c:v>-4.0808711708846535E-3</c:v>
                </c:pt>
                <c:pt idx="349">
                  <c:v>-4.0804236099858376E-3</c:v>
                </c:pt>
                <c:pt idx="350">
                  <c:v>-4.0790051431467125E-3</c:v>
                </c:pt>
                <c:pt idx="351">
                  <c:v>-4.0785079306772049E-3</c:v>
                </c:pt>
                <c:pt idx="352">
                  <c:v>-4.0779989587083438E-3</c:v>
                </c:pt>
                <c:pt idx="353">
                  <c:v>-4.0774784885974566E-3</c:v>
                </c:pt>
                <c:pt idx="354">
                  <c:v>-4.0769467817018713E-3</c:v>
                </c:pt>
                <c:pt idx="355">
                  <c:v>-4.0752868538802044E-3</c:v>
                </c:pt>
                <c:pt idx="356">
                  <c:v>-4.0747128134191032E-3</c:v>
                </c:pt>
                <c:pt idx="357">
                  <c:v>-4.0741288429599438E-3</c:v>
                </c:pt>
                <c:pt idx="358">
                  <c:v>-4.0735352038600526E-3</c:v>
                </c:pt>
                <c:pt idx="359">
                  <c:v>-4.0729321574767569E-3</c:v>
                </c:pt>
                <c:pt idx="360">
                  <c:v>-4.0710691881997241E-3</c:v>
                </c:pt>
                <c:pt idx="361">
                  <c:v>-4.07043112625609E-3</c:v>
                </c:pt>
                <c:pt idx="362">
                  <c:v>-4.0697849638156912E-3</c:v>
                </c:pt>
                <c:pt idx="363">
                  <c:v>-4.0691309622358524E-3</c:v>
                </c:pt>
                <c:pt idx="364">
                  <c:v>-4.068469382873907E-3</c:v>
                </c:pt>
                <c:pt idx="365">
                  <c:v>-4.0664417916686842E-3</c:v>
                </c:pt>
                <c:pt idx="366">
                  <c:v>-4.0657525147515762E-3</c:v>
                </c:pt>
                <c:pt idx="367">
                  <c:v>-4.0650569668389952E-3</c:v>
                </c:pt>
                <c:pt idx="368">
                  <c:v>-4.0643554092882721E-3</c:v>
                </c:pt>
                <c:pt idx="369">
                  <c:v>-4.0636479776282163E-3</c:v>
                </c:pt>
                <c:pt idx="370">
                  <c:v>-4.0614862568253886E-3</c:v>
                </c:pt>
                <c:pt idx="371">
                  <c:v>-4.0607508959043075E-3</c:v>
                </c:pt>
                <c:pt idx="372">
                  <c:v>-4.0600073186335276E-3</c:v>
                </c:pt>
                <c:pt idx="373">
                  <c:v>-4.0592550313992741E-3</c:v>
                </c:pt>
                <c:pt idx="374">
                  <c:v>-4.0584935405877723E-3</c:v>
                </c:pt>
                <c:pt idx="375">
                  <c:v>-4.0561489105520043E-3</c:v>
                </c:pt>
                <c:pt idx="376">
                  <c:v>-4.0553456692937404E-3</c:v>
                </c:pt>
                <c:pt idx="377">
                  <c:v>-4.054530756389345E-3</c:v>
                </c:pt>
                <c:pt idx="378">
                  <c:v>-4.0537036782250435E-3</c:v>
                </c:pt>
                <c:pt idx="379">
                  <c:v>-4.0528639411870574E-3</c:v>
                </c:pt>
                <c:pt idx="380">
                  <c:v>-4.0502638406932356E-3</c:v>
                </c:pt>
                <c:pt idx="381">
                  <c:v>-4.0493685320227533E-3</c:v>
                </c:pt>
                <c:pt idx="382">
                  <c:v>-4.0484580964097053E-3</c:v>
                </c:pt>
                <c:pt idx="383">
                  <c:v>-4.0475320402403149E-3</c:v>
                </c:pt>
                <c:pt idx="384">
                  <c:v>-4.0465898699008091E-3</c:v>
                </c:pt>
                <c:pt idx="385">
                  <c:v>-4.0436617377238209E-3</c:v>
                </c:pt>
                <c:pt idx="386">
                  <c:v>-4.0426501745660813E-3</c:v>
                </c:pt>
                <c:pt idx="387">
                  <c:v>-4.0416200291693415E-3</c:v>
                </c:pt>
                <c:pt idx="388">
                  <c:v>-4.0405708079198285E-3</c:v>
                </c:pt>
                <c:pt idx="389">
                  <c:v>-4.039502017203764E-3</c:v>
                </c:pt>
                <c:pt idx="390">
                  <c:v>-4.0361732921184957E-3</c:v>
                </c:pt>
                <c:pt idx="391">
                  <c:v>-4.035021510853146E-3</c:v>
                </c:pt>
                <c:pt idx="392">
                  <c:v>-4.0338490327804701E-3</c:v>
                </c:pt>
                <c:pt idx="393">
                  <c:v>-4.0326567050147982E-3</c:v>
                </c:pt>
                <c:pt idx="394">
                  <c:v>-4.0314453746704603E-3</c:v>
                </c:pt>
                <c:pt idx="395">
                  <c:v>-4.0277058393087531E-3</c:v>
                </c:pt>
                <c:pt idx="396">
                  <c:v>-4.0264269697930545E-3</c:v>
                </c:pt>
                <c:pt idx="397">
                  <c:v>-4.0251333332703403E-3</c:v>
                </c:pt>
                <c:pt idx="398">
                  <c:v>-4.0238257768549415E-3</c:v>
                </c:pt>
                <c:pt idx="399">
                  <c:v>-4.0225051476611888E-3</c:v>
                </c:pt>
                <c:pt idx="400">
                  <c:v>-4.0184732945531083E-3</c:v>
                </c:pt>
                <c:pt idx="401">
                  <c:v>-4.0171088453892405E-3</c:v>
                </c:pt>
                <c:pt idx="402">
                  <c:v>-4.0157355590186693E-3</c:v>
                </c:pt>
                <c:pt idx="403">
                  <c:v>-4.0143542825557266E-3</c:v>
                </c:pt>
                <c:pt idx="404">
                  <c:v>-4.0129658631147406E-3</c:v>
                </c:pt>
                <c:pt idx="405">
                  <c:v>-4.0059462702407298E-3</c:v>
                </c:pt>
                <c:pt idx="406">
                  <c:v>-4.0045327823324218E-3</c:v>
                </c:pt>
                <c:pt idx="407">
                  <c:v>-4.0031180812463846E-3</c:v>
                </c:pt>
                <c:pt idx="408">
                  <c:v>-3.9974640874115277E-3</c:v>
                </c:pt>
                <c:pt idx="409">
                  <c:v>-3.9960556867018864E-3</c:v>
                </c:pt>
                <c:pt idx="410">
                  <c:v>-3.9946491128010821E-3</c:v>
                </c:pt>
                <c:pt idx="411">
                  <c:v>-3.9932431701240325E-3</c:v>
                </c:pt>
                <c:pt idx="412">
                  <c:v>-3.9890171735845852E-3</c:v>
                </c:pt>
                <c:pt idx="413">
                  <c:v>-3.9876017999517285E-3</c:v>
                </c:pt>
                <c:pt idx="414">
                  <c:v>-3.9861810796172122E-3</c:v>
                </c:pt>
                <c:pt idx="415">
                  <c:v>-3.9847538169959533E-3</c:v>
                </c:pt>
                <c:pt idx="416">
                  <c:v>-3.983318816502871E-3</c:v>
                </c:pt>
                <c:pt idx="417">
                  <c:v>-3.9789554319418496E-3</c:v>
                </c:pt>
                <c:pt idx="418">
                  <c:v>-3.9774775241106421E-3</c:v>
                </c:pt>
                <c:pt idx="419">
                  <c:v>-3.9759859004821962E-3</c:v>
                </c:pt>
                <c:pt idx="420">
                  <c:v>-3.9744793654714313E-3</c:v>
                </c:pt>
                <c:pt idx="421">
                  <c:v>-3.9729567234932615E-3</c:v>
                </c:pt>
                <c:pt idx="422">
                  <c:v>-3.9682801999035055E-3</c:v>
                </c:pt>
                <c:pt idx="423">
                  <c:v>-3.9666811742048941E-3</c:v>
                </c:pt>
                <c:pt idx="424">
                  <c:v>-3.9650600636134672E-3</c:v>
                </c:pt>
                <c:pt idx="425">
                  <c:v>-3.9634156725441398E-3</c:v>
                </c:pt>
                <c:pt idx="426">
                  <c:v>-3.9617468054118296E-3</c:v>
                </c:pt>
                <c:pt idx="427">
                  <c:v>-3.956581391786178E-3</c:v>
                </c:pt>
                <c:pt idx="428">
                  <c:v>-3.9548026645511106E-3</c:v>
                </c:pt>
                <c:pt idx="429">
                  <c:v>-3.952993483327648E-3</c:v>
                </c:pt>
                <c:pt idx="430">
                  <c:v>-3.9511526525307051E-3</c:v>
                </c:pt>
                <c:pt idx="431">
                  <c:v>-3.9492789765752014E-3</c:v>
                </c:pt>
                <c:pt idx="432">
                  <c:v>-3.9434621309812293E-3</c:v>
                </c:pt>
                <c:pt idx="433">
                  <c:v>-3.9414632198652919E-3</c:v>
                </c:pt>
                <c:pt idx="434">
                  <c:v>-3.9394372270651441E-3</c:v>
                </c:pt>
                <c:pt idx="435">
                  <c:v>-3.9373858923456451E-3</c:v>
                </c:pt>
                <c:pt idx="436">
                  <c:v>-3.9353109554716558E-3</c:v>
                </c:pt>
                <c:pt idx="437">
                  <c:v>-3.9289619295713209E-3</c:v>
                </c:pt>
                <c:pt idx="438">
                  <c:v>-3.9268099817279514E-3</c:v>
                </c:pt>
                <c:pt idx="439">
                  <c:v>-3.9246431305543826E-3</c:v>
                </c:pt>
                <c:pt idx="440">
                  <c:v>-3.9224631158154746E-3</c:v>
                </c:pt>
                <c:pt idx="441">
                  <c:v>-3.9202716772760871E-3</c:v>
                </c:pt>
                <c:pt idx="442">
                  <c:v>-3.9136462165036256E-3</c:v>
                </c:pt>
                <c:pt idx="443">
                  <c:v>-3.9114264804109011E-3</c:v>
                </c:pt>
                <c:pt idx="444">
                  <c:v>-3.909204019341991E-3</c:v>
                </c:pt>
                <c:pt idx="445">
                  <c:v>-3.9069805730617526E-3</c:v>
                </c:pt>
                <c:pt idx="446">
                  <c:v>-3.9047578813350445E-3</c:v>
                </c:pt>
                <c:pt idx="447">
                  <c:v>-3.8981117311246913E-3</c:v>
                </c:pt>
                <c:pt idx="448">
                  <c:v>-3.8959094552606928E-3</c:v>
                </c:pt>
                <c:pt idx="449">
                  <c:v>-3.8937166327745187E-3</c:v>
                </c:pt>
                <c:pt idx="450">
                  <c:v>-3.8915350034310278E-3</c:v>
                </c:pt>
                <c:pt idx="451">
                  <c:v>-3.8893663069950782E-3</c:v>
                </c:pt>
                <c:pt idx="452">
                  <c:v>-3.8829393091095337E-3</c:v>
                </c:pt>
                <c:pt idx="453">
                  <c:v>-3.8808179480320872E-3</c:v>
                </c:pt>
                <c:pt idx="454">
                  <c:v>-3.8787040820895567E-3</c:v>
                </c:pt>
                <c:pt idx="455">
                  <c:v>-3.8765959168975705E-3</c:v>
                </c:pt>
                <c:pt idx="456">
                  <c:v>-3.8744916580717571E-3</c:v>
                </c:pt>
                <c:pt idx="457">
                  <c:v>-3.8681843759476439E-3</c:v>
                </c:pt>
                <c:pt idx="458">
                  <c:v>-3.8660777987428101E-3</c:v>
                </c:pt>
                <c:pt idx="459">
                  <c:v>-3.8639661559822938E-3</c:v>
                </c:pt>
                <c:pt idx="460">
                  <c:v>-3.8618476532817246E-3</c:v>
                </c:pt>
                <c:pt idx="461">
                  <c:v>-3.8597204962567285E-3</c:v>
                </c:pt>
                <c:pt idx="462">
                  <c:v>-3.8532691553914756E-3</c:v>
                </c:pt>
                <c:pt idx="463">
                  <c:v>-3.8510894372250654E-3</c:v>
                </c:pt>
                <c:pt idx="464">
                  <c:v>-3.8488920928123737E-3</c:v>
                </c:pt>
                <c:pt idx="465">
                  <c:v>-3.8466753277690293E-3</c:v>
                </c:pt>
                <c:pt idx="466">
                  <c:v>-3.8444373477106602E-3</c:v>
                </c:pt>
                <c:pt idx="467">
                  <c:v>-3.8375781736016976E-3</c:v>
                </c:pt>
                <c:pt idx="468">
                  <c:v>-3.8352373896395203E-3</c:v>
                </c:pt>
                <c:pt idx="469">
                  <c:v>-3.8328664187404623E-3</c:v>
                </c:pt>
                <c:pt idx="470">
                  <c:v>-3.8304634665201538E-3</c:v>
                </c:pt>
                <c:pt idx="471">
                  <c:v>-3.8179061821468426E-3</c:v>
                </c:pt>
                <c:pt idx="472">
                  <c:v>-3.8152743457389678E-3</c:v>
                </c:pt>
                <c:pt idx="473">
                  <c:v>-3.8126020821896787E-3</c:v>
                </c:pt>
                <c:pt idx="474">
                  <c:v>-3.8098917119850396E-3</c:v>
                </c:pt>
                <c:pt idx="475">
                  <c:v>-3.8015551662996696E-3</c:v>
                </c:pt>
                <c:pt idx="476">
                  <c:v>-3.7987155743342774E-3</c:v>
                </c:pt>
                <c:pt idx="477">
                  <c:v>-3.7958494781438574E-3</c:v>
                </c:pt>
                <c:pt idx="478">
                  <c:v>-3.7929591982144746E-3</c:v>
                </c:pt>
                <c:pt idx="479">
                  <c:v>-3.790047055032194E-3</c:v>
                </c:pt>
                <c:pt idx="480">
                  <c:v>-3.7812026508286076E-3</c:v>
                </c:pt>
                <c:pt idx="481">
                  <c:v>-3.77822625949538E-3</c:v>
                </c:pt>
                <c:pt idx="482">
                  <c:v>-3.7752396073395759E-3</c:v>
                </c:pt>
                <c:pt idx="483">
                  <c:v>-3.7722450148472619E-3</c:v>
                </c:pt>
                <c:pt idx="484">
                  <c:v>-3.7692448025045005E-3</c:v>
                </c:pt>
                <c:pt idx="485">
                  <c:v>-3.7602336512341842E-3</c:v>
                </c:pt>
                <c:pt idx="486">
                  <c:v>-3.7572341643502824E-3</c:v>
                </c:pt>
                <c:pt idx="487">
                  <c:v>-3.7542406600462575E-3</c:v>
                </c:pt>
                <c:pt idx="488">
                  <c:v>-3.7512554588081727E-3</c:v>
                </c:pt>
                <c:pt idx="489">
                  <c:v>-3.7482808811220934E-3</c:v>
                </c:pt>
                <c:pt idx="490">
                  <c:v>-3.7394440942365315E-3</c:v>
                </c:pt>
                <c:pt idx="491">
                  <c:v>-3.7336485629840327E-3</c:v>
                </c:pt>
                <c:pt idx="492">
                  <c:v>-3.7307857655726898E-3</c:v>
                </c:pt>
                <c:pt idx="493">
                  <c:v>-3.7279456876479042E-3</c:v>
                </c:pt>
                <c:pt idx="494">
                  <c:v>-3.7195435009745445E-3</c:v>
                </c:pt>
                <c:pt idx="495">
                  <c:v>-3.7167760311776401E-3</c:v>
                </c:pt>
                <c:pt idx="496">
                  <c:v>-3.7140221459581188E-3</c:v>
                </c:pt>
                <c:pt idx="497">
                  <c:v>-3.7112800183341458E-3</c:v>
                </c:pt>
                <c:pt idx="498">
                  <c:v>-3.7085478213238869E-3</c:v>
                </c:pt>
                <c:pt idx="499">
                  <c:v>-3.7003925441570404E-3</c:v>
                </c:pt>
                <c:pt idx="500">
                  <c:v>-3.6976817997832856E-3</c:v>
                </c:pt>
                <c:pt idx="501">
                  <c:v>-3.6949718511140703E-3</c:v>
                </c:pt>
                <c:pt idx="502">
                  <c:v>-3.6922608711675584E-3</c:v>
                </c:pt>
                <c:pt idx="503">
                  <c:v>-3.6895470329619162E-3</c:v>
                </c:pt>
                <c:pt idx="504">
                  <c:v>-3.681370098971857E-3</c:v>
                </c:pt>
                <c:pt idx="505">
                  <c:v>-3.6786265579113425E-3</c:v>
                </c:pt>
                <c:pt idx="506">
                  <c:v>-3.6758710236825237E-3</c:v>
                </c:pt>
                <c:pt idx="507">
                  <c:v>-3.6731016693035646E-3</c:v>
                </c:pt>
                <c:pt idx="508">
                  <c:v>-3.6703166677926309E-3</c:v>
                </c:pt>
                <c:pt idx="509">
                  <c:v>-3.6618495106496311E-3</c:v>
                </c:pt>
                <c:pt idx="510">
                  <c:v>-3.6589836507924492E-3</c:v>
                </c:pt>
                <c:pt idx="511">
                  <c:v>-3.6560930088941185E-3</c:v>
                </c:pt>
                <c:pt idx="512">
                  <c:v>-3.6531757579728024E-3</c:v>
                </c:pt>
                <c:pt idx="513">
                  <c:v>-3.6502300710466681E-3</c:v>
                </c:pt>
                <c:pt idx="514">
                  <c:v>-3.6412041244210025E-3</c:v>
                </c:pt>
                <c:pt idx="515">
                  <c:v>-3.6381269816375345E-3</c:v>
                </c:pt>
                <c:pt idx="516">
                  <c:v>-3.635015615821819E-3</c:v>
                </c:pt>
                <c:pt idx="517">
                  <c:v>-3.6318715478737685E-3</c:v>
                </c:pt>
                <c:pt idx="518">
                  <c:v>-3.6286962986932935E-3</c:v>
                </c:pt>
                <c:pt idx="519">
                  <c:v>-3.6189986727564395E-3</c:v>
                </c:pt>
                <c:pt idx="520">
                  <c:v>-3.615713907645382E-3</c:v>
                </c:pt>
                <c:pt idx="521">
                  <c:v>-3.6124055658014577E-3</c:v>
                </c:pt>
                <c:pt idx="522">
                  <c:v>-3.6090751681245787E-3</c:v>
                </c:pt>
                <c:pt idx="523">
                  <c:v>-3.6057242355146553E-3</c:v>
                </c:pt>
                <c:pt idx="524">
                  <c:v>-3.5955634370857356E-3</c:v>
                </c:pt>
                <c:pt idx="525">
                  <c:v>-3.5921455737427501E-3</c:v>
                </c:pt>
                <c:pt idx="526">
                  <c:v>-3.5887147799662784E-3</c:v>
                </c:pt>
                <c:pt idx="527">
                  <c:v>-3.5852725766562315E-3</c:v>
                </c:pt>
                <c:pt idx="528">
                  <c:v>-3.58182048471252E-3</c:v>
                </c:pt>
                <c:pt idx="529">
                  <c:v>-3.5714200860785163E-3</c:v>
                </c:pt>
                <c:pt idx="530">
                  <c:v>-3.5679436485992642E-3</c:v>
                </c:pt>
                <c:pt idx="531">
                  <c:v>-3.5644649269859058E-3</c:v>
                </c:pt>
                <c:pt idx="532">
                  <c:v>-3.5609854421383507E-3</c:v>
                </c:pt>
                <c:pt idx="533">
                  <c:v>-3.557506714956513E-3</c:v>
                </c:pt>
                <c:pt idx="534">
                  <c:v>-3.5470902884044094E-3</c:v>
                </c:pt>
                <c:pt idx="535">
                  <c:v>-3.5436295608816735E-3</c:v>
                </c:pt>
                <c:pt idx="536">
                  <c:v>-3.54017575550695E-3</c:v>
                </c:pt>
                <c:pt idx="537">
                  <c:v>-3.5367289531628922E-3</c:v>
                </c:pt>
                <c:pt idx="538">
                  <c:v>-3.5332892347321489E-3</c:v>
                </c:pt>
                <c:pt idx="539">
                  <c:v>-3.5230133917463209E-3</c:v>
                </c:pt>
                <c:pt idx="540">
                  <c:v>-3.5196028177953489E-3</c:v>
                </c:pt>
                <c:pt idx="541">
                  <c:v>-3.5161997321709474E-3</c:v>
                </c:pt>
                <c:pt idx="542">
                  <c:v>-3.5128042157557674E-3</c:v>
                </c:pt>
                <c:pt idx="543">
                  <c:v>-3.5094163494324604E-3</c:v>
                </c:pt>
                <c:pt idx="544">
                  <c:v>-3.4992994598402874E-3</c:v>
                </c:pt>
                <c:pt idx="545">
                  <c:v>-3.4959430027109825E-3</c:v>
                </c:pt>
                <c:pt idx="546">
                  <c:v>-3.4925946000868057E-3</c:v>
                </c:pt>
                <c:pt idx="547">
                  <c:v>-3.4892543328504076E-3</c:v>
                </c:pt>
                <c:pt idx="548">
                  <c:v>-3.4859222818844392E-3</c:v>
                </c:pt>
                <c:pt idx="549">
                  <c:v>-3.4759762354356297E-3</c:v>
                </c:pt>
                <c:pt idx="550">
                  <c:v>-3.4726778583778943E-3</c:v>
                </c:pt>
                <c:pt idx="551">
                  <c:v>-3.4693881020038445E-3</c:v>
                </c:pt>
                <c:pt idx="552">
                  <c:v>-3.4661070471961315E-3</c:v>
                </c:pt>
                <c:pt idx="553">
                  <c:v>-3.4628347748374062E-3</c:v>
                </c:pt>
                <c:pt idx="554">
                  <c:v>-3.4530714612816676E-3</c:v>
                </c:pt>
                <c:pt idx="555">
                  <c:v>-3.4498351275454035E-3</c:v>
                </c:pt>
                <c:pt idx="556">
                  <c:v>-3.4466079806713843E-3</c:v>
                </c:pt>
                <c:pt idx="557">
                  <c:v>-3.4433901015422587E-3</c:v>
                </c:pt>
                <c:pt idx="558">
                  <c:v>-3.440181390078856E-3</c:v>
                </c:pt>
                <c:pt idx="559">
                  <c:v>-3.4306012985710851E-3</c:v>
                </c:pt>
                <c:pt idx="560">
                  <c:v>-3.4274199327350287E-3</c:v>
                </c:pt>
                <c:pt idx="561">
                  <c:v>-3.4242428910850999E-3</c:v>
                </c:pt>
                <c:pt idx="562">
                  <c:v>-3.4210691687330159E-3</c:v>
                </c:pt>
                <c:pt idx="563">
                  <c:v>-3.4178977607904936E-3</c:v>
                </c:pt>
                <c:pt idx="564">
                  <c:v>-3.4083873745374567E-3</c:v>
                </c:pt>
                <c:pt idx="565">
                  <c:v>-3.4052151753503437E-3</c:v>
                </c:pt>
                <c:pt idx="566">
                  <c:v>-3.4020402661313733E-3</c:v>
                </c:pt>
                <c:pt idx="567">
                  <c:v>-3.3988616419922632E-3</c:v>
                </c:pt>
                <c:pt idx="568">
                  <c:v>-3.3956782980447296E-3</c:v>
                </c:pt>
                <c:pt idx="569">
                  <c:v>-3.3860898984687548E-3</c:v>
                </c:pt>
                <c:pt idx="570">
                  <c:v>-3.3828776264046936E-3</c:v>
                </c:pt>
                <c:pt idx="571">
                  <c:v>-3.3796556100907909E-3</c:v>
                </c:pt>
                <c:pt idx="572">
                  <c:v>-3.3764228446387643E-3</c:v>
                </c:pt>
                <c:pt idx="573">
                  <c:v>-3.3731783251603293E-3</c:v>
                </c:pt>
                <c:pt idx="574">
                  <c:v>-3.3633641936837442E-3</c:v>
                </c:pt>
                <c:pt idx="575">
                  <c:v>-3.3600626092168445E-3</c:v>
                </c:pt>
                <c:pt idx="576">
                  <c:v>-3.3567442462821193E-3</c:v>
                </c:pt>
                <c:pt idx="577">
                  <c:v>-3.3534080999912852E-3</c:v>
                </c:pt>
                <c:pt idx="578">
                  <c:v>-3.350053165456059E-3</c:v>
                </c:pt>
                <c:pt idx="579">
                  <c:v>-3.3398655835011918E-3</c:v>
                </c:pt>
                <c:pt idx="580">
                  <c:v>-3.3364257780320694E-3</c:v>
                </c:pt>
                <c:pt idx="581">
                  <c:v>-3.3329641454361821E-3</c:v>
                </c:pt>
                <c:pt idx="582">
                  <c:v>-3.3294816663842924E-3</c:v>
                </c:pt>
                <c:pt idx="583">
                  <c:v>-3.3259793215471602E-3</c:v>
                </c:pt>
                <c:pt idx="584">
                  <c:v>-3.3153628990319254E-3</c:v>
                </c:pt>
                <c:pt idx="585">
                  <c:v>-3.3117908977614388E-3</c:v>
                </c:pt>
                <c:pt idx="586">
                  <c:v>-3.3082039340595168E-3</c:v>
                </c:pt>
                <c:pt idx="587">
                  <c:v>-3.3046029885969211E-3</c:v>
                </c:pt>
                <c:pt idx="588">
                  <c:v>-3.3009890420444121E-3</c:v>
                </c:pt>
                <c:pt idx="589">
                  <c:v>-3.2900790025550274E-3</c:v>
                </c:pt>
                <c:pt idx="590">
                  <c:v>-3.2864228583504834E-3</c:v>
                </c:pt>
                <c:pt idx="591">
                  <c:v>-3.2827586164098327E-3</c:v>
                </c:pt>
                <c:pt idx="592">
                  <c:v>-3.2790872574038378E-3</c:v>
                </c:pt>
                <c:pt idx="593">
                  <c:v>-3.2754097620032608E-3</c:v>
                </c:pt>
                <c:pt idx="594">
                  <c:v>-3.2643502641416435E-3</c:v>
                </c:pt>
                <c:pt idx="595">
                  <c:v>-3.2606580298703484E-3</c:v>
                </c:pt>
                <c:pt idx="596">
                  <c:v>-3.2569645625582762E-3</c:v>
                </c:pt>
                <c:pt idx="597">
                  <c:v>-3.2532708428761894E-3</c:v>
                </c:pt>
                <c:pt idx="598">
                  <c:v>-3.2495778514948495E-3</c:v>
                </c:pt>
                <c:pt idx="599">
                  <c:v>-3.2385130538629208E-3</c:v>
                </c:pt>
                <c:pt idx="600">
                  <c:v>-3.2348327823921801E-3</c:v>
                </c:pt>
                <c:pt idx="601">
                  <c:v>-3.2311579657487892E-3</c:v>
                </c:pt>
                <c:pt idx="602">
                  <c:v>-3.2274887004674841E-3</c:v>
                </c:pt>
                <c:pt idx="603">
                  <c:v>-3.2238249062558019E-3</c:v>
                </c:pt>
                <c:pt idx="604">
                  <c:v>-3.2128655471138209E-3</c:v>
                </c:pt>
                <c:pt idx="605">
                  <c:v>-3.2092228342559632E-3</c:v>
                </c:pt>
                <c:pt idx="606">
                  <c:v>-3.2055851910053976E-3</c:v>
                </c:pt>
                <c:pt idx="607">
                  <c:v>-3.2019525370696584E-3</c:v>
                </c:pt>
                <c:pt idx="608">
                  <c:v>-3.1983247921562766E-3</c:v>
                </c:pt>
                <c:pt idx="609">
                  <c:v>-3.1874702086256324E-3</c:v>
                </c:pt>
                <c:pt idx="610">
                  <c:v>-3.1838612968770304E-3</c:v>
                </c:pt>
                <c:pt idx="611">
                  <c:v>-3.1802568926884572E-3</c:v>
                </c:pt>
                <c:pt idx="612">
                  <c:v>-3.1766569157674479E-3</c:v>
                </c:pt>
                <c:pt idx="613">
                  <c:v>-3.173061285821537E-3</c:v>
                </c:pt>
                <c:pt idx="614">
                  <c:v>-3.16229967490973E-3</c:v>
                </c:pt>
                <c:pt idx="615">
                  <c:v>-3.1587206299395505E-3</c:v>
                </c:pt>
                <c:pt idx="616">
                  <c:v>-3.1551455304821376E-3</c:v>
                </c:pt>
                <c:pt idx="617">
                  <c:v>-3.1515742962450271E-3</c:v>
                </c:pt>
                <c:pt idx="618">
                  <c:v>-3.1480068469357516E-3</c:v>
                </c:pt>
                <c:pt idx="619">
                  <c:v>-3.1373264056502839E-3</c:v>
                </c:pt>
                <c:pt idx="620">
                  <c:v>-3.133773293127693E-3</c:v>
                </c:pt>
                <c:pt idx="621">
                  <c:v>-3.1302235640706085E-3</c:v>
                </c:pt>
                <c:pt idx="622">
                  <c:v>-3.1266771381865642E-3</c:v>
                </c:pt>
                <c:pt idx="623">
                  <c:v>-3.1231339351830926E-3</c:v>
                </c:pt>
                <c:pt idx="624">
                  <c:v>-3.1125188855202742E-3</c:v>
                </c:pt>
                <c:pt idx="625">
                  <c:v>-3.1089823238768829E-3</c:v>
                </c:pt>
                <c:pt idx="626">
                  <c:v>-3.1054450503084558E-3</c:v>
                </c:pt>
                <c:pt idx="627">
                  <c:v>-3.1019061011867063E-3</c:v>
                </c:pt>
                <c:pt idx="628">
                  <c:v>-3.0983645128833497E-3</c:v>
                </c:pt>
                <c:pt idx="629">
                  <c:v>-3.0877142766007701E-3</c:v>
                </c:pt>
                <c:pt idx="630">
                  <c:v>-3.0841524952881214E-3</c:v>
                </c:pt>
                <c:pt idx="631">
                  <c:v>-3.0805832566524346E-3</c:v>
                </c:pt>
                <c:pt idx="632">
                  <c:v>-3.077005597065423E-3</c:v>
                </c:pt>
                <c:pt idx="633">
                  <c:v>-3.0734185528988028E-3</c:v>
                </c:pt>
                <c:pt idx="634">
                  <c:v>-3.0625914766384201E-3</c:v>
                </c:pt>
                <c:pt idx="635">
                  <c:v>-3.0589572578704994E-3</c:v>
                </c:pt>
                <c:pt idx="636">
                  <c:v>-3.0553088363815387E-3</c:v>
                </c:pt>
                <c:pt idx="637">
                  <c:v>-3.051645248543251E-3</c:v>
                </c:pt>
                <c:pt idx="638">
                  <c:v>-3.0479655307273528E-3</c:v>
                </c:pt>
                <c:pt idx="639">
                  <c:v>-3.0368199611311244E-3</c:v>
                </c:pt>
                <c:pt idx="640">
                  <c:v>-3.0330660871219182E-3</c:v>
                </c:pt>
                <c:pt idx="641">
                  <c:v>-3.0292912649936693E-3</c:v>
                </c:pt>
                <c:pt idx="642">
                  <c:v>-3.0254945311180923E-3</c:v>
                </c:pt>
                <c:pt idx="643">
                  <c:v>-3.0216749218669016E-3</c:v>
                </c:pt>
                <c:pt idx="644">
                  <c:v>-3.0100692055767845E-3</c:v>
                </c:pt>
                <c:pt idx="645">
                  <c:v>-3.006148955023978E-3</c:v>
                </c:pt>
                <c:pt idx="646">
                  <c:v>-3.0022039898563281E-3</c:v>
                </c:pt>
                <c:pt idx="647">
                  <c:v>-2.9982363253477492E-3</c:v>
                </c:pt>
                <c:pt idx="648">
                  <c:v>-2.9942479767721551E-3</c:v>
                </c:pt>
                <c:pt idx="649">
                  <c:v>-2.9821789793824318E-3</c:v>
                </c:pt>
                <c:pt idx="650">
                  <c:v>-2.9781280472779247E-3</c:v>
                </c:pt>
                <c:pt idx="651">
                  <c:v>-2.9740665074759762E-3</c:v>
                </c:pt>
                <c:pt idx="652">
                  <c:v>-2.9699963752505007E-3</c:v>
                </c:pt>
                <c:pt idx="653">
                  <c:v>-2.9659196658754117E-3</c:v>
                </c:pt>
                <c:pt idx="654">
                  <c:v>-2.9536702275916125E-3</c:v>
                </c:pt>
                <c:pt idx="655">
                  <c:v>-2.9495873623572163E-3</c:v>
                </c:pt>
                <c:pt idx="656">
                  <c:v>-2.9455079963427808E-3</c:v>
                </c:pt>
                <c:pt idx="657">
                  <c:v>-2.9414341448222186E-3</c:v>
                </c:pt>
                <c:pt idx="658">
                  <c:v>-2.9373678230694457E-3</c:v>
                </c:pt>
                <c:pt idx="659">
                  <c:v>-2.9252341891570039E-3</c:v>
                </c:pt>
                <c:pt idx="660">
                  <c:v>-2.9132408730155809E-3</c:v>
                </c:pt>
                <c:pt idx="661">
                  <c:v>-2.9092836873069344E-3</c:v>
                </c:pt>
                <c:pt idx="662">
                  <c:v>-2.8975621030312821E-3</c:v>
                </c:pt>
                <c:pt idx="663">
                  <c:v>-2.889892843628564E-3</c:v>
                </c:pt>
                <c:pt idx="664">
                  <c:v>-2.8861071204130543E-3</c:v>
                </c:pt>
                <c:pt idx="665">
                  <c:v>-2.882353070578882E-3</c:v>
                </c:pt>
                <c:pt idx="666">
                  <c:v>-2.8712604118909953E-3</c:v>
                </c:pt>
                <c:pt idx="667">
                  <c:v>-2.8676125061087767E-3</c:v>
                </c:pt>
                <c:pt idx="668">
                  <c:v>-2.8639859989711973E-3</c:v>
                </c:pt>
                <c:pt idx="669">
                  <c:v>-2.8603788355309172E-3</c:v>
                </c:pt>
                <c:pt idx="670">
                  <c:v>-2.8567889608405975E-3</c:v>
                </c:pt>
                <c:pt idx="671">
                  <c:v>-2.8461025197959984E-3</c:v>
                </c:pt>
                <c:pt idx="672">
                  <c:v>-2.8425612506321201E-3</c:v>
                </c:pt>
                <c:pt idx="673">
                  <c:v>-2.8390269954815029E-3</c:v>
                </c:pt>
                <c:pt idx="674">
                  <c:v>-2.835497699396808E-3</c:v>
                </c:pt>
                <c:pt idx="675">
                  <c:v>-2.8319713074306946E-3</c:v>
                </c:pt>
                <c:pt idx="676">
                  <c:v>-2.8213890067704489E-3</c:v>
                </c:pt>
                <c:pt idx="677">
                  <c:v>-2.8178536818052663E-3</c:v>
                </c:pt>
                <c:pt idx="678">
                  <c:v>-2.8143109862219674E-3</c:v>
                </c:pt>
                <c:pt idx="679">
                  <c:v>-2.8107588650732119E-3</c:v>
                </c:pt>
                <c:pt idx="680">
                  <c:v>-2.8071952634116607E-3</c:v>
                </c:pt>
                <c:pt idx="681">
                  <c:v>-2.7964150258768341E-3</c:v>
                </c:pt>
                <c:pt idx="682">
                  <c:v>-2.7927849526907028E-3</c:v>
                </c:pt>
                <c:pt idx="683">
                  <c:v>-2.7891331242550763E-3</c:v>
                </c:pt>
                <c:pt idx="684">
                  <c:v>-2.7854574856226158E-3</c:v>
                </c:pt>
                <c:pt idx="685">
                  <c:v>-2.7817559818459816E-3</c:v>
                </c:pt>
                <c:pt idx="686">
                  <c:v>-2.7704757301776398E-3</c:v>
                </c:pt>
                <c:pt idx="687">
                  <c:v>-2.7666508062587736E-3</c:v>
                </c:pt>
                <c:pt idx="688">
                  <c:v>-2.7627932819061984E-3</c:v>
                </c:pt>
                <c:pt idx="689">
                  <c:v>-2.758904641619736E-3</c:v>
                </c:pt>
                <c:pt idx="690">
                  <c:v>-2.754986369899209E-3</c:v>
                </c:pt>
                <c:pt idx="691">
                  <c:v>-2.7430686111314688E-3</c:v>
                </c:pt>
                <c:pt idx="692">
                  <c:v>-2.739046658672912E-3</c:v>
                </c:pt>
                <c:pt idx="693">
                  <c:v>-2.7350024972794054E-3</c:v>
                </c:pt>
                <c:pt idx="694">
                  <c:v>-2.730937611450769E-3</c:v>
                </c:pt>
                <c:pt idx="695">
                  <c:v>-2.7268534856868284E-3</c:v>
                </c:pt>
                <c:pt idx="696">
                  <c:v>-2.7145005137814023E-3</c:v>
                </c:pt>
                <c:pt idx="697">
                  <c:v>-2.7103542732744685E-3</c:v>
                </c:pt>
                <c:pt idx="698">
                  <c:v>-2.7061962153313423E-3</c:v>
                </c:pt>
                <c:pt idx="699">
                  <c:v>-2.7020278244518489E-3</c:v>
                </c:pt>
                <c:pt idx="700">
                  <c:v>-2.6978505851358078E-3</c:v>
                </c:pt>
                <c:pt idx="701">
                  <c:v>-2.6852806215666371E-3</c:v>
                </c:pt>
                <c:pt idx="702">
                  <c:v>-2.6810828335026397E-3</c:v>
                </c:pt>
                <c:pt idx="703">
                  <c:v>-2.6768836195012096E-3</c:v>
                </c:pt>
                <c:pt idx="704">
                  <c:v>-2.67268446406217E-3</c:v>
                </c:pt>
                <c:pt idx="705">
                  <c:v>-2.6684868516853432E-3</c:v>
                </c:pt>
                <c:pt idx="706">
                  <c:v>-2.6559181179263698E-3</c:v>
                </c:pt>
                <c:pt idx="707">
                  <c:v>-2.6517411362643882E-3</c:v>
                </c:pt>
                <c:pt idx="708">
                  <c:v>-2.6475708009703288E-3</c:v>
                </c:pt>
                <c:pt idx="709">
                  <c:v>-2.6434062773506074E-3</c:v>
                </c:pt>
                <c:pt idx="710">
                  <c:v>-2.6392467307116414E-3</c:v>
                </c:pt>
                <c:pt idx="711">
                  <c:v>-2.6267896057434502E-3</c:v>
                </c:pt>
                <c:pt idx="712">
                  <c:v>-2.6226416200916796E-3</c:v>
                </c:pt>
                <c:pt idx="713">
                  <c:v>-2.6184944379527503E-3</c:v>
                </c:pt>
                <c:pt idx="714">
                  <c:v>-2.6143472246330803E-3</c:v>
                </c:pt>
                <c:pt idx="715">
                  <c:v>-2.6101991454390871E-3</c:v>
                </c:pt>
                <c:pt idx="716">
                  <c:v>-2.5977413656753366E-3</c:v>
                </c:pt>
                <c:pt idx="717">
                  <c:v>-2.5935814760482206E-3</c:v>
                </c:pt>
                <c:pt idx="718">
                  <c:v>-2.5894165470788681E-3</c:v>
                </c:pt>
                <c:pt idx="719">
                  <c:v>-2.5852457440736941E-3</c:v>
                </c:pt>
                <c:pt idx="720">
                  <c:v>-2.5810682323391164E-3</c:v>
                </c:pt>
                <c:pt idx="721">
                  <c:v>-2.5684870978231402E-3</c:v>
                </c:pt>
                <c:pt idx="722">
                  <c:v>-2.5642744042351233E-3</c:v>
                </c:pt>
                <c:pt idx="723">
                  <c:v>-2.5600508284497892E-3</c:v>
                </c:pt>
                <c:pt idx="724">
                  <c:v>-2.5558155357735552E-3</c:v>
                </c:pt>
                <c:pt idx="725">
                  <c:v>-2.5515676915128399E-3</c:v>
                </c:pt>
                <c:pt idx="726">
                  <c:v>-2.5387405022879697E-3</c:v>
                </c:pt>
                <c:pt idx="727">
                  <c:v>-2.5344341047534961E-3</c:v>
                </c:pt>
                <c:pt idx="728">
                  <c:v>-2.5301113472252622E-3</c:v>
                </c:pt>
                <c:pt idx="729">
                  <c:v>-2.525773220302863E-3</c:v>
                </c:pt>
                <c:pt idx="730">
                  <c:v>-2.5214210796445321E-3</c:v>
                </c:pt>
                <c:pt idx="731">
                  <c:v>-2.5082941318362584E-3</c:v>
                </c:pt>
                <c:pt idx="732">
                  <c:v>-2.5038994928165128E-3</c:v>
                </c:pt>
                <c:pt idx="733">
                  <c:v>-2.4994976183519944E-3</c:v>
                </c:pt>
                <c:pt idx="734">
                  <c:v>-2.4950898641009321E-3</c:v>
                </c:pt>
                <c:pt idx="735">
                  <c:v>-2.49067758572156E-3</c:v>
                </c:pt>
                <c:pt idx="736">
                  <c:v>-2.4774271623958961E-3</c:v>
                </c:pt>
                <c:pt idx="737">
                  <c:v>-2.4730103440855997E-3</c:v>
                </c:pt>
                <c:pt idx="738">
                  <c:v>-2.4685957799381506E-3</c:v>
                </c:pt>
                <c:pt idx="739">
                  <c:v>-2.4641848256117807E-3</c:v>
                </c:pt>
                <c:pt idx="740">
                  <c:v>-2.4422316493342431E-3</c:v>
                </c:pt>
                <c:pt idx="741">
                  <c:v>-2.4378708227572191E-3</c:v>
                </c:pt>
                <c:pt idx="742">
                  <c:v>-2.4335230956088979E-3</c:v>
                </c:pt>
                <c:pt idx="743">
                  <c:v>-2.4291898235475101E-3</c:v>
                </c:pt>
                <c:pt idx="744">
                  <c:v>-2.4162902944672676E-3</c:v>
                </c:pt>
                <c:pt idx="745">
                  <c:v>-2.4120283993359325E-3</c:v>
                </c:pt>
                <c:pt idx="746">
                  <c:v>-2.4035696648657709E-3</c:v>
                </c:pt>
                <c:pt idx="747">
                  <c:v>-2.3993750057051204E-3</c:v>
                </c:pt>
                <c:pt idx="748">
                  <c:v>-2.3869163846755308E-3</c:v>
                </c:pt>
                <c:pt idx="749">
                  <c:v>-2.3827991925781306E-3</c:v>
                </c:pt>
                <c:pt idx="750">
                  <c:v>-2.3786967893177991E-3</c:v>
                </c:pt>
                <c:pt idx="751">
                  <c:v>-2.3746073437230382E-3</c:v>
                </c:pt>
                <c:pt idx="752">
                  <c:v>-2.3705290246223525E-3</c:v>
                </c:pt>
                <c:pt idx="753">
                  <c:v>-2.3583425145697647E-3</c:v>
                </c:pt>
                <c:pt idx="754">
                  <c:v>-2.3542903897304009E-3</c:v>
                </c:pt>
                <c:pt idx="755">
                  <c:v>-2.3502402355276247E-3</c:v>
                </c:pt>
                <c:pt idx="756">
                  <c:v>-2.3461902207899377E-3</c:v>
                </c:pt>
                <c:pt idx="757">
                  <c:v>-2.3421385143458429E-3</c:v>
                </c:pt>
                <c:pt idx="758">
                  <c:v>-2.3299549330601374E-3</c:v>
                </c:pt>
                <c:pt idx="759">
                  <c:v>-2.3258781480754377E-3</c:v>
                </c:pt>
                <c:pt idx="760">
                  <c:v>-2.3217905155268428E-3</c:v>
                </c:pt>
                <c:pt idx="761">
                  <c:v>-2.3176902042428551E-3</c:v>
                </c:pt>
                <c:pt idx="762">
                  <c:v>-2.3135753830519782E-3</c:v>
                </c:pt>
                <c:pt idx="763">
                  <c:v>-2.3011255483230356E-3</c:v>
                </c:pt>
                <c:pt idx="764">
                  <c:v>-2.2969343757896265E-3</c:v>
                </c:pt>
                <c:pt idx="765">
                  <c:v>-2.2927195374918396E-3</c:v>
                </c:pt>
                <c:pt idx="766">
                  <c:v>-2.2884792022581798E-3</c:v>
                </c:pt>
                <c:pt idx="767">
                  <c:v>-2.2842115389171474E-3</c:v>
                </c:pt>
                <c:pt idx="768">
                  <c:v>-2.2712262685348479E-3</c:v>
                </c:pt>
                <c:pt idx="769">
                  <c:v>-2.2668315156553608E-3</c:v>
                </c:pt>
                <c:pt idx="770">
                  <c:v>-2.2624034864470485E-3</c:v>
                </c:pt>
                <c:pt idx="771">
                  <c:v>-2.2579435573744479E-3</c:v>
                </c:pt>
                <c:pt idx="772">
                  <c:v>-2.2534531049020938E-3</c:v>
                </c:pt>
                <c:pt idx="773">
                  <c:v>-2.2398123717318748E-3</c:v>
                </c:pt>
                <c:pt idx="774">
                  <c:v>-2.2352135903058704E-3</c:v>
                </c:pt>
                <c:pt idx="775">
                  <c:v>-2.2305911678027926E-3</c:v>
                </c:pt>
                <c:pt idx="776">
                  <c:v>-2.2259464806871788E-3</c:v>
                </c:pt>
                <c:pt idx="777">
                  <c:v>-2.2212809054235646E-3</c:v>
                </c:pt>
                <c:pt idx="778">
                  <c:v>-2.2071726153900799E-3</c:v>
                </c:pt>
                <c:pt idx="779">
                  <c:v>-2.2024372521798259E-3</c:v>
                </c:pt>
                <c:pt idx="780">
                  <c:v>-2.1976878831442511E-3</c:v>
                </c:pt>
                <c:pt idx="781">
                  <c:v>-2.1929258847478931E-3</c:v>
                </c:pt>
                <c:pt idx="782">
                  <c:v>-2.188152633455287E-3</c:v>
                </c:pt>
                <c:pt idx="783">
                  <c:v>-2.1737791268453418E-3</c:v>
                </c:pt>
                <c:pt idx="784">
                  <c:v>-2.1689746286131053E-3</c:v>
                </c:pt>
                <c:pt idx="785">
                  <c:v>-2.1641657598073022E-3</c:v>
                </c:pt>
                <c:pt idx="786">
                  <c:v>-2.1593538968924676E-3</c:v>
                </c:pt>
                <c:pt idx="787">
                  <c:v>-2.1545404163331376E-3</c:v>
                </c:pt>
                <c:pt idx="788">
                  <c:v>-2.1401040334335379E-3</c:v>
                </c:pt>
                <c:pt idx="789">
                  <c:v>-2.1352978469415885E-3</c:v>
                </c:pt>
                <c:pt idx="790">
                  <c:v>-2.1304966791813804E-3</c:v>
                </c:pt>
                <c:pt idx="791">
                  <c:v>-2.1257006768852301E-3</c:v>
                </c:pt>
                <c:pt idx="792">
                  <c:v>-2.1209097408390119E-3</c:v>
                </c:pt>
                <c:pt idx="793">
                  <c:v>-2.1065663380586785E-3</c:v>
                </c:pt>
                <c:pt idx="794">
                  <c:v>-2.1017946748709175E-3</c:v>
                </c:pt>
                <c:pt idx="795">
                  <c:v>-2.0970275818624536E-3</c:v>
                </c:pt>
                <c:pt idx="796">
                  <c:v>-2.0922649598191594E-3</c:v>
                </c:pt>
                <c:pt idx="797">
                  <c:v>-2.0875067095269084E-3</c:v>
                </c:pt>
                <c:pt idx="798">
                  <c:v>-2.0732571970151475E-3</c:v>
                </c:pt>
                <c:pt idx="799">
                  <c:v>-2.0685154415858008E-3</c:v>
                </c:pt>
                <c:pt idx="800">
                  <c:v>-2.0637775618368636E-3</c:v>
                </c:pt>
                <c:pt idx="801">
                  <c:v>-2.059043458554208E-3</c:v>
                </c:pt>
                <c:pt idx="802">
                  <c:v>-2.0543130325237063E-3</c:v>
                </c:pt>
                <c:pt idx="803">
                  <c:v>-2.0401428258038645E-3</c:v>
                </c:pt>
                <c:pt idx="804">
                  <c:v>-2.0354261166407148E-3</c:v>
                </c:pt>
                <c:pt idx="805">
                  <c:v>-2.0307125886590855E-3</c:v>
                </c:pt>
                <c:pt idx="806">
                  <c:v>-2.0260021426448493E-3</c:v>
                </c:pt>
                <c:pt idx="807">
                  <c:v>-2.0212946793838811E-3</c:v>
                </c:pt>
                <c:pt idx="808">
                  <c:v>-2.0071891939793048E-3</c:v>
                </c:pt>
                <c:pt idx="809">
                  <c:v>-2.0024926695901332E-3</c:v>
                </c:pt>
                <c:pt idx="810">
                  <c:v>-1.9977986318835939E-3</c:v>
                </c:pt>
                <c:pt idx="811">
                  <c:v>-1.9931069816455614E-3</c:v>
                </c:pt>
                <c:pt idx="812">
                  <c:v>-1.9884176196619061E-3</c:v>
                </c:pt>
                <c:pt idx="813">
                  <c:v>-1.9743567139213769E-3</c:v>
                </c:pt>
                <c:pt idx="814">
                  <c:v>-1.9696678974265983E-3</c:v>
                </c:pt>
                <c:pt idx="815">
                  <c:v>-1.9649759334048381E-3</c:v>
                </c:pt>
                <c:pt idx="816">
                  <c:v>-1.9602794877142888E-3</c:v>
                </c:pt>
                <c:pt idx="817">
                  <c:v>-1.9555772262131411E-3</c:v>
                </c:pt>
                <c:pt idx="818">
                  <c:v>-1.9414222054280315E-3</c:v>
                </c:pt>
                <c:pt idx="819">
                  <c:v>-1.9366833392664103E-3</c:v>
                </c:pt>
                <c:pt idx="820">
                  <c:v>-1.9319319865851504E-3</c:v>
                </c:pt>
                <c:pt idx="821">
                  <c:v>-1.9271668132424433E-3</c:v>
                </c:pt>
                <c:pt idx="822">
                  <c:v>-1.9223864850964811E-3</c:v>
                </c:pt>
                <c:pt idx="823">
                  <c:v>-1.9079412304209796E-3</c:v>
                </c:pt>
                <c:pt idx="824">
                  <c:v>-1.9030869416439128E-3</c:v>
                </c:pt>
                <c:pt idx="825">
                  <c:v>-1.8982108273545505E-3</c:v>
                </c:pt>
                <c:pt idx="826">
                  <c:v>-1.893311553411083E-3</c:v>
                </c:pt>
                <c:pt idx="827">
                  <c:v>-1.8883877856717018E-3</c:v>
                </c:pt>
                <c:pt idx="828">
                  <c:v>-1.8734561782599987E-3</c:v>
                </c:pt>
                <c:pt idx="829">
                  <c:v>-1.8684210939188832E-3</c:v>
                </c:pt>
                <c:pt idx="830">
                  <c:v>-1.8633548450728147E-3</c:v>
                </c:pt>
                <c:pt idx="831">
                  <c:v>-1.8582560975799825E-3</c:v>
                </c:pt>
                <c:pt idx="832">
                  <c:v>-1.8531235172985811E-3</c:v>
                </c:pt>
                <c:pt idx="833">
                  <c:v>-1.8375094383048674E-3</c:v>
                </c:pt>
                <c:pt idx="834">
                  <c:v>-1.8322288833905694E-3</c:v>
                </c:pt>
                <c:pt idx="835">
                  <c:v>-1.8269120126154746E-3</c:v>
                </c:pt>
                <c:pt idx="836">
                  <c:v>-1.8215616794745914E-3</c:v>
                </c:pt>
                <c:pt idx="837">
                  <c:v>-1.8161807374629262E-3</c:v>
                </c:pt>
                <c:pt idx="838">
                  <c:v>-1.79988279315331E-3</c:v>
                </c:pt>
                <c:pt idx="839">
                  <c:v>-1.7944079506085878E-3</c:v>
                </c:pt>
                <c:pt idx="840">
                  <c:v>-1.78891676666812E-3</c:v>
                </c:pt>
                <c:pt idx="841">
                  <c:v>-1.7834120948269129E-3</c:v>
                </c:pt>
                <c:pt idx="842">
                  <c:v>-1.7778967885799741E-3</c:v>
                </c:pt>
                <c:pt idx="843">
                  <c:v>-1.7613155983548401E-3</c:v>
                </c:pt>
                <c:pt idx="844">
                  <c:v>-1.7557862894350474E-3</c:v>
                </c:pt>
                <c:pt idx="845">
                  <c:v>-1.7502606135845575E-3</c:v>
                </c:pt>
                <c:pt idx="846">
                  <c:v>-1.7447414242983792E-3</c:v>
                </c:pt>
                <c:pt idx="847">
                  <c:v>-1.7392315750715196E-3</c:v>
                </c:pt>
                <c:pt idx="848">
                  <c:v>-1.7227866026969228E-3</c:v>
                </c:pt>
                <c:pt idx="849">
                  <c:v>-1.7173426486574094E-3</c:v>
                </c:pt>
                <c:pt idx="850">
                  <c:v>-1.7119223021522499E-3</c:v>
                </c:pt>
                <c:pt idx="851">
                  <c:v>-1.706528416676453E-3</c:v>
                </c:pt>
                <c:pt idx="852">
                  <c:v>-1.7011638457250238E-3</c:v>
                </c:pt>
                <c:pt idx="853">
                  <c:v>-1.6852745549670207E-3</c:v>
                </c:pt>
                <c:pt idx="854">
                  <c:v>-1.6800557770631384E-3</c:v>
                </c:pt>
                <c:pt idx="855">
                  <c:v>-1.674880581158661E-3</c:v>
                </c:pt>
                <c:pt idx="856">
                  <c:v>-1.6697508158384745E-3</c:v>
                </c:pt>
                <c:pt idx="857">
                  <c:v>-1.6646643100469759E-3</c:v>
                </c:pt>
                <c:pt idx="858">
                  <c:v>-1.6496325901873847E-3</c:v>
                </c:pt>
                <c:pt idx="859">
                  <c:v>-1.6446873628534113E-3</c:v>
                </c:pt>
                <c:pt idx="860">
                  <c:v>-1.6397695152195124E-3</c:v>
                </c:pt>
                <c:pt idx="861">
                  <c:v>-1.6348758713199641E-3</c:v>
                </c:pt>
                <c:pt idx="862">
                  <c:v>-1.6300032551890443E-3</c:v>
                </c:pt>
                <c:pt idx="863">
                  <c:v>-1.6154798137508208E-3</c:v>
                </c:pt>
                <c:pt idx="864">
                  <c:v>-1.6106595490371816E-3</c:v>
                </c:pt>
                <c:pt idx="865">
                  <c:v>-1.6058444322635552E-3</c:v>
                </c:pt>
                <c:pt idx="866">
                  <c:v>-1.6010312874642188E-3</c:v>
                </c:pt>
                <c:pt idx="867">
                  <c:v>-1.5962169386734494E-3</c:v>
                </c:pt>
                <c:pt idx="868">
                  <c:v>-1.5817349086953126E-3</c:v>
                </c:pt>
                <c:pt idx="869">
                  <c:v>-1.5768839842815803E-3</c:v>
                </c:pt>
                <c:pt idx="870">
                  <c:v>-1.5720159760478005E-3</c:v>
                </c:pt>
                <c:pt idx="871">
                  <c:v>-1.5671277080282491E-3</c:v>
                </c:pt>
                <c:pt idx="872">
                  <c:v>-1.5622160042572033E-3</c:v>
                </c:pt>
                <c:pt idx="873">
                  <c:v>-1.5473085187778712E-3</c:v>
                </c:pt>
                <c:pt idx="874">
                  <c:v>-1.5422713123436191E-3</c:v>
                </c:pt>
                <c:pt idx="875">
                  <c:v>-1.5371947903292573E-3</c:v>
                </c:pt>
                <c:pt idx="876">
                  <c:v>-1.5320757767690646E-3</c:v>
                </c:pt>
                <c:pt idx="877">
                  <c:v>-1.5269110956973152E-3</c:v>
                </c:pt>
                <c:pt idx="878">
                  <c:v>-1.5111112877555068E-3</c:v>
                </c:pt>
                <c:pt idx="879">
                  <c:v>-1.5057330627390492E-3</c:v>
                </c:pt>
                <c:pt idx="880">
                  <c:v>-1.5002986049348738E-3</c:v>
                </c:pt>
                <c:pt idx="881">
                  <c:v>-1.4948100529297123E-3</c:v>
                </c:pt>
                <c:pt idx="882">
                  <c:v>-1.489269545310292E-3</c:v>
                </c:pt>
                <c:pt idx="883">
                  <c:v>-1.472357674633786E-3</c:v>
                </c:pt>
                <c:pt idx="884">
                  <c:v>-1.4666307304246344E-3</c:v>
                </c:pt>
                <c:pt idx="885">
                  <c:v>-1.4608625235348744E-3</c:v>
                </c:pt>
                <c:pt idx="886">
                  <c:v>-1.4550551925512363E-3</c:v>
                </c:pt>
                <c:pt idx="887">
                  <c:v>-1.4492108760604495E-3</c:v>
                </c:pt>
                <c:pt idx="888">
                  <c:v>-1.4314773994124994E-3</c:v>
                </c:pt>
                <c:pt idx="889">
                  <c:v>-1.4255065267604176E-3</c:v>
                </c:pt>
                <c:pt idx="890">
                  <c:v>-1.4195093615348368E-3</c:v>
                </c:pt>
                <c:pt idx="891">
                  <c:v>-1.4134880423224867E-3</c:v>
                </c:pt>
                <c:pt idx="892">
                  <c:v>-1.4074447077100974E-3</c:v>
                </c:pt>
                <c:pt idx="893">
                  <c:v>-1.389203997339993E-3</c:v>
                </c:pt>
                <c:pt idx="894">
                  <c:v>-1.3830939869947452E-3</c:v>
                </c:pt>
                <c:pt idx="895">
                  <c:v>-1.376972654183108E-3</c:v>
                </c:pt>
                <c:pt idx="896">
                  <c:v>-1.3708421374918102E-3</c:v>
                </c:pt>
                <c:pt idx="897">
                  <c:v>-1.3647045755075817E-3</c:v>
                </c:pt>
                <c:pt idx="898">
                  <c:v>-1.3462710036646148E-3</c:v>
                </c:pt>
                <c:pt idx="899">
                  <c:v>-1.3401264501848708E-3</c:v>
                </c:pt>
                <c:pt idx="900">
                  <c:v>-1.3339843671992828E-3</c:v>
                </c:pt>
                <c:pt idx="901">
                  <c:v>-1.3278457161480155E-3</c:v>
                </c:pt>
                <c:pt idx="902">
                  <c:v>-1.3217114584712373E-3</c:v>
                </c:pt>
                <c:pt idx="903">
                  <c:v>-1.3033446600894862E-3</c:v>
                </c:pt>
                <c:pt idx="904">
                  <c:v>-1.2972375903123191E-3</c:v>
                </c:pt>
                <c:pt idx="905">
                  <c:v>-1.2911397211104706E-3</c:v>
                </c:pt>
                <c:pt idx="906">
                  <c:v>-1.2850520139241067E-3</c:v>
                </c:pt>
                <c:pt idx="907">
                  <c:v>-1.2789754301933943E-3</c:v>
                </c:pt>
                <c:pt idx="908">
                  <c:v>-1.2608220341368212E-3</c:v>
                </c:pt>
                <c:pt idx="909">
                  <c:v>-1.2547995586303724E-3</c:v>
                </c:pt>
                <c:pt idx="910">
                  <c:v>-1.248793013780405E-3</c:v>
                </c:pt>
                <c:pt idx="911">
                  <c:v>-1.2428033610270852E-3</c:v>
                </c:pt>
                <c:pt idx="912">
                  <c:v>-1.236831561810579E-3</c:v>
                </c:pt>
                <c:pt idx="913">
                  <c:v>-1.2190328997836062E-3</c:v>
                </c:pt>
                <c:pt idx="914">
                  <c:v>-1.2131421291160177E-3</c:v>
                </c:pt>
                <c:pt idx="915">
                  <c:v>-1.195609627299781E-3</c:v>
                </c:pt>
                <c:pt idx="916">
                  <c:v>-1.1783070310068305E-3</c:v>
                </c:pt>
                <c:pt idx="917">
                  <c:v>-1.1725950757462426E-3</c:v>
                </c:pt>
                <c:pt idx="918">
                  <c:v>-1.1612911013135943E-3</c:v>
                </c:pt>
                <c:pt idx="919">
                  <c:v>-1.1556847298319914E-3</c:v>
                </c:pt>
                <c:pt idx="920">
                  <c:v>-1.139025144757426E-3</c:v>
                </c:pt>
                <c:pt idx="921">
                  <c:v>-1.1335160274566888E-3</c:v>
                </c:pt>
                <c:pt idx="922">
                  <c:v>-1.1280243996516935E-3</c:v>
                </c:pt>
                <c:pt idx="923">
                  <c:v>-1.1225475317226522E-3</c:v>
                </c:pt>
                <c:pt idx="924">
                  <c:v>-1.1170826940497761E-3</c:v>
                </c:pt>
                <c:pt idx="925">
                  <c:v>-1.10073306637024E-3</c:v>
                </c:pt>
                <c:pt idx="926">
                  <c:v>-1.0952890535241282E-3</c:v>
                </c:pt>
                <c:pt idx="927">
                  <c:v>-1.0898434228352361E-3</c:v>
                </c:pt>
                <c:pt idx="928">
                  <c:v>-1.0843934446837715E-3</c:v>
                </c:pt>
                <c:pt idx="929">
                  <c:v>-1.0789363894499466E-3</c:v>
                </c:pt>
                <c:pt idx="930">
                  <c:v>-1.0624954650564184E-3</c:v>
                </c:pt>
                <c:pt idx="931">
                  <c:v>-1.0569828052952592E-3</c:v>
                </c:pt>
                <c:pt idx="932">
                  <c:v>-1.0514494203527939E-3</c:v>
                </c:pt>
                <c:pt idx="933">
                  <c:v>-1.0458925806092331E-3</c:v>
                </c:pt>
                <c:pt idx="934">
                  <c:v>-1.0403095564447864E-3</c:v>
                </c:pt>
                <c:pt idx="935">
                  <c:v>-1.0233760812282434E-3</c:v>
                </c:pt>
                <c:pt idx="936">
                  <c:v>-1.0176610231823634E-3</c:v>
                </c:pt>
                <c:pt idx="937">
                  <c:v>-1.0119061326166524E-3</c:v>
                </c:pt>
                <c:pt idx="938">
                  <c:v>-1.0061086799113199E-3</c:v>
                </c:pt>
                <c:pt idx="939">
                  <c:v>-1.0002659354465774E-3</c:v>
                </c:pt>
                <c:pt idx="940">
                  <c:v>-9.8243865529799748E-4</c:v>
                </c:pt>
                <c:pt idx="941">
                  <c:v>-9.7638829936499407E-4</c:v>
                </c:pt>
                <c:pt idx="942">
                  <c:v>-9.7028411417726581E-4</c:v>
                </c:pt>
                <c:pt idx="943">
                  <c:v>-9.6412848071865669E-4</c:v>
                </c:pt>
                <c:pt idx="944">
                  <c:v>-9.5792377997300704E-4</c:v>
                </c:pt>
                <c:pt idx="945">
                  <c:v>-9.3903908385224591E-4</c:v>
                </c:pt>
                <c:pt idx="946">
                  <c:v>-9.3266192379686441E-4</c:v>
                </c:pt>
                <c:pt idx="947">
                  <c:v>-9.2624760137365492E-4</c:v>
                </c:pt>
                <c:pt idx="948">
                  <c:v>-9.1979849756646101E-4</c:v>
                </c:pt>
                <c:pt idx="949">
                  <c:v>-9.1331699335912636E-4</c:v>
                </c:pt>
                <c:pt idx="950">
                  <c:v>-8.9370188817469351E-4</c:v>
                </c:pt>
                <c:pt idx="951">
                  <c:v>-8.8711459220521547E-4</c:v>
                </c:pt>
                <c:pt idx="952">
                  <c:v>-8.8050680075480966E-4</c:v>
                </c:pt>
                <c:pt idx="953">
                  <c:v>-8.7388089480731597E-4</c:v>
                </c:pt>
                <c:pt idx="954">
                  <c:v>-8.6723925534657798E-4</c:v>
                </c:pt>
                <c:pt idx="955">
                  <c:v>-8.4724374572332567E-4</c:v>
                </c:pt>
                <c:pt idx="956">
                  <c:v>-8.4056298204803642E-4</c:v>
                </c:pt>
                <c:pt idx="957">
                  <c:v>-8.3387838977871552E-4</c:v>
                </c:pt>
                <c:pt idx="958">
                  <c:v>-8.2719234989920686E-4</c:v>
                </c:pt>
                <c:pt idx="959">
                  <c:v>-8.2050724339335056E-4</c:v>
                </c:pt>
                <c:pt idx="960">
                  <c:v>-8.0048133395612927E-4</c:v>
                </c:pt>
                <c:pt idx="961">
                  <c:v>-7.9382339933770888E-4</c:v>
                </c:pt>
                <c:pt idx="962">
                  <c:v>-7.8717607433853457E-4</c:v>
                </c:pt>
                <c:pt idx="963">
                  <c:v>-7.8053951126882579E-4</c:v>
                </c:pt>
                <c:pt idx="964">
                  <c:v>-7.7391386243880482E-4</c:v>
                </c:pt>
                <c:pt idx="965">
                  <c:v>-7.5410392448908511E-4</c:v>
                </c:pt>
                <c:pt idx="966">
                  <c:v>-7.4752345572003023E-4</c:v>
                </c:pt>
                <c:pt idx="967">
                  <c:v>-7.4095466274177047E-4</c:v>
                </c:pt>
                <c:pt idx="968">
                  <c:v>-7.3439769786452845E-4</c:v>
                </c:pt>
                <c:pt idx="969">
                  <c:v>-7.2785271339852317E-4</c:v>
                </c:pt>
                <c:pt idx="970">
                  <c:v>-7.082911655701496E-4</c:v>
                </c:pt>
                <c:pt idx="971">
                  <c:v>-7.0179562585131171E-4</c:v>
                </c:pt>
                <c:pt idx="972">
                  <c:v>-6.9531282809481767E-4</c:v>
                </c:pt>
                <c:pt idx="973">
                  <c:v>-6.888429246108904E-4</c:v>
                </c:pt>
                <c:pt idx="974">
                  <c:v>-6.8238606770975208E-4</c:v>
                </c:pt>
                <c:pt idx="975">
                  <c:v>-6.6309529960527651E-4</c:v>
                </c:pt>
                <c:pt idx="976">
                  <c:v>-6.566921521375035E-4</c:v>
                </c:pt>
                <c:pt idx="977">
                  <c:v>-6.5030281280362677E-4</c:v>
                </c:pt>
                <c:pt idx="978">
                  <c:v>-6.4392743391386553E-4</c:v>
                </c:pt>
                <c:pt idx="979">
                  <c:v>-6.3756616777844229E-4</c:v>
                </c:pt>
                <c:pt idx="980">
                  <c:v>-6.1856856900041612E-4</c:v>
                </c:pt>
                <c:pt idx="981">
                  <c:v>-6.122652769845595E-4</c:v>
                </c:pt>
                <c:pt idx="982">
                  <c:v>-6.0597685927414797E-4</c:v>
                </c:pt>
                <c:pt idx="983">
                  <c:v>-5.9970346817940414E-4</c:v>
                </c:pt>
                <c:pt idx="984">
                  <c:v>-5.9344498589493388E-4</c:v>
                </c:pt>
                <c:pt idx="985">
                  <c:v>-5.7474592876226001E-4</c:v>
                </c:pt>
                <c:pt idx="986">
                  <c:v>-5.6853347834674966E-4</c:v>
                </c:pt>
                <c:pt idx="987">
                  <c:v>-5.6232886493983206E-4</c:v>
                </c:pt>
                <c:pt idx="988">
                  <c:v>-5.5613062015804607E-4</c:v>
                </c:pt>
                <c:pt idx="989">
                  <c:v>-5.2518353220503355E-4</c:v>
                </c:pt>
                <c:pt idx="990">
                  <c:v>-5.1899266312139939E-4</c:v>
                </c:pt>
                <c:pt idx="991">
                  <c:v>-5.1279788397868404E-4</c:v>
                </c:pt>
                <c:pt idx="992">
                  <c:v>-5.0659772639342644E-4</c:v>
                </c:pt>
                <c:pt idx="993">
                  <c:v>-4.8795029914781358E-4</c:v>
                </c:pt>
                <c:pt idx="994">
                  <c:v>-4.8171394395779939E-4</c:v>
                </c:pt>
                <c:pt idx="995">
                  <c:v>-4.7546486840794672E-4</c:v>
                </c:pt>
                <c:pt idx="996">
                  <c:v>-4.6920160411479734E-4</c:v>
                </c:pt>
                <c:pt idx="997">
                  <c:v>-4.6292268269489291E-4</c:v>
                </c:pt>
                <c:pt idx="998">
                  <c:v>-4.4397729184004857E-4</c:v>
                </c:pt>
                <c:pt idx="999">
                  <c:v>-4.3762105807852687E-4</c:v>
                </c:pt>
                <c:pt idx="1000">
                  <c:v>-4.312418252729541E-4</c:v>
                </c:pt>
                <c:pt idx="1001">
                  <c:v>-4.2483812503986873E-4</c:v>
                </c:pt>
                <c:pt idx="1002">
                  <c:v>-3.9894928216322958E-4</c:v>
                </c:pt>
                <c:pt idx="1003">
                  <c:v>-3.9240159751165052E-4</c:v>
                </c:pt>
                <c:pt idx="1004">
                  <c:v>-3.8582290595751682E-4</c:v>
                </c:pt>
                <c:pt idx="1005">
                  <c:v>-3.7921400994308212E-4</c:v>
                </c:pt>
                <c:pt idx="1006">
                  <c:v>-3.7257571191059709E-4</c:v>
                </c:pt>
                <c:pt idx="1007">
                  <c:v>-3.5249243012737641E-4</c:v>
                </c:pt>
                <c:pt idx="1008">
                  <c:v>-3.4574454844522282E-4</c:v>
                </c:pt>
                <c:pt idx="1009">
                  <c:v>-3.389712769562853E-4</c:v>
                </c:pt>
                <c:pt idx="1010">
                  <c:v>-3.3217341810281437E-4</c:v>
                </c:pt>
                <c:pt idx="1011">
                  <c:v>-3.2535177432706398E-4</c:v>
                </c:pt>
                <c:pt idx="1012">
                  <c:v>-3.0475215788866513E-4</c:v>
                </c:pt>
                <c:pt idx="1013">
                  <c:v>-2.9784339884632495E-4</c:v>
                </c:pt>
                <c:pt idx="1014">
                  <c:v>-2.9091486709296939E-4</c:v>
                </c:pt>
                <c:pt idx="1015">
                  <c:v>-2.8396736507085228E-4</c:v>
                </c:pt>
                <c:pt idx="1016">
                  <c:v>-2.7700169522222433E-4</c:v>
                </c:pt>
                <c:pt idx="1017">
                  <c:v>-2.5600370313980998E-4</c:v>
                </c:pt>
                <c:pt idx="1018">
                  <c:v>-2.4897338640767218E-4</c:v>
                </c:pt>
                <c:pt idx="1019">
                  <c:v>-2.4192891406028756E-4</c:v>
                </c:pt>
                <c:pt idx="1020">
                  <c:v>-2.3487108853991007E-4</c:v>
                </c:pt>
                <c:pt idx="1021">
                  <c:v>-2.278007122887936E-4</c:v>
                </c:pt>
                <c:pt idx="1022">
                  <c:v>-2.0652230357352968E-4</c:v>
                </c:pt>
                <c:pt idx="1023">
                  <c:v>-1.9940974882197874E-4</c:v>
                </c:pt>
                <c:pt idx="1024">
                  <c:v>-1.9228870837120502E-4</c:v>
                </c:pt>
                <c:pt idx="1025">
                  <c:v>-1.85160248764711E-4</c:v>
                </c:pt>
                <c:pt idx="1026">
                  <c:v>-1.7802548936625949E-4</c:v>
                </c:pt>
                <c:pt idx="1027">
                  <c:v>-1.5659460605672415E-4</c:v>
                </c:pt>
                <c:pt idx="1028">
                  <c:v>-1.4944584112801387E-4</c:v>
                </c:pt>
                <c:pt idx="1029">
                  <c:v>-1.4229637322613181E-4</c:v>
                </c:pt>
                <c:pt idx="1030">
                  <c:v>-1.3514732171484063E-4</c:v>
                </c:pt>
                <c:pt idx="1031">
                  <c:v>-1.2799980595789608E-4</c:v>
                </c:pt>
                <c:pt idx="1032">
                  <c:v>-1.0657766685071836E-4</c:v>
                </c:pt>
                <c:pt idx="1033">
                  <c:v>-9.944748774874112E-5</c:v>
                </c:pt>
                <c:pt idx="1034">
                  <c:v>-9.2324441219900845E-5</c:v>
                </c:pt>
                <c:pt idx="1035">
                  <c:v>-8.5209646627953334E-5</c:v>
                </c:pt>
                <c:pt idx="1036">
                  <c:v>-7.8104223336661308E-5</c:v>
                </c:pt>
                <c:pt idx="1037">
                  <c:v>-5.6855374904282454E-5</c:v>
                </c:pt>
                <c:pt idx="1038">
                  <c:v>-4.9798630453183711E-5</c:v>
                </c:pt>
                <c:pt idx="1039">
                  <c:v>-4.275685412152618E-5</c:v>
                </c:pt>
                <c:pt idx="1040">
                  <c:v>-3.5731165273072504E-5</c:v>
                </c:pt>
                <c:pt idx="1041">
                  <c:v>-2.8722683271576204E-5</c:v>
                </c:pt>
                <c:pt idx="1042">
                  <c:v>-7.8116719864304697E-6</c:v>
                </c:pt>
                <c:pt idx="1043">
                  <c:v>-8.8321101035574832E-7</c:v>
                </c:pt>
                <c:pt idx="1044">
                  <c:v>6.0224462999712085E-6</c:v>
                </c:pt>
                <c:pt idx="1045">
                  <c:v>1.2904180580787842E-5</c:v>
                </c:pt>
                <c:pt idx="1046">
                  <c:v>1.9761280796850574E-5</c:v>
                </c:pt>
                <c:pt idx="1047">
                  <c:v>4.019563315860022E-5</c:v>
                </c:pt>
                <c:pt idx="1048">
                  <c:v>4.6965869874752269E-5</c:v>
                </c:pt>
                <c:pt idx="1049">
                  <c:v>5.3717717234215142E-5</c:v>
                </c:pt>
                <c:pt idx="1050">
                  <c:v>6.0452505844304205E-5</c:v>
                </c:pt>
                <c:pt idx="1051">
                  <c:v>6.7171566312337056E-5</c:v>
                </c:pt>
                <c:pt idx="1052">
                  <c:v>8.7247684937234737E-5</c:v>
                </c:pt>
                <c:pt idx="1053">
                  <c:v>9.3917138910185724E-5</c:v>
                </c:pt>
                <c:pt idx="1054">
                  <c:v>1.0057751777765742E-4</c:v>
                </c:pt>
                <c:pt idx="1055">
                  <c:v>1.0723015214696088E-4</c:v>
                </c:pt>
                <c:pt idx="1056">
                  <c:v>1.1387637262541588E-4</c:v>
                </c:pt>
                <c:pt idx="1057">
                  <c:v>1.3378985678882431E-4</c:v>
                </c:pt>
                <c:pt idx="1058">
                  <c:v>1.4042372777703057E-4</c:v>
                </c:pt>
                <c:pt idx="1059">
                  <c:v>1.4705783791096099E-4</c:v>
                </c:pt>
                <c:pt idx="1060">
                  <c:v>1.5369351779793525E-4</c:v>
                </c:pt>
                <c:pt idx="1061">
                  <c:v>1.6033209804526443E-4</c:v>
                </c:pt>
                <c:pt idx="1062">
                  <c:v>1.8027854702255063E-4</c:v>
                </c:pt>
                <c:pt idx="1063">
                  <c:v>1.8694203478446426E-4</c:v>
                </c:pt>
                <c:pt idx="1064">
                  <c:v>1.9361507594330976E-4</c:v>
                </c:pt>
                <c:pt idx="1065">
                  <c:v>2.0029900110640468E-4</c:v>
                </c:pt>
                <c:pt idx="1066">
                  <c:v>2.0699514088106665E-4</c:v>
                </c:pt>
                <c:pt idx="1067">
                  <c:v>2.2717015394759109E-4</c:v>
                </c:pt>
                <c:pt idx="1068">
                  <c:v>2.3392819470324599E-4</c:v>
                </c:pt>
                <c:pt idx="1069">
                  <c:v>2.4070352187653378E-4</c:v>
                </c:pt>
                <c:pt idx="1070">
                  <c:v>2.4749588484426326E-4</c:v>
                </c:pt>
                <c:pt idx="1071">
                  <c:v>2.543050329832365E-4</c:v>
                </c:pt>
                <c:pt idx="1072">
                  <c:v>2.7483068219569956E-4</c:v>
                </c:pt>
                <c:pt idx="1073">
                  <c:v>2.8170446478772418E-4</c:v>
                </c:pt>
                <c:pt idx="1074">
                  <c:v>2.8859377943502528E-4</c:v>
                </c:pt>
                <c:pt idx="1075">
                  <c:v>2.9549837551441361E-4</c:v>
                </c:pt>
                <c:pt idx="1076">
                  <c:v>3.0241800240269143E-4</c:v>
                </c:pt>
                <c:pt idx="1077">
                  <c:v>3.2326456168894235E-4</c:v>
                </c:pt>
                <c:pt idx="1078">
                  <c:v>3.3024180558085197E-4</c:v>
                </c:pt>
                <c:pt idx="1079">
                  <c:v>3.3723282716568824E-4</c:v>
                </c:pt>
                <c:pt idx="1080">
                  <c:v>3.4423737582025301E-4</c:v>
                </c:pt>
                <c:pt idx="1081">
                  <c:v>3.5125520092135515E-4</c:v>
                </c:pt>
                <c:pt idx="1082">
                  <c:v>3.7238582867195542E-4</c:v>
                </c:pt>
                <c:pt idx="1083">
                  <c:v>3.7945425332727218E-4</c:v>
                </c:pt>
                <c:pt idx="1084">
                  <c:v>3.8653470131315887E-4</c:v>
                </c:pt>
                <c:pt idx="1085">
                  <c:v>3.9362692200642434E-4</c:v>
                </c:pt>
                <c:pt idx="1086">
                  <c:v>4.0073066478387061E-4</c:v>
                </c:pt>
                <c:pt idx="1087">
                  <c:v>4.2210851938937502E-4</c:v>
                </c:pt>
                <c:pt idx="1088">
                  <c:v>4.2925584427161851E-4</c:v>
                </c:pt>
                <c:pt idx="1089">
                  <c:v>4.3641343812208004E-4</c:v>
                </c:pt>
                <c:pt idx="1090">
                  <c:v>4.4358091592135136E-4</c:v>
                </c:pt>
                <c:pt idx="1091">
                  <c:v>4.5075735506519294E-4</c:v>
                </c:pt>
                <c:pt idx="1092">
                  <c:v>4.7232987055958022E-4</c:v>
                </c:pt>
                <c:pt idx="1093">
                  <c:v>4.7953158507715047E-4</c:v>
                </c:pt>
                <c:pt idx="1094">
                  <c:v>4.8673697593702053E-4</c:v>
                </c:pt>
                <c:pt idx="1095">
                  <c:v>4.939449861387315E-4</c:v>
                </c:pt>
                <c:pt idx="1096">
                  <c:v>5.0115455868183167E-4</c:v>
                </c:pt>
                <c:pt idx="1097">
                  <c:v>5.2278208035493056E-4</c:v>
                </c:pt>
                <c:pt idx="1098">
                  <c:v>5.2998733225904622E-4</c:v>
                </c:pt>
                <c:pt idx="1099">
                  <c:v>5.3718886150228029E-4</c:v>
                </c:pt>
                <c:pt idx="1100">
                  <c:v>5.443856110841789E-4</c:v>
                </c:pt>
                <c:pt idx="1101">
                  <c:v>5.5157652400429017E-4</c:v>
                </c:pt>
                <c:pt idx="1102">
                  <c:v>5.7310367278933958E-4</c:v>
                </c:pt>
                <c:pt idx="1103">
                  <c:v>5.8026066905774842E-4</c:v>
                </c:pt>
                <c:pt idx="1104">
                  <c:v>5.8740654366209912E-4</c:v>
                </c:pt>
                <c:pt idx="1105">
                  <c:v>5.9454023960193319E-4</c:v>
                </c:pt>
                <c:pt idx="1106">
                  <c:v>6.0166069987680089E-4</c:v>
                </c:pt>
                <c:pt idx="1107">
                  <c:v>6.2293209670704469E-4</c:v>
                </c:pt>
                <c:pt idx="1108">
                  <c:v>6.299890443174969E-4</c:v>
                </c:pt>
                <c:pt idx="1109">
                  <c:v>6.3702747126070751E-4</c:v>
                </c:pt>
                <c:pt idx="1110">
                  <c:v>6.4404632053622723E-4</c:v>
                </c:pt>
                <c:pt idx="1111">
                  <c:v>6.5104453514359712E-4</c:v>
                </c:pt>
                <c:pt idx="1112">
                  <c:v>6.7191892769153121E-4</c:v>
                </c:pt>
                <c:pt idx="1113">
                  <c:v>6.78843392486668E-4</c:v>
                </c:pt>
                <c:pt idx="1114">
                  <c:v>6.8575449471293837E-4</c:v>
                </c:pt>
                <c:pt idx="1115">
                  <c:v>6.9265431664527859E-4</c:v>
                </c:pt>
                <c:pt idx="1116">
                  <c:v>6.9954494055862585E-4</c:v>
                </c:pt>
                <c:pt idx="1117">
                  <c:v>7.2018244693403295E-4</c:v>
                </c:pt>
                <c:pt idx="1118">
                  <c:v>7.2705710152073922E-4</c:v>
                </c:pt>
                <c:pt idx="1119">
                  <c:v>7.3393296946312162E-4</c:v>
                </c:pt>
                <c:pt idx="1120">
                  <c:v>7.4081213303611693E-4</c:v>
                </c:pt>
                <c:pt idx="1121">
                  <c:v>7.4769667451465469E-4</c:v>
                </c:pt>
                <c:pt idx="1122">
                  <c:v>7.6840338913288344E-4</c:v>
                </c:pt>
                <c:pt idx="1123">
                  <c:v>7.7533026498294668E-4</c:v>
                </c:pt>
                <c:pt idx="1124">
                  <c:v>7.8227293011322416E-4</c:v>
                </c:pt>
                <c:pt idx="1125">
                  <c:v>7.8923346679865493E-4</c:v>
                </c:pt>
                <c:pt idx="1126">
                  <c:v>7.9621395731416863E-4</c:v>
                </c:pt>
                <c:pt idx="1127">
                  <c:v>8.1729597459056754E-4</c:v>
                </c:pt>
                <c:pt idx="1128">
                  <c:v>8.2437710317576573E-4</c:v>
                </c:pt>
                <c:pt idx="1129">
                  <c:v>8.3148859696572362E-4</c:v>
                </c:pt>
                <c:pt idx="1130">
                  <c:v>8.386325382353703E-4</c:v>
                </c:pt>
                <c:pt idx="1131">
                  <c:v>8.4581100925964266E-4</c:v>
                </c:pt>
                <c:pt idx="1132">
                  <c:v>8.6757442360956244E-4</c:v>
                </c:pt>
                <c:pt idx="1133">
                  <c:v>8.7491101931182918E-4</c:v>
                </c:pt>
                <c:pt idx="1134">
                  <c:v>8.8228765360428142E-4</c:v>
                </c:pt>
                <c:pt idx="1135">
                  <c:v>8.8970150622274418E-4</c:v>
                </c:pt>
                <c:pt idx="1136">
                  <c:v>8.971497569030349E-4</c:v>
                </c:pt>
                <c:pt idx="1137">
                  <c:v>9.1967269467311771E-4</c:v>
                </c:pt>
                <c:pt idx="1138">
                  <c:v>9.2723033495895535E-4</c:v>
                </c:pt>
                <c:pt idx="1139">
                  <c:v>9.3480827198573826E-4</c:v>
                </c:pt>
                <c:pt idx="1140">
                  <c:v>9.424036854892839E-4</c:v>
                </c:pt>
                <c:pt idx="1141">
                  <c:v>9.5001375520542032E-4</c:v>
                </c:pt>
                <c:pt idx="1142">
                  <c:v>9.7290369898757551E-4</c:v>
                </c:pt>
                <c:pt idx="1143">
                  <c:v>9.8054419091228519E-4</c:v>
                </c:pt>
                <c:pt idx="1144">
                  <c:v>9.8818523772869755E-4</c:v>
                </c:pt>
                <c:pt idx="1145">
                  <c:v>9.9582401917263025E-4</c:v>
                </c:pt>
                <c:pt idx="1146">
                  <c:v>1.0034577149799083E-3</c:v>
                </c:pt>
                <c:pt idx="1147">
                  <c:v>1.0263000859400424E-3</c:v>
                </c:pt>
                <c:pt idx="1148">
                  <c:v>1.0338852365589257E-3</c:v>
                </c:pt>
                <c:pt idx="1149">
                  <c:v>1.0414512002202662E-3</c:v>
                </c:pt>
                <c:pt idx="1150">
                  <c:v>1.0489951566598874E-3</c:v>
                </c:pt>
                <c:pt idx="1151">
                  <c:v>1.056514285613613E-3</c:v>
                </c:pt>
                <c:pt idx="1152">
                  <c:v>1.0788945049176252E-3</c:v>
                </c:pt>
                <c:pt idx="1153">
                  <c:v>1.0862861212859831E-3</c:v>
                </c:pt>
                <c:pt idx="1154">
                  <c:v>1.0936388088475585E-3</c:v>
                </c:pt>
                <c:pt idx="1155">
                  <c:v>1.1009504480522776E-3</c:v>
                </c:pt>
                <c:pt idx="1156">
                  <c:v>1.1082217222065109E-3</c:v>
                </c:pt>
                <c:pt idx="1157">
                  <c:v>1.1298071945710253E-3</c:v>
                </c:pt>
                <c:pt idx="1158">
                  <c:v>1.1369308487280555E-3</c:v>
                </c:pt>
                <c:pt idx="1159">
                  <c:v>1.1440210579369697E-3</c:v>
                </c:pt>
                <c:pt idx="1160">
                  <c:v>1.1510792062182471E-3</c:v>
                </c:pt>
                <c:pt idx="1161">
                  <c:v>1.1581066775923578E-3</c:v>
                </c:pt>
                <c:pt idx="1162">
                  <c:v>1.1790188704764557E-3</c:v>
                </c:pt>
                <c:pt idx="1163">
                  <c:v>1.18593747442666E-3</c:v>
                </c:pt>
                <c:pt idx="1164">
                  <c:v>1.1928323215720721E-3</c:v>
                </c:pt>
                <c:pt idx="1165">
                  <c:v>1.1997047959331688E-3</c:v>
                </c:pt>
                <c:pt idx="1166">
                  <c:v>1.2065562815304273E-3</c:v>
                </c:pt>
                <c:pt idx="1167">
                  <c:v>1.2269986459439025E-3</c:v>
                </c:pt>
                <c:pt idx="1168">
                  <c:v>1.2337800166905446E-3</c:v>
                </c:pt>
                <c:pt idx="1169">
                  <c:v>1.2405473187757203E-3</c:v>
                </c:pt>
                <c:pt idx="1170">
                  <c:v>1.2473019362199062E-3</c:v>
                </c:pt>
                <c:pt idx="1171">
                  <c:v>1.2742212399962233E-3</c:v>
                </c:pt>
                <c:pt idx="1172">
                  <c:v>1.2809331945425732E-3</c:v>
                </c:pt>
                <c:pt idx="1173">
                  <c:v>1.2876407685707778E-3</c:v>
                </c:pt>
                <c:pt idx="1174">
                  <c:v>1.2943453461013168E-3</c:v>
                </c:pt>
                <c:pt idx="1175">
                  <c:v>1.3212348860059118E-3</c:v>
                </c:pt>
                <c:pt idx="1176">
                  <c:v>1.3279639478158195E-3</c:v>
                </c:pt>
                <c:pt idx="1177">
                  <c:v>1.334699952088119E-3</c:v>
                </c:pt>
                <c:pt idx="1178">
                  <c:v>1.3414458809012716E-3</c:v>
                </c:pt>
                <c:pt idx="1179">
                  <c:v>1.3482047163337369E-3</c:v>
                </c:pt>
                <c:pt idx="1180">
                  <c:v>1.3685884831316189E-3</c:v>
                </c:pt>
                <c:pt idx="1181">
                  <c:v>1.3754287658259451E-3</c:v>
                </c:pt>
                <c:pt idx="1182">
                  <c:v>1.3822968655318889E-3</c:v>
                </c:pt>
                <c:pt idx="1183">
                  <c:v>1.3891957643279104E-3</c:v>
                </c:pt>
                <c:pt idx="1184">
                  <c:v>1.3961284442924702E-3</c:v>
                </c:pt>
                <c:pt idx="1185">
                  <c:v>1.4171589919819891E-3</c:v>
                </c:pt>
                <c:pt idx="1186">
                  <c:v>1.4242566174053088E-3</c:v>
                </c:pt>
                <c:pt idx="1187">
                  <c:v>1.4314029343894725E-3</c:v>
                </c:pt>
                <c:pt idx="1188">
                  <c:v>1.4386009250129401E-3</c:v>
                </c:pt>
                <c:pt idx="1189">
                  <c:v>1.4458535713541712E-3</c:v>
                </c:pt>
                <c:pt idx="1190">
                  <c:v>1.4679692654690549E-3</c:v>
                </c:pt>
                <c:pt idx="1191">
                  <c:v>1.4754703554659488E-3</c:v>
                </c:pt>
                <c:pt idx="1192">
                  <c:v>1.4830410115729102E-3</c:v>
                </c:pt>
                <c:pt idx="1193">
                  <c:v>1.4906842158683977E-3</c:v>
                </c:pt>
                <c:pt idx="1194">
                  <c:v>1.4984029504308766E-3</c:v>
                </c:pt>
                <c:pt idx="1195">
                  <c:v>1.522042156504855E-3</c:v>
                </c:pt>
                <c:pt idx="1196">
                  <c:v>1.5300928329198976E-3</c:v>
                </c:pt>
                <c:pt idx="1197">
                  <c:v>1.5382321206273556E-3</c:v>
                </c:pt>
                <c:pt idx="1198">
                  <c:v>1.5464538548713015E-3</c:v>
                </c:pt>
                <c:pt idx="1199">
                  <c:v>1.554750041528931E-3</c:v>
                </c:pt>
                <c:pt idx="1200">
                  <c:v>1.58000537475587E-3</c:v>
                </c:pt>
                <c:pt idx="1201">
                  <c:v>1.5885194298401858E-3</c:v>
                </c:pt>
                <c:pt idx="1202">
                  <c:v>1.5970679667241621E-3</c:v>
                </c:pt>
                <c:pt idx="1203">
                  <c:v>1.6056429912849935E-3</c:v>
                </c:pt>
                <c:pt idx="1204">
                  <c:v>1.6142365093998752E-3</c:v>
                </c:pt>
                <c:pt idx="1205">
                  <c:v>1.640048083840774E-3</c:v>
                </c:pt>
                <c:pt idx="1206">
                  <c:v>1.6486356349438109E-3</c:v>
                </c:pt>
                <c:pt idx="1207">
                  <c:v>1.6572017089868751E-3</c:v>
                </c:pt>
                <c:pt idx="1208">
                  <c:v>1.6657383118471613E-3</c:v>
                </c:pt>
                <c:pt idx="1209">
                  <c:v>1.6742374494018654E-3</c:v>
                </c:pt>
                <c:pt idx="1210">
                  <c:v>1.6994301290044363E-3</c:v>
                </c:pt>
                <c:pt idx="1211">
                  <c:v>1.7076994641087638E-3</c:v>
                </c:pt>
                <c:pt idx="1212">
                  <c:v>1.715891363293483E-3</c:v>
                </c:pt>
                <c:pt idx="1213">
                  <c:v>1.723997832435794E-3</c:v>
                </c:pt>
                <c:pt idx="1214">
                  <c:v>1.7320108774128904E-3</c:v>
                </c:pt>
                <c:pt idx="1215">
                  <c:v>1.75540952612484E-3</c:v>
                </c:pt>
                <c:pt idx="1216">
                  <c:v>1.7629689332130279E-3</c:v>
                </c:pt>
                <c:pt idx="1217">
                  <c:v>1.7703974546228909E-3</c:v>
                </c:pt>
                <c:pt idx="1218">
                  <c:v>1.7776996417362119E-3</c:v>
                </c:pt>
                <c:pt idx="1219">
                  <c:v>1.7848825550356732E-3</c:v>
                </c:pt>
                <c:pt idx="1220">
                  <c:v>1.8057862568778551E-3</c:v>
                </c:pt>
                <c:pt idx="1221">
                  <c:v>1.8125626797488184E-3</c:v>
                </c:pt>
                <c:pt idx="1222">
                  <c:v>1.8192551312193872E-3</c:v>
                </c:pt>
                <c:pt idx="1223">
                  <c:v>1.8258706717722522E-3</c:v>
                </c:pt>
                <c:pt idx="1224">
                  <c:v>1.8324163618901042E-3</c:v>
                </c:pt>
                <c:pt idx="1225">
                  <c:v>1.8517049344605175E-3</c:v>
                </c:pt>
                <c:pt idx="1226">
                  <c:v>1.8580418276652455E-3</c:v>
                </c:pt>
                <c:pt idx="1227">
                  <c:v>1.864344172848422E-3</c:v>
                </c:pt>
                <c:pt idx="1228">
                  <c:v>1.8706190304927388E-3</c:v>
                </c:pt>
                <c:pt idx="1229">
                  <c:v>1.8768734610808875E-3</c:v>
                </c:pt>
                <c:pt idx="1230">
                  <c:v>1.8955847953352452E-3</c:v>
                </c:pt>
                <c:pt idx="1231">
                  <c:v>1.9018281225256423E-3</c:v>
                </c:pt>
                <c:pt idx="1232">
                  <c:v>1.9080863250733313E-3</c:v>
                </c:pt>
                <c:pt idx="1233">
                  <c:v>1.9143664634610044E-3</c:v>
                </c:pt>
                <c:pt idx="1234">
                  <c:v>1.9206755981713527E-3</c:v>
                </c:pt>
                <c:pt idx="1235">
                  <c:v>1.9398475850653733E-3</c:v>
                </c:pt>
                <c:pt idx="1236">
                  <c:v>1.9463433098933422E-3</c:v>
                </c:pt>
                <c:pt idx="1237">
                  <c:v>1.9529033334574487E-3</c:v>
                </c:pt>
                <c:pt idx="1238">
                  <c:v>1.9595347162403827E-3</c:v>
                </c:pt>
                <c:pt idx="1239">
                  <c:v>1.9940091353316813E-3</c:v>
                </c:pt>
                <c:pt idx="1240">
                  <c:v>2.0012147392402938E-3</c:v>
                </c:pt>
                <c:pt idx="1241">
                  <c:v>2.0085278998036768E-3</c:v>
                </c:pt>
                <c:pt idx="1242">
                  <c:v>2.015942451561629E-3</c:v>
                </c:pt>
                <c:pt idx="1243">
                  <c:v>2.03873279940082E-3</c:v>
                </c:pt>
                <c:pt idx="1244">
                  <c:v>2.0464912613349755E-3</c:v>
                </c:pt>
                <c:pt idx="1245">
                  <c:v>2.0543202871626661E-3</c:v>
                </c:pt>
                <c:pt idx="1246">
                  <c:v>2.0622137114236854E-3</c:v>
                </c:pt>
                <c:pt idx="1247">
                  <c:v>2.0701653686578275E-3</c:v>
                </c:pt>
                <c:pt idx="1248">
                  <c:v>2.0943080835969245E-3</c:v>
                </c:pt>
                <c:pt idx="1249">
                  <c:v>2.102431018121494E-3</c:v>
                </c:pt>
                <c:pt idx="1250">
                  <c:v>2.1105813583181562E-3</c:v>
                </c:pt>
                <c:pt idx="1251">
                  <c:v>2.1187529387267025E-3</c:v>
                </c:pt>
                <c:pt idx="1252">
                  <c:v>2.1269395938869284E-3</c:v>
                </c:pt>
                <c:pt idx="1253">
                  <c:v>2.151528353275613E-3</c:v>
                </c:pt>
                <c:pt idx="1254">
                  <c:v>2.1597136528404919E-3</c:v>
                </c:pt>
                <c:pt idx="1255">
                  <c:v>2.1678831998560174E-3</c:v>
                </c:pt>
                <c:pt idx="1256">
                  <c:v>2.1760308288619854E-3</c:v>
                </c:pt>
                <c:pt idx="1257">
                  <c:v>2.1841503743981875E-3</c:v>
                </c:pt>
                <c:pt idx="1258">
                  <c:v>2.2082788555861433E-3</c:v>
                </c:pt>
                <c:pt idx="1259">
                  <c:v>2.216225874561527E-3</c:v>
                </c:pt>
                <c:pt idx="1260">
                  <c:v>2.2241227542879323E-3</c:v>
                </c:pt>
                <c:pt idx="1261">
                  <c:v>2.2319721008269783E-3</c:v>
                </c:pt>
                <c:pt idx="1262">
                  <c:v>2.2397765202402764E-3</c:v>
                </c:pt>
                <c:pt idx="1263">
                  <c:v>2.2629462763418253E-3</c:v>
                </c:pt>
                <c:pt idx="1264">
                  <c:v>2.2705970478682732E-3</c:v>
                </c:pt>
                <c:pt idx="1265">
                  <c:v>2.2782159225770439E-3</c:v>
                </c:pt>
                <c:pt idx="1266">
                  <c:v>2.2858055065297506E-3</c:v>
                </c:pt>
                <c:pt idx="1267">
                  <c:v>2.2933684057880066E-3</c:v>
                </c:pt>
                <c:pt idx="1268">
                  <c:v>2.3159230560122249E-3</c:v>
                </c:pt>
                <c:pt idx="1269">
                  <c:v>2.3234052771088261E-3</c:v>
                </c:pt>
                <c:pt idx="1270">
                  <c:v>2.3308738438190487E-3</c:v>
                </c:pt>
                <c:pt idx="1271">
                  <c:v>2.3383313622045059E-3</c:v>
                </c:pt>
                <c:pt idx="1272">
                  <c:v>2.3457804383268128E-3</c:v>
                </c:pt>
                <c:pt idx="1273">
                  <c:v>2.3681030737309657E-3</c:v>
                </c:pt>
                <c:pt idx="1274">
                  <c:v>2.3755444414168092E-3</c:v>
                </c:pt>
                <c:pt idx="1275">
                  <c:v>2.3829903971475724E-3</c:v>
                </c:pt>
                <c:pt idx="1276">
                  <c:v>2.3904435469848701E-3</c:v>
                </c:pt>
                <c:pt idx="1277">
                  <c:v>2.3979064969903143E-3</c:v>
                </c:pt>
                <c:pt idx="1278">
                  <c:v>2.4203802086316742E-3</c:v>
                </c:pt>
                <c:pt idx="1279">
                  <c:v>2.4279084199258479E-3</c:v>
                </c:pt>
                <c:pt idx="1280">
                  <c:v>2.4354594616962416E-3</c:v>
                </c:pt>
                <c:pt idx="1281">
                  <c:v>2.4430352748617767E-3</c:v>
                </c:pt>
                <c:pt idx="1282">
                  <c:v>2.4506351397706157E-3</c:v>
                </c:pt>
                <c:pt idx="1283">
                  <c:v>2.4735651970116753E-3</c:v>
                </c:pt>
                <c:pt idx="1284">
                  <c:v>2.4812474209484486E-3</c:v>
                </c:pt>
                <c:pt idx="1285">
                  <c:v>2.4889467726558847E-3</c:v>
                </c:pt>
                <c:pt idx="1286">
                  <c:v>2.496661867339454E-3</c:v>
                </c:pt>
                <c:pt idx="1287">
                  <c:v>2.5043913202046322E-3</c:v>
                </c:pt>
                <c:pt idx="1288">
                  <c:v>2.5276519799445276E-3</c:v>
                </c:pt>
                <c:pt idx="1289">
                  <c:v>2.535425017590852E-3</c:v>
                </c:pt>
                <c:pt idx="1290">
                  <c:v>2.5432054894461427E-3</c:v>
                </c:pt>
                <c:pt idx="1291">
                  <c:v>2.550992010715872E-3</c:v>
                </c:pt>
                <c:pt idx="1292">
                  <c:v>2.5587831966055112E-3</c:v>
                </c:pt>
                <c:pt idx="1293">
                  <c:v>2.5821708940486033E-3</c:v>
                </c:pt>
                <c:pt idx="1294">
                  <c:v>2.5899668904726001E-3</c:v>
                </c:pt>
                <c:pt idx="1295">
                  <c:v>2.5977606275438669E-3</c:v>
                </c:pt>
                <c:pt idx="1296">
                  <c:v>2.6055507204678745E-3</c:v>
                </c:pt>
                <c:pt idx="1297">
                  <c:v>2.6133357844500952E-3</c:v>
                </c:pt>
                <c:pt idx="1298">
                  <c:v>2.6366469548007509E-3</c:v>
                </c:pt>
                <c:pt idx="1299">
                  <c:v>2.6443980550705424E-3</c:v>
                </c:pt>
                <c:pt idx="1300">
                  <c:v>2.6521372024259056E-3</c:v>
                </c:pt>
                <c:pt idx="1301">
                  <c:v>2.6598630120723134E-3</c:v>
                </c:pt>
                <c:pt idx="1302">
                  <c:v>2.6675740992152365E-3</c:v>
                </c:pt>
                <c:pt idx="1303">
                  <c:v>2.690616721420268E-3</c:v>
                </c:pt>
                <c:pt idx="1304">
                  <c:v>2.6982708898065856E-3</c:v>
                </c:pt>
                <c:pt idx="1305">
                  <c:v>2.7059136728211728E-3</c:v>
                </c:pt>
                <c:pt idx="1306">
                  <c:v>2.7135462509456053E-3</c:v>
                </c:pt>
                <c:pt idx="1307">
                  <c:v>2.7211698046614523E-3</c:v>
                </c:pt>
                <c:pt idx="1308">
                  <c:v>2.7439981241731862E-3</c:v>
                </c:pt>
                <c:pt idx="1309">
                  <c:v>2.7515973850703989E-3</c:v>
                </c:pt>
                <c:pt idx="1310">
                  <c:v>2.7591935239668782E-3</c:v>
                </c:pt>
                <c:pt idx="1311">
                  <c:v>2.7667877213442024E-3</c:v>
                </c:pt>
                <c:pt idx="1312">
                  <c:v>2.7743811576839334E-3</c:v>
                </c:pt>
                <c:pt idx="1313">
                  <c:v>2.7971687052933095E-3</c:v>
                </c:pt>
                <c:pt idx="1314">
                  <c:v>2.8047709022983973E-3</c:v>
                </c:pt>
                <c:pt idx="1315">
                  <c:v>2.8123782406737517E-3</c:v>
                </c:pt>
                <c:pt idx="1316">
                  <c:v>2.8199919009009428E-3</c:v>
                </c:pt>
                <c:pt idx="1317">
                  <c:v>2.8276130634615399E-3</c:v>
                </c:pt>
                <c:pt idx="1318">
                  <c:v>2.8505333699594989E-3</c:v>
                </c:pt>
                <c:pt idx="1319">
                  <c:v>2.8581963466694422E-3</c:v>
                </c:pt>
                <c:pt idx="1320">
                  <c:v>2.8658727281206486E-3</c:v>
                </c:pt>
                <c:pt idx="1321">
                  <c:v>2.8735636947946896E-3</c:v>
                </c:pt>
                <c:pt idx="1322">
                  <c:v>2.8812704271731359E-3</c:v>
                </c:pt>
                <c:pt idx="1323">
                  <c:v>2.9044970233506173E-3</c:v>
                </c:pt>
                <c:pt idx="1324">
                  <c:v>2.9122781264562473E-3</c:v>
                </c:pt>
                <c:pt idx="1325">
                  <c:v>2.9200779162372693E-3</c:v>
                </c:pt>
                <c:pt idx="1326">
                  <c:v>2.9278945917383804E-3</c:v>
                </c:pt>
                <c:pt idx="1327">
                  <c:v>2.9357263520042795E-3</c:v>
                </c:pt>
                <c:pt idx="1328">
                  <c:v>2.9592941318377012E-3</c:v>
                </c:pt>
                <c:pt idx="1329">
                  <c:v>2.9671682216097471E-3</c:v>
                </c:pt>
                <c:pt idx="1330">
                  <c:v>2.9750483913700831E-3</c:v>
                </c:pt>
                <c:pt idx="1331">
                  <c:v>2.9829328401634004E-3</c:v>
                </c:pt>
                <c:pt idx="1332">
                  <c:v>2.9908197670344061E-3</c:v>
                </c:pt>
                <c:pt idx="1333">
                  <c:v>3.0144774065605294E-3</c:v>
                </c:pt>
                <c:pt idx="1334">
                  <c:v>3.0223562361892712E-3</c:v>
                </c:pt>
                <c:pt idx="1335">
                  <c:v>3.0302285391191966E-3</c:v>
                </c:pt>
                <c:pt idx="1336">
                  <c:v>3.0380925143950023E-3</c:v>
                </c:pt>
                <c:pt idx="1337">
                  <c:v>3.0459463610613955E-3</c:v>
                </c:pt>
                <c:pt idx="1338">
                  <c:v>3.0694291198510555E-3</c:v>
                </c:pt>
                <c:pt idx="1339">
                  <c:v>3.0772244425267712E-3</c:v>
                </c:pt>
                <c:pt idx="1340">
                  <c:v>3.0850006318165688E-3</c:v>
                </c:pt>
                <c:pt idx="1341">
                  <c:v>3.0927558867651448E-3</c:v>
                </c:pt>
                <c:pt idx="1342">
                  <c:v>3.1004884064172009E-3</c:v>
                </c:pt>
                <c:pt idx="1343">
                  <c:v>3.1235315440412384E-3</c:v>
                </c:pt>
                <c:pt idx="1344">
                  <c:v>3.1311551129542085E-3</c:v>
                </c:pt>
                <c:pt idx="1345">
                  <c:v>3.1387469417941557E-3</c:v>
                </c:pt>
                <c:pt idx="1346">
                  <c:v>3.1463052296057795E-3</c:v>
                </c:pt>
                <c:pt idx="1347">
                  <c:v>3.153828837349543E-3</c:v>
                </c:pt>
                <c:pt idx="1348">
                  <c:v>3.176209314071842E-3</c:v>
                </c:pt>
                <c:pt idx="1349">
                  <c:v>3.1836132592738668E-3</c:v>
                </c:pt>
                <c:pt idx="1350">
                  <c:v>3.1909927151886393E-3</c:v>
                </c:pt>
                <c:pt idx="1351">
                  <c:v>3.1983498523554419E-3</c:v>
                </c:pt>
                <c:pt idx="1352">
                  <c:v>3.2056868413135485E-3</c:v>
                </c:pt>
                <c:pt idx="1353">
                  <c:v>3.22759862432844E-3</c:v>
                </c:pt>
                <c:pt idx="1354">
                  <c:v>3.2348767258445123E-3</c:v>
                </c:pt>
                <c:pt idx="1355">
                  <c:v>3.2421455318482617E-3</c:v>
                </c:pt>
                <c:pt idx="1356">
                  <c:v>3.2494072128789707E-3</c:v>
                </c:pt>
                <c:pt idx="1357">
                  <c:v>3.2566639394759054E-3</c:v>
                </c:pt>
                <c:pt idx="1358">
                  <c:v>3.2784260980568492E-3</c:v>
                </c:pt>
                <c:pt idx="1359">
                  <c:v>3.2856847123114595E-3</c:v>
                </c:pt>
                <c:pt idx="1360">
                  <c:v>3.292949224828676E-3</c:v>
                </c:pt>
                <c:pt idx="1361">
                  <c:v>3.3002218061477743E-3</c:v>
                </c:pt>
                <c:pt idx="1362">
                  <c:v>3.3075046268080267E-3</c:v>
                </c:pt>
                <c:pt idx="1363">
                  <c:v>3.3294362302284863E-3</c:v>
                </c:pt>
                <c:pt idx="1364">
                  <c:v>3.3367817136461214E-3</c:v>
                </c:pt>
                <c:pt idx="1365">
                  <c:v>3.3441482891012897E-3</c:v>
                </c:pt>
                <c:pt idx="1366">
                  <c:v>3.3515381271332664E-3</c:v>
                </c:pt>
                <c:pt idx="1367">
                  <c:v>3.3589533982813268E-3</c:v>
                </c:pt>
                <c:pt idx="1368">
                  <c:v>3.3813735158147637E-3</c:v>
                </c:pt>
                <c:pt idx="1369">
                  <c:v>3.3889116952885213E-3</c:v>
                </c:pt>
                <c:pt idx="1370">
                  <c:v>3.3964829833864141E-3</c:v>
                </c:pt>
                <c:pt idx="1371">
                  <c:v>3.4040863734593869E-3</c:v>
                </c:pt>
                <c:pt idx="1372">
                  <c:v>3.4117208588583877E-3</c:v>
                </c:pt>
                <c:pt idx="1373">
                  <c:v>3.434800820521037E-3</c:v>
                </c:pt>
                <c:pt idx="1374">
                  <c:v>3.4425496207336256E-3</c:v>
                </c:pt>
                <c:pt idx="1375">
                  <c:v>3.4503244830269854E-3</c:v>
                </c:pt>
                <c:pt idx="1376">
                  <c:v>3.4581244007520565E-3</c:v>
                </c:pt>
                <c:pt idx="1377">
                  <c:v>3.4659483672597915E-3</c:v>
                </c:pt>
                <c:pt idx="1378">
                  <c:v>3.489554492988451E-3</c:v>
                </c:pt>
                <c:pt idx="1379">
                  <c:v>3.4974645881363136E-3</c:v>
                </c:pt>
                <c:pt idx="1380">
                  <c:v>3.5053936988215786E-3</c:v>
                </c:pt>
                <c:pt idx="1381">
                  <c:v>3.5133408183951895E-3</c:v>
                </c:pt>
                <c:pt idx="1382">
                  <c:v>3.5213049402081026E-3</c:v>
                </c:pt>
                <c:pt idx="1383">
                  <c:v>3.5452892525920932E-3</c:v>
                </c:pt>
                <c:pt idx="1384">
                  <c:v>3.5533113168716699E-3</c:v>
                </c:pt>
                <c:pt idx="1385">
                  <c:v>3.5613453501452826E-3</c:v>
                </c:pt>
                <c:pt idx="1386">
                  <c:v>3.5693903457638789E-3</c:v>
                </c:pt>
                <c:pt idx="1387">
                  <c:v>3.5774452970784069E-3</c:v>
                </c:pt>
                <c:pt idx="1388">
                  <c:v>3.6016598187070545E-3</c:v>
                </c:pt>
                <c:pt idx="1389">
                  <c:v>3.6097445263147858E-3</c:v>
                </c:pt>
                <c:pt idx="1390">
                  <c:v>3.6178341824054596E-3</c:v>
                </c:pt>
                <c:pt idx="1391">
                  <c:v>3.6259279104913825E-3</c:v>
                </c:pt>
                <c:pt idx="1392">
                  <c:v>3.6340248601171342E-3</c:v>
                </c:pt>
                <c:pt idx="1393">
                  <c:v>3.6583265336791447E-3</c:v>
                </c:pt>
                <c:pt idx="1394">
                  <c:v>3.666427864909999E-3</c:v>
                </c:pt>
                <c:pt idx="1395">
                  <c:v>3.6745281654035756E-3</c:v>
                </c:pt>
                <c:pt idx="1396">
                  <c:v>3.6826265847044555E-3</c:v>
                </c:pt>
                <c:pt idx="1397">
                  <c:v>3.6907222723572154E-3</c:v>
                </c:pt>
                <c:pt idx="1398">
                  <c:v>3.7149844408725717E-3</c:v>
                </c:pt>
                <c:pt idx="1399">
                  <c:v>3.7230606973786455E-3</c:v>
                </c:pt>
                <c:pt idx="1400">
                  <c:v>3.7311299699594926E-3</c:v>
                </c:pt>
                <c:pt idx="1401">
                  <c:v>3.7391914081596964E-3</c:v>
                </c:pt>
                <c:pt idx="1402">
                  <c:v>3.7472441615238345E-3</c:v>
                </c:pt>
                <c:pt idx="1403">
                  <c:v>3.7713418080456401E-3</c:v>
                </c:pt>
                <c:pt idx="1404">
                  <c:v>3.7793513175113031E-3</c:v>
                </c:pt>
                <c:pt idx="1405">
                  <c:v>3.7873478898637933E-3</c:v>
                </c:pt>
                <c:pt idx="1406">
                  <c:v>3.7953306746476918E-3</c:v>
                </c:pt>
                <c:pt idx="1407">
                  <c:v>3.803298821407574E-3</c:v>
                </c:pt>
                <c:pt idx="1408">
                  <c:v>3.8271069289889359E-3</c:v>
                </c:pt>
                <c:pt idx="1409">
                  <c:v>3.8350080190985556E-3</c:v>
                </c:pt>
                <c:pt idx="1410">
                  <c:v>3.8428902189070568E-3</c:v>
                </c:pt>
                <c:pt idx="1411">
                  <c:v>3.8507526779590182E-3</c:v>
                </c:pt>
                <c:pt idx="1412">
                  <c:v>3.8585947243578119E-3</c:v>
                </c:pt>
                <c:pt idx="1413">
                  <c:v>3.8819995252558381E-3</c:v>
                </c:pt>
                <c:pt idx="1414">
                  <c:v>3.8897614157802E-3</c:v>
                </c:pt>
                <c:pt idx="1415">
                  <c:v>3.8975038195793077E-3</c:v>
                </c:pt>
                <c:pt idx="1416">
                  <c:v>3.9052269575505006E-3</c:v>
                </c:pt>
                <c:pt idx="1417">
                  <c:v>3.9129310505911213E-3</c:v>
                </c:pt>
                <c:pt idx="1418">
                  <c:v>3.9359312691029588E-3</c:v>
                </c:pt>
                <c:pt idx="1419">
                  <c:v>3.9435613913946978E-3</c:v>
                </c:pt>
                <c:pt idx="1420">
                  <c:v>3.9511735732425729E-3</c:v>
                </c:pt>
                <c:pt idx="1421">
                  <c:v>3.9587680355439216E-3</c:v>
                </c:pt>
                <c:pt idx="1422">
                  <c:v>3.9663449991960871E-3</c:v>
                </c:pt>
                <c:pt idx="1423">
                  <c:v>3.9889731072308855E-3</c:v>
                </c:pt>
                <c:pt idx="1424">
                  <c:v>3.9964822852597238E-3</c:v>
                </c:pt>
                <c:pt idx="1425">
                  <c:v>4.0039750691260832E-3</c:v>
                </c:pt>
                <c:pt idx="1426">
                  <c:v>4.0114516797273032E-3</c:v>
                </c:pt>
                <c:pt idx="1427">
                  <c:v>4.0189123379607301E-3</c:v>
                </c:pt>
                <c:pt idx="1428">
                  <c:v>4.0412008074276421E-3</c:v>
                </c:pt>
                <c:pt idx="1429">
                  <c:v>4.0485998651632951E-3</c:v>
                </c:pt>
                <c:pt idx="1430">
                  <c:v>4.0559840750178577E-3</c:v>
                </c:pt>
                <c:pt idx="1431">
                  <c:v>4.0633536578886702E-3</c:v>
                </c:pt>
                <c:pt idx="1432">
                  <c:v>4.0707088346730756E-3</c:v>
                </c:pt>
                <c:pt idx="1433">
                  <c:v>4.0926901374812516E-3</c:v>
                </c:pt>
                <c:pt idx="1434">
                  <c:v>4.0999903854725649E-3</c:v>
                </c:pt>
                <c:pt idx="1435">
                  <c:v>4.1072802513389519E-3</c:v>
                </c:pt>
                <c:pt idx="1436">
                  <c:v>4.1145628754525251E-3</c:v>
                </c:pt>
                <c:pt idx="1437">
                  <c:v>4.1218413981854041E-3</c:v>
                </c:pt>
                <c:pt idx="1438">
                  <c:v>4.143683761821019E-3</c:v>
                </c:pt>
                <c:pt idx="1439">
                  <c:v>4.1509772827522705E-3</c:v>
                </c:pt>
                <c:pt idx="1440">
                  <c:v>4.1582824041634069E-3</c:v>
                </c:pt>
                <c:pt idx="1441">
                  <c:v>4.1656022664265414E-3</c:v>
                </c:pt>
                <c:pt idx="1442">
                  <c:v>4.1729400099137903E-3</c:v>
                </c:pt>
                <c:pt idx="1443">
                  <c:v>4.1950919314413838E-3</c:v>
                </c:pt>
                <c:pt idx="1444">
                  <c:v>4.2025326035462487E-3</c:v>
                </c:pt>
                <c:pt idx="1445">
                  <c:v>4.2100068587358043E-3</c:v>
                </c:pt>
                <c:pt idx="1446">
                  <c:v>4.2175178373821736E-3</c:v>
                </c:pt>
                <c:pt idx="1447">
                  <c:v>4.2250686798574674E-3</c:v>
                </c:pt>
                <c:pt idx="1448">
                  <c:v>4.2479917939780574E-3</c:v>
                </c:pt>
                <c:pt idx="1449">
                  <c:v>4.2557334954902108E-3</c:v>
                </c:pt>
                <c:pt idx="1450">
                  <c:v>4.2635307626918677E-3</c:v>
                </c:pt>
                <c:pt idx="1451">
                  <c:v>4.2713867359551443E-3</c:v>
                </c:pt>
                <c:pt idx="1452">
                  <c:v>4.2793045556521548E-3</c:v>
                </c:pt>
                <c:pt idx="1453">
                  <c:v>4.3034604970667665E-3</c:v>
                </c:pt>
                <c:pt idx="1454">
                  <c:v>4.311657106219881E-3</c:v>
                </c:pt>
                <c:pt idx="1455">
                  <c:v>4.3199312636673093E-3</c:v>
                </c:pt>
                <c:pt idx="1456">
                  <c:v>4.3282844817538017E-3</c:v>
                </c:pt>
                <c:pt idx="1457">
                  <c:v>4.3367117607146346E-3</c:v>
                </c:pt>
                <c:pt idx="1458">
                  <c:v>4.3623716849222798E-3</c:v>
                </c:pt>
                <c:pt idx="1459">
                  <c:v>4.3710289294595795E-3</c:v>
                </c:pt>
                <c:pt idx="1460">
                  <c:v>4.3797270959107732E-3</c:v>
                </c:pt>
                <c:pt idx="1461">
                  <c:v>4.3884595564837696E-3</c:v>
                </c:pt>
                <c:pt idx="1462">
                  <c:v>4.3972196833864784E-3</c:v>
                </c:pt>
                <c:pt idx="1463">
                  <c:v>4.4235997841519893E-3</c:v>
                </c:pt>
                <c:pt idx="1464">
                  <c:v>4.4324042984526532E-3</c:v>
                </c:pt>
                <c:pt idx="1465">
                  <c:v>4.4412033401225832E-3</c:v>
                </c:pt>
                <c:pt idx="1466">
                  <c:v>4.4499902813696897E-3</c:v>
                </c:pt>
                <c:pt idx="1467">
                  <c:v>4.4587584944018824E-3</c:v>
                </c:pt>
                <c:pt idx="1468">
                  <c:v>4.4848844862880755E-3</c:v>
                </c:pt>
                <c:pt idx="1469">
                  <c:v>4.4935115085397125E-3</c:v>
                </c:pt>
                <c:pt idx="1470">
                  <c:v>4.5020866636159874E-3</c:v>
                </c:pt>
                <c:pt idx="1471">
                  <c:v>4.5106033237248076E-3</c:v>
                </c:pt>
                <c:pt idx="1472">
                  <c:v>4.5190548610740894E-3</c:v>
                </c:pt>
                <c:pt idx="1473">
                  <c:v>4.5439524586437831E-3</c:v>
                </c:pt>
                <c:pt idx="1474">
                  <c:v>4.5520772270339991E-3</c:v>
                </c:pt>
                <c:pt idx="1475">
                  <c:v>4.5601037337042252E-3</c:v>
                </c:pt>
                <c:pt idx="1476">
                  <c:v>4.5680274232533929E-3</c:v>
                </c:pt>
                <c:pt idx="1477">
                  <c:v>4.5758520298445435E-3</c:v>
                </c:pt>
                <c:pt idx="1478">
                  <c:v>4.5987894174104168E-3</c:v>
                </c:pt>
                <c:pt idx="1479">
                  <c:v>4.6062757577100431E-3</c:v>
                </c:pt>
                <c:pt idx="1480">
                  <c:v>4.613692047821933E-3</c:v>
                </c:pt>
                <c:pt idx="1481">
                  <c:v>4.6210440943001418E-3</c:v>
                </c:pt>
                <c:pt idx="1482">
                  <c:v>4.6283377036987266E-3</c:v>
                </c:pt>
                <c:pt idx="1483">
                  <c:v>4.6499259749573129E-3</c:v>
                </c:pt>
                <c:pt idx="1484">
                  <c:v>4.6570439015779751E-3</c:v>
                </c:pt>
                <c:pt idx="1485">
                  <c:v>4.6641324238893E-3</c:v>
                </c:pt>
                <c:pt idx="1486">
                  <c:v>4.6711973484453448E-3</c:v>
                </c:pt>
                <c:pt idx="1487">
                  <c:v>4.6782444818001664E-3</c:v>
                </c:pt>
                <c:pt idx="1488">
                  <c:v>4.6993372001978536E-3</c:v>
                </c:pt>
                <c:pt idx="1489">
                  <c:v>4.70637123428835E-3</c:v>
                </c:pt>
                <c:pt idx="1490">
                  <c:v>4.7134165099479092E-3</c:v>
                </c:pt>
                <c:pt idx="1491">
                  <c:v>4.7204788337305865E-3</c:v>
                </c:pt>
                <c:pt idx="1492">
                  <c:v>4.7275640121904388E-3</c:v>
                </c:pt>
                <c:pt idx="1493">
                  <c:v>4.7490147411736244E-3</c:v>
                </c:pt>
                <c:pt idx="1494">
                  <c:v>4.7562494038827516E-3</c:v>
                </c:pt>
                <c:pt idx="1495">
                  <c:v>4.7635359540393373E-3</c:v>
                </c:pt>
                <c:pt idx="1496">
                  <c:v>4.7708801981974445E-3</c:v>
                </c:pt>
                <c:pt idx="1497">
                  <c:v>4.7782879429111268E-3</c:v>
                </c:pt>
                <c:pt idx="1498">
                  <c:v>4.800950245926197E-3</c:v>
                </c:pt>
                <c:pt idx="1499">
                  <c:v>4.8086684185986916E-3</c:v>
                </c:pt>
              </c:numCache>
            </c:numRef>
          </c:val>
          <c:smooth val="0"/>
        </c:ser>
        <c:ser>
          <c:idx val="2"/>
          <c:order val="2"/>
          <c:tx>
            <c:strRef>
              <c:f>Forwards!$J$9</c:f>
              <c:strCache>
                <c:ptCount val="1"/>
                <c:pt idx="0">
                  <c:v>EUR3ML</c:v>
                </c:pt>
              </c:strCache>
            </c:strRef>
          </c:tx>
          <c:marker>
            <c:symbol val="none"/>
          </c:marker>
          <c:val>
            <c:numRef>
              <c:f>Forwards!$J$15:$J$1514</c:f>
              <c:numCache>
                <c:formatCode>0.00000%</c:formatCode>
                <c:ptCount val="1500"/>
                <c:pt idx="0">
                  <c:v>-2.6065362128172933E-3</c:v>
                </c:pt>
                <c:pt idx="1">
                  <c:v>-2.6082681064085378E-3</c:v>
                </c:pt>
                <c:pt idx="2">
                  <c:v>-2.6099999999998199E-3</c:v>
                </c:pt>
                <c:pt idx="3">
                  <c:v>-2.6117318935911012E-3</c:v>
                </c:pt>
                <c:pt idx="4">
                  <c:v>-2.6169275743646932E-3</c:v>
                </c:pt>
                <c:pt idx="5">
                  <c:v>-2.618659467955863E-3</c:v>
                </c:pt>
                <c:pt idx="6">
                  <c:v>-2.6203913615470398E-3</c:v>
                </c:pt>
                <c:pt idx="7">
                  <c:v>-2.622123255138214E-3</c:v>
                </c:pt>
                <c:pt idx="8">
                  <c:v>-2.6238551487293869E-3</c:v>
                </c:pt>
                <c:pt idx="9">
                  <c:v>-2.6290508295029069E-3</c:v>
                </c:pt>
                <c:pt idx="10">
                  <c:v>-2.6307827230940802E-3</c:v>
                </c:pt>
                <c:pt idx="11">
                  <c:v>-2.6325146166852531E-3</c:v>
                </c:pt>
                <c:pt idx="12">
                  <c:v>-2.6342465102764268E-3</c:v>
                </c:pt>
                <c:pt idx="13">
                  <c:v>-2.6359784038676001E-3</c:v>
                </c:pt>
                <c:pt idx="14">
                  <c:v>-2.6411740846411201E-3</c:v>
                </c:pt>
                <c:pt idx="15">
                  <c:v>-2.642905978232293E-3</c:v>
                </c:pt>
                <c:pt idx="16">
                  <c:v>-2.6446378718234667E-3</c:v>
                </c:pt>
                <c:pt idx="17">
                  <c:v>-2.6463697654146401E-3</c:v>
                </c:pt>
                <c:pt idx="18">
                  <c:v>-2.6481016590058134E-3</c:v>
                </c:pt>
                <c:pt idx="19">
                  <c:v>-2.6532973397793338E-3</c:v>
                </c:pt>
                <c:pt idx="20">
                  <c:v>-2.6550292333705071E-3</c:v>
                </c:pt>
                <c:pt idx="21">
                  <c:v>-2.6567611269616804E-3</c:v>
                </c:pt>
                <c:pt idx="22">
                  <c:v>-2.6584930205528537E-3</c:v>
                </c:pt>
                <c:pt idx="23">
                  <c:v>-2.6602249141440271E-3</c:v>
                </c:pt>
                <c:pt idx="24">
                  <c:v>-2.665420594917547E-3</c:v>
                </c:pt>
                <c:pt idx="25">
                  <c:v>-2.6671524885087203E-3</c:v>
                </c:pt>
                <c:pt idx="26">
                  <c:v>-2.6688843820998937E-3</c:v>
                </c:pt>
                <c:pt idx="27">
                  <c:v>-2.670616275691067E-3</c:v>
                </c:pt>
                <c:pt idx="28">
                  <c:v>-2.6723481692822403E-3</c:v>
                </c:pt>
                <c:pt idx="29">
                  <c:v>-2.6775438500557603E-3</c:v>
                </c:pt>
                <c:pt idx="30">
                  <c:v>-2.6792757436469336E-3</c:v>
                </c:pt>
                <c:pt idx="31">
                  <c:v>-2.6810076372381069E-3</c:v>
                </c:pt>
                <c:pt idx="32">
                  <c:v>-2.6827395308292807E-3</c:v>
                </c:pt>
                <c:pt idx="33">
                  <c:v>-2.6844714244204544E-3</c:v>
                </c:pt>
                <c:pt idx="34">
                  <c:v>-2.6896671051939739E-3</c:v>
                </c:pt>
                <c:pt idx="35">
                  <c:v>-2.6913989987851473E-3</c:v>
                </c:pt>
                <c:pt idx="36">
                  <c:v>-2.6931308923763206E-3</c:v>
                </c:pt>
                <c:pt idx="37">
                  <c:v>-2.6948627859674952E-3</c:v>
                </c:pt>
                <c:pt idx="38">
                  <c:v>-2.6965946795586672E-3</c:v>
                </c:pt>
                <c:pt idx="39">
                  <c:v>-2.701790360332198E-3</c:v>
                </c:pt>
                <c:pt idx="40">
                  <c:v>-2.7035222539233605E-3</c:v>
                </c:pt>
                <c:pt idx="41">
                  <c:v>-2.7052541475144935E-3</c:v>
                </c:pt>
                <c:pt idx="42">
                  <c:v>-2.7069860411057071E-3</c:v>
                </c:pt>
                <c:pt idx="43">
                  <c:v>-2.7087179346970331E-3</c:v>
                </c:pt>
                <c:pt idx="44">
                  <c:v>-2.7139136154704009E-3</c:v>
                </c:pt>
                <c:pt idx="45">
                  <c:v>-2.715645509063694E-3</c:v>
                </c:pt>
                <c:pt idx="46">
                  <c:v>-2.7173774026527475E-3</c:v>
                </c:pt>
                <c:pt idx="47">
                  <c:v>-2.7191092962360092E-3</c:v>
                </c:pt>
                <c:pt idx="48">
                  <c:v>-2.7208411898350941E-3</c:v>
                </c:pt>
                <c:pt idx="49">
                  <c:v>-2.726036870498421E-3</c:v>
                </c:pt>
                <c:pt idx="50">
                  <c:v>-2.7277687641997874E-3</c:v>
                </c:pt>
                <c:pt idx="51">
                  <c:v>-2.7295006582022073E-3</c:v>
                </c:pt>
                <c:pt idx="52">
                  <c:v>-2.7312325513821341E-3</c:v>
                </c:pt>
                <c:pt idx="53">
                  <c:v>-2.7329644434385147E-3</c:v>
                </c:pt>
                <c:pt idx="54">
                  <c:v>-2.7381601257468278E-3</c:v>
                </c:pt>
                <c:pt idx="55">
                  <c:v>-2.7398919979610974E-3</c:v>
                </c:pt>
                <c:pt idx="56">
                  <c:v>-2.7416239129291744E-3</c:v>
                </c:pt>
                <c:pt idx="57">
                  <c:v>-2.7433558863000384E-3</c:v>
                </c:pt>
                <c:pt idx="58">
                  <c:v>-2.7450877001115211E-3</c:v>
                </c:pt>
                <c:pt idx="59">
                  <c:v>-2.7502844920727887E-3</c:v>
                </c:pt>
                <c:pt idx="60">
                  <c:v>-2.7520152744762143E-3</c:v>
                </c:pt>
                <c:pt idx="61">
                  <c:v>-2.753743021058257E-3</c:v>
                </c:pt>
                <c:pt idx="62">
                  <c:v>-2.755479061658561E-3</c:v>
                </c:pt>
                <c:pt idx="63">
                  <c:v>-2.7572264320985095E-3</c:v>
                </c:pt>
                <c:pt idx="64">
                  <c:v>-2.7624066360232547E-3</c:v>
                </c:pt>
                <c:pt idx="65">
                  <c:v>-2.7643540943095403E-3</c:v>
                </c:pt>
                <c:pt idx="66">
                  <c:v>-2.7658704232056013E-3</c:v>
                </c:pt>
                <c:pt idx="67">
                  <c:v>-2.7664601885328348E-3</c:v>
                </c:pt>
                <c:pt idx="68">
                  <c:v>-2.76663317143224E-3</c:v>
                </c:pt>
                <c:pt idx="69">
                  <c:v>-2.7687165954046475E-3</c:v>
                </c:pt>
                <c:pt idx="70">
                  <c:v>-2.7699744036680267E-3</c:v>
                </c:pt>
                <c:pt idx="71">
                  <c:v>-2.77146913891999E-3</c:v>
                </c:pt>
                <c:pt idx="72">
                  <c:v>-2.773173957271914E-3</c:v>
                </c:pt>
                <c:pt idx="73">
                  <c:v>-2.7750620148351778E-3</c:v>
                </c:pt>
                <c:pt idx="74">
                  <c:v>-2.7815571839067805E-3</c:v>
                </c:pt>
                <c:pt idx="75">
                  <c:v>-2.7839097594291773E-3</c:v>
                </c:pt>
                <c:pt idx="76">
                  <c:v>-2.7863113547198001E-3</c:v>
                </c:pt>
                <c:pt idx="77">
                  <c:v>-2.788735125890029E-3</c:v>
                </c:pt>
                <c:pt idx="78">
                  <c:v>-2.7911542290512395E-3</c:v>
                </c:pt>
                <c:pt idx="79">
                  <c:v>-2.7981150915945409E-3</c:v>
                </c:pt>
                <c:pt idx="80">
                  <c:v>-2.8002470838334563E-3</c:v>
                </c:pt>
                <c:pt idx="81">
                  <c:v>-2.8022401886202415E-3</c:v>
                </c:pt>
                <c:pt idx="82">
                  <c:v>-2.8040895476243379E-3</c:v>
                </c:pt>
                <c:pt idx="83">
                  <c:v>-2.8058782447474371E-3</c:v>
                </c:pt>
                <c:pt idx="84">
                  <c:v>-2.8113375066022074E-3</c:v>
                </c:pt>
                <c:pt idx="85">
                  <c:v>-2.8131543570018278E-3</c:v>
                </c:pt>
                <c:pt idx="86">
                  <c:v>-2.8149728015606345E-3</c:v>
                </c:pt>
                <c:pt idx="87">
                  <c:v>-2.8167924131290234E-3</c:v>
                </c:pt>
                <c:pt idx="88">
                  <c:v>-2.8186115975478085E-3</c:v>
                </c:pt>
                <c:pt idx="89">
                  <c:v>-2.8240685253834142E-3</c:v>
                </c:pt>
                <c:pt idx="90">
                  <c:v>-2.8258875647556602E-3</c:v>
                </c:pt>
                <c:pt idx="91">
                  <c:v>-2.8277065815106098E-3</c:v>
                </c:pt>
                <c:pt idx="92">
                  <c:v>-2.8295256062555747E-3</c:v>
                </c:pt>
                <c:pt idx="93">
                  <c:v>-2.8313446376378049E-3</c:v>
                </c:pt>
                <c:pt idx="94">
                  <c:v>-2.8368017172837007E-3</c:v>
                </c:pt>
                <c:pt idx="95">
                  <c:v>-2.8386207498921957E-3</c:v>
                </c:pt>
                <c:pt idx="96">
                  <c:v>-2.8404397941695007E-3</c:v>
                </c:pt>
                <c:pt idx="97">
                  <c:v>-2.8422588060193913E-3</c:v>
                </c:pt>
                <c:pt idx="98">
                  <c:v>-2.8440777737730582E-3</c:v>
                </c:pt>
                <c:pt idx="99">
                  <c:v>-2.849534918273782E-3</c:v>
                </c:pt>
                <c:pt idx="100">
                  <c:v>-2.8513531065432465E-3</c:v>
                </c:pt>
                <c:pt idx="101">
                  <c:v>-2.8531729744009776E-3</c:v>
                </c:pt>
                <c:pt idx="102">
                  <c:v>-2.8549964612637137E-3</c:v>
                </c:pt>
                <c:pt idx="103">
                  <c:v>-2.8568216277171364E-3</c:v>
                </c:pt>
                <c:pt idx="104">
                  <c:v>-2.8622945473681383E-3</c:v>
                </c:pt>
                <c:pt idx="105">
                  <c:v>-2.8641189343494538E-3</c:v>
                </c:pt>
                <c:pt idx="106">
                  <c:v>-2.8659432772708319E-3</c:v>
                </c:pt>
                <c:pt idx="107">
                  <c:v>-2.8677675876656126E-3</c:v>
                </c:pt>
                <c:pt idx="108">
                  <c:v>-2.869591909593734E-3</c:v>
                </c:pt>
                <c:pt idx="109">
                  <c:v>-2.8750648942979301E-3</c:v>
                </c:pt>
                <c:pt idx="110">
                  <c:v>-2.8768892150598351E-3</c:v>
                </c:pt>
                <c:pt idx="111">
                  <c:v>-2.8787135476140888E-3</c:v>
                </c:pt>
                <c:pt idx="112">
                  <c:v>-2.8805378952003339E-3</c:v>
                </c:pt>
                <c:pt idx="113">
                  <c:v>-2.8823622009302476E-3</c:v>
                </c:pt>
                <c:pt idx="114">
                  <c:v>-2.8878354712422675E-3</c:v>
                </c:pt>
                <c:pt idx="115">
                  <c:v>-2.889659507562565E-3</c:v>
                </c:pt>
                <c:pt idx="116">
                  <c:v>-2.8914827506860055E-3</c:v>
                </c:pt>
                <c:pt idx="117">
                  <c:v>-2.8933081608787238E-3</c:v>
                </c:pt>
                <c:pt idx="118">
                  <c:v>-2.8951365313375772E-3</c:v>
                </c:pt>
                <c:pt idx="119">
                  <c:v>-2.9006054675110413E-3</c:v>
                </c:pt>
                <c:pt idx="120">
                  <c:v>-2.9024861170421756E-3</c:v>
                </c:pt>
                <c:pt idx="121">
                  <c:v>-2.9042541208272E-3</c:v>
                </c:pt>
                <c:pt idx="122">
                  <c:v>-2.9057794685046685E-3</c:v>
                </c:pt>
                <c:pt idx="123">
                  <c:v>-2.9071925408885638E-3</c:v>
                </c:pt>
                <c:pt idx="124">
                  <c:v>-2.9116021772924395E-3</c:v>
                </c:pt>
                <c:pt idx="125">
                  <c:v>-2.9130693810112914E-3</c:v>
                </c:pt>
                <c:pt idx="126">
                  <c:v>-2.9145451017843077E-3</c:v>
                </c:pt>
                <c:pt idx="127">
                  <c:v>-2.9160078010726552E-3</c:v>
                </c:pt>
                <c:pt idx="128">
                  <c:v>-2.9174489618221701E-3</c:v>
                </c:pt>
                <c:pt idx="129">
                  <c:v>-2.9218846411953828E-3</c:v>
                </c:pt>
                <c:pt idx="130">
                  <c:v>-2.9229591549779013E-3</c:v>
                </c:pt>
                <c:pt idx="131">
                  <c:v>-2.9248230612567466E-3</c:v>
                </c:pt>
                <c:pt idx="132">
                  <c:v>-2.9281526295171509E-3</c:v>
                </c:pt>
                <c:pt idx="133">
                  <c:v>-2.9308595582733261E-3</c:v>
                </c:pt>
                <c:pt idx="134">
                  <c:v>-2.9317747861246097E-3</c:v>
                </c:pt>
                <c:pt idx="135">
                  <c:v>-2.9336383214408381E-3</c:v>
                </c:pt>
                <c:pt idx="136">
                  <c:v>-2.9352118576575904E-3</c:v>
                </c:pt>
                <c:pt idx="137">
                  <c:v>-2.9365767415022019E-3</c:v>
                </c:pt>
                <c:pt idx="138">
                  <c:v>-2.9380229720741479E-3</c:v>
                </c:pt>
                <c:pt idx="139">
                  <c:v>-2.9424535816249295E-3</c:v>
                </c:pt>
                <c:pt idx="140">
                  <c:v>-2.9440322878239874E-3</c:v>
                </c:pt>
                <c:pt idx="141">
                  <c:v>-2.9456870681273772E-3</c:v>
                </c:pt>
                <c:pt idx="142">
                  <c:v>-2.9473735876152009E-3</c:v>
                </c:pt>
                <c:pt idx="143">
                  <c:v>-2.9490475113675648E-3</c:v>
                </c:pt>
                <c:pt idx="144">
                  <c:v>-2.9535503590129154E-3</c:v>
                </c:pt>
                <c:pt idx="145">
                  <c:v>-2.954730550624464E-3</c:v>
                </c:pt>
                <c:pt idx="146">
                  <c:v>-2.9556764719010668E-3</c:v>
                </c:pt>
                <c:pt idx="147">
                  <c:v>-2.9563806151849236E-3</c:v>
                </c:pt>
                <c:pt idx="148">
                  <c:v>-2.9569827818666217E-3</c:v>
                </c:pt>
                <c:pt idx="149">
                  <c:v>-2.959595401797732E-3</c:v>
                </c:pt>
                <c:pt idx="150">
                  <c:v>-2.9602475758475568E-3</c:v>
                </c:pt>
                <c:pt idx="151">
                  <c:v>-2.9609017117632869E-3</c:v>
                </c:pt>
                <c:pt idx="152">
                  <c:v>-2.9615551296756819E-3</c:v>
                </c:pt>
                <c:pt idx="153">
                  <c:v>-2.9635179106258093E-3</c:v>
                </c:pt>
                <c:pt idx="154">
                  <c:v>-2.9641728740224592E-3</c:v>
                </c:pt>
                <c:pt idx="155">
                  <c:v>-2.9648277995227772E-3</c:v>
                </c:pt>
                <c:pt idx="156">
                  <c:v>-2.9654827388941149E-3</c:v>
                </c:pt>
                <c:pt idx="157">
                  <c:v>-2.9661376884197446E-3</c:v>
                </c:pt>
                <c:pt idx="158">
                  <c:v>-2.9681025214006729E-3</c:v>
                </c:pt>
                <c:pt idx="159">
                  <c:v>-2.9687574662136795E-3</c:v>
                </c:pt>
                <c:pt idx="160">
                  <c:v>-2.9694124107598374E-3</c:v>
                </c:pt>
                <c:pt idx="161">
                  <c:v>-2.9700673551106469E-3</c:v>
                </c:pt>
                <c:pt idx="162">
                  <c:v>-2.9707222995329578E-3</c:v>
                </c:pt>
                <c:pt idx="163">
                  <c:v>-2.9726871329045822E-3</c:v>
                </c:pt>
                <c:pt idx="164">
                  <c:v>-2.9733420773511653E-3</c:v>
                </c:pt>
                <c:pt idx="165">
                  <c:v>-2.9739970218015496E-3</c:v>
                </c:pt>
                <c:pt idx="166">
                  <c:v>-2.9746519662506177E-3</c:v>
                </c:pt>
                <c:pt idx="167">
                  <c:v>-2.9753069106985171E-3</c:v>
                </c:pt>
                <c:pt idx="168">
                  <c:v>-2.9772717440451359E-3</c:v>
                </c:pt>
                <c:pt idx="169">
                  <c:v>-2.9779266884924524E-3</c:v>
                </c:pt>
                <c:pt idx="170">
                  <c:v>-2.9785816329367045E-3</c:v>
                </c:pt>
                <c:pt idx="171">
                  <c:v>-2.9792365773894198E-3</c:v>
                </c:pt>
                <c:pt idx="172">
                  <c:v>-2.9798915218536629E-3</c:v>
                </c:pt>
                <c:pt idx="173">
                  <c:v>-2.9818563551833547E-3</c:v>
                </c:pt>
                <c:pt idx="174">
                  <c:v>-2.9825112998512985E-3</c:v>
                </c:pt>
                <c:pt idx="175">
                  <c:v>-2.9831662440803221E-3</c:v>
                </c:pt>
                <c:pt idx="176">
                  <c:v>-2.9838211877097707E-3</c:v>
                </c:pt>
                <c:pt idx="177">
                  <c:v>-2.9844761329772896E-3</c:v>
                </c:pt>
                <c:pt idx="178">
                  <c:v>-2.9864409549150588E-3</c:v>
                </c:pt>
                <c:pt idx="179">
                  <c:v>-2.9870959107712249E-3</c:v>
                </c:pt>
                <c:pt idx="180">
                  <c:v>-2.9877508977937586E-3</c:v>
                </c:pt>
                <c:pt idx="181">
                  <c:v>-2.9884057996681923E-3</c:v>
                </c:pt>
                <c:pt idx="182">
                  <c:v>-2.9890605852281576E-3</c:v>
                </c:pt>
                <c:pt idx="183">
                  <c:v>-2.9910255774621272E-3</c:v>
                </c:pt>
                <c:pt idx="184">
                  <c:v>-2.9916783088790345E-3</c:v>
                </c:pt>
                <c:pt idx="185">
                  <c:v>-2.9923354663590946E-3</c:v>
                </c:pt>
                <c:pt idx="186">
                  <c:v>-2.9929986699538604E-3</c:v>
                </c:pt>
                <c:pt idx="187">
                  <c:v>-2.9936453552560625E-3</c:v>
                </c:pt>
                <c:pt idx="188">
                  <c:v>-2.9957252236694387E-3</c:v>
                </c:pt>
                <c:pt idx="189">
                  <c:v>-2.9962651330499974E-3</c:v>
                </c:pt>
                <c:pt idx="190">
                  <c:v>-2.9964907607803338E-3</c:v>
                </c:pt>
                <c:pt idx="191">
                  <c:v>-2.9975750219469648E-3</c:v>
                </c:pt>
                <c:pt idx="192">
                  <c:v>-2.9998321982001126E-3</c:v>
                </c:pt>
                <c:pt idx="193">
                  <c:v>-3.0001947997409001E-3</c:v>
                </c:pt>
                <c:pt idx="194">
                  <c:v>-3.0231659543867523E-3</c:v>
                </c:pt>
                <c:pt idx="195">
                  <c:v>-3.0015046886378675E-3</c:v>
                </c:pt>
                <c:pt idx="196">
                  <c:v>-2.9349026536801379E-3</c:v>
                </c:pt>
                <c:pt idx="197">
                  <c:v>-3.002814577534835E-3</c:v>
                </c:pt>
                <c:pt idx="198">
                  <c:v>-2.9987998608934788E-3</c:v>
                </c:pt>
                <c:pt idx="199">
                  <c:v>-3.0054343553287698E-3</c:v>
                </c:pt>
                <c:pt idx="200">
                  <c:v>-3.0076913046555402E-3</c:v>
                </c:pt>
                <c:pt idx="201">
                  <c:v>-3.0067442442257373E-3</c:v>
                </c:pt>
                <c:pt idx="202">
                  <c:v>-3.0069707191478817E-3</c:v>
                </c:pt>
                <c:pt idx="203">
                  <c:v>-3.009364022019673E-3</c:v>
                </c:pt>
                <c:pt idx="204">
                  <c:v>-3.00999994308621E-3</c:v>
                </c:pt>
                <c:pt idx="205">
                  <c:v>-3.01067391091664E-3</c:v>
                </c:pt>
                <c:pt idx="206">
                  <c:v>-3.0112744626594281E-3</c:v>
                </c:pt>
                <c:pt idx="207">
                  <c:v>-3.0118348957623416E-3</c:v>
                </c:pt>
                <c:pt idx="208">
                  <c:v>-3.0135778132252683E-3</c:v>
                </c:pt>
                <c:pt idx="209">
                  <c:v>-3.0141568654537443E-3</c:v>
                </c:pt>
                <c:pt idx="210">
                  <c:v>-3.0147369719776755E-3</c:v>
                </c:pt>
                <c:pt idx="211">
                  <c:v>-3.0153178502994463E-3</c:v>
                </c:pt>
                <c:pt idx="212">
                  <c:v>-3.0158984461236007E-3</c:v>
                </c:pt>
                <c:pt idx="213">
                  <c:v>-3.017639819990849E-3</c:v>
                </c:pt>
                <c:pt idx="214">
                  <c:v>-3.0182203198375794E-3</c:v>
                </c:pt>
                <c:pt idx="215">
                  <c:v>-3.0188008048365506E-3</c:v>
                </c:pt>
                <c:pt idx="216">
                  <c:v>-3.0193812952701788E-3</c:v>
                </c:pt>
                <c:pt idx="217">
                  <c:v>-3.0199617896822521E-3</c:v>
                </c:pt>
                <c:pt idx="218">
                  <c:v>-3.0217032668079843E-3</c:v>
                </c:pt>
                <c:pt idx="219">
                  <c:v>-3.0222837593736548E-3</c:v>
                </c:pt>
                <c:pt idx="220">
                  <c:v>-3.0228642518347741E-3</c:v>
                </c:pt>
                <c:pt idx="221">
                  <c:v>-3.0234447442193564E-3</c:v>
                </c:pt>
                <c:pt idx="222">
                  <c:v>-3.0240252366319532E-3</c:v>
                </c:pt>
                <c:pt idx="223">
                  <c:v>-3.0257667139107595E-3</c:v>
                </c:pt>
                <c:pt idx="224">
                  <c:v>-3.0263472063328744E-3</c:v>
                </c:pt>
                <c:pt idx="225">
                  <c:v>-3.0269276987564611E-3</c:v>
                </c:pt>
                <c:pt idx="226">
                  <c:v>-3.0275081911795088E-3</c:v>
                </c:pt>
                <c:pt idx="227">
                  <c:v>-3.0304106532935654E-3</c:v>
                </c:pt>
                <c:pt idx="228">
                  <c:v>-3.0309911457164257E-3</c:v>
                </c:pt>
                <c:pt idx="229">
                  <c:v>-3.031571638139267E-3</c:v>
                </c:pt>
                <c:pt idx="230">
                  <c:v>-3.0321521305620696E-3</c:v>
                </c:pt>
                <c:pt idx="231">
                  <c:v>-3.0338936078306701E-3</c:v>
                </c:pt>
                <c:pt idx="232">
                  <c:v>-3.0344741002528378E-3</c:v>
                </c:pt>
                <c:pt idx="233">
                  <c:v>-3.0350545926763717E-3</c:v>
                </c:pt>
                <c:pt idx="234">
                  <c:v>-3.0356350851017712E-3</c:v>
                </c:pt>
                <c:pt idx="235">
                  <c:v>-3.0362155775220728E-3</c:v>
                </c:pt>
                <c:pt idx="236">
                  <c:v>-3.0385375472134759E-3</c:v>
                </c:pt>
                <c:pt idx="237">
                  <c:v>-3.0391180395038069E-3</c:v>
                </c:pt>
                <c:pt idx="238">
                  <c:v>-3.0396985320591775E-3</c:v>
                </c:pt>
                <c:pt idx="239">
                  <c:v>-3.0402790249765997E-3</c:v>
                </c:pt>
                <c:pt idx="240">
                  <c:v>-3.0420205017505806E-3</c:v>
                </c:pt>
                <c:pt idx="241">
                  <c:v>-3.0426010010619247E-3</c:v>
                </c:pt>
                <c:pt idx="242">
                  <c:v>-3.0431814865962818E-3</c:v>
                </c:pt>
                <c:pt idx="243">
                  <c:v>-3.0437619533109253E-3</c:v>
                </c:pt>
                <c:pt idx="244">
                  <c:v>-3.0443424714419833E-3</c:v>
                </c:pt>
                <c:pt idx="245">
                  <c:v>-3.0460835906414014E-3</c:v>
                </c:pt>
                <c:pt idx="246">
                  <c:v>-3.0466644411333865E-3</c:v>
                </c:pt>
                <c:pt idx="247">
                  <c:v>-3.0472462698884388E-3</c:v>
                </c:pt>
                <c:pt idx="248">
                  <c:v>-3.047825425979088E-3</c:v>
                </c:pt>
                <c:pt idx="249">
                  <c:v>-3.0484009311422672E-3</c:v>
                </c:pt>
                <c:pt idx="250">
                  <c:v>-3.0501473956704907E-3</c:v>
                </c:pt>
                <c:pt idx="251">
                  <c:v>-3.0506584245270727E-3</c:v>
                </c:pt>
                <c:pt idx="252">
                  <c:v>-3.0513083805161923E-3</c:v>
                </c:pt>
                <c:pt idx="253">
                  <c:v>-3.0521481144976325E-3</c:v>
                </c:pt>
                <c:pt idx="254">
                  <c:v>-3.0524693653618939E-3</c:v>
                </c:pt>
                <c:pt idx="255">
                  <c:v>-3.0578216117442144E-3</c:v>
                </c:pt>
                <c:pt idx="256">
                  <c:v>-3.054791335053297E-3</c:v>
                </c:pt>
                <c:pt idx="257">
                  <c:v>-3.041896253689164E-3</c:v>
                </c:pt>
                <c:pt idx="258">
                  <c:v>-3.0559523198989986E-3</c:v>
                </c:pt>
                <c:pt idx="259">
                  <c:v>-3.0971457361312683E-3</c:v>
                </c:pt>
                <c:pt idx="260">
                  <c:v>-3.0582742895904013E-3</c:v>
                </c:pt>
                <c:pt idx="261">
                  <c:v>-3.0624660171959714E-3</c:v>
                </c:pt>
                <c:pt idx="262">
                  <c:v>-3.0594352744361029E-3</c:v>
                </c:pt>
                <c:pt idx="263">
                  <c:v>-3.0590465164322994E-3</c:v>
                </c:pt>
                <c:pt idx="264">
                  <c:v>-3.0605962592818044E-3</c:v>
                </c:pt>
                <c:pt idx="265">
                  <c:v>-3.0622439208814142E-3</c:v>
                </c:pt>
                <c:pt idx="266">
                  <c:v>-3.0629182289732076E-3</c:v>
                </c:pt>
                <c:pt idx="267">
                  <c:v>-3.0636458652010326E-3</c:v>
                </c:pt>
                <c:pt idx="268">
                  <c:v>-3.0643803950437193E-3</c:v>
                </c:pt>
                <c:pt idx="269">
                  <c:v>-3.0650973511502687E-3</c:v>
                </c:pt>
                <c:pt idx="270">
                  <c:v>-3.06689810354311E-3</c:v>
                </c:pt>
                <c:pt idx="271">
                  <c:v>-3.0673000911951263E-3</c:v>
                </c:pt>
                <c:pt idx="272">
                  <c:v>-3.0675621683560134E-3</c:v>
                </c:pt>
                <c:pt idx="273">
                  <c:v>-3.0676813141292873E-3</c:v>
                </c:pt>
                <c:pt idx="274">
                  <c:v>-3.0677402934365231E-3</c:v>
                </c:pt>
                <c:pt idx="275">
                  <c:v>-3.0680096409362416E-3</c:v>
                </c:pt>
                <c:pt idx="276">
                  <c:v>-3.0680965435975426E-3</c:v>
                </c:pt>
                <c:pt idx="277">
                  <c:v>-3.0681850273999761E-3</c:v>
                </c:pt>
                <c:pt idx="278">
                  <c:v>-3.0682746686780523E-3</c:v>
                </c:pt>
                <c:pt idx="279">
                  <c:v>-3.0683638862906391E-3</c:v>
                </c:pt>
                <c:pt idx="280">
                  <c:v>-3.0686309188390714E-3</c:v>
                </c:pt>
                <c:pt idx="281">
                  <c:v>-3.0687199925130185E-3</c:v>
                </c:pt>
                <c:pt idx="282">
                  <c:v>-3.0688090439195811E-3</c:v>
                </c:pt>
                <c:pt idx="283">
                  <c:v>-3.0688981034765724E-3</c:v>
                </c:pt>
                <c:pt idx="284">
                  <c:v>-3.0689871690000908E-3</c:v>
                </c:pt>
                <c:pt idx="285">
                  <c:v>-3.0692543564066668E-3</c:v>
                </c:pt>
                <c:pt idx="286">
                  <c:v>-3.0693434191611103E-3</c:v>
                </c:pt>
                <c:pt idx="287">
                  <c:v>-3.069432481758757E-3</c:v>
                </c:pt>
                <c:pt idx="288">
                  <c:v>-3.0695215442416201E-3</c:v>
                </c:pt>
                <c:pt idx="289">
                  <c:v>-3.0696106067664972E-3</c:v>
                </c:pt>
                <c:pt idx="290">
                  <c:v>-3.0698777944026395E-3</c:v>
                </c:pt>
                <c:pt idx="291">
                  <c:v>-3.0699668569417905E-3</c:v>
                </c:pt>
                <c:pt idx="292">
                  <c:v>-3.0700559194831493E-3</c:v>
                </c:pt>
                <c:pt idx="293">
                  <c:v>-3.0701449820237001E-3</c:v>
                </c:pt>
                <c:pt idx="294">
                  <c:v>-3.070234044563659E-3</c:v>
                </c:pt>
                <c:pt idx="295">
                  <c:v>-3.0705012321844446E-3</c:v>
                </c:pt>
                <c:pt idx="296">
                  <c:v>-3.070590294724678E-3</c:v>
                </c:pt>
                <c:pt idx="297">
                  <c:v>-3.0706793572649275E-3</c:v>
                </c:pt>
                <c:pt idx="298">
                  <c:v>-3.0707684198051878E-3</c:v>
                </c:pt>
                <c:pt idx="299">
                  <c:v>-3.0708574823454446E-3</c:v>
                </c:pt>
                <c:pt idx="300">
                  <c:v>-3.0711246699662072E-3</c:v>
                </c:pt>
                <c:pt idx="301">
                  <c:v>-3.0712137325064623E-3</c:v>
                </c:pt>
                <c:pt idx="302">
                  <c:v>-3.071302795046717E-3</c:v>
                </c:pt>
                <c:pt idx="303">
                  <c:v>-3.0713918575869721E-3</c:v>
                </c:pt>
                <c:pt idx="304">
                  <c:v>-3.0714809201272267E-3</c:v>
                </c:pt>
                <c:pt idx="305">
                  <c:v>-3.0717481077479894E-3</c:v>
                </c:pt>
                <c:pt idx="306">
                  <c:v>-3.0718371702882462E-3</c:v>
                </c:pt>
                <c:pt idx="307">
                  <c:v>-3.0719262328285095E-3</c:v>
                </c:pt>
                <c:pt idx="308">
                  <c:v>-3.0720152953687559E-3</c:v>
                </c:pt>
                <c:pt idx="309">
                  <c:v>-3.0721043579089793E-3</c:v>
                </c:pt>
                <c:pt idx="310">
                  <c:v>-3.072371545529775E-3</c:v>
                </c:pt>
                <c:pt idx="311">
                  <c:v>-3.0724606080695968E-3</c:v>
                </c:pt>
                <c:pt idx="312">
                  <c:v>-3.0725496706102847E-3</c:v>
                </c:pt>
                <c:pt idx="313">
                  <c:v>-3.0726387331521565E-3</c:v>
                </c:pt>
                <c:pt idx="314">
                  <c:v>-3.0727277956907944E-3</c:v>
                </c:pt>
                <c:pt idx="315">
                  <c:v>-3.0729949833340807E-3</c:v>
                </c:pt>
                <c:pt idx="316">
                  <c:v>-3.0730840458518139E-3</c:v>
                </c:pt>
                <c:pt idx="317">
                  <c:v>-3.0731731083080177E-3</c:v>
                </c:pt>
                <c:pt idx="318">
                  <c:v>-3.0732621709323236E-3</c:v>
                </c:pt>
                <c:pt idx="319">
                  <c:v>-3.0733512337862618E-3</c:v>
                </c:pt>
                <c:pt idx="320">
                  <c:v>-3.0736184210933431E-3</c:v>
                </c:pt>
                <c:pt idx="321">
                  <c:v>-3.0737074880026402E-3</c:v>
                </c:pt>
                <c:pt idx="322">
                  <c:v>-3.0737965461738528E-3</c:v>
                </c:pt>
                <c:pt idx="323">
                  <c:v>-3.0738855924086214E-3</c:v>
                </c:pt>
                <c:pt idx="324">
                  <c:v>-3.0739746712543621E-3</c:v>
                </c:pt>
                <c:pt idx="325">
                  <c:v>-3.0742416746623912E-3</c:v>
                </c:pt>
                <c:pt idx="326">
                  <c:v>-3.0743309214153816E-3</c:v>
                </c:pt>
                <c:pt idx="327">
                  <c:v>-3.0744200594461381E-3</c:v>
                </c:pt>
                <c:pt idx="328">
                  <c:v>-3.0745090464958913E-3</c:v>
                </c:pt>
                <c:pt idx="329">
                  <c:v>-3.0745980341802719E-3</c:v>
                </c:pt>
                <c:pt idx="330">
                  <c:v>-3.0748652966569108E-3</c:v>
                </c:pt>
                <c:pt idx="331">
                  <c:v>-3.0749535383210523E-3</c:v>
                </c:pt>
                <c:pt idx="332">
                  <c:v>-3.0750434217374206E-3</c:v>
                </c:pt>
                <c:pt idx="333">
                  <c:v>-3.0751355438491329E-3</c:v>
                </c:pt>
                <c:pt idx="334">
                  <c:v>-3.0752215468179303E-3</c:v>
                </c:pt>
                <c:pt idx="335">
                  <c:v>-3.0755313445061032E-3</c:v>
                </c:pt>
                <c:pt idx="336">
                  <c:v>-3.0755777969789498E-3</c:v>
                </c:pt>
                <c:pt idx="337">
                  <c:v>-3.0756668595192044E-3</c:v>
                </c:pt>
                <c:pt idx="338">
                  <c:v>-3.0767699872918945E-3</c:v>
                </c:pt>
                <c:pt idx="339">
                  <c:v>-3.079101600526908E-3</c:v>
                </c:pt>
                <c:pt idx="340">
                  <c:v>-3.0930303788358599E-3</c:v>
                </c:pt>
                <c:pt idx="341">
                  <c:v>-3.0998389597501372E-3</c:v>
                </c:pt>
                <c:pt idx="342">
                  <c:v>-3.1076575390417242E-3</c:v>
                </c:pt>
                <c:pt idx="343">
                  <c:v>-3.1164424192936151E-3</c:v>
                </c:pt>
                <c:pt idx="344">
                  <c:v>-3.1261499030888098E-3</c:v>
                </c:pt>
                <c:pt idx="345">
                  <c:v>-3.1603710015641801E-3</c:v>
                </c:pt>
                <c:pt idx="346">
                  <c:v>-3.173331925362555E-3</c:v>
                </c:pt>
                <c:pt idx="347">
                  <c:v>-3.1869969656192179E-3</c:v>
                </c:pt>
                <c:pt idx="348">
                  <c:v>-3.2013224249171665E-3</c:v>
                </c:pt>
                <c:pt idx="349">
                  <c:v>-3.2162646058393964E-3</c:v>
                </c:pt>
                <c:pt idx="350">
                  <c:v>-3.264354504181746E-3</c:v>
                </c:pt>
                <c:pt idx="351">
                  <c:v>-3.281326597431074E-3</c:v>
                </c:pt>
                <c:pt idx="352">
                  <c:v>-3.2986969252196681E-3</c:v>
                </c:pt>
                <c:pt idx="353">
                  <c:v>-3.3164217901305269E-3</c:v>
                </c:pt>
                <c:pt idx="354">
                  <c:v>-3.334457494746648E-3</c:v>
                </c:pt>
                <c:pt idx="355">
                  <c:v>-3.3899926726565421E-3</c:v>
                </c:pt>
                <c:pt idx="356">
                  <c:v>-3.4088347619236773E-3</c:v>
                </c:pt>
                <c:pt idx="357">
                  <c:v>-3.4277692038110568E-3</c:v>
                </c:pt>
                <c:pt idx="358">
                  <c:v>-3.4467523009016812E-3</c:v>
                </c:pt>
                <c:pt idx="359">
                  <c:v>-3.4657403557785439E-3</c:v>
                </c:pt>
                <c:pt idx="360">
                  <c:v>-3.5222972929565485E-3</c:v>
                </c:pt>
                <c:pt idx="361">
                  <c:v>-3.5408682048083447E-3</c:v>
                </c:pt>
                <c:pt idx="362">
                  <c:v>-3.5592255873613649E-3</c:v>
                </c:pt>
                <c:pt idx="363">
                  <c:v>-3.5773257431986087E-3</c:v>
                </c:pt>
                <c:pt idx="364">
                  <c:v>-3.5951249749030709E-3</c:v>
                </c:pt>
                <c:pt idx="365">
                  <c:v>-3.6462801510497469E-3</c:v>
                </c:pt>
                <c:pt idx="366">
                  <c:v>-3.6624387120530576E-3</c:v>
                </c:pt>
                <c:pt idx="367">
                  <c:v>-3.6780778618385741E-3</c:v>
                </c:pt>
                <c:pt idx="368">
                  <c:v>-3.6931539029892921E-3</c:v>
                </c:pt>
                <c:pt idx="369">
                  <c:v>-3.7076231380882073E-3</c:v>
                </c:pt>
                <c:pt idx="370">
                  <c:v>-3.746953032904119E-3</c:v>
                </c:pt>
                <c:pt idx="371">
                  <c:v>-3.7585580696257999E-3</c:v>
                </c:pt>
                <c:pt idx="372">
                  <c:v>-3.7693378132106652E-3</c:v>
                </c:pt>
                <c:pt idx="373">
                  <c:v>-3.7792485662417109E-3</c:v>
                </c:pt>
                <c:pt idx="374">
                  <c:v>-3.7882466313019355E-3</c:v>
                </c:pt>
                <c:pt idx="375">
                  <c:v>-3.8093277244876456E-3</c:v>
                </c:pt>
                <c:pt idx="376">
                  <c:v>-3.8142380634945514E-3</c:v>
                </c:pt>
                <c:pt idx="377">
                  <c:v>-3.8180172274456204E-3</c:v>
                </c:pt>
                <c:pt idx="378">
                  <c:v>-3.8206215189238494E-3</c:v>
                </c:pt>
                <c:pt idx="379">
                  <c:v>-3.8220072405122361E-3</c:v>
                </c:pt>
                <c:pt idx="380">
                  <c:v>-3.8184160117683084E-3</c:v>
                </c:pt>
                <c:pt idx="381">
                  <c:v>-3.814490479627293E-3</c:v>
                </c:pt>
                <c:pt idx="382">
                  <c:v>-3.8091278905114205E-3</c:v>
                </c:pt>
                <c:pt idx="383">
                  <c:v>-3.8022845470036871E-3</c:v>
                </c:pt>
                <c:pt idx="384">
                  <c:v>-3.7939167516870902E-3</c:v>
                </c:pt>
                <c:pt idx="385">
                  <c:v>-3.7592296807140886E-3</c:v>
                </c:pt>
                <c:pt idx="386">
                  <c:v>-3.7443271039920073E-3</c:v>
                </c:pt>
                <c:pt idx="387">
                  <c:v>-3.7276815883760489E-3</c:v>
                </c:pt>
                <c:pt idx="388">
                  <c:v>-3.709249436449207E-3</c:v>
                </c:pt>
                <c:pt idx="389">
                  <c:v>-3.6889869507944809E-3</c:v>
                </c:pt>
                <c:pt idx="390">
                  <c:v>-3.6167805172929693E-3</c:v>
                </c:pt>
                <c:pt idx="391">
                  <c:v>-3.588793192768351E-3</c:v>
                </c:pt>
                <c:pt idx="392">
                  <c:v>-3.5589578687008905E-3</c:v>
                </c:pt>
                <c:pt idx="393">
                  <c:v>-3.5274316689436346E-3</c:v>
                </c:pt>
                <c:pt idx="394">
                  <c:v>-3.4943717173496389E-3</c:v>
                </c:pt>
                <c:pt idx="395">
                  <c:v>-3.3875605900777141E-3</c:v>
                </c:pt>
                <c:pt idx="396">
                  <c:v>-3.3499368696672653E-3</c:v>
                </c:pt>
                <c:pt idx="397">
                  <c:v>-3.3115650166853352E-3</c:v>
                </c:pt>
                <c:pt idx="398">
                  <c:v>-3.2726021549849705E-3</c:v>
                </c:pt>
                <c:pt idx="399">
                  <c:v>-3.2332054084192275E-3</c:v>
                </c:pt>
                <c:pt idx="400">
                  <c:v>-3.1139830980602252E-3</c:v>
                </c:pt>
                <c:pt idx="401">
                  <c:v>-3.0744220505634751E-3</c:v>
                </c:pt>
                <c:pt idx="402">
                  <c:v>-3.0352127374665993E-3</c:v>
                </c:pt>
                <c:pt idx="403">
                  <c:v>-2.9964880285683424E-3</c:v>
                </c:pt>
                <c:pt idx="404">
                  <c:v>-2.95828377745021E-3</c:v>
                </c:pt>
                <c:pt idx="405">
                  <c:v>-2.7754753720131034E-3</c:v>
                </c:pt>
                <c:pt idx="406">
                  <c:v>-2.7406374576467458E-3</c:v>
                </c:pt>
                <c:pt idx="407">
                  <c:v>-2.7064011977508554E-3</c:v>
                </c:pt>
                <c:pt idx="408">
                  <c:v>-2.575704693415858E-3</c:v>
                </c:pt>
                <c:pt idx="409">
                  <c:v>-2.5446506987802132E-3</c:v>
                </c:pt>
                <c:pt idx="410">
                  <c:v>-2.5142679557781916E-3</c:v>
                </c:pt>
                <c:pt idx="411">
                  <c:v>-2.4845680639369897E-3</c:v>
                </c:pt>
                <c:pt idx="412">
                  <c:v>-2.3996814906502312E-3</c:v>
                </c:pt>
                <c:pt idx="413">
                  <c:v>-2.372828998724234E-3</c:v>
                </c:pt>
                <c:pt idx="414">
                  <c:v>-2.3467173555950186E-3</c:v>
                </c:pt>
                <c:pt idx="415">
                  <c:v>-2.3213581607897816E-3</c:v>
                </c:pt>
                <c:pt idx="416">
                  <c:v>-2.2967630138357128E-3</c:v>
                </c:pt>
                <c:pt idx="417">
                  <c:v>-2.227677855352436E-3</c:v>
                </c:pt>
                <c:pt idx="418">
                  <c:v>-2.2062548950749672E-3</c:v>
                </c:pt>
                <c:pt idx="419">
                  <c:v>-2.1856539802846296E-3</c:v>
                </c:pt>
                <c:pt idx="420">
                  <c:v>-2.1658867105086143E-3</c:v>
                </c:pt>
                <c:pt idx="421">
                  <c:v>-2.1469646852741169E-3</c:v>
                </c:pt>
                <c:pt idx="422">
                  <c:v>-2.0953860720916576E-3</c:v>
                </c:pt>
                <c:pt idx="423">
                  <c:v>-2.0799610202951561E-3</c:v>
                </c:pt>
                <c:pt idx="424">
                  <c:v>-2.065439210676135E-3</c:v>
                </c:pt>
                <c:pt idx="425">
                  <c:v>-2.0518322427617885E-3</c:v>
                </c:pt>
                <c:pt idx="426">
                  <c:v>-2.0391517160793086E-3</c:v>
                </c:pt>
                <c:pt idx="427">
                  <c:v>-2.0067847786949893E-3</c:v>
                </c:pt>
                <c:pt idx="428">
                  <c:v>-1.9979260122119005E-3</c:v>
                </c:pt>
                <c:pt idx="429">
                  <c:v>-1.9900516845966403E-3</c:v>
                </c:pt>
                <c:pt idx="430">
                  <c:v>-1.9831733953764026E-3</c:v>
                </c:pt>
                <c:pt idx="431">
                  <c:v>-1.9773027440783807E-3</c:v>
                </c:pt>
                <c:pt idx="432">
                  <c:v>-1.9658526129895312E-3</c:v>
                </c:pt>
                <c:pt idx="433">
                  <c:v>-1.9641285086522964E-3</c:v>
                </c:pt>
                <c:pt idx="434">
                  <c:v>-1.9634700398732403E-3</c:v>
                </c:pt>
                <c:pt idx="435">
                  <c:v>-1.963888806179555E-3</c:v>
                </c:pt>
                <c:pt idx="436">
                  <c:v>-1.9653964070984343E-3</c:v>
                </c:pt>
                <c:pt idx="437">
                  <c:v>-1.9765682128023822E-3</c:v>
                </c:pt>
                <c:pt idx="438">
                  <c:v>-1.9825471474434445E-3</c:v>
                </c:pt>
                <c:pt idx="439">
                  <c:v>-1.9896729143330343E-3</c:v>
                </c:pt>
                <c:pt idx="440">
                  <c:v>-1.997957112998344E-3</c:v>
                </c:pt>
                <c:pt idx="441">
                  <c:v>-2.0074113429665672E-3</c:v>
                </c:pt>
                <c:pt idx="442">
                  <c:v>-2.0429102159606402E-3</c:v>
                </c:pt>
                <c:pt idx="443">
                  <c:v>-2.0571605664124418E-3</c:v>
                </c:pt>
                <c:pt idx="444">
                  <c:v>-2.0726389458031198E-3</c:v>
                </c:pt>
                <c:pt idx="445">
                  <c:v>-2.0893569536598678E-3</c:v>
                </c:pt>
                <c:pt idx="446">
                  <c:v>-2.1073261895098775E-3</c:v>
                </c:pt>
                <c:pt idx="447">
                  <c:v>-2.1688572602914036E-3</c:v>
                </c:pt>
                <c:pt idx="448">
                  <c:v>-2.1919474033863877E-3</c:v>
                </c:pt>
                <c:pt idx="449">
                  <c:v>-2.2163467721105987E-3</c:v>
                </c:pt>
                <c:pt idx="450">
                  <c:v>-2.242066965991225E-3</c:v>
                </c:pt>
                <c:pt idx="451">
                  <c:v>-2.2691195845554626E-3</c:v>
                </c:pt>
                <c:pt idx="452">
                  <c:v>-2.3577757082156666E-3</c:v>
                </c:pt>
                <c:pt idx="453">
                  <c:v>-2.3894349767112394E-3</c:v>
                </c:pt>
                <c:pt idx="454">
                  <c:v>-2.4219404227209572E-3</c:v>
                </c:pt>
                <c:pt idx="455">
                  <c:v>-2.4551675845706595E-3</c:v>
                </c:pt>
                <c:pt idx="456">
                  <c:v>-2.4889920005861793E-3</c:v>
                </c:pt>
                <c:pt idx="457">
                  <c:v>-2.5928041568859918E-3</c:v>
                </c:pt>
                <c:pt idx="458">
                  <c:v>-2.6277729728231367E-3</c:v>
                </c:pt>
                <c:pt idx="459">
                  <c:v>-2.6627167345552767E-3</c:v>
                </c:pt>
                <c:pt idx="460">
                  <c:v>-2.6975109804082439E-3</c:v>
                </c:pt>
                <c:pt idx="461">
                  <c:v>-2.7320312487078779E-3</c:v>
                </c:pt>
                <c:pt idx="462">
                  <c:v>-2.8327035715451409E-3</c:v>
                </c:pt>
                <c:pt idx="463">
                  <c:v>-2.864883312889796E-3</c:v>
                </c:pt>
                <c:pt idx="464">
                  <c:v>-2.8961667683102994E-3</c:v>
                </c:pt>
                <c:pt idx="465">
                  <c:v>-2.9264523607483938E-3</c:v>
                </c:pt>
                <c:pt idx="466">
                  <c:v>-2.9557300516094669E-3</c:v>
                </c:pt>
                <c:pt idx="467">
                  <c:v>-3.0376441749435982E-3</c:v>
                </c:pt>
                <c:pt idx="468">
                  <c:v>-3.0630187197096177E-3</c:v>
                </c:pt>
                <c:pt idx="469">
                  <c:v>-3.0874495930051245E-3</c:v>
                </c:pt>
                <c:pt idx="470">
                  <c:v>-3.110949640851424E-3</c:v>
                </c:pt>
                <c:pt idx="471">
                  <c:v>-3.2149371090903624E-3</c:v>
                </c:pt>
                <c:pt idx="472">
                  <c:v>-3.2331219706887493E-3</c:v>
                </c:pt>
                <c:pt idx="473">
                  <c:v>-3.2504659289870402E-3</c:v>
                </c:pt>
                <c:pt idx="474">
                  <c:v>-3.2669818300065344E-3</c:v>
                </c:pt>
                <c:pt idx="475">
                  <c:v>-3.3116896496052702E-3</c:v>
                </c:pt>
                <c:pt idx="476">
                  <c:v>-3.3250217817226025E-3</c:v>
                </c:pt>
                <c:pt idx="477">
                  <c:v>-3.3375900866676493E-3</c:v>
                </c:pt>
                <c:pt idx="478">
                  <c:v>-3.3494074104617115E-3</c:v>
                </c:pt>
                <c:pt idx="479">
                  <c:v>-3.3604865991260918E-3</c:v>
                </c:pt>
                <c:pt idx="480">
                  <c:v>-3.3894238145541489E-3</c:v>
                </c:pt>
                <c:pt idx="481">
                  <c:v>-3.3976789229128133E-3</c:v>
                </c:pt>
                <c:pt idx="482">
                  <c:v>-3.4052601262483037E-3</c:v>
                </c:pt>
                <c:pt idx="483">
                  <c:v>-3.4121802705819205E-3</c:v>
                </c:pt>
                <c:pt idx="484">
                  <c:v>-3.4184522019349664E-3</c:v>
                </c:pt>
                <c:pt idx="485">
                  <c:v>-3.4335071783236945E-3</c:v>
                </c:pt>
                <c:pt idx="486">
                  <c:v>-3.4373147179674723E-3</c:v>
                </c:pt>
                <c:pt idx="487">
                  <c:v>-3.4405382747371874E-3</c:v>
                </c:pt>
                <c:pt idx="488">
                  <c:v>-3.443190694654142E-3</c:v>
                </c:pt>
                <c:pt idx="489">
                  <c:v>-3.4452848237396367E-3</c:v>
                </c:pt>
                <c:pt idx="490">
                  <c:v>-3.4483459262203819E-3</c:v>
                </c:pt>
                <c:pt idx="491">
                  <c:v>-3.4478307174407793E-3</c:v>
                </c:pt>
                <c:pt idx="492">
                  <c:v>-3.4468448679848534E-3</c:v>
                </c:pt>
                <c:pt idx="493">
                  <c:v>-3.4453906498465793E-3</c:v>
                </c:pt>
                <c:pt idx="494">
                  <c:v>-3.4383462435506897E-3</c:v>
                </c:pt>
                <c:pt idx="495">
                  <c:v>-3.4351470108960423E-3</c:v>
                </c:pt>
                <c:pt idx="496">
                  <c:v>-3.4315436396655558E-3</c:v>
                </c:pt>
                <c:pt idx="497">
                  <c:v>-3.4275489758805316E-3</c:v>
                </c:pt>
                <c:pt idx="498">
                  <c:v>-3.4231758655622721E-3</c:v>
                </c:pt>
                <c:pt idx="499">
                  <c:v>-3.4079143156210932E-3</c:v>
                </c:pt>
                <c:pt idx="500">
                  <c:v>-3.4021558793829072E-3</c:v>
                </c:pt>
                <c:pt idx="501">
                  <c:v>-3.3960832267179932E-3</c:v>
                </c:pt>
                <c:pt idx="502">
                  <c:v>-3.3897092036476537E-3</c:v>
                </c:pt>
                <c:pt idx="503">
                  <c:v>-3.3830466561931903E-3</c:v>
                </c:pt>
                <c:pt idx="504">
                  <c:v>-3.3614563277380716E-3</c:v>
                </c:pt>
                <c:pt idx="505">
                  <c:v>-3.353768142960129E-3</c:v>
                </c:pt>
                <c:pt idx="506">
                  <c:v>-3.3458556639045698E-3</c:v>
                </c:pt>
                <c:pt idx="507">
                  <c:v>-3.3377317365926966E-3</c:v>
                </c:pt>
                <c:pt idx="508">
                  <c:v>-3.3294092070458117E-3</c:v>
                </c:pt>
                <c:pt idx="509">
                  <c:v>-3.3033784652080995E-3</c:v>
                </c:pt>
                <c:pt idx="510">
                  <c:v>-3.2943899869341832E-3</c:v>
                </c:pt>
                <c:pt idx="511">
                  <c:v>-3.2852671365317626E-3</c:v>
                </c:pt>
                <c:pt idx="512">
                  <c:v>-3.2760227600221385E-3</c:v>
                </c:pt>
                <c:pt idx="513">
                  <c:v>-3.2666697034266145E-3</c:v>
                </c:pt>
                <c:pt idx="514">
                  <c:v>-3.2380869133376575E-3</c:v>
                </c:pt>
                <c:pt idx="515">
                  <c:v>-3.2284256562395207E-3</c:v>
                </c:pt>
                <c:pt idx="516">
                  <c:v>-3.2187083069298273E-3</c:v>
                </c:pt>
                <c:pt idx="517">
                  <c:v>-3.2089360691977134E-3</c:v>
                </c:pt>
                <c:pt idx="518">
                  <c:v>-3.1991101468323178E-3</c:v>
                </c:pt>
                <c:pt idx="519">
                  <c:v>-3.1693223098278093E-3</c:v>
                </c:pt>
                <c:pt idx="520">
                  <c:v>-3.1592936868206538E-3</c:v>
                </c:pt>
                <c:pt idx="521">
                  <c:v>-3.1492173981259009E-3</c:v>
                </c:pt>
                <c:pt idx="522">
                  <c:v>-3.1390946475326875E-3</c:v>
                </c:pt>
                <c:pt idx="523">
                  <c:v>-3.1289266388301513E-3</c:v>
                </c:pt>
                <c:pt idx="524">
                  <c:v>-3.098163101957976E-3</c:v>
                </c:pt>
                <c:pt idx="525">
                  <c:v>-3.0878260987095177E-3</c:v>
                </c:pt>
                <c:pt idx="526">
                  <c:v>-3.0774498562974231E-3</c:v>
                </c:pt>
                <c:pt idx="527">
                  <c:v>-3.0670355785108257E-3</c:v>
                </c:pt>
                <c:pt idx="528">
                  <c:v>-3.0565844691388647E-3</c:v>
                </c:pt>
                <c:pt idx="529">
                  <c:v>-3.0250221894021711E-3</c:v>
                </c:pt>
                <c:pt idx="530">
                  <c:v>-3.0144357915801254E-3</c:v>
                </c:pt>
                <c:pt idx="531">
                  <c:v>-3.0038185811184035E-3</c:v>
                </c:pt>
                <c:pt idx="532">
                  <c:v>-2.9931717618061388E-3</c:v>
                </c:pt>
                <c:pt idx="533">
                  <c:v>-2.9824965374324708E-3</c:v>
                </c:pt>
                <c:pt idx="534">
                  <c:v>-2.950312471834408E-3</c:v>
                </c:pt>
                <c:pt idx="535">
                  <c:v>-2.9395356651064912E-3</c:v>
                </c:pt>
                <c:pt idx="536">
                  <c:v>-2.9287364722628559E-3</c:v>
                </c:pt>
                <c:pt idx="537">
                  <c:v>-2.917916097092639E-3</c:v>
                </c:pt>
                <c:pt idx="538">
                  <c:v>-2.9070757433849789E-3</c:v>
                </c:pt>
                <c:pt idx="539">
                  <c:v>-2.8744468489286957E-3</c:v>
                </c:pt>
                <c:pt idx="540">
                  <c:v>-2.8635386189626248E-3</c:v>
                </c:pt>
                <c:pt idx="541">
                  <c:v>-2.8526164294047939E-3</c:v>
                </c:pt>
                <c:pt idx="542">
                  <c:v>-2.8416814840443402E-3</c:v>
                </c:pt>
                <c:pt idx="543">
                  <c:v>-2.8307349866704017E-3</c:v>
                </c:pt>
                <c:pt idx="544">
                  <c:v>-2.7978382203590452E-3</c:v>
                </c:pt>
                <c:pt idx="545">
                  <c:v>-2.7868575528225371E-3</c:v>
                </c:pt>
                <c:pt idx="546">
                  <c:v>-2.7758713522182264E-3</c:v>
                </c:pt>
                <c:pt idx="547">
                  <c:v>-2.7648808223352532E-3</c:v>
                </c:pt>
                <c:pt idx="548">
                  <c:v>-2.753887166962754E-3</c:v>
                </c:pt>
                <c:pt idx="549">
                  <c:v>-2.7208994857994715E-3</c:v>
                </c:pt>
                <c:pt idx="550">
                  <c:v>-2.709905366360238E-3</c:v>
                </c:pt>
                <c:pt idx="551">
                  <c:v>-2.6989141403771641E-3</c:v>
                </c:pt>
                <c:pt idx="552">
                  <c:v>-2.6879270116393883E-3</c:v>
                </c:pt>
                <c:pt idx="553">
                  <c:v>-2.6769451839360439E-3</c:v>
                </c:pt>
                <c:pt idx="554">
                  <c:v>-2.6440435449239822E-3</c:v>
                </c:pt>
                <c:pt idx="555">
                  <c:v>-2.633094959249742E-3</c:v>
                </c:pt>
                <c:pt idx="556">
                  <c:v>-2.6221576935556217E-3</c:v>
                </c:pt>
                <c:pt idx="557">
                  <c:v>-2.6112329516307562E-3</c:v>
                </c:pt>
                <c:pt idx="558">
                  <c:v>-2.6003219372642849E-3</c:v>
                </c:pt>
                <c:pt idx="559">
                  <c:v>-2.5676832974065927E-3</c:v>
                </c:pt>
                <c:pt idx="560">
                  <c:v>-2.5568392311650615E-3</c:v>
                </c:pt>
                <c:pt idx="561">
                  <c:v>-2.546014911427608E-3</c:v>
                </c:pt>
                <c:pt idx="562">
                  <c:v>-2.5352115419833695E-3</c:v>
                </c:pt>
                <c:pt idx="563">
                  <c:v>-2.5244303266214853E-3</c:v>
                </c:pt>
                <c:pt idx="564">
                  <c:v>-2.4922316429213127E-3</c:v>
                </c:pt>
                <c:pt idx="565">
                  <c:v>-2.4815510817802065E-3</c:v>
                </c:pt>
                <c:pt idx="566">
                  <c:v>-2.4708986936671372E-3</c:v>
                </c:pt>
                <c:pt idx="567">
                  <c:v>-2.4602756823712425E-3</c:v>
                </c:pt>
                <c:pt idx="568">
                  <c:v>-2.4496832516816593E-3</c:v>
                </c:pt>
                <c:pt idx="569">
                  <c:v>-2.4181014811421528E-3</c:v>
                </c:pt>
                <c:pt idx="570">
                  <c:v>-2.4076434107691883E-3</c:v>
                </c:pt>
                <c:pt idx="571">
                  <c:v>-2.3972219399482192E-3</c:v>
                </c:pt>
                <c:pt idx="572">
                  <c:v>-2.3868382724683839E-3</c:v>
                </c:pt>
                <c:pt idx="573">
                  <c:v>-2.3764936121188204E-3</c:v>
                </c:pt>
                <c:pt idx="574">
                  <c:v>-2.345705711743125E-3</c:v>
                </c:pt>
                <c:pt idx="575">
                  <c:v>-2.3355291178060178E-3</c:v>
                </c:pt>
                <c:pt idx="576">
                  <c:v>-2.3253975499448647E-3</c:v>
                </c:pt>
                <c:pt idx="577">
                  <c:v>-2.3153122119488065E-3</c:v>
                </c:pt>
                <c:pt idx="578">
                  <c:v>-2.3052743076069776E-3</c:v>
                </c:pt>
                <c:pt idx="579">
                  <c:v>-2.2754572343982441E-3</c:v>
                </c:pt>
                <c:pt idx="580">
                  <c:v>-2.2656208507911588E-3</c:v>
                </c:pt>
                <c:pt idx="581">
                  <c:v>-2.2558364091426995E-3</c:v>
                </c:pt>
                <c:pt idx="582">
                  <c:v>-2.2461036026007125E-3</c:v>
                </c:pt>
                <c:pt idx="583">
                  <c:v>-2.236422124313043E-3</c:v>
                </c:pt>
                <c:pt idx="584">
                  <c:v>-2.2076825904544079E-3</c:v>
                </c:pt>
                <c:pt idx="585">
                  <c:v>-2.1982033566624753E-3</c:v>
                </c:pt>
                <c:pt idx="586">
                  <c:v>-2.1887739168640935E-3</c:v>
                </c:pt>
                <c:pt idx="587">
                  <c:v>-2.1793939642071086E-3</c:v>
                </c:pt>
                <c:pt idx="588">
                  <c:v>-2.1700631918393672E-3</c:v>
                </c:pt>
                <c:pt idx="589">
                  <c:v>-2.1423628879500729E-3</c:v>
                </c:pt>
                <c:pt idx="590">
                  <c:v>-2.133225768217771E-3</c:v>
                </c:pt>
                <c:pt idx="591">
                  <c:v>-2.1241362945139445E-3</c:v>
                </c:pt>
                <c:pt idx="592">
                  <c:v>-2.1150941599864409E-3</c:v>
                </c:pt>
                <c:pt idx="593">
                  <c:v>-2.1060990577831062E-3</c:v>
                </c:pt>
                <c:pt idx="594">
                  <c:v>-2.079392876596582E-3</c:v>
                </c:pt>
                <c:pt idx="595">
                  <c:v>-2.0705828351683881E-3</c:v>
                </c:pt>
                <c:pt idx="596">
                  <c:v>-2.0618182918035973E-3</c:v>
                </c:pt>
                <c:pt idx="597">
                  <c:v>-2.0530989396500524E-3</c:v>
                </c:pt>
                <c:pt idx="598">
                  <c:v>-2.0444244718556023E-3</c:v>
                </c:pt>
                <c:pt idx="599">
                  <c:v>-2.0186673061052826E-3</c:v>
                </c:pt>
                <c:pt idx="600">
                  <c:v>-2.0101693072256746E-3</c:v>
                </c:pt>
                <c:pt idx="601">
                  <c:v>-2.0017146584443953E-3</c:v>
                </c:pt>
                <c:pt idx="602">
                  <c:v>-1.9933030529092868E-3</c:v>
                </c:pt>
                <c:pt idx="603">
                  <c:v>-1.9849341837682006E-3</c:v>
                </c:pt>
                <c:pt idx="604">
                  <c:v>-1.9600809261875202E-3</c:v>
                </c:pt>
                <c:pt idx="605">
                  <c:v>-1.9518799341009764E-3</c:v>
                </c:pt>
                <c:pt idx="606">
                  <c:v>-1.9437201441476841E-3</c:v>
                </c:pt>
                <c:pt idx="607">
                  <c:v>-1.9356012494754925E-3</c:v>
                </c:pt>
                <c:pt idx="608">
                  <c:v>-1.9275229432322441E-3</c:v>
                </c:pt>
                <c:pt idx="609">
                  <c:v>-1.9035284865546384E-3</c:v>
                </c:pt>
                <c:pt idx="610">
                  <c:v>-1.8956094655056359E-3</c:v>
                </c:pt>
                <c:pt idx="611">
                  <c:v>-1.8877294986248112E-3</c:v>
                </c:pt>
                <c:pt idx="612">
                  <c:v>-1.8798882790600109E-3</c:v>
                </c:pt>
                <c:pt idx="613">
                  <c:v>-1.8720854999590805E-3</c:v>
                </c:pt>
                <c:pt idx="614">
                  <c:v>-1.8489047369179808E-3</c:v>
                </c:pt>
                <c:pt idx="615">
                  <c:v>-1.8412526511509988E-3</c:v>
                </c:pt>
                <c:pt idx="616">
                  <c:v>-1.8336374715871193E-3</c:v>
                </c:pt>
                <c:pt idx="617">
                  <c:v>-1.8260588913741893E-3</c:v>
                </c:pt>
                <c:pt idx="618">
                  <c:v>-1.8185166036600552E-3</c:v>
                </c:pt>
                <c:pt idx="619">
                  <c:v>-1.796104426988895E-3</c:v>
                </c:pt>
                <c:pt idx="620">
                  <c:v>-1.7887042407484094E-3</c:v>
                </c:pt>
                <c:pt idx="621">
                  <c:v>-1.7813388127459538E-3</c:v>
                </c:pt>
                <c:pt idx="622">
                  <c:v>-1.7740078361293719E-3</c:v>
                </c:pt>
                <c:pt idx="623">
                  <c:v>-1.7667110040465114E-3</c:v>
                </c:pt>
                <c:pt idx="624">
                  <c:v>-1.7450223064787232E-3</c:v>
                </c:pt>
                <c:pt idx="625">
                  <c:v>-1.7378589840092132E-3</c:v>
                </c:pt>
                <c:pt idx="626">
                  <c:v>-1.7307282718126578E-3</c:v>
                </c:pt>
                <c:pt idx="627">
                  <c:v>-1.7236298630369021E-3</c:v>
                </c:pt>
                <c:pt idx="628">
                  <c:v>-1.7165634508297942E-3</c:v>
                </c:pt>
                <c:pt idx="629">
                  <c:v>-1.6955531250988129E-3</c:v>
                </c:pt>
                <c:pt idx="630">
                  <c:v>-1.6886116306447561E-3</c:v>
                </c:pt>
                <c:pt idx="631">
                  <c:v>-1.6817005984985783E-3</c:v>
                </c:pt>
                <c:pt idx="632">
                  <c:v>-1.6748197218081264E-3</c:v>
                </c:pt>
                <c:pt idx="633">
                  <c:v>-1.6679686937212477E-3</c:v>
                </c:pt>
                <c:pt idx="634">
                  <c:v>-1.647591632560508E-3</c:v>
                </c:pt>
                <c:pt idx="635">
                  <c:v>-1.6408569303663818E-3</c:v>
                </c:pt>
                <c:pt idx="636">
                  <c:v>-1.6341505425150607E-3</c:v>
                </c:pt>
                <c:pt idx="637">
                  <c:v>-1.6274721621543904E-3</c:v>
                </c:pt>
                <c:pt idx="638">
                  <c:v>-1.6208214824322178E-3</c:v>
                </c:pt>
                <c:pt idx="639">
                  <c:v>-1.601032578575152E-3</c:v>
                </c:pt>
                <c:pt idx="640">
                  <c:v>-1.594489632885436E-3</c:v>
                </c:pt>
                <c:pt idx="641">
                  <c:v>-1.5879728535734487E-3</c:v>
                </c:pt>
                <c:pt idx="642">
                  <c:v>-1.581481933787038E-3</c:v>
                </c:pt>
                <c:pt idx="643">
                  <c:v>-1.5750165666740506E-3</c:v>
                </c:pt>
                <c:pt idx="644">
                  <c:v>-1.555770712854091E-3</c:v>
                </c:pt>
                <c:pt idx="645">
                  <c:v>-1.5494045528141925E-3</c:v>
                </c:pt>
                <c:pt idx="646">
                  <c:v>-1.5430628005925337E-3</c:v>
                </c:pt>
                <c:pt idx="647">
                  <c:v>-1.5367455387425492E-3</c:v>
                </c:pt>
                <c:pt idx="648">
                  <c:v>-1.5304528498176692E-3</c:v>
                </c:pt>
                <c:pt idx="649">
                  <c:v>-1.5117230461279805E-3</c:v>
                </c:pt>
                <c:pt idx="650">
                  <c:v>-1.5055294744378417E-3</c:v>
                </c:pt>
                <c:pt idx="651">
                  <c:v>-1.4993608884399684E-3</c:v>
                </c:pt>
                <c:pt idx="652">
                  <c:v>-1.4932173706877941E-3</c:v>
                </c:pt>
                <c:pt idx="653">
                  <c:v>-1.4870990037347482E-3</c:v>
                </c:pt>
                <c:pt idx="654">
                  <c:v>-1.4688956332047109E-3</c:v>
                </c:pt>
                <c:pt idx="655">
                  <c:v>-1.4628786949825048E-3</c:v>
                </c:pt>
                <c:pt idx="656">
                  <c:v>-1.4568873203265886E-3</c:v>
                </c:pt>
                <c:pt idx="657">
                  <c:v>-1.4509215917903944E-3</c:v>
                </c:pt>
                <c:pt idx="658">
                  <c:v>-1.4449815919273549E-3</c:v>
                </c:pt>
                <c:pt idx="659">
                  <c:v>-1.427316789911484E-3</c:v>
                </c:pt>
                <c:pt idx="660">
                  <c:v>-1.4098865178775533E-3</c:v>
                </c:pt>
                <c:pt idx="661">
                  <c:v>-1.4041289302226913E-3</c:v>
                </c:pt>
                <c:pt idx="662">
                  <c:v>-1.3870148320754994E-3</c:v>
                </c:pt>
                <c:pt idx="663">
                  <c:v>-1.3757384795261868E-3</c:v>
                </c:pt>
                <c:pt idx="664">
                  <c:v>-1.3701404647764707E-3</c:v>
                </c:pt>
                <c:pt idx="665">
                  <c:v>-1.364569334447958E-3</c:v>
                </c:pt>
                <c:pt idx="666">
                  <c:v>-1.3480180755239598E-3</c:v>
                </c:pt>
                <c:pt idx="667">
                  <c:v>-1.3425553084145817E-3</c:v>
                </c:pt>
                <c:pt idx="668">
                  <c:v>-1.3371198384935661E-3</c:v>
                </c:pt>
                <c:pt idx="669">
                  <c:v>-1.3317117483143466E-3</c:v>
                </c:pt>
                <c:pt idx="670">
                  <c:v>-1.3263311204303554E-3</c:v>
                </c:pt>
                <c:pt idx="671">
                  <c:v>-1.3103548360840673E-3</c:v>
                </c:pt>
                <c:pt idx="672">
                  <c:v>-1.305084882915307E-3</c:v>
                </c:pt>
                <c:pt idx="673">
                  <c:v>-1.299842804808935E-3</c:v>
                </c:pt>
                <c:pt idx="674">
                  <c:v>-1.2946286843183842E-3</c:v>
                </c:pt>
                <c:pt idx="675">
                  <c:v>-1.2894426039970848E-3</c:v>
                </c:pt>
                <c:pt idx="676">
                  <c:v>-1.2740534295830215E-3</c:v>
                </c:pt>
                <c:pt idx="677">
                  <c:v>-1.268980335473052E-3</c:v>
                </c:pt>
                <c:pt idx="678">
                  <c:v>-1.2639356942994952E-3</c:v>
                </c:pt>
                <c:pt idx="679">
                  <c:v>-1.2589195886157829E-3</c:v>
                </c:pt>
                <c:pt idx="680">
                  <c:v>-1.2539321009753478E-3</c:v>
                </c:pt>
                <c:pt idx="681">
                  <c:v>-1.2391421718480238E-3</c:v>
                </c:pt>
                <c:pt idx="682">
                  <c:v>-1.234269981915017E-3</c:v>
                </c:pt>
                <c:pt idx="683">
                  <c:v>-1.2294268227924468E-3</c:v>
                </c:pt>
                <c:pt idx="684">
                  <c:v>-1.2246127770337459E-3</c:v>
                </c:pt>
                <c:pt idx="685">
                  <c:v>-1.2198279271923463E-3</c:v>
                </c:pt>
                <c:pt idx="686">
                  <c:v>-1.2056493787062767E-3</c:v>
                </c:pt>
                <c:pt idx="687">
                  <c:v>-1.200982138068403E-3</c:v>
                </c:pt>
                <c:pt idx="688">
                  <c:v>-1.1963445061149909E-3</c:v>
                </c:pt>
                <c:pt idx="689">
                  <c:v>-1.1917365653994732E-3</c:v>
                </c:pt>
                <c:pt idx="690">
                  <c:v>-1.187158398475281E-3</c:v>
                </c:pt>
                <c:pt idx="691">
                  <c:v>-1.1736033659849794E-3</c:v>
                </c:pt>
                <c:pt idx="692">
                  <c:v>-1.1691451197604113E-3</c:v>
                </c:pt>
                <c:pt idx="693">
                  <c:v>-1.1647170600943297E-3</c:v>
                </c:pt>
                <c:pt idx="694">
                  <c:v>-1.1603192695401659E-3</c:v>
                </c:pt>
                <c:pt idx="695">
                  <c:v>-1.1559518306513525E-3</c:v>
                </c:pt>
                <c:pt idx="696">
                  <c:v>-1.1430324495113355E-3</c:v>
                </c:pt>
                <c:pt idx="697">
                  <c:v>-1.1387872428182441E-3</c:v>
                </c:pt>
                <c:pt idx="698">
                  <c:v>-1.1345728005576635E-3</c:v>
                </c:pt>
                <c:pt idx="699">
                  <c:v>-1.1303892052830259E-3</c:v>
                </c:pt>
                <c:pt idx="700">
                  <c:v>-1.1262365395477629E-3</c:v>
                </c:pt>
                <c:pt idx="701">
                  <c:v>-1.1139649451125445E-3</c:v>
                </c:pt>
                <c:pt idx="702">
                  <c:v>-1.1099368230691018E-3</c:v>
                </c:pt>
                <c:pt idx="703">
                  <c:v>-1.1059400433321943E-3</c:v>
                </c:pt>
                <c:pt idx="704">
                  <c:v>-1.1019746884552539E-3</c:v>
                </c:pt>
                <c:pt idx="705">
                  <c:v>-1.0980408409917129E-3</c:v>
                </c:pt>
                <c:pt idx="706">
                  <c:v>-1.0864291686158078E-3</c:v>
                </c:pt>
                <c:pt idx="707">
                  <c:v>-1.0826220830710631E-3</c:v>
                </c:pt>
                <c:pt idx="708">
                  <c:v>-1.0788463580921469E-3</c:v>
                </c:pt>
                <c:pt idx="709">
                  <c:v>-1.0751015166177579E-3</c:v>
                </c:pt>
                <c:pt idx="710">
                  <c:v>-1.0713870815865973E-3</c:v>
                </c:pt>
                <c:pt idx="711">
                  <c:v>-1.0604214445394857E-3</c:v>
                </c:pt>
                <c:pt idx="712">
                  <c:v>-1.0568238646682388E-3</c:v>
                </c:pt>
                <c:pt idx="713">
                  <c:v>-1.0532543059337211E-3</c:v>
                </c:pt>
                <c:pt idx="714">
                  <c:v>-1.049712291274632E-3</c:v>
                </c:pt>
                <c:pt idx="715">
                  <c:v>-1.0461973436296727E-3</c:v>
                </c:pt>
                <c:pt idx="716">
                  <c:v>-1.0358101321665699E-3</c:v>
                </c:pt>
                <c:pt idx="717">
                  <c:v>-1.0323986819651279E-3</c:v>
                </c:pt>
                <c:pt idx="718">
                  <c:v>-1.0290119134713168E-3</c:v>
                </c:pt>
                <c:pt idx="719">
                  <c:v>-1.0256493496238351E-3</c:v>
                </c:pt>
                <c:pt idx="720">
                  <c:v>-1.0223105133613834E-3</c:v>
                </c:pt>
                <c:pt idx="721">
                  <c:v>-1.0124315994712119E-3</c:v>
                </c:pt>
                <c:pt idx="722">
                  <c:v>-1.0091829029358827E-3</c:v>
                </c:pt>
                <c:pt idx="723">
                  <c:v>-1.0059555486790844E-3</c:v>
                </c:pt>
                <c:pt idx="724">
                  <c:v>-1.0027490596395169E-3</c:v>
                </c:pt>
                <c:pt idx="725">
                  <c:v>-9.9956295875588139E-4</c:v>
                </c:pt>
                <c:pt idx="726">
                  <c:v>-9.9012221442756226E-4</c:v>
                </c:pt>
                <c:pt idx="727">
                  <c:v>-9.8701289555465279E-4</c:v>
                </c:pt>
                <c:pt idx="728">
                  <c:v>-9.8392157953117502E-4</c:v>
                </c:pt>
                <c:pt idx="729">
                  <c:v>-9.808477892958294E-4</c:v>
                </c:pt>
                <c:pt idx="730">
                  <c:v>-9.7779104778731598E-4</c:v>
                </c:pt>
                <c:pt idx="731">
                  <c:v>-9.6871834500977143E-4</c:v>
                </c:pt>
                <c:pt idx="732">
                  <c:v>-9.6572502779558871E-4</c:v>
                </c:pt>
                <c:pt idx="733">
                  <c:v>-9.6274637400173952E-4</c:v>
                </c:pt>
                <c:pt idx="734">
                  <c:v>-9.5978190656692292E-4</c:v>
                </c:pt>
                <c:pt idx="735">
                  <c:v>-9.5683114842983949E-4</c:v>
                </c:pt>
                <c:pt idx="736">
                  <c:v>-9.4805635919199089E-4</c:v>
                </c:pt>
                <c:pt idx="737">
                  <c:v>-9.4515566763284271E-4</c:v>
                </c:pt>
                <c:pt idx="738">
                  <c:v>-9.4226630006492807E-4</c:v>
                </c:pt>
                <c:pt idx="739">
                  <c:v>-9.3938777942694776E-4</c:v>
                </c:pt>
                <c:pt idx="740">
                  <c:v>-9.2514118304056414E-4</c:v>
                </c:pt>
                <c:pt idx="741">
                  <c:v>-9.2231772569489195E-4</c:v>
                </c:pt>
                <c:pt idx="742">
                  <c:v>-9.1950177585005562E-4</c:v>
                </c:pt>
                <c:pt idx="743">
                  <c:v>-9.1669285644475418E-4</c:v>
                </c:pt>
                <c:pt idx="744">
                  <c:v>-9.0830351025306371E-4</c:v>
                </c:pt>
                <c:pt idx="745">
                  <c:v>-9.0551794199290523E-4</c:v>
                </c:pt>
                <c:pt idx="746">
                  <c:v>-8.999602638103967E-4</c:v>
                </c:pt>
                <c:pt idx="747">
                  <c:v>-8.9718719976544694E-4</c:v>
                </c:pt>
                <c:pt idx="748">
                  <c:v>-8.8888538308021822E-4</c:v>
                </c:pt>
                <c:pt idx="749">
                  <c:v>-8.8612231246401607E-4</c:v>
                </c:pt>
                <c:pt idx="750">
                  <c:v>-8.8336054755175049E-4</c:v>
                </c:pt>
                <c:pt idx="751">
                  <c:v>-8.805996112821225E-4</c:v>
                </c:pt>
                <c:pt idx="752">
                  <c:v>-8.7783902659383179E-4</c:v>
                </c:pt>
                <c:pt idx="753">
                  <c:v>-8.6955461140398639E-4</c:v>
                </c:pt>
                <c:pt idx="754">
                  <c:v>-8.6679066242804708E-4</c:v>
                </c:pt>
                <c:pt idx="755">
                  <c:v>-8.6402467972694576E-4</c:v>
                </c:pt>
                <c:pt idx="756">
                  <c:v>-8.6125618623938342E-4</c:v>
                </c:pt>
                <c:pt idx="757">
                  <c:v>-8.5848470490405913E-4</c:v>
                </c:pt>
                <c:pt idx="758">
                  <c:v>-8.501475631985183E-4</c:v>
                </c:pt>
                <c:pt idx="759">
                  <c:v>-8.4735935985914986E-4</c:v>
                </c:pt>
                <c:pt idx="760">
                  <c:v>-8.4456578336552016E-4</c:v>
                </c:pt>
                <c:pt idx="761">
                  <c:v>-8.4176635665632988E-4</c:v>
                </c:pt>
                <c:pt idx="762">
                  <c:v>-8.3896060267027906E-4</c:v>
                </c:pt>
                <c:pt idx="763">
                  <c:v>-8.3050060643796578E-4</c:v>
                </c:pt>
                <c:pt idx="764">
                  <c:v>-8.2766477273147482E-4</c:v>
                </c:pt>
                <c:pt idx="765">
                  <c:v>-8.248202264416239E-4</c:v>
                </c:pt>
                <c:pt idx="766">
                  <c:v>-8.2196649050711381E-4</c:v>
                </c:pt>
                <c:pt idx="767">
                  <c:v>-8.1910308786664382E-4</c:v>
                </c:pt>
                <c:pt idx="768">
                  <c:v>-8.1045010909647935E-4</c:v>
                </c:pt>
                <c:pt idx="769">
                  <c:v>-8.0754334990806593E-4</c:v>
                </c:pt>
                <c:pt idx="770">
                  <c:v>-8.0462502404054961E-4</c:v>
                </c:pt>
                <c:pt idx="771">
                  <c:v>-8.0169513976598703E-4</c:v>
                </c:pt>
                <c:pt idx="772">
                  <c:v>-7.9875370535643431E-4</c:v>
                </c:pt>
                <c:pt idx="773">
                  <c:v>-7.8986018403839724E-4</c:v>
                </c:pt>
                <c:pt idx="774">
                  <c:v>-7.86872631809446E-4</c:v>
                </c:pt>
                <c:pt idx="775">
                  <c:v>-7.8387357080578527E-4</c:v>
                </c:pt>
                <c:pt idx="776">
                  <c:v>-7.8086300929947159E-4</c:v>
                </c:pt>
                <c:pt idx="777">
                  <c:v>-7.7784095556256106E-4</c:v>
                </c:pt>
                <c:pt idx="778">
                  <c:v>-7.6870592368881126E-4</c:v>
                </c:pt>
                <c:pt idx="779">
                  <c:v>-7.656379837500763E-4</c:v>
                </c:pt>
                <c:pt idx="780">
                  <c:v>-7.6255859294102515E-4</c:v>
                </c:pt>
                <c:pt idx="781">
                  <c:v>-7.5946775953371511E-4</c:v>
                </c:pt>
                <c:pt idx="782">
                  <c:v>-7.5636549180020099E-4</c:v>
                </c:pt>
                <c:pt idx="783">
                  <c:v>-7.4699016536300151E-4</c:v>
                </c:pt>
                <c:pt idx="784">
                  <c:v>-7.4384224304523637E-4</c:v>
                </c:pt>
                <c:pt idx="785">
                  <c:v>-7.4068292776154922E-4</c:v>
                </c:pt>
                <c:pt idx="786">
                  <c:v>-7.3751222778399637E-4</c:v>
                </c:pt>
                <c:pt idx="787">
                  <c:v>-7.3433015138463318E-4</c:v>
                </c:pt>
                <c:pt idx="788">
                  <c:v>-7.2471574637624717E-4</c:v>
                </c:pt>
                <c:pt idx="789">
                  <c:v>-7.2148824701020672E-4</c:v>
                </c:pt>
                <c:pt idx="790">
                  <c:v>-7.1824941258263745E-4</c:v>
                </c:pt>
                <c:pt idx="791">
                  <c:v>-7.1499925136559567E-4</c:v>
                </c:pt>
                <c:pt idx="792">
                  <c:v>-7.117377716311374E-4</c:v>
                </c:pt>
                <c:pt idx="793">
                  <c:v>-7.0188550404382747E-4</c:v>
                </c:pt>
                <c:pt idx="794">
                  <c:v>-6.9857883296026591E-4</c:v>
                </c:pt>
                <c:pt idx="795">
                  <c:v>-6.9526088471956893E-4</c:v>
                </c:pt>
                <c:pt idx="796">
                  <c:v>-6.9193166759379287E-4</c:v>
                </c:pt>
                <c:pt idx="797">
                  <c:v>-6.8859118985499371E-4</c:v>
                </c:pt>
                <c:pt idx="798">
                  <c:v>-6.7850227568102184E-4</c:v>
                </c:pt>
                <c:pt idx="799">
                  <c:v>-6.7511683821069315E-4</c:v>
                </c:pt>
                <c:pt idx="800">
                  <c:v>-6.7172018148762321E-4</c:v>
                </c:pt>
                <c:pt idx="801">
                  <c:v>-6.6831231378386684E-4</c:v>
                </c:pt>
                <c:pt idx="802">
                  <c:v>-6.6489324337148134E-4</c:v>
                </c:pt>
                <c:pt idx="803">
                  <c:v>-6.5456889860310969E-4</c:v>
                </c:pt>
                <c:pt idx="804">
                  <c:v>-6.5110510007676883E-4</c:v>
                </c:pt>
                <c:pt idx="805">
                  <c:v>-6.4763014020207906E-4</c:v>
                </c:pt>
                <c:pt idx="806">
                  <c:v>-6.4414402725109714E-4</c:v>
                </c:pt>
                <c:pt idx="807">
                  <c:v>-6.4064676949587959E-4</c:v>
                </c:pt>
                <c:pt idx="808">
                  <c:v>-6.3008821012537164E-4</c:v>
                </c:pt>
                <c:pt idx="809">
                  <c:v>-6.2654645587377164E-4</c:v>
                </c:pt>
                <c:pt idx="810">
                  <c:v>-6.2299359817821677E-4</c:v>
                </c:pt>
                <c:pt idx="811">
                  <c:v>-6.1942964531076371E-4</c:v>
                </c:pt>
                <c:pt idx="812">
                  <c:v>-6.1585460554346746E-4</c:v>
                </c:pt>
                <c:pt idx="813">
                  <c:v>-6.0506304756308637E-4</c:v>
                </c:pt>
                <c:pt idx="814">
                  <c:v>-6.0144374291698206E-4</c:v>
                </c:pt>
                <c:pt idx="815">
                  <c:v>-5.9781339273131642E-4</c:v>
                </c:pt>
                <c:pt idx="816">
                  <c:v>-5.9417200527814523E-4</c:v>
                </c:pt>
                <c:pt idx="817">
                  <c:v>-5.9051958882952514E-4</c:v>
                </c:pt>
                <c:pt idx="818">
                  <c:v>-5.7949624823153351E-4</c:v>
                </c:pt>
                <c:pt idx="819">
                  <c:v>-5.7579979852167922E-4</c:v>
                </c:pt>
                <c:pt idx="820">
                  <c:v>-5.7209236117665657E-4</c:v>
                </c:pt>
                <c:pt idx="821">
                  <c:v>-5.6837394446852243E-4</c:v>
                </c:pt>
                <c:pt idx="822">
                  <c:v>-5.6464455666933248E-4</c:v>
                </c:pt>
                <c:pt idx="823">
                  <c:v>-5.5339064944599184E-4</c:v>
                </c:pt>
                <c:pt idx="824">
                  <c:v>-5.4961746000314166E-4</c:v>
                </c:pt>
                <c:pt idx="825">
                  <c:v>-5.458333408295174E-4</c:v>
                </c:pt>
                <c:pt idx="826">
                  <c:v>-5.4203830019717409E-4</c:v>
                </c:pt>
                <c:pt idx="827">
                  <c:v>-5.382323463781688E-4</c:v>
                </c:pt>
                <c:pt idx="828">
                  <c:v>-5.2674908852174166E-4</c:v>
                </c:pt>
                <c:pt idx="829">
                  <c:v>-5.2289956467664969E-4</c:v>
                </c:pt>
                <c:pt idx="830">
                  <c:v>-5.1903916900517726E-4</c:v>
                </c:pt>
                <c:pt idx="831">
                  <c:v>-5.1516790977937919E-4</c:v>
                </c:pt>
                <c:pt idx="832">
                  <c:v>-5.1128579527131321E-4</c:v>
                </c:pt>
                <c:pt idx="833">
                  <c:v>-4.9957440277406293E-4</c:v>
                </c:pt>
                <c:pt idx="834">
                  <c:v>-4.9564894704810054E-4</c:v>
                </c:pt>
                <c:pt idx="835">
                  <c:v>-4.9171266054385263E-4</c:v>
                </c:pt>
                <c:pt idx="836">
                  <c:v>-4.877655346770776E-4</c:v>
                </c:pt>
                <c:pt idx="837">
                  <c:v>-4.8380756086353443E-4</c:v>
                </c:pt>
                <c:pt idx="838">
                  <c:v>-4.7186846589987463E-4</c:v>
                </c:pt>
                <c:pt idx="839">
                  <c:v>-4.6786701445683938E-4</c:v>
                </c:pt>
                <c:pt idx="840">
                  <c:v>-4.638546721458272E-4</c:v>
                </c:pt>
                <c:pt idx="841">
                  <c:v>-4.5983143038259649E-4</c:v>
                </c:pt>
                <c:pt idx="842">
                  <c:v>-4.5579728058290546E-4</c:v>
                </c:pt>
                <c:pt idx="843">
                  <c:v>-4.4362929712265565E-4</c:v>
                </c:pt>
                <c:pt idx="844">
                  <c:v>-4.3955142933470808E-4</c:v>
                </c:pt>
                <c:pt idx="845">
                  <c:v>-4.3546261058909162E-4</c:v>
                </c:pt>
                <c:pt idx="846">
                  <c:v>-4.3136283230156504E-4</c:v>
                </c:pt>
                <c:pt idx="847">
                  <c:v>-4.2725208588788684E-4</c:v>
                </c:pt>
                <c:pt idx="848">
                  <c:v>-4.1485395204752601E-4</c:v>
                </c:pt>
                <c:pt idx="849">
                  <c:v>-4.1069924728682556E-4</c:v>
                </c:pt>
                <c:pt idx="850">
                  <c:v>-4.0653353147876458E-4</c:v>
                </c:pt>
                <c:pt idx="851">
                  <c:v>-4.0235679603910283E-4</c:v>
                </c:pt>
                <c:pt idx="852">
                  <c:v>-3.981690323835973E-4</c:v>
                </c:pt>
                <c:pt idx="853">
                  <c:v>-3.85539486279606E-4</c:v>
                </c:pt>
                <c:pt idx="854">
                  <c:v>-3.8130752391831178E-4</c:v>
                </c:pt>
                <c:pt idx="855">
                  <c:v>-3.7706449041996634E-4</c:v>
                </c:pt>
                <c:pt idx="856">
                  <c:v>-3.7281037720032859E-4</c:v>
                </c:pt>
                <c:pt idx="857">
                  <c:v>-3.6854517567515581E-4</c:v>
                </c:pt>
                <c:pt idx="858">
                  <c:v>-3.5568295542401433E-4</c:v>
                </c:pt>
                <c:pt idx="859">
                  <c:v>-3.5137331483428699E-4</c:v>
                </c:pt>
                <c:pt idx="860">
                  <c:v>-3.4705254301781695E-4</c:v>
                </c:pt>
                <c:pt idx="861">
                  <c:v>-3.427206313903626E-4</c:v>
                </c:pt>
                <c:pt idx="862">
                  <c:v>-3.3837757136768299E-4</c:v>
                </c:pt>
                <c:pt idx="863">
                  <c:v>-3.2528141508587064E-4</c:v>
                </c:pt>
                <c:pt idx="864">
                  <c:v>-3.2089367563987011E-4</c:v>
                </c:pt>
                <c:pt idx="865">
                  <c:v>-3.1649474487743546E-4</c:v>
                </c:pt>
                <c:pt idx="866">
                  <c:v>-3.1208461421432503E-4</c:v>
                </c:pt>
                <c:pt idx="867">
                  <c:v>-3.0766327506629712E-4</c:v>
                </c:pt>
                <c:pt idx="868">
                  <c:v>-2.9433192087029359E-4</c:v>
                </c:pt>
                <c:pt idx="869">
                  <c:v>-2.898656619401798E-4</c:v>
                </c:pt>
                <c:pt idx="870">
                  <c:v>-2.8538815160394112E-4</c:v>
                </c:pt>
                <c:pt idx="871">
                  <c:v>-2.8089938127733456E-4</c:v>
                </c:pt>
                <c:pt idx="872">
                  <c:v>-2.7639934237611914E-4</c:v>
                </c:pt>
                <c:pt idx="873">
                  <c:v>-2.6283152838240341E-4</c:v>
                </c:pt>
                <c:pt idx="874">
                  <c:v>-2.58286329340337E-4</c:v>
                </c:pt>
                <c:pt idx="875">
                  <c:v>-2.5372981880245288E-4</c:v>
                </c:pt>
                <c:pt idx="876">
                  <c:v>-2.4916198818451086E-4</c:v>
                </c:pt>
                <c:pt idx="877">
                  <c:v>-2.4458282890226776E-4</c:v>
                </c:pt>
                <c:pt idx="878">
                  <c:v>-2.3077729322732043E-4</c:v>
                </c:pt>
                <c:pt idx="879">
                  <c:v>-2.2615273344545988E-4</c:v>
                </c:pt>
                <c:pt idx="880">
                  <c:v>-2.2151680207809085E-4</c:v>
                </c:pt>
                <c:pt idx="881">
                  <c:v>-2.1686949054097249E-4</c:v>
                </c:pt>
                <c:pt idx="882">
                  <c:v>-2.122107902498617E-4</c:v>
                </c:pt>
                <c:pt idx="883">
                  <c:v>-1.9816627101016329E-4</c:v>
                </c:pt>
                <c:pt idx="884">
                  <c:v>-1.9346192986066925E-4</c:v>
                </c:pt>
                <c:pt idx="885">
                  <c:v>-1.8874615703597531E-4</c:v>
                </c:pt>
                <c:pt idx="886">
                  <c:v>-1.8401894395183983E-4</c:v>
                </c:pt>
                <c:pt idx="887">
                  <c:v>-1.7928028202402119E-4</c:v>
                </c:pt>
                <c:pt idx="888">
                  <c:v>-1.6499551733605158E-4</c:v>
                </c:pt>
                <c:pt idx="889">
                  <c:v>-1.6021097419108393E-4</c:v>
                </c:pt>
                <c:pt idx="890">
                  <c:v>-1.55414939281225E-4</c:v>
                </c:pt>
                <c:pt idx="891">
                  <c:v>-1.506074040222331E-4</c:v>
                </c:pt>
                <c:pt idx="892">
                  <c:v>-1.4578835982986661E-4</c:v>
                </c:pt>
                <c:pt idx="893">
                  <c:v>-1.3126208781010396E-4</c:v>
                </c:pt>
                <c:pt idx="894">
                  <c:v>-1.2639692204182272E-4</c:v>
                </c:pt>
                <c:pt idx="895">
                  <c:v>-1.2152020441895949E-4</c:v>
                </c:pt>
                <c:pt idx="896">
                  <c:v>-1.1663192635727107E-4</c:v>
                </c:pt>
                <c:pt idx="897">
                  <c:v>-1.1173207927251662E-4</c:v>
                </c:pt>
                <c:pt idx="898">
                  <c:v>-9.6963038037440696E-5</c:v>
                </c:pt>
                <c:pt idx="899">
                  <c:v>-9.2016832164932457E-5</c:v>
                </c:pt>
                <c:pt idx="900">
                  <c:v>-8.7059033229711078E-5</c:v>
                </c:pt>
                <c:pt idx="901">
                  <c:v>-8.2089651529093568E-5</c:v>
                </c:pt>
                <c:pt idx="902">
                  <c:v>-7.7108697360400174E-5</c:v>
                </c:pt>
                <c:pt idx="903">
                  <c:v>-6.2096503019043597E-5</c:v>
                </c:pt>
                <c:pt idx="904">
                  <c:v>-5.7069361951228821E-5</c:v>
                </c:pt>
                <c:pt idx="905">
                  <c:v>-5.2030699901930481E-5</c:v>
                </c:pt>
                <c:pt idx="906">
                  <c:v>-4.6980527168467198E-5</c:v>
                </c:pt>
                <c:pt idx="907">
                  <c:v>-4.1918854048158401E-5</c:v>
                </c:pt>
                <c:pt idx="908">
                  <c:v>-2.666493533933865E-5</c:v>
                </c:pt>
                <c:pt idx="909">
                  <c:v>-2.1557363644829981E-5</c:v>
                </c:pt>
                <c:pt idx="910">
                  <c:v>-1.6438343050068086E-5</c:v>
                </c:pt>
                <c:pt idx="911">
                  <c:v>-1.1307883852371621E-5</c:v>
                </c:pt>
                <c:pt idx="912">
                  <c:v>-6.1659963490592179E-6</c:v>
                </c:pt>
                <c:pt idx="913">
                  <c:v>9.328133021386662E-6</c:v>
                </c:pt>
                <c:pt idx="914">
                  <c:v>1.4515630773975806E-5</c:v>
                </c:pt>
                <c:pt idx="915">
                  <c:v>3.014634375660824E-5</c:v>
                </c:pt>
                <c:pt idx="916">
                  <c:v>4.5879170082843262E-5</c:v>
                </c:pt>
                <c:pt idx="917">
                  <c:v>5.1146089324901074E-5</c:v>
                </c:pt>
                <c:pt idx="918">
                  <c:v>6.1684896580939334E-5</c:v>
                </c:pt>
                <c:pt idx="919">
                  <c:v>6.6971139247587588E-5</c:v>
                </c:pt>
                <c:pt idx="920">
                  <c:v>8.2897100844309821E-5</c:v>
                </c:pt>
                <c:pt idx="921">
                  <c:v>8.8228131864992934E-5</c:v>
                </c:pt>
                <c:pt idx="922">
                  <c:v>9.3570334441323892E-5</c:v>
                </c:pt>
                <c:pt idx="923">
                  <c:v>9.8923698360157099E-5</c:v>
                </c:pt>
                <c:pt idx="924">
                  <c:v>1.0428821340834685E-4</c:v>
                </c:pt>
                <c:pt idx="925">
                  <c:v>1.2044856319761562E-4</c:v>
                </c:pt>
                <c:pt idx="926">
                  <c:v>1.258575806317882E-4</c:v>
                </c:pt>
                <c:pt idx="927">
                  <c:v>1.3127769812959351E-4</c:v>
                </c:pt>
                <c:pt idx="928">
                  <c:v>1.3670890547788845E-4</c:v>
                </c:pt>
                <c:pt idx="929">
                  <c:v>1.421511924635274E-4</c:v>
                </c:pt>
                <c:pt idx="930">
                  <c:v>1.5854442911305972E-4</c:v>
                </c:pt>
                <c:pt idx="931">
                  <c:v>1.6403093251662692E-4</c:v>
                </c:pt>
                <c:pt idx="932">
                  <c:v>1.6952846449181424E-4</c:v>
                </c:pt>
                <c:pt idx="933">
                  <c:v>1.7503701482547604E-4</c:v>
                </c:pt>
                <c:pt idx="934">
                  <c:v>1.8055657330446928E-4</c:v>
                </c:pt>
                <c:pt idx="935">
                  <c:v>1.9718119548198378E-4</c:v>
                </c:pt>
                <c:pt idx="936">
                  <c:v>2.0274468441085157E-4</c:v>
                </c:pt>
                <c:pt idx="937">
                  <c:v>2.0831913041932507E-4</c:v>
                </c:pt>
                <c:pt idx="938">
                  <c:v>2.1390452329426147E-4</c:v>
                </c:pt>
                <c:pt idx="939">
                  <c:v>2.1950085282251494E-4</c:v>
                </c:pt>
                <c:pt idx="940">
                  <c:v>2.3635535919572955E-4</c:v>
                </c:pt>
                <c:pt idx="941">
                  <c:v>2.4199533320580383E-4</c:v>
                </c:pt>
                <c:pt idx="942">
                  <c:v>2.4764619280347145E-4</c:v>
                </c:pt>
                <c:pt idx="943">
                  <c:v>2.5330792777558648E-4</c:v>
                </c:pt>
                <c:pt idx="944">
                  <c:v>2.5898052790900613E-4</c:v>
                </c:pt>
                <c:pt idx="945">
                  <c:v>2.7606341714563976E-4</c:v>
                </c:pt>
                <c:pt idx="946">
                  <c:v>2.8177937579282547E-4</c:v>
                </c:pt>
                <c:pt idx="947">
                  <c:v>2.8750614853559201E-4</c:v>
                </c:pt>
                <c:pt idx="948">
                  <c:v>2.9324372516079366E-4</c:v>
                </c:pt>
                <c:pt idx="949">
                  <c:v>2.989920954552845E-4</c:v>
                </c:pt>
                <c:pt idx="950">
                  <c:v>3.1630186622305401E-4</c:v>
                </c:pt>
                <c:pt idx="951">
                  <c:v>3.2209330906325916E-4</c:v>
                </c:pt>
                <c:pt idx="952">
                  <c:v>3.2789549450702981E-4</c:v>
                </c:pt>
                <c:pt idx="953">
                  <c:v>3.337084123412229E-4</c:v>
                </c:pt>
                <c:pt idx="954">
                  <c:v>3.395320523526929E-4</c:v>
                </c:pt>
                <c:pt idx="955">
                  <c:v>3.5706720331931508E-4</c:v>
                </c:pt>
                <c:pt idx="956">
                  <c:v>3.6293362990844454E-4</c:v>
                </c:pt>
                <c:pt idx="957">
                  <c:v>3.688107276091271E-4</c:v>
                </c:pt>
                <c:pt idx="958">
                  <c:v>3.7469848620821678E-4</c:v>
                </c:pt>
                <c:pt idx="959">
                  <c:v>3.8059689549257086E-4</c:v>
                </c:pt>
                <c:pt idx="960">
                  <c:v>3.9835592532576466E-4</c:v>
                </c:pt>
                <c:pt idx="961">
                  <c:v>4.0429682214327534E-4</c:v>
                </c:pt>
                <c:pt idx="962">
                  <c:v>4.1024824012162982E-4</c:v>
                </c:pt>
                <c:pt idx="963">
                  <c:v>4.1621009058899049E-4</c:v>
                </c:pt>
                <c:pt idx="964">
                  <c:v>4.2218228487351671E-4</c:v>
                </c:pt>
                <c:pt idx="965">
                  <c:v>4.4016004391169236E-4</c:v>
                </c:pt>
                <c:pt idx="966">
                  <c:v>4.4617272674648536E-4</c:v>
                </c:pt>
                <c:pt idx="967">
                  <c:v>4.5219531003924608E-4</c:v>
                </c:pt>
                <c:pt idx="968">
                  <c:v>4.5822770511813409E-4</c:v>
                </c:pt>
                <c:pt idx="969">
                  <c:v>4.6426982331131177E-4</c:v>
                </c:pt>
                <c:pt idx="970">
                  <c:v>4.8245362985818089E-4</c:v>
                </c:pt>
                <c:pt idx="971">
                  <c:v>4.8853375379011657E-4</c:v>
                </c:pt>
                <c:pt idx="972">
                  <c:v>4.9462315747714398E-4</c:v>
                </c:pt>
                <c:pt idx="973">
                  <c:v>5.0072175224742264E-4</c:v>
                </c:pt>
                <c:pt idx="974">
                  <c:v>5.0682944942911218E-4</c:v>
                </c:pt>
                <c:pt idx="975">
                  <c:v>5.2520626872425787E-4</c:v>
                </c:pt>
                <c:pt idx="976">
                  <c:v>5.3134948883319958E-4</c:v>
                </c:pt>
                <c:pt idx="977">
                  <c:v>5.3750136799435408E-4</c:v>
                </c:pt>
                <c:pt idx="978">
                  <c:v>5.436618175358839E-4</c:v>
                </c:pt>
                <c:pt idx="979">
                  <c:v>5.4983074878594846E-4</c:v>
                </c:pt>
                <c:pt idx="980">
                  <c:v>5.6838754606895422E-4</c:v>
                </c:pt>
                <c:pt idx="981">
                  <c:v>5.7458951743476216E-4</c:v>
                </c:pt>
                <c:pt idx="982">
                  <c:v>5.8079952714990707E-4</c:v>
                </c:pt>
                <c:pt idx="983">
                  <c:v>5.8701748654254845E-4</c:v>
                </c:pt>
                <c:pt idx="984">
                  <c:v>5.9324330694084852E-4</c:v>
                </c:pt>
                <c:pt idx="985">
                  <c:v>6.1196704745129912E-4</c:v>
                </c:pt>
                <c:pt idx="986">
                  <c:v>6.1822342515383477E-4</c:v>
                </c:pt>
                <c:pt idx="987">
                  <c:v>6.2448722050282971E-4</c:v>
                </c:pt>
                <c:pt idx="988">
                  <c:v>6.3075834482644586E-4</c:v>
                </c:pt>
                <c:pt idx="989">
                  <c:v>6.6222079754944731E-4</c:v>
                </c:pt>
                <c:pt idx="990">
                  <c:v>6.685340336121553E-4</c:v>
                </c:pt>
                <c:pt idx="991">
                  <c:v>6.7485397794660564E-4</c:v>
                </c:pt>
                <c:pt idx="992">
                  <c:v>6.8118054188096098E-4</c:v>
                </c:pt>
                <c:pt idx="993">
                  <c:v>7.0019906456505489E-4</c:v>
                </c:pt>
                <c:pt idx="994">
                  <c:v>7.065512201806293E-4</c:v>
                </c:pt>
                <c:pt idx="995">
                  <c:v>7.1290955203691094E-4</c:v>
                </c:pt>
                <c:pt idx="996">
                  <c:v>7.1927397146205889E-4</c:v>
                </c:pt>
                <c:pt idx="997">
                  <c:v>7.2564438978423278E-4</c:v>
                </c:pt>
                <c:pt idx="998">
                  <c:v>7.4479075141452408E-4</c:v>
                </c:pt>
                <c:pt idx="999">
                  <c:v>7.5118427860641139E-4</c:v>
                </c:pt>
                <c:pt idx="1000">
                  <c:v>7.5758336133612686E-4</c:v>
                </c:pt>
                <c:pt idx="1001">
                  <c:v>7.6398791093183294E-4</c:v>
                </c:pt>
                <c:pt idx="1002">
                  <c:v>7.8965900453776075E-4</c:v>
                </c:pt>
                <c:pt idx="1003">
                  <c:v>7.9608955838582124E-4</c:v>
                </c:pt>
                <c:pt idx="1004">
                  <c:v>8.0252504706883397E-4</c:v>
                </c:pt>
                <c:pt idx="1005">
                  <c:v>8.0896538191495835E-4</c:v>
                </c:pt>
                <c:pt idx="1006">
                  <c:v>8.1541047425235703E-4</c:v>
                </c:pt>
                <c:pt idx="1007">
                  <c:v>8.3477340949379426E-4</c:v>
                </c:pt>
                <c:pt idx="1008">
                  <c:v>8.4123664507788952E-4</c:v>
                </c:pt>
                <c:pt idx="1009">
                  <c:v>8.4770419479405894E-4</c:v>
                </c:pt>
                <c:pt idx="1010">
                  <c:v>8.5417596997046505E-4</c:v>
                </c:pt>
                <c:pt idx="1011">
                  <c:v>8.6065188193526737E-4</c:v>
                </c:pt>
                <c:pt idx="1012">
                  <c:v>8.8010355184165443E-4</c:v>
                </c:pt>
                <c:pt idx="1013">
                  <c:v>8.8659512424164573E-4</c:v>
                </c:pt>
                <c:pt idx="1014">
                  <c:v>8.9309039007083515E-4</c:v>
                </c:pt>
                <c:pt idx="1015">
                  <c:v>8.9958926065738251E-4</c:v>
                </c:pt>
                <c:pt idx="1016">
                  <c:v>9.0609164732945006E-4</c:v>
                </c:pt>
                <c:pt idx="1017">
                  <c:v>9.2561901714037205E-4</c:v>
                </c:pt>
                <c:pt idx="1018">
                  <c:v>9.3213458143611967E-4</c:v>
                </c:pt>
                <c:pt idx="1019">
                  <c:v>9.3865321845818959E-4</c:v>
                </c:pt>
                <c:pt idx="1020">
                  <c:v>9.4517483953474133E-4</c:v>
                </c:pt>
                <c:pt idx="1021">
                  <c:v>9.516993559939345E-4</c:v>
                </c:pt>
                <c:pt idx="1022">
                  <c:v>9.7128939094897335E-4</c:v>
                </c:pt>
                <c:pt idx="1023">
                  <c:v>9.7782460222034192E-4</c:v>
                </c:pt>
                <c:pt idx="1024">
                  <c:v>9.8436228200873854E-4</c:v>
                </c:pt>
                <c:pt idx="1025">
                  <c:v>9.9090242411025635E-4</c:v>
                </c:pt>
                <c:pt idx="1026">
                  <c:v>9.9744503881456616E-4</c:v>
                </c:pt>
                <c:pt idx="1027">
                  <c:v>1.0170878214410088E-3</c:v>
                </c:pt>
                <c:pt idx="1028">
                  <c:v>1.0236404294532424E-3</c:v>
                </c:pt>
                <c:pt idx="1029">
                  <c:v>1.0301955615166459E-3</c:v>
                </c:pt>
                <c:pt idx="1030">
                  <c:v>1.0367532279208899E-3</c:v>
                </c:pt>
                <c:pt idx="1031">
                  <c:v>1.0433134389556513E-3</c:v>
                </c:pt>
                <c:pt idx="1032">
                  <c:v>1.0630094427397925E-3</c:v>
                </c:pt>
                <c:pt idx="1033">
                  <c:v>1.0695799351933717E-3</c:v>
                </c:pt>
                <c:pt idx="1034">
                  <c:v>1.0761530237258423E-3</c:v>
                </c:pt>
                <c:pt idx="1035">
                  <c:v>1.0827287186268809E-3</c:v>
                </c:pt>
                <c:pt idx="1036">
                  <c:v>1.0893070301861581E-3</c:v>
                </c:pt>
                <c:pt idx="1037">
                  <c:v>1.1090577677101861E-3</c:v>
                </c:pt>
                <c:pt idx="1038">
                  <c:v>1.1156466487991751E-3</c:v>
                </c:pt>
                <c:pt idx="1039">
                  <c:v>1.122238197994781E-3</c:v>
                </c:pt>
                <c:pt idx="1040">
                  <c:v>1.1288324255866744E-3</c:v>
                </c:pt>
                <c:pt idx="1041">
                  <c:v>1.1354293418645344E-3</c:v>
                </c:pt>
                <c:pt idx="1042">
                  <c:v>1.1552363257106436E-3</c:v>
                </c:pt>
                <c:pt idx="1043">
                  <c:v>1.1618440996291068E-3</c:v>
                </c:pt>
                <c:pt idx="1044">
                  <c:v>1.1684546136819104E-3</c:v>
                </c:pt>
                <c:pt idx="1045">
                  <c:v>1.1750678781587245E-3</c:v>
                </c:pt>
                <c:pt idx="1046">
                  <c:v>1.1816839033492266E-3</c:v>
                </c:pt>
                <c:pt idx="1047">
                  <c:v>1.2015486460996124E-3</c:v>
                </c:pt>
                <c:pt idx="1048">
                  <c:v>1.2081758170416138E-3</c:v>
                </c:pt>
                <c:pt idx="1049">
                  <c:v>1.2148058001456769E-3</c:v>
                </c:pt>
                <c:pt idx="1050">
                  <c:v>1.2214386057014766E-3</c:v>
                </c:pt>
                <c:pt idx="1051">
                  <c:v>1.2280742439986897E-3</c:v>
                </c:pt>
                <c:pt idx="1052">
                  <c:v>1.2479982582355403E-3</c:v>
                </c:pt>
                <c:pt idx="1053">
                  <c:v>1.2546453303951442E-3</c:v>
                </c:pt>
                <c:pt idx="1054">
                  <c:v>1.2612952867445356E-3</c:v>
                </c:pt>
                <c:pt idx="1055">
                  <c:v>1.2679481375733844E-3</c:v>
                </c:pt>
                <c:pt idx="1056">
                  <c:v>1.2746038931713707E-3</c:v>
                </c:pt>
                <c:pt idx="1057">
                  <c:v>1.2945886914768787E-3</c:v>
                </c:pt>
                <c:pt idx="1058">
                  <c:v>1.3012561690481513E-3</c:v>
                </c:pt>
                <c:pt idx="1059">
                  <c:v>1.3079266028369308E-3</c:v>
                </c:pt>
                <c:pt idx="1060">
                  <c:v>1.314600003132896E-3</c:v>
                </c:pt>
                <c:pt idx="1061">
                  <c:v>1.3212763802257169E-3</c:v>
                </c:pt>
                <c:pt idx="1062">
                  <c:v>1.3413234751820796E-3</c:v>
                </c:pt>
                <c:pt idx="1063">
                  <c:v>1.3480118623590835E-3</c:v>
                </c:pt>
                <c:pt idx="1064">
                  <c:v>1.3547032777813173E-3</c:v>
                </c:pt>
                <c:pt idx="1065">
                  <c:v>1.3613977317384583E-3</c:v>
                </c:pt>
                <c:pt idx="1066">
                  <c:v>1.3680952345201829E-3</c:v>
                </c:pt>
                <c:pt idx="1067">
                  <c:v>1.3882061387095908E-3</c:v>
                </c:pt>
                <c:pt idx="1068">
                  <c:v>1.3949159396863876E-3</c:v>
                </c:pt>
                <c:pt idx="1069">
                  <c:v>1.40162884093614E-3</c:v>
                </c:pt>
                <c:pt idx="1070">
                  <c:v>1.4083448527485254E-3</c:v>
                </c:pt>
                <c:pt idx="1071">
                  <c:v>1.4150639854132135E-3</c:v>
                </c:pt>
                <c:pt idx="1072">
                  <c:v>1.4352402114178589E-3</c:v>
                </c:pt>
                <c:pt idx="1073">
                  <c:v>1.4419719303885178E-3</c:v>
                </c:pt>
                <c:pt idx="1074">
                  <c:v>1.4487068216598533E-3</c:v>
                </c:pt>
                <c:pt idx="1075">
                  <c:v>1.4554448955215449E-3</c:v>
                </c:pt>
                <c:pt idx="1076">
                  <c:v>1.462186162263263E-3</c:v>
                </c:pt>
                <c:pt idx="1077">
                  <c:v>1.4824292226653388E-3</c:v>
                </c:pt>
                <c:pt idx="1078">
                  <c:v>1.4891833638239192E-3</c:v>
                </c:pt>
                <c:pt idx="1079">
                  <c:v>1.4959407493109046E-3</c:v>
                </c:pt>
                <c:pt idx="1080">
                  <c:v>1.5027013894159645E-3</c:v>
                </c:pt>
                <c:pt idx="1081">
                  <c:v>1.5094652944287765E-3</c:v>
                </c:pt>
                <c:pt idx="1082">
                  <c:v>1.5297767018104778E-3</c:v>
                </c:pt>
                <c:pt idx="1083">
                  <c:v>1.5365537693510462E-3</c:v>
                </c:pt>
                <c:pt idx="1084">
                  <c:v>1.5433341532477406E-3</c:v>
                </c:pt>
                <c:pt idx="1085">
                  <c:v>1.5501178637902378E-3</c:v>
                </c:pt>
                <c:pt idx="1086">
                  <c:v>1.5569049112682085E-3</c:v>
                </c:pt>
                <c:pt idx="1087">
                  <c:v>1.5772861782117234E-3</c:v>
                </c:pt>
                <c:pt idx="1088">
                  <c:v>1.5840866763283438E-3</c:v>
                </c:pt>
                <c:pt idx="1089">
                  <c:v>1.5908905628288161E-3</c:v>
                </c:pt>
                <c:pt idx="1090">
                  <c:v>1.5976978500136223E-3</c:v>
                </c:pt>
                <c:pt idx="1091">
                  <c:v>1.6045085582265027E-3</c:v>
                </c:pt>
                <c:pt idx="1092">
                  <c:v>1.6249614325790462E-3</c:v>
                </c:pt>
                <c:pt idx="1093">
                  <c:v>1.6317860484496875E-3</c:v>
                </c:pt>
                <c:pt idx="1094">
                  <c:v>1.6386141971211409E-3</c:v>
                </c:pt>
                <c:pt idx="1095">
                  <c:v>1.6454459009479492E-3</c:v>
                </c:pt>
                <c:pt idx="1096">
                  <c:v>1.6522811822846626E-3</c:v>
                </c:pt>
                <c:pt idx="1097">
                  <c:v>1.6728087148997126E-3</c:v>
                </c:pt>
                <c:pt idx="1098">
                  <c:v>1.679658529821522E-3</c:v>
                </c:pt>
                <c:pt idx="1099">
                  <c:v>1.6865120340259739E-3</c:v>
                </c:pt>
                <c:pt idx="1100">
                  <c:v>1.6933692498676161E-3</c:v>
                </c:pt>
                <c:pt idx="1101">
                  <c:v>1.7002301997009991E-3</c:v>
                </c:pt>
                <c:pt idx="1102">
                  <c:v>1.7208356766970476E-3</c:v>
                </c:pt>
                <c:pt idx="1103">
                  <c:v>1.7277117860428561E-3</c:v>
                </c:pt>
                <c:pt idx="1104">
                  <c:v>1.7345917411531434E-3</c:v>
                </c:pt>
                <c:pt idx="1105">
                  <c:v>1.7414755643824517E-3</c:v>
                </c:pt>
                <c:pt idx="1106">
                  <c:v>1.7483632780853336E-3</c:v>
                </c:pt>
                <c:pt idx="1107">
                  <c:v>1.769049985580876E-3</c:v>
                </c:pt>
                <c:pt idx="1108">
                  <c:v>1.7759534847235187E-3</c:v>
                </c:pt>
                <c:pt idx="1109">
                  <c:v>1.7828609861124684E-3</c:v>
                </c:pt>
                <c:pt idx="1110">
                  <c:v>1.7897725121022773E-3</c:v>
                </c:pt>
                <c:pt idx="1111">
                  <c:v>1.7966880850474882E-3</c:v>
                </c:pt>
                <c:pt idx="1112">
                  <c:v>1.8174593091610249E-3</c:v>
                </c:pt>
                <c:pt idx="1113">
                  <c:v>1.8243912934733314E-3</c:v>
                </c:pt>
                <c:pt idx="1114">
                  <c:v>1.8313274365137778E-3</c:v>
                </c:pt>
                <c:pt idx="1115">
                  <c:v>1.8382677606369143E-3</c:v>
                </c:pt>
                <c:pt idx="1116">
                  <c:v>1.8452122881972904E-3</c:v>
                </c:pt>
                <c:pt idx="1117">
                  <c:v>1.8660713150473155E-3</c:v>
                </c:pt>
                <c:pt idx="1118">
                  <c:v>1.8730328799021151E-3</c:v>
                </c:pt>
                <c:pt idx="1119">
                  <c:v>1.8799987599668903E-3</c:v>
                </c:pt>
                <c:pt idx="1120">
                  <c:v>1.886968977596191E-3</c:v>
                </c:pt>
                <c:pt idx="1121">
                  <c:v>1.89394355514456E-3</c:v>
                </c:pt>
                <c:pt idx="1122">
                  <c:v>1.9148936708495686E-3</c:v>
                </c:pt>
                <c:pt idx="1123">
                  <c:v>1.9218859116196985E-3</c:v>
                </c:pt>
                <c:pt idx="1124">
                  <c:v>1.9288826240816345E-3</c:v>
                </c:pt>
                <c:pt idx="1125">
                  <c:v>1.9358838305899291E-3</c:v>
                </c:pt>
                <c:pt idx="1126">
                  <c:v>1.9428895534991249E-3</c:v>
                </c:pt>
                <c:pt idx="1127">
                  <c:v>1.9639340441776135E-3</c:v>
                </c:pt>
                <c:pt idx="1128">
                  <c:v>1.970958056235901E-3</c:v>
                </c:pt>
                <c:pt idx="1129">
                  <c:v>1.9779866964678315E-3</c:v>
                </c:pt>
                <c:pt idx="1130">
                  <c:v>1.9850199872279498E-3</c:v>
                </c:pt>
                <c:pt idx="1131">
                  <c:v>1.9920579508708046E-3</c:v>
                </c:pt>
                <c:pt idx="1132">
                  <c:v>2.0132001026412711E-3</c:v>
                </c:pt>
                <c:pt idx="1133">
                  <c:v>2.0202569813605499E-3</c:v>
                </c:pt>
                <c:pt idx="1134">
                  <c:v>2.0273186447353031E-3</c:v>
                </c:pt>
                <c:pt idx="1135">
                  <c:v>2.0343851151200811E-3</c:v>
                </c:pt>
                <c:pt idx="1136">
                  <c:v>2.0414564148694271E-3</c:v>
                </c:pt>
                <c:pt idx="1137">
                  <c:v>2.0626995138503636E-3</c:v>
                </c:pt>
                <c:pt idx="1138">
                  <c:v>2.0697903546034653E-3</c:v>
                </c:pt>
                <c:pt idx="1139">
                  <c:v>2.0768861364938774E-3</c:v>
                </c:pt>
                <c:pt idx="1140">
                  <c:v>2.0839868818761432E-3</c:v>
                </c:pt>
                <c:pt idx="1141">
                  <c:v>2.0910926131048144E-3</c:v>
                </c:pt>
                <c:pt idx="1142">
                  <c:v>2.1124399454147177E-3</c:v>
                </c:pt>
                <c:pt idx="1143">
                  <c:v>2.1195658435744754E-3</c:v>
                </c:pt>
                <c:pt idx="1144">
                  <c:v>2.1266968393533767E-3</c:v>
                </c:pt>
                <c:pt idx="1145">
                  <c:v>2.1338329551059635E-3</c:v>
                </c:pt>
                <c:pt idx="1146">
                  <c:v>2.1409742131867867E-3</c:v>
                </c:pt>
                <c:pt idx="1147">
                  <c:v>2.1624290649441564E-3</c:v>
                </c:pt>
                <c:pt idx="1148">
                  <c:v>2.1695911158834012E-3</c:v>
                </c:pt>
                <c:pt idx="1149">
                  <c:v>2.1767584209236206E-3</c:v>
                </c:pt>
                <c:pt idx="1150">
                  <c:v>2.1839310024193617E-3</c:v>
                </c:pt>
                <c:pt idx="1151">
                  <c:v>2.1911088827251744E-3</c:v>
                </c:pt>
                <c:pt idx="1152">
                  <c:v>2.2126745400485003E-3</c:v>
                </c:pt>
                <c:pt idx="1153">
                  <c:v>2.219873839140065E-3</c:v>
                </c:pt>
                <c:pt idx="1154">
                  <c:v>2.2270785488144387E-3</c:v>
                </c:pt>
                <c:pt idx="1155">
                  <c:v>2.2342886789972565E-3</c:v>
                </c:pt>
                <c:pt idx="1156">
                  <c:v>2.2415041898985245E-3</c:v>
                </c:pt>
                <c:pt idx="1157">
                  <c:v>2.2631824847239466E-3</c:v>
                </c:pt>
                <c:pt idx="1158">
                  <c:v>2.2704189963099423E-3</c:v>
                </c:pt>
                <c:pt idx="1159">
                  <c:v>2.2776606275198511E-3</c:v>
                </c:pt>
                <c:pt idx="1160">
                  <c:v>2.2849073261347707E-3</c:v>
                </c:pt>
                <c:pt idx="1161">
                  <c:v>2.2921590399357897E-3</c:v>
                </c:pt>
                <c:pt idx="1162">
                  <c:v>2.313943750266396E-3</c:v>
                </c:pt>
                <c:pt idx="1163">
                  <c:v>2.3212150026227594E-3</c:v>
                </c:pt>
                <c:pt idx="1164">
                  <c:v>2.3284910090706898E-3</c:v>
                </c:pt>
                <c:pt idx="1165">
                  <c:v>2.3357717173912817E-3</c:v>
                </c:pt>
                <c:pt idx="1166">
                  <c:v>2.3430570753656321E-3</c:v>
                </c:pt>
                <c:pt idx="1167">
                  <c:v>2.3649405250221463E-3</c:v>
                </c:pt>
                <c:pt idx="1168">
                  <c:v>2.3722439594224512E-3</c:v>
                </c:pt>
                <c:pt idx="1169">
                  <c:v>2.3795517823819779E-3</c:v>
                </c:pt>
                <c:pt idx="1170">
                  <c:v>2.3868639416818227E-3</c:v>
                </c:pt>
                <c:pt idx="1171">
                  <c:v>2.416154897906224E-3</c:v>
                </c:pt>
                <c:pt idx="1172">
                  <c:v>2.4234879556240493E-3</c:v>
                </c:pt>
                <c:pt idx="1173">
                  <c:v>2.4308250363687485E-3</c:v>
                </c:pt>
                <c:pt idx="1174">
                  <c:v>2.4381660879214204E-3</c:v>
                </c:pt>
                <c:pt idx="1175">
                  <c:v>2.4676495966992119E-3</c:v>
                </c:pt>
                <c:pt idx="1176">
                  <c:v>2.4750299292495529E-3</c:v>
                </c:pt>
                <c:pt idx="1177">
                  <c:v>2.4824139386436907E-3</c:v>
                </c:pt>
                <c:pt idx="1178">
                  <c:v>2.4898015722323451E-3</c:v>
                </c:pt>
                <c:pt idx="1179">
                  <c:v>2.4971927773662366E-3</c:v>
                </c:pt>
                <c:pt idx="1180">
                  <c:v>2.519387295546527E-3</c:v>
                </c:pt>
                <c:pt idx="1181">
                  <c:v>2.5267922603685639E-3</c:v>
                </c:pt>
                <c:pt idx="1182">
                  <c:v>2.5342005334894374E-3</c:v>
                </c:pt>
                <c:pt idx="1183">
                  <c:v>2.5416120622598674E-3</c:v>
                </c:pt>
                <c:pt idx="1184">
                  <c:v>2.5490267940305729E-3</c:v>
                </c:pt>
                <c:pt idx="1185">
                  <c:v>2.5712896808515466E-3</c:v>
                </c:pt>
                <c:pt idx="1186">
                  <c:v>2.5787166981305542E-3</c:v>
                </c:pt>
                <c:pt idx="1187">
                  <c:v>2.5861466551634401E-3</c:v>
                </c:pt>
                <c:pt idx="1188">
                  <c:v>2.5935794993009213E-3</c:v>
                </c:pt>
                <c:pt idx="1189">
                  <c:v>2.6010151778937183E-3</c:v>
                </c:pt>
                <c:pt idx="1190">
                  <c:v>2.623338693911203E-3</c:v>
                </c:pt>
                <c:pt idx="1191">
                  <c:v>2.6307851838324619E-3</c:v>
                </c:pt>
                <c:pt idx="1192">
                  <c:v>2.6382342449626363E-3</c:v>
                </c:pt>
                <c:pt idx="1193">
                  <c:v>2.645685824652444E-3</c:v>
                </c:pt>
                <c:pt idx="1194">
                  <c:v>2.6531398702526088E-3</c:v>
                </c:pt>
                <c:pt idx="1195">
                  <c:v>2.6755162760224334E-3</c:v>
                </c:pt>
                <c:pt idx="1196">
                  <c:v>2.682979658771218E-3</c:v>
                </c:pt>
                <c:pt idx="1197">
                  <c:v>2.6904452441839583E-3</c:v>
                </c:pt>
                <c:pt idx="1198">
                  <c:v>2.6979129796113727E-3</c:v>
                </c:pt>
                <c:pt idx="1199">
                  <c:v>2.7053828124041814E-3</c:v>
                </c:pt>
                <c:pt idx="1200">
                  <c:v>2.7278043684821744E-3</c:v>
                </c:pt>
                <c:pt idx="1201">
                  <c:v>2.7352820642437617E-3</c:v>
                </c:pt>
                <c:pt idx="1202">
                  <c:v>2.7427615941243433E-3</c:v>
                </c:pt>
                <c:pt idx="1203">
                  <c:v>2.7502429054746392E-3</c:v>
                </c:pt>
                <c:pt idx="1204">
                  <c:v>2.7577259456453697E-3</c:v>
                </c:pt>
                <c:pt idx="1205">
                  <c:v>2.7801849125873614E-3</c:v>
                </c:pt>
                <c:pt idx="1206">
                  <c:v>2.787674341547028E-3</c:v>
                </c:pt>
                <c:pt idx="1207">
                  <c:v>2.7951652360807279E-3</c:v>
                </c:pt>
                <c:pt idx="1208">
                  <c:v>2.8026575435391816E-3</c:v>
                </c:pt>
                <c:pt idx="1209">
                  <c:v>2.8101512112731091E-3</c:v>
                </c:pt>
                <c:pt idx="1210">
                  <c:v>2.8326398496349332E-3</c:v>
                </c:pt>
                <c:pt idx="1211">
                  <c:v>2.8401384319779554E-3</c:v>
                </c:pt>
                <c:pt idx="1212">
                  <c:v>2.8476381113500477E-3</c:v>
                </c:pt>
                <c:pt idx="1213">
                  <c:v>2.8551388351019361E-3</c:v>
                </c:pt>
                <c:pt idx="1214">
                  <c:v>2.8626405505843369E-3</c:v>
                </c:pt>
                <c:pt idx="1215">
                  <c:v>2.8851511209218206E-3</c:v>
                </c:pt>
                <c:pt idx="1216">
                  <c:v>2.8926562768334741E-3</c:v>
                </c:pt>
                <c:pt idx="1217">
                  <c:v>2.9001621737294492E-3</c:v>
                </c:pt>
                <c:pt idx="1218">
                  <c:v>2.9076688214615264E-3</c:v>
                </c:pt>
                <c:pt idx="1219">
                  <c:v>2.9151762423816814E-3</c:v>
                </c:pt>
                <c:pt idx="1220">
                  <c:v>2.9377033677904932E-3</c:v>
                </c:pt>
                <c:pt idx="1221">
                  <c:v>2.9452141049828269E-3</c:v>
                </c:pt>
                <c:pt idx="1222">
                  <c:v>2.9527257271231657E-3</c:v>
                </c:pt>
                <c:pt idx="1223">
                  <c:v>2.9602382565634957E-3</c:v>
                </c:pt>
                <c:pt idx="1224">
                  <c:v>2.9677517156557979E-3</c:v>
                </c:pt>
                <c:pt idx="1225">
                  <c:v>2.9902978943644109E-3</c:v>
                </c:pt>
                <c:pt idx="1226">
                  <c:v>2.9978152955844641E-3</c:v>
                </c:pt>
                <c:pt idx="1227">
                  <c:v>3.0053337382164153E-3</c:v>
                </c:pt>
                <c:pt idx="1228">
                  <c:v>3.0128532446122504E-3</c:v>
                </c:pt>
                <c:pt idx="1229">
                  <c:v>3.0203738371239537E-3</c:v>
                </c:pt>
                <c:pt idx="1230">
                  <c:v>3.0429423548741169E-3</c:v>
                </c:pt>
                <c:pt idx="1231">
                  <c:v>3.0504675153691396E-3</c:v>
                </c:pt>
                <c:pt idx="1232">
                  <c:v>3.0579938737399538E-3</c:v>
                </c:pt>
                <c:pt idx="1233">
                  <c:v>3.065521452338545E-3</c:v>
                </c:pt>
                <c:pt idx="1234">
                  <c:v>3.0730502735168974E-3</c:v>
                </c:pt>
                <c:pt idx="1235">
                  <c:v>3.0956444160503667E-3</c:v>
                </c:pt>
                <c:pt idx="1236">
                  <c:v>3.1031784310676081E-3</c:v>
                </c:pt>
                <c:pt idx="1237">
                  <c:v>3.1107138004245359E-3</c:v>
                </c:pt>
                <c:pt idx="1238">
                  <c:v>3.1182505464731332E-3</c:v>
                </c:pt>
                <c:pt idx="1239">
                  <c:v>3.1559557094106255E-3</c:v>
                </c:pt>
                <c:pt idx="1240">
                  <c:v>3.1635011850009173E-3</c:v>
                </c:pt>
                <c:pt idx="1241">
                  <c:v>3.17104819374677E-3</c:v>
                </c:pt>
                <c:pt idx="1242">
                  <c:v>3.1785967580001714E-3</c:v>
                </c:pt>
                <c:pt idx="1243">
                  <c:v>3.2012520073255056E-3</c:v>
                </c:pt>
                <c:pt idx="1244">
                  <c:v>3.2088070171289416E-3</c:v>
                </c:pt>
                <c:pt idx="1245">
                  <c:v>3.2163636941998485E-3</c:v>
                </c:pt>
                <c:pt idx="1246">
                  <c:v>3.2239220608902106E-3</c:v>
                </c:pt>
                <c:pt idx="1247">
                  <c:v>3.2314821395520131E-3</c:v>
                </c:pt>
                <c:pt idx="1248">
                  <c:v>3.2541728708859034E-3</c:v>
                </c:pt>
                <c:pt idx="1249">
                  <c:v>3.2617400209533124E-3</c:v>
                </c:pt>
                <c:pt idx="1250">
                  <c:v>3.2693089947520848E-3</c:v>
                </c:pt>
                <c:pt idx="1251">
                  <c:v>3.2768798146342059E-3</c:v>
                </c:pt>
                <c:pt idx="1252">
                  <c:v>3.2844525029516588E-3</c:v>
                </c:pt>
                <c:pt idx="1253">
                  <c:v>3.3071820020358616E-3</c:v>
                </c:pt>
                <c:pt idx="1254">
                  <c:v>3.3147623876144936E-3</c:v>
                </c:pt>
                <c:pt idx="1255">
                  <c:v>3.3223447533883817E-3</c:v>
                </c:pt>
                <c:pt idx="1256">
                  <c:v>3.3299291217095111E-3</c:v>
                </c:pt>
                <c:pt idx="1257">
                  <c:v>3.3375155149298662E-3</c:v>
                </c:pt>
                <c:pt idx="1258">
                  <c:v>3.3602870675061339E-3</c:v>
                </c:pt>
                <c:pt idx="1259">
                  <c:v>3.3678817838432387E-3</c:v>
                </c:pt>
                <c:pt idx="1260">
                  <c:v>3.3754786368394912E-3</c:v>
                </c:pt>
                <c:pt idx="1261">
                  <c:v>3.3830776488468798E-3</c:v>
                </c:pt>
                <c:pt idx="1262">
                  <c:v>3.3906788422173877E-3</c:v>
                </c:pt>
                <c:pt idx="1263">
                  <c:v>3.4134957340274702E-3</c:v>
                </c:pt>
                <c:pt idx="1264">
                  <c:v>3.4211058763702995E-3</c:v>
                </c:pt>
                <c:pt idx="1265">
                  <c:v>3.4287183118361718E-3</c:v>
                </c:pt>
                <c:pt idx="1266">
                  <c:v>3.4363330627770711E-3</c:v>
                </c:pt>
                <c:pt idx="1267">
                  <c:v>3.4439501515449787E-3</c:v>
                </c:pt>
                <c:pt idx="1268">
                  <c:v>3.4668156683306281E-3</c:v>
                </c:pt>
                <c:pt idx="1269">
                  <c:v>3.4744423319264324E-3</c:v>
                </c:pt>
                <c:pt idx="1270">
                  <c:v>3.4820714451091724E-3</c:v>
                </c:pt>
                <c:pt idx="1271">
                  <c:v>3.4897030302308315E-3</c:v>
                </c:pt>
                <c:pt idx="1272">
                  <c:v>3.4973371096433956E-3</c:v>
                </c:pt>
                <c:pt idx="1273">
                  <c:v>3.5202545371463604E-3</c:v>
                </c:pt>
                <c:pt idx="1274">
                  <c:v>3.5278988172423903E-3</c:v>
                </c:pt>
                <c:pt idx="1275">
                  <c:v>3.5355457033892481E-3</c:v>
                </c:pt>
                <c:pt idx="1276">
                  <c:v>3.5431952179389185E-3</c:v>
                </c:pt>
                <c:pt idx="1277">
                  <c:v>3.5508473832433873E-3</c:v>
                </c:pt>
                <c:pt idx="1278">
                  <c:v>3.5738200072054243E-3</c:v>
                </c:pt>
                <c:pt idx="1279">
                  <c:v>3.5814829990489278E-3</c:v>
                </c:pt>
                <c:pt idx="1280">
                  <c:v>3.5891487534071547E-3</c:v>
                </c:pt>
                <c:pt idx="1281">
                  <c:v>3.5968172872243337E-3</c:v>
                </c:pt>
                <c:pt idx="1282">
                  <c:v>3.6044885958136869E-3</c:v>
                </c:pt>
                <c:pt idx="1283">
                  <c:v>3.6275190692694622E-3</c:v>
                </c:pt>
                <c:pt idx="1284">
                  <c:v>3.6352013760021845E-3</c:v>
                </c:pt>
                <c:pt idx="1285">
                  <c:v>3.6428864070344167E-3</c:v>
                </c:pt>
                <c:pt idx="1286">
                  <c:v>3.650574152271626E-3</c:v>
                </c:pt>
                <c:pt idx="1287">
                  <c:v>3.658264601619284E-3</c:v>
                </c:pt>
                <c:pt idx="1288">
                  <c:v>3.6813520733796103E-3</c:v>
                </c:pt>
                <c:pt idx="1289">
                  <c:v>3.6890532382237284E-3</c:v>
                </c:pt>
                <c:pt idx="1290">
                  <c:v>3.6967570567056304E-3</c:v>
                </c:pt>
                <c:pt idx="1291">
                  <c:v>3.7044635187307843E-3</c:v>
                </c:pt>
                <c:pt idx="1292">
                  <c:v>3.7121726142046569E-3</c:v>
                </c:pt>
                <c:pt idx="1293">
                  <c:v>3.7353156003732623E-3</c:v>
                </c:pt>
                <c:pt idx="1294">
                  <c:v>3.7430351286966866E-3</c:v>
                </c:pt>
                <c:pt idx="1295">
                  <c:v>3.7507572399961679E-3</c:v>
                </c:pt>
                <c:pt idx="1296">
                  <c:v>3.7584819241771733E-3</c:v>
                </c:pt>
                <c:pt idx="1297">
                  <c:v>3.7662091711451709E-3</c:v>
                </c:pt>
                <c:pt idx="1298">
                  <c:v>3.7894061878257878E-3</c:v>
                </c:pt>
                <c:pt idx="1299">
                  <c:v>3.7971435849964278E-3</c:v>
                </c:pt>
                <c:pt idx="1300">
                  <c:v>3.8048834944813979E-3</c:v>
                </c:pt>
                <c:pt idx="1301">
                  <c:v>3.8126259061861656E-3</c:v>
                </c:pt>
                <c:pt idx="1302">
                  <c:v>3.8203708100161978E-3</c:v>
                </c:pt>
                <c:pt idx="1303">
                  <c:v>3.8436203733125574E-3</c:v>
                </c:pt>
                <c:pt idx="1304">
                  <c:v>3.8513751446983243E-3</c:v>
                </c:pt>
                <c:pt idx="1305">
                  <c:v>3.85913235773669E-3</c:v>
                </c:pt>
                <c:pt idx="1306">
                  <c:v>3.8668920023331296E-3</c:v>
                </c:pt>
                <c:pt idx="1307">
                  <c:v>3.8746540683931058E-3</c:v>
                </c:pt>
                <c:pt idx="1308">
                  <c:v>3.897954694408937E-3</c:v>
                </c:pt>
                <c:pt idx="1309">
                  <c:v>3.9057263453777394E-3</c:v>
                </c:pt>
                <c:pt idx="1310">
                  <c:v>3.9135003673374143E-3</c:v>
                </c:pt>
                <c:pt idx="1311">
                  <c:v>3.9212767501934373E-3</c:v>
                </c:pt>
                <c:pt idx="1312">
                  <c:v>3.9290554838512662E-3</c:v>
                </c:pt>
                <c:pt idx="1313">
                  <c:v>3.9524056886902975E-3</c:v>
                </c:pt>
                <c:pt idx="1314">
                  <c:v>3.9601937246100463E-3</c:v>
                </c:pt>
                <c:pt idx="1315">
                  <c:v>3.9679840608589428E-3</c:v>
                </c:pt>
                <c:pt idx="1316">
                  <c:v>3.975776687342455E-3</c:v>
                </c:pt>
                <c:pt idx="1317">
                  <c:v>3.9835715939660473E-3</c:v>
                </c:pt>
                <c:pt idx="1318">
                  <c:v>4.0069698937320103E-3</c:v>
                </c:pt>
                <c:pt idx="1319">
                  <c:v>4.014773819970615E-3</c:v>
                </c:pt>
                <c:pt idx="1320">
                  <c:v>4.0225799758766391E-3</c:v>
                </c:pt>
                <c:pt idx="1321">
                  <c:v>4.0303883513555534E-3</c:v>
                </c:pt>
                <c:pt idx="1322">
                  <c:v>4.0381989363128231E-3</c:v>
                </c:pt>
                <c:pt idx="1323">
                  <c:v>4.0616438471094444E-3</c:v>
                </c:pt>
                <c:pt idx="1324">
                  <c:v>4.0694631690348119E-3</c:v>
                </c:pt>
                <c:pt idx="1325">
                  <c:v>4.0772846499658759E-3</c:v>
                </c:pt>
                <c:pt idx="1326">
                  <c:v>4.0851082798081008E-3</c:v>
                </c:pt>
                <c:pt idx="1327">
                  <c:v>4.0929340484669547E-3</c:v>
                </c:pt>
                <c:pt idx="1328">
                  <c:v>4.1164240863979682E-3</c:v>
                </c:pt>
                <c:pt idx="1329">
                  <c:v>4.1242583093780106E-3</c:v>
                </c:pt>
                <c:pt idx="1330">
                  <c:v>4.1320946207020256E-3</c:v>
                </c:pt>
                <c:pt idx="1331">
                  <c:v>4.1399330102754699E-3</c:v>
                </c:pt>
                <c:pt idx="1332">
                  <c:v>4.1477734680038176E-3</c:v>
                </c:pt>
                <c:pt idx="1333">
                  <c:v>4.17130714917295E-3</c:v>
                </c:pt>
                <c:pt idx="1334">
                  <c:v>4.1791557785755811E-3</c:v>
                </c:pt>
                <c:pt idx="1335">
                  <c:v>4.1870064256604514E-3</c:v>
                </c:pt>
                <c:pt idx="1336">
                  <c:v>4.1948590803330271E-3</c:v>
                </c:pt>
                <c:pt idx="1337">
                  <c:v>4.2027137324987824E-3</c:v>
                </c:pt>
                <c:pt idx="1338">
                  <c:v>4.2262895730097614E-3</c:v>
                </c:pt>
                <c:pt idx="1339">
                  <c:v>4.2341521142028882E-3</c:v>
                </c:pt>
                <c:pt idx="1340">
                  <c:v>4.2420166024165267E-3</c:v>
                </c:pt>
                <c:pt idx="1341">
                  <c:v>4.249883027556146E-3</c:v>
                </c:pt>
                <c:pt idx="1342">
                  <c:v>4.2577513795272123E-3</c:v>
                </c:pt>
                <c:pt idx="1343">
                  <c:v>4.2813678954837699E-3</c:v>
                </c:pt>
                <c:pt idx="1344">
                  <c:v>4.2892438538353027E-3</c:v>
                </c:pt>
                <c:pt idx="1345">
                  <c:v>4.2971216885456208E-3</c:v>
                </c:pt>
                <c:pt idx="1346">
                  <c:v>4.3050013895201905E-3</c:v>
                </c:pt>
                <c:pt idx="1347">
                  <c:v>4.3128829555512966E-3</c:v>
                </c:pt>
                <c:pt idx="1348">
                  <c:v>4.3365392229265231E-3</c:v>
                </c:pt>
                <c:pt idx="1349">
                  <c:v>4.3444286459001025E-3</c:v>
                </c:pt>
                <c:pt idx="1350">
                  <c:v>4.352320141175192E-3</c:v>
                </c:pt>
                <c:pt idx="1351">
                  <c:v>4.3602137519781576E-3</c:v>
                </c:pt>
                <c:pt idx="1352">
                  <c:v>4.3681095215353559E-3</c:v>
                </c:pt>
                <c:pt idx="1353">
                  <c:v>4.3918102149959389E-3</c:v>
                </c:pt>
                <c:pt idx="1354">
                  <c:v>4.3997150518336591E-3</c:v>
                </c:pt>
                <c:pt idx="1355">
                  <c:v>4.4076222635574033E-3</c:v>
                </c:pt>
                <c:pt idx="1356">
                  <c:v>4.4155318933935409E-3</c:v>
                </c:pt>
                <c:pt idx="1357">
                  <c:v>4.4234439845684172E-3</c:v>
                </c:pt>
                <c:pt idx="1358">
                  <c:v>4.4471954583891185E-3</c:v>
                </c:pt>
                <c:pt idx="1359">
                  <c:v>4.4551178271825696E-3</c:v>
                </c:pt>
                <c:pt idx="1360">
                  <c:v>4.4630428734465611E-3</c:v>
                </c:pt>
                <c:pt idx="1361">
                  <c:v>4.4709706404074514E-3</c:v>
                </c:pt>
                <c:pt idx="1362">
                  <c:v>4.4789011712915959E-3</c:v>
                </c:pt>
                <c:pt idx="1363">
                  <c:v>4.5027097797471797E-3</c:v>
                </c:pt>
                <c:pt idx="1364">
                  <c:v>4.5106517985879493E-3</c:v>
                </c:pt>
                <c:pt idx="1365">
                  <c:v>4.5185967974837732E-3</c:v>
                </c:pt>
                <c:pt idx="1366">
                  <c:v>4.526544819661007E-3</c:v>
                </c:pt>
                <c:pt idx="1367">
                  <c:v>4.5344959083460116E-3</c:v>
                </c:pt>
                <c:pt idx="1368">
                  <c:v>4.5583680057112407E-3</c:v>
                </c:pt>
                <c:pt idx="1369">
                  <c:v>4.5663317926909154E-3</c:v>
                </c:pt>
                <c:pt idx="1370">
                  <c:v>4.5742988623101583E-3</c:v>
                </c:pt>
                <c:pt idx="1371">
                  <c:v>4.5822692577953241E-3</c:v>
                </c:pt>
                <c:pt idx="1372">
                  <c:v>4.5902430223727754E-3</c:v>
                </c:pt>
                <c:pt idx="1373">
                  <c:v>4.6141849629224132E-3</c:v>
                </c:pt>
                <c:pt idx="1374">
                  <c:v>4.6221726361325823E-3</c:v>
                </c:pt>
                <c:pt idx="1375">
                  <c:v>4.6301638945668352E-3</c:v>
                </c:pt>
                <c:pt idx="1376">
                  <c:v>4.6381587814515205E-3</c:v>
                </c:pt>
                <c:pt idx="1377">
                  <c:v>4.6461573400130036E-3</c:v>
                </c:pt>
                <c:pt idx="1378">
                  <c:v>4.6701754780218152E-3</c:v>
                </c:pt>
                <c:pt idx="1379">
                  <c:v>4.6781891555540706E-3</c:v>
                </c:pt>
                <c:pt idx="1380">
                  <c:v>4.6862067208949159E-3</c:v>
                </c:pt>
                <c:pt idx="1381">
                  <c:v>4.6942282172707074E-3</c:v>
                </c:pt>
                <c:pt idx="1382">
                  <c:v>4.7022536879078149E-3</c:v>
                </c:pt>
                <c:pt idx="1383">
                  <c:v>4.7263543776505631E-3</c:v>
                </c:pt>
                <c:pt idx="1384">
                  <c:v>4.7343961775964888E-3</c:v>
                </c:pt>
                <c:pt idx="1385">
                  <c:v>4.7424421679355183E-3</c:v>
                </c:pt>
                <c:pt idx="1386">
                  <c:v>4.7504923918940097E-3</c:v>
                </c:pt>
                <c:pt idx="1387">
                  <c:v>4.7585468926983222E-3</c:v>
                </c:pt>
                <c:pt idx="1388">
                  <c:v>4.7827364884497712E-3</c:v>
                </c:pt>
                <c:pt idx="1389">
                  <c:v>4.7908085289009566E-3</c:v>
                </c:pt>
                <c:pt idx="1390">
                  <c:v>4.7988850623297569E-3</c:v>
                </c:pt>
                <c:pt idx="1391">
                  <c:v>4.8069661319625331E-3</c:v>
                </c:pt>
                <c:pt idx="1392">
                  <c:v>4.8150517810256425E-3</c:v>
                </c:pt>
                <c:pt idx="1393">
                  <c:v>4.8393366370605567E-3</c:v>
                </c:pt>
                <c:pt idx="1394">
                  <c:v>4.8474410361085893E-3</c:v>
                </c:pt>
                <c:pt idx="1395">
                  <c:v>4.8555502307187507E-3</c:v>
                </c:pt>
                <c:pt idx="1396">
                  <c:v>4.8636642641173983E-3</c:v>
                </c:pt>
                <c:pt idx="1397">
                  <c:v>4.8717831795308912E-3</c:v>
                </c:pt>
                <c:pt idx="1398">
                  <c:v>4.8961696501240394E-3</c:v>
                </c:pt>
                <c:pt idx="1399">
                  <c:v>4.9043085258605066E-3</c:v>
                </c:pt>
                <c:pt idx="1400">
                  <c:v>4.9124524997436123E-3</c:v>
                </c:pt>
                <c:pt idx="1401">
                  <c:v>4.9206016149997206E-3</c:v>
                </c:pt>
                <c:pt idx="1402">
                  <c:v>4.9287559148551881E-3</c:v>
                </c:pt>
                <c:pt idx="1403">
                  <c:v>4.9532503542813284E-3</c:v>
                </c:pt>
                <c:pt idx="1404">
                  <c:v>4.9614258247978188E-3</c:v>
                </c:pt>
                <c:pt idx="1405">
                  <c:v>4.9696066960454631E-3</c:v>
                </c:pt>
                <c:pt idx="1406">
                  <c:v>4.9777930112506188E-3</c:v>
                </c:pt>
                <c:pt idx="1407">
                  <c:v>4.9859848136396441E-3</c:v>
                </c:pt>
                <c:pt idx="1408">
                  <c:v>5.0105935761735419E-3</c:v>
                </c:pt>
                <c:pt idx="1409">
                  <c:v>5.0188077595616437E-3</c:v>
                </c:pt>
                <c:pt idx="1410">
                  <c:v>5.0270276462654117E-3</c:v>
                </c:pt>
                <c:pt idx="1411">
                  <c:v>5.0352532795112041E-3</c:v>
                </c:pt>
                <c:pt idx="1412">
                  <c:v>5.0434846853941399E-3</c:v>
                </c:pt>
                <c:pt idx="1413">
                  <c:v>5.0682130460424288E-3</c:v>
                </c:pt>
                <c:pt idx="1414">
                  <c:v>5.0764670153880817E-3</c:v>
                </c:pt>
                <c:pt idx="1415">
                  <c:v>5.0847264766967068E-3</c:v>
                </c:pt>
                <c:pt idx="1416">
                  <c:v>5.0929913704072247E-3</c:v>
                </c:pt>
                <c:pt idx="1417">
                  <c:v>5.1012616369585538E-3</c:v>
                </c:pt>
                <c:pt idx="1418">
                  <c:v>5.1261040780465816E-3</c:v>
                </c:pt>
                <c:pt idx="1419">
                  <c:v>5.134395240350329E-3</c:v>
                </c:pt>
                <c:pt idx="1420">
                  <c:v>5.1426914776894804E-3</c:v>
                </c:pt>
                <c:pt idx="1421">
                  <c:v>5.1509927305029507E-3</c:v>
                </c:pt>
                <c:pt idx="1422">
                  <c:v>5.1592989392296581E-3</c:v>
                </c:pt>
                <c:pt idx="1423">
                  <c:v>5.1842467052783808E-3</c:v>
                </c:pt>
                <c:pt idx="1424">
                  <c:v>5.1925721420472163E-3</c:v>
                </c:pt>
                <c:pt idx="1425">
                  <c:v>5.2009022369238784E-3</c:v>
                </c:pt>
                <c:pt idx="1426">
                  <c:v>5.2092369303472818E-3</c:v>
                </c:pt>
                <c:pt idx="1427">
                  <c:v>5.2175761627563533E-3</c:v>
                </c:pt>
                <c:pt idx="1428">
                  <c:v>5.2426204982867269E-3</c:v>
                </c:pt>
                <c:pt idx="1429">
                  <c:v>5.250977291027633E-3</c:v>
                </c:pt>
                <c:pt idx="1430">
                  <c:v>5.2593383249487915E-3</c:v>
                </c:pt>
                <c:pt idx="1431">
                  <c:v>5.2677035404891217E-3</c:v>
                </c:pt>
                <c:pt idx="1432">
                  <c:v>5.2760728780875425E-3</c:v>
                </c:pt>
                <c:pt idx="1433">
                  <c:v>5.3012050276205229E-3</c:v>
                </c:pt>
                <c:pt idx="1434">
                  <c:v>5.3095902578404837E-3</c:v>
                </c:pt>
                <c:pt idx="1435">
                  <c:v>5.3179793123131246E-3</c:v>
                </c:pt>
                <c:pt idx="1436">
                  <c:v>5.3263721314773648E-3</c:v>
                </c:pt>
                <c:pt idx="1437">
                  <c:v>5.3347686557721208E-3</c:v>
                </c:pt>
                <c:pt idx="1438">
                  <c:v>5.3599798638286665E-3</c:v>
                </c:pt>
                <c:pt idx="1439">
                  <c:v>5.3683906130346688E-3</c:v>
                </c:pt>
                <c:pt idx="1440">
                  <c:v>5.3768047695657772E-3</c:v>
                </c:pt>
                <c:pt idx="1441">
                  <c:v>5.3852222738609125E-3</c:v>
                </c:pt>
                <c:pt idx="1442">
                  <c:v>5.3936430663589895E-3</c:v>
                </c:pt>
                <c:pt idx="1443">
                  <c:v>5.4189245774600601E-3</c:v>
                </c:pt>
                <c:pt idx="1444">
                  <c:v>5.4273579271590907E-3</c:v>
                </c:pt>
                <c:pt idx="1445">
                  <c:v>5.4357942672556506E-3</c:v>
                </c:pt>
                <c:pt idx="1446">
                  <c:v>5.4442335381886661E-3</c:v>
                </c:pt>
                <c:pt idx="1447">
                  <c:v>5.45267568039705E-3</c:v>
                </c:pt>
                <c:pt idx="1448">
                  <c:v>5.4780187390636014E-3</c:v>
                </c:pt>
                <c:pt idx="1449">
                  <c:v>5.4864717707626444E-3</c:v>
                </c:pt>
                <c:pt idx="1450">
                  <c:v>5.4949273759316479E-3</c:v>
                </c:pt>
                <c:pt idx="1451">
                  <c:v>5.5033854950095277E-3</c:v>
                </c:pt>
                <c:pt idx="1452">
                  <c:v>5.5118460684352028E-3</c:v>
                </c:pt>
                <c:pt idx="1453">
                  <c:v>5.5372419191881891E-3</c:v>
                </c:pt>
                <c:pt idx="1454">
                  <c:v>5.5457117143942313E-3</c:v>
                </c:pt>
                <c:pt idx="1455">
                  <c:v>5.5541836661426591E-3</c:v>
                </c:pt>
                <c:pt idx="1456">
                  <c:v>5.5626577148723926E-3</c:v>
                </c:pt>
                <c:pt idx="1457">
                  <c:v>5.5711338010223481E-3</c:v>
                </c:pt>
                <c:pt idx="1458">
                  <c:v>5.5965736883827272E-3</c:v>
                </c:pt>
                <c:pt idx="1459">
                  <c:v>5.6050573286027536E-3</c:v>
                </c:pt>
                <c:pt idx="1460">
                  <c:v>5.6135427084375925E-3</c:v>
                </c:pt>
                <c:pt idx="1461">
                  <c:v>5.6220297683261629E-3</c:v>
                </c:pt>
                <c:pt idx="1462">
                  <c:v>5.630518448707383E-3</c:v>
                </c:pt>
                <c:pt idx="1463">
                  <c:v>5.655993617196116E-3</c:v>
                </c:pt>
                <c:pt idx="1464">
                  <c:v>5.66448818393711E-3</c:v>
                </c:pt>
                <c:pt idx="1465">
                  <c:v>5.6729840733653449E-3</c:v>
                </c:pt>
                <c:pt idx="1466">
                  <c:v>5.6814812259197399E-3</c:v>
                </c:pt>
                <c:pt idx="1467">
                  <c:v>5.689979582039208E-3</c:v>
                </c:pt>
                <c:pt idx="1468">
                  <c:v>5.7154812761772509E-3</c:v>
                </c:pt>
                <c:pt idx="1469">
                  <c:v>5.7239838509462035E-3</c:v>
                </c:pt>
                <c:pt idx="1470">
                  <c:v>5.7324873314748221E-3</c:v>
                </c:pt>
                <c:pt idx="1471">
                  <c:v>5.7409916582020215E-3</c:v>
                </c:pt>
                <c:pt idx="1472">
                  <c:v>5.7494967715667261E-3</c:v>
                </c:pt>
                <c:pt idx="1473">
                  <c:v>5.7750162358750348E-3</c:v>
                </c:pt>
                <c:pt idx="1474">
                  <c:v>5.7835239001789284E-3</c:v>
                </c:pt>
                <c:pt idx="1475">
                  <c:v>5.7920320533149149E-3</c:v>
                </c:pt>
                <c:pt idx="1476">
                  <c:v>5.800540642510706E-3</c:v>
                </c:pt>
                <c:pt idx="1477">
                  <c:v>5.8090496421492142E-3</c:v>
                </c:pt>
                <c:pt idx="1478">
                  <c:v>5.834578915437991E-3</c:v>
                </c:pt>
                <c:pt idx="1479">
                  <c:v>5.8430893685643397E-3</c:v>
                </c:pt>
                <c:pt idx="1480">
                  <c:v>5.8516001379918985E-3</c:v>
                </c:pt>
                <c:pt idx="1481">
                  <c:v>5.860111204892369E-3</c:v>
                </c:pt>
                <c:pt idx="1482">
                  <c:v>5.8686225504374495E-3</c:v>
                </c:pt>
                <c:pt idx="1483">
                  <c:v>5.8941580706573576E-3</c:v>
                </c:pt>
                <c:pt idx="1484">
                  <c:v>5.9026703424978847E-3</c:v>
                </c:pt>
                <c:pt idx="1485">
                  <c:v>5.9111827988415216E-3</c:v>
                </c:pt>
                <c:pt idx="1486">
                  <c:v>5.919695420859971E-3</c:v>
                </c:pt>
                <c:pt idx="1487">
                  <c:v>5.9282081897249319E-3</c:v>
                </c:pt>
                <c:pt idx="1488">
                  <c:v>5.9537471891158798E-3</c:v>
                </c:pt>
                <c:pt idx="1489">
                  <c:v>5.9622603570838872E-3</c:v>
                </c:pt>
                <c:pt idx="1490">
                  <c:v>5.970773577756907E-3</c:v>
                </c:pt>
                <c:pt idx="1491">
                  <c:v>5.9792868323066371E-3</c:v>
                </c:pt>
                <c:pt idx="1492">
                  <c:v>5.9878001019047803E-3</c:v>
                </c:pt>
                <c:pt idx="1493">
                  <c:v>6.0133398127066792E-3</c:v>
                </c:pt>
                <c:pt idx="1494">
                  <c:v>6.0218529542154708E-3</c:v>
                </c:pt>
                <c:pt idx="1495">
                  <c:v>6.0303660166311709E-3</c:v>
                </c:pt>
                <c:pt idx="1496">
                  <c:v>6.0388789811254865E-3</c:v>
                </c:pt>
                <c:pt idx="1497">
                  <c:v>6.0473918288701141E-3</c:v>
                </c:pt>
                <c:pt idx="1498">
                  <c:v>6.0729294833228708E-3</c:v>
                </c:pt>
                <c:pt idx="1499">
                  <c:v>6.0814416757857476E-3</c:v>
                </c:pt>
              </c:numCache>
            </c:numRef>
          </c:val>
          <c:smooth val="0"/>
        </c:ser>
        <c:ser>
          <c:idx val="0"/>
          <c:order val="3"/>
          <c:tx>
            <c:strRef>
              <c:f>Forwards!$M$9</c:f>
              <c:strCache>
                <c:ptCount val="1"/>
                <c:pt idx="0">
                  <c:v>EUR6ML</c:v>
                </c:pt>
              </c:strCache>
            </c:strRef>
          </c:tx>
          <c:marker>
            <c:symbol val="none"/>
          </c:marker>
          <c:cat>
            <c:numRef>
              <c:f>Forwards!$C$15:$C$1514</c:f>
              <c:numCache>
                <c:formatCode>d\-mmm\-yy</c:formatCode>
                <c:ptCount val="1500"/>
                <c:pt idx="0">
                  <c:v>42521</c:v>
                </c:pt>
                <c:pt idx="1">
                  <c:v>42522</c:v>
                </c:pt>
                <c:pt idx="2">
                  <c:v>42523</c:v>
                </c:pt>
                <c:pt idx="3">
                  <c:v>42524</c:v>
                </c:pt>
                <c:pt idx="4">
                  <c:v>42527</c:v>
                </c:pt>
                <c:pt idx="5">
                  <c:v>42528</c:v>
                </c:pt>
                <c:pt idx="6">
                  <c:v>42529</c:v>
                </c:pt>
                <c:pt idx="7">
                  <c:v>42530</c:v>
                </c:pt>
                <c:pt idx="8">
                  <c:v>42531</c:v>
                </c:pt>
                <c:pt idx="9">
                  <c:v>42534</c:v>
                </c:pt>
                <c:pt idx="10">
                  <c:v>42535</c:v>
                </c:pt>
                <c:pt idx="11">
                  <c:v>42536</c:v>
                </c:pt>
                <c:pt idx="12">
                  <c:v>42537</c:v>
                </c:pt>
                <c:pt idx="13">
                  <c:v>42538</c:v>
                </c:pt>
                <c:pt idx="14">
                  <c:v>42541</c:v>
                </c:pt>
                <c:pt idx="15">
                  <c:v>42542</c:v>
                </c:pt>
                <c:pt idx="16">
                  <c:v>42543</c:v>
                </c:pt>
                <c:pt idx="17">
                  <c:v>42544</c:v>
                </c:pt>
                <c:pt idx="18">
                  <c:v>42545</c:v>
                </c:pt>
                <c:pt idx="19">
                  <c:v>42548</c:v>
                </c:pt>
                <c:pt idx="20">
                  <c:v>42549</c:v>
                </c:pt>
                <c:pt idx="21">
                  <c:v>42550</c:v>
                </c:pt>
                <c:pt idx="22">
                  <c:v>42551</c:v>
                </c:pt>
                <c:pt idx="23">
                  <c:v>42552</c:v>
                </c:pt>
                <c:pt idx="24">
                  <c:v>42555</c:v>
                </c:pt>
                <c:pt idx="25">
                  <c:v>42556</c:v>
                </c:pt>
                <c:pt idx="26">
                  <c:v>42557</c:v>
                </c:pt>
                <c:pt idx="27">
                  <c:v>42558</c:v>
                </c:pt>
                <c:pt idx="28">
                  <c:v>42559</c:v>
                </c:pt>
                <c:pt idx="29">
                  <c:v>42562</c:v>
                </c:pt>
                <c:pt idx="30">
                  <c:v>42563</c:v>
                </c:pt>
                <c:pt idx="31">
                  <c:v>42564</c:v>
                </c:pt>
                <c:pt idx="32">
                  <c:v>42565</c:v>
                </c:pt>
                <c:pt idx="33">
                  <c:v>42566</c:v>
                </c:pt>
                <c:pt idx="34">
                  <c:v>42569</c:v>
                </c:pt>
                <c:pt idx="35">
                  <c:v>42570</c:v>
                </c:pt>
                <c:pt idx="36">
                  <c:v>42571</c:v>
                </c:pt>
                <c:pt idx="37">
                  <c:v>42572</c:v>
                </c:pt>
                <c:pt idx="38">
                  <c:v>42573</c:v>
                </c:pt>
                <c:pt idx="39">
                  <c:v>42576</c:v>
                </c:pt>
                <c:pt idx="40">
                  <c:v>42577</c:v>
                </c:pt>
                <c:pt idx="41">
                  <c:v>42578</c:v>
                </c:pt>
                <c:pt idx="42">
                  <c:v>42579</c:v>
                </c:pt>
                <c:pt idx="43">
                  <c:v>42580</c:v>
                </c:pt>
                <c:pt idx="44">
                  <c:v>42583</c:v>
                </c:pt>
                <c:pt idx="45">
                  <c:v>42584</c:v>
                </c:pt>
                <c:pt idx="46">
                  <c:v>42585</c:v>
                </c:pt>
                <c:pt idx="47">
                  <c:v>42586</c:v>
                </c:pt>
                <c:pt idx="48">
                  <c:v>42587</c:v>
                </c:pt>
                <c:pt idx="49">
                  <c:v>42590</c:v>
                </c:pt>
                <c:pt idx="50">
                  <c:v>42591</c:v>
                </c:pt>
                <c:pt idx="51">
                  <c:v>42592</c:v>
                </c:pt>
                <c:pt idx="52">
                  <c:v>42593</c:v>
                </c:pt>
                <c:pt idx="53">
                  <c:v>42594</c:v>
                </c:pt>
                <c:pt idx="54">
                  <c:v>42597</c:v>
                </c:pt>
                <c:pt idx="55">
                  <c:v>42598</c:v>
                </c:pt>
                <c:pt idx="56">
                  <c:v>42599</c:v>
                </c:pt>
                <c:pt idx="57">
                  <c:v>42600</c:v>
                </c:pt>
                <c:pt idx="58">
                  <c:v>42601</c:v>
                </c:pt>
                <c:pt idx="59">
                  <c:v>42604</c:v>
                </c:pt>
                <c:pt idx="60">
                  <c:v>42605</c:v>
                </c:pt>
                <c:pt idx="61">
                  <c:v>42606</c:v>
                </c:pt>
                <c:pt idx="62">
                  <c:v>42607</c:v>
                </c:pt>
                <c:pt idx="63">
                  <c:v>42608</c:v>
                </c:pt>
                <c:pt idx="64">
                  <c:v>42611</c:v>
                </c:pt>
                <c:pt idx="65">
                  <c:v>42612</c:v>
                </c:pt>
                <c:pt idx="66">
                  <c:v>42613</c:v>
                </c:pt>
                <c:pt idx="67">
                  <c:v>42614</c:v>
                </c:pt>
                <c:pt idx="68">
                  <c:v>42615</c:v>
                </c:pt>
                <c:pt idx="69">
                  <c:v>42618</c:v>
                </c:pt>
                <c:pt idx="70">
                  <c:v>42619</c:v>
                </c:pt>
                <c:pt idx="71">
                  <c:v>42620</c:v>
                </c:pt>
                <c:pt idx="72">
                  <c:v>42621</c:v>
                </c:pt>
                <c:pt idx="73">
                  <c:v>42622</c:v>
                </c:pt>
                <c:pt idx="74">
                  <c:v>42625</c:v>
                </c:pt>
                <c:pt idx="75">
                  <c:v>42626</c:v>
                </c:pt>
                <c:pt idx="76">
                  <c:v>42627</c:v>
                </c:pt>
                <c:pt idx="77">
                  <c:v>42628</c:v>
                </c:pt>
                <c:pt idx="78">
                  <c:v>42629</c:v>
                </c:pt>
                <c:pt idx="79">
                  <c:v>42632</c:v>
                </c:pt>
                <c:pt idx="80">
                  <c:v>42633</c:v>
                </c:pt>
                <c:pt idx="81">
                  <c:v>42634</c:v>
                </c:pt>
                <c:pt idx="82">
                  <c:v>42635</c:v>
                </c:pt>
                <c:pt idx="83">
                  <c:v>42636</c:v>
                </c:pt>
                <c:pt idx="84">
                  <c:v>42639</c:v>
                </c:pt>
                <c:pt idx="85">
                  <c:v>42640</c:v>
                </c:pt>
                <c:pt idx="86">
                  <c:v>42641</c:v>
                </c:pt>
                <c:pt idx="87">
                  <c:v>42642</c:v>
                </c:pt>
                <c:pt idx="88">
                  <c:v>42643</c:v>
                </c:pt>
                <c:pt idx="89">
                  <c:v>42646</c:v>
                </c:pt>
                <c:pt idx="90">
                  <c:v>42647</c:v>
                </c:pt>
                <c:pt idx="91">
                  <c:v>42648</c:v>
                </c:pt>
                <c:pt idx="92">
                  <c:v>42649</c:v>
                </c:pt>
                <c:pt idx="93">
                  <c:v>42650</c:v>
                </c:pt>
                <c:pt idx="94">
                  <c:v>42653</c:v>
                </c:pt>
                <c:pt idx="95">
                  <c:v>42654</c:v>
                </c:pt>
                <c:pt idx="96">
                  <c:v>42655</c:v>
                </c:pt>
                <c:pt idx="97">
                  <c:v>42656</c:v>
                </c:pt>
                <c:pt idx="98">
                  <c:v>42657</c:v>
                </c:pt>
                <c:pt idx="99">
                  <c:v>42660</c:v>
                </c:pt>
                <c:pt idx="100">
                  <c:v>42661</c:v>
                </c:pt>
                <c:pt idx="101">
                  <c:v>42662</c:v>
                </c:pt>
                <c:pt idx="102">
                  <c:v>42663</c:v>
                </c:pt>
                <c:pt idx="103">
                  <c:v>42664</c:v>
                </c:pt>
                <c:pt idx="104">
                  <c:v>42667</c:v>
                </c:pt>
                <c:pt idx="105">
                  <c:v>42668</c:v>
                </c:pt>
                <c:pt idx="106">
                  <c:v>42669</c:v>
                </c:pt>
                <c:pt idx="107">
                  <c:v>42670</c:v>
                </c:pt>
                <c:pt idx="108">
                  <c:v>42671</c:v>
                </c:pt>
                <c:pt idx="109">
                  <c:v>42674</c:v>
                </c:pt>
                <c:pt idx="110">
                  <c:v>42675</c:v>
                </c:pt>
                <c:pt idx="111">
                  <c:v>42676</c:v>
                </c:pt>
                <c:pt idx="112">
                  <c:v>42677</c:v>
                </c:pt>
                <c:pt idx="113">
                  <c:v>42678</c:v>
                </c:pt>
                <c:pt idx="114">
                  <c:v>42681</c:v>
                </c:pt>
                <c:pt idx="115">
                  <c:v>42682</c:v>
                </c:pt>
                <c:pt idx="116">
                  <c:v>42683</c:v>
                </c:pt>
                <c:pt idx="117">
                  <c:v>42684</c:v>
                </c:pt>
                <c:pt idx="118">
                  <c:v>42685</c:v>
                </c:pt>
                <c:pt idx="119">
                  <c:v>42688</c:v>
                </c:pt>
                <c:pt idx="120">
                  <c:v>42689</c:v>
                </c:pt>
                <c:pt idx="121">
                  <c:v>42690</c:v>
                </c:pt>
                <c:pt idx="122">
                  <c:v>42691</c:v>
                </c:pt>
                <c:pt idx="123">
                  <c:v>42692</c:v>
                </c:pt>
                <c:pt idx="124">
                  <c:v>42695</c:v>
                </c:pt>
                <c:pt idx="125">
                  <c:v>42696</c:v>
                </c:pt>
                <c:pt idx="126">
                  <c:v>42697</c:v>
                </c:pt>
                <c:pt idx="127">
                  <c:v>42698</c:v>
                </c:pt>
                <c:pt idx="128">
                  <c:v>42699</c:v>
                </c:pt>
                <c:pt idx="129">
                  <c:v>42702</c:v>
                </c:pt>
                <c:pt idx="130">
                  <c:v>42703</c:v>
                </c:pt>
                <c:pt idx="131">
                  <c:v>42704</c:v>
                </c:pt>
                <c:pt idx="132">
                  <c:v>42705</c:v>
                </c:pt>
                <c:pt idx="133">
                  <c:v>42706</c:v>
                </c:pt>
                <c:pt idx="134">
                  <c:v>42709</c:v>
                </c:pt>
                <c:pt idx="135">
                  <c:v>42710</c:v>
                </c:pt>
                <c:pt idx="136">
                  <c:v>42711</c:v>
                </c:pt>
                <c:pt idx="137">
                  <c:v>42712</c:v>
                </c:pt>
                <c:pt idx="138">
                  <c:v>42713</c:v>
                </c:pt>
                <c:pt idx="139">
                  <c:v>42716</c:v>
                </c:pt>
                <c:pt idx="140">
                  <c:v>42717</c:v>
                </c:pt>
                <c:pt idx="141">
                  <c:v>42718</c:v>
                </c:pt>
                <c:pt idx="142">
                  <c:v>42719</c:v>
                </c:pt>
                <c:pt idx="143">
                  <c:v>42720</c:v>
                </c:pt>
                <c:pt idx="144">
                  <c:v>42723</c:v>
                </c:pt>
                <c:pt idx="145">
                  <c:v>42724</c:v>
                </c:pt>
                <c:pt idx="146">
                  <c:v>42725</c:v>
                </c:pt>
                <c:pt idx="147">
                  <c:v>42726</c:v>
                </c:pt>
                <c:pt idx="148">
                  <c:v>42727</c:v>
                </c:pt>
                <c:pt idx="149">
                  <c:v>42731</c:v>
                </c:pt>
                <c:pt idx="150">
                  <c:v>42732</c:v>
                </c:pt>
                <c:pt idx="151">
                  <c:v>42733</c:v>
                </c:pt>
                <c:pt idx="152">
                  <c:v>42734</c:v>
                </c:pt>
                <c:pt idx="153">
                  <c:v>42737</c:v>
                </c:pt>
                <c:pt idx="154">
                  <c:v>42738</c:v>
                </c:pt>
                <c:pt idx="155">
                  <c:v>42739</c:v>
                </c:pt>
                <c:pt idx="156">
                  <c:v>42740</c:v>
                </c:pt>
                <c:pt idx="157">
                  <c:v>42741</c:v>
                </c:pt>
                <c:pt idx="158">
                  <c:v>42744</c:v>
                </c:pt>
                <c:pt idx="159">
                  <c:v>42745</c:v>
                </c:pt>
                <c:pt idx="160">
                  <c:v>42746</c:v>
                </c:pt>
                <c:pt idx="161">
                  <c:v>42747</c:v>
                </c:pt>
                <c:pt idx="162">
                  <c:v>42748</c:v>
                </c:pt>
                <c:pt idx="163">
                  <c:v>42751</c:v>
                </c:pt>
                <c:pt idx="164">
                  <c:v>42752</c:v>
                </c:pt>
                <c:pt idx="165">
                  <c:v>42753</c:v>
                </c:pt>
                <c:pt idx="166">
                  <c:v>42754</c:v>
                </c:pt>
                <c:pt idx="167">
                  <c:v>42755</c:v>
                </c:pt>
                <c:pt idx="168">
                  <c:v>42758</c:v>
                </c:pt>
                <c:pt idx="169">
                  <c:v>42759</c:v>
                </c:pt>
                <c:pt idx="170">
                  <c:v>42760</c:v>
                </c:pt>
                <c:pt idx="171">
                  <c:v>42761</c:v>
                </c:pt>
                <c:pt idx="172">
                  <c:v>42762</c:v>
                </c:pt>
                <c:pt idx="173">
                  <c:v>42765</c:v>
                </c:pt>
                <c:pt idx="174">
                  <c:v>42766</c:v>
                </c:pt>
                <c:pt idx="175">
                  <c:v>42767</c:v>
                </c:pt>
                <c:pt idx="176">
                  <c:v>42768</c:v>
                </c:pt>
                <c:pt idx="177">
                  <c:v>42769</c:v>
                </c:pt>
                <c:pt idx="178">
                  <c:v>42772</c:v>
                </c:pt>
                <c:pt idx="179">
                  <c:v>42773</c:v>
                </c:pt>
                <c:pt idx="180">
                  <c:v>42774</c:v>
                </c:pt>
                <c:pt idx="181">
                  <c:v>42775</c:v>
                </c:pt>
                <c:pt idx="182">
                  <c:v>42776</c:v>
                </c:pt>
                <c:pt idx="183">
                  <c:v>42779</c:v>
                </c:pt>
                <c:pt idx="184">
                  <c:v>42780</c:v>
                </c:pt>
                <c:pt idx="185">
                  <c:v>42781</c:v>
                </c:pt>
                <c:pt idx="186">
                  <c:v>42782</c:v>
                </c:pt>
                <c:pt idx="187">
                  <c:v>42783</c:v>
                </c:pt>
                <c:pt idx="188">
                  <c:v>42786</c:v>
                </c:pt>
                <c:pt idx="189">
                  <c:v>42787</c:v>
                </c:pt>
                <c:pt idx="190">
                  <c:v>42788</c:v>
                </c:pt>
                <c:pt idx="191">
                  <c:v>42789</c:v>
                </c:pt>
                <c:pt idx="192">
                  <c:v>42790</c:v>
                </c:pt>
                <c:pt idx="193">
                  <c:v>42793</c:v>
                </c:pt>
                <c:pt idx="194">
                  <c:v>42794</c:v>
                </c:pt>
                <c:pt idx="195">
                  <c:v>42795</c:v>
                </c:pt>
                <c:pt idx="196">
                  <c:v>42796</c:v>
                </c:pt>
                <c:pt idx="197">
                  <c:v>42797</c:v>
                </c:pt>
                <c:pt idx="198">
                  <c:v>42800</c:v>
                </c:pt>
                <c:pt idx="199">
                  <c:v>42801</c:v>
                </c:pt>
                <c:pt idx="200">
                  <c:v>42802</c:v>
                </c:pt>
                <c:pt idx="201">
                  <c:v>42803</c:v>
                </c:pt>
                <c:pt idx="202">
                  <c:v>42804</c:v>
                </c:pt>
                <c:pt idx="203">
                  <c:v>42807</c:v>
                </c:pt>
                <c:pt idx="204">
                  <c:v>42808</c:v>
                </c:pt>
                <c:pt idx="205">
                  <c:v>42809</c:v>
                </c:pt>
                <c:pt idx="206">
                  <c:v>42810</c:v>
                </c:pt>
                <c:pt idx="207">
                  <c:v>42811</c:v>
                </c:pt>
                <c:pt idx="208">
                  <c:v>42814</c:v>
                </c:pt>
                <c:pt idx="209">
                  <c:v>42815</c:v>
                </c:pt>
                <c:pt idx="210">
                  <c:v>42816</c:v>
                </c:pt>
                <c:pt idx="211">
                  <c:v>42817</c:v>
                </c:pt>
                <c:pt idx="212">
                  <c:v>42818</c:v>
                </c:pt>
                <c:pt idx="213">
                  <c:v>42821</c:v>
                </c:pt>
                <c:pt idx="214">
                  <c:v>42822</c:v>
                </c:pt>
                <c:pt idx="215">
                  <c:v>42823</c:v>
                </c:pt>
                <c:pt idx="216">
                  <c:v>42824</c:v>
                </c:pt>
                <c:pt idx="217">
                  <c:v>42825</c:v>
                </c:pt>
                <c:pt idx="218">
                  <c:v>42828</c:v>
                </c:pt>
                <c:pt idx="219">
                  <c:v>42829</c:v>
                </c:pt>
                <c:pt idx="220">
                  <c:v>42830</c:v>
                </c:pt>
                <c:pt idx="221">
                  <c:v>42831</c:v>
                </c:pt>
                <c:pt idx="222">
                  <c:v>42832</c:v>
                </c:pt>
                <c:pt idx="223">
                  <c:v>42835</c:v>
                </c:pt>
                <c:pt idx="224">
                  <c:v>42836</c:v>
                </c:pt>
                <c:pt idx="225">
                  <c:v>42837</c:v>
                </c:pt>
                <c:pt idx="226">
                  <c:v>42838</c:v>
                </c:pt>
                <c:pt idx="227">
                  <c:v>42843</c:v>
                </c:pt>
                <c:pt idx="228">
                  <c:v>42844</c:v>
                </c:pt>
                <c:pt idx="229">
                  <c:v>42845</c:v>
                </c:pt>
                <c:pt idx="230">
                  <c:v>42846</c:v>
                </c:pt>
                <c:pt idx="231">
                  <c:v>42849</c:v>
                </c:pt>
                <c:pt idx="232">
                  <c:v>42850</c:v>
                </c:pt>
                <c:pt idx="233">
                  <c:v>42851</c:v>
                </c:pt>
                <c:pt idx="234">
                  <c:v>42852</c:v>
                </c:pt>
                <c:pt idx="235">
                  <c:v>42853</c:v>
                </c:pt>
                <c:pt idx="236">
                  <c:v>42857</c:v>
                </c:pt>
                <c:pt idx="237">
                  <c:v>42858</c:v>
                </c:pt>
                <c:pt idx="238">
                  <c:v>42859</c:v>
                </c:pt>
                <c:pt idx="239">
                  <c:v>42860</c:v>
                </c:pt>
                <c:pt idx="240">
                  <c:v>42863</c:v>
                </c:pt>
                <c:pt idx="241">
                  <c:v>42864</c:v>
                </c:pt>
                <c:pt idx="242">
                  <c:v>42865</c:v>
                </c:pt>
                <c:pt idx="243">
                  <c:v>42866</c:v>
                </c:pt>
                <c:pt idx="244">
                  <c:v>42867</c:v>
                </c:pt>
                <c:pt idx="245">
                  <c:v>42870</c:v>
                </c:pt>
                <c:pt idx="246">
                  <c:v>42871</c:v>
                </c:pt>
                <c:pt idx="247">
                  <c:v>42872</c:v>
                </c:pt>
                <c:pt idx="248">
                  <c:v>42873</c:v>
                </c:pt>
                <c:pt idx="249">
                  <c:v>42874</c:v>
                </c:pt>
                <c:pt idx="250">
                  <c:v>42877</c:v>
                </c:pt>
                <c:pt idx="251">
                  <c:v>42878</c:v>
                </c:pt>
                <c:pt idx="252">
                  <c:v>42879</c:v>
                </c:pt>
                <c:pt idx="253">
                  <c:v>42880</c:v>
                </c:pt>
                <c:pt idx="254">
                  <c:v>42881</c:v>
                </c:pt>
                <c:pt idx="255">
                  <c:v>42884</c:v>
                </c:pt>
                <c:pt idx="256">
                  <c:v>42885</c:v>
                </c:pt>
                <c:pt idx="257">
                  <c:v>42886</c:v>
                </c:pt>
                <c:pt idx="258">
                  <c:v>42887</c:v>
                </c:pt>
                <c:pt idx="259">
                  <c:v>42888</c:v>
                </c:pt>
                <c:pt idx="260">
                  <c:v>42891</c:v>
                </c:pt>
                <c:pt idx="261">
                  <c:v>42892</c:v>
                </c:pt>
                <c:pt idx="262">
                  <c:v>42893</c:v>
                </c:pt>
                <c:pt idx="263">
                  <c:v>42894</c:v>
                </c:pt>
                <c:pt idx="264">
                  <c:v>42895</c:v>
                </c:pt>
                <c:pt idx="265">
                  <c:v>42898</c:v>
                </c:pt>
                <c:pt idx="266">
                  <c:v>42899</c:v>
                </c:pt>
                <c:pt idx="267">
                  <c:v>42900</c:v>
                </c:pt>
                <c:pt idx="268">
                  <c:v>42901</c:v>
                </c:pt>
                <c:pt idx="269">
                  <c:v>42902</c:v>
                </c:pt>
                <c:pt idx="270">
                  <c:v>42905</c:v>
                </c:pt>
                <c:pt idx="271">
                  <c:v>42906</c:v>
                </c:pt>
                <c:pt idx="272">
                  <c:v>42907</c:v>
                </c:pt>
                <c:pt idx="273">
                  <c:v>42908</c:v>
                </c:pt>
                <c:pt idx="274">
                  <c:v>42909</c:v>
                </c:pt>
                <c:pt idx="275">
                  <c:v>42912</c:v>
                </c:pt>
                <c:pt idx="276">
                  <c:v>42913</c:v>
                </c:pt>
                <c:pt idx="277">
                  <c:v>42914</c:v>
                </c:pt>
                <c:pt idx="278">
                  <c:v>42915</c:v>
                </c:pt>
                <c:pt idx="279">
                  <c:v>42916</c:v>
                </c:pt>
                <c:pt idx="280">
                  <c:v>42919</c:v>
                </c:pt>
                <c:pt idx="281">
                  <c:v>42920</c:v>
                </c:pt>
                <c:pt idx="282">
                  <c:v>42921</c:v>
                </c:pt>
                <c:pt idx="283">
                  <c:v>42922</c:v>
                </c:pt>
                <c:pt idx="284">
                  <c:v>42923</c:v>
                </c:pt>
                <c:pt idx="285">
                  <c:v>42926</c:v>
                </c:pt>
                <c:pt idx="286">
                  <c:v>42927</c:v>
                </c:pt>
                <c:pt idx="287">
                  <c:v>42928</c:v>
                </c:pt>
                <c:pt idx="288">
                  <c:v>42929</c:v>
                </c:pt>
                <c:pt idx="289">
                  <c:v>42930</c:v>
                </c:pt>
                <c:pt idx="290">
                  <c:v>42933</c:v>
                </c:pt>
                <c:pt idx="291">
                  <c:v>42934</c:v>
                </c:pt>
                <c:pt idx="292">
                  <c:v>42935</c:v>
                </c:pt>
                <c:pt idx="293">
                  <c:v>42936</c:v>
                </c:pt>
                <c:pt idx="294">
                  <c:v>42937</c:v>
                </c:pt>
                <c:pt idx="295">
                  <c:v>42940</c:v>
                </c:pt>
                <c:pt idx="296">
                  <c:v>42941</c:v>
                </c:pt>
                <c:pt idx="297">
                  <c:v>42942</c:v>
                </c:pt>
                <c:pt idx="298">
                  <c:v>42943</c:v>
                </c:pt>
                <c:pt idx="299">
                  <c:v>42944</c:v>
                </c:pt>
                <c:pt idx="300">
                  <c:v>42947</c:v>
                </c:pt>
                <c:pt idx="301">
                  <c:v>42948</c:v>
                </c:pt>
                <c:pt idx="302">
                  <c:v>42949</c:v>
                </c:pt>
                <c:pt idx="303">
                  <c:v>42950</c:v>
                </c:pt>
                <c:pt idx="304">
                  <c:v>42951</c:v>
                </c:pt>
                <c:pt idx="305">
                  <c:v>42954</c:v>
                </c:pt>
                <c:pt idx="306">
                  <c:v>42955</c:v>
                </c:pt>
                <c:pt idx="307">
                  <c:v>42956</c:v>
                </c:pt>
                <c:pt idx="308">
                  <c:v>42957</c:v>
                </c:pt>
                <c:pt idx="309">
                  <c:v>42958</c:v>
                </c:pt>
                <c:pt idx="310">
                  <c:v>42961</c:v>
                </c:pt>
                <c:pt idx="311">
                  <c:v>42962</c:v>
                </c:pt>
                <c:pt idx="312">
                  <c:v>42963</c:v>
                </c:pt>
                <c:pt idx="313">
                  <c:v>42964</c:v>
                </c:pt>
                <c:pt idx="314">
                  <c:v>42965</c:v>
                </c:pt>
                <c:pt idx="315">
                  <c:v>42968</c:v>
                </c:pt>
                <c:pt idx="316">
                  <c:v>42969</c:v>
                </c:pt>
                <c:pt idx="317">
                  <c:v>42970</c:v>
                </c:pt>
                <c:pt idx="318">
                  <c:v>42971</c:v>
                </c:pt>
                <c:pt idx="319">
                  <c:v>42972</c:v>
                </c:pt>
                <c:pt idx="320">
                  <c:v>42975</c:v>
                </c:pt>
                <c:pt idx="321">
                  <c:v>42976</c:v>
                </c:pt>
                <c:pt idx="322">
                  <c:v>42977</c:v>
                </c:pt>
                <c:pt idx="323">
                  <c:v>42978</c:v>
                </c:pt>
                <c:pt idx="324">
                  <c:v>42979</c:v>
                </c:pt>
                <c:pt idx="325">
                  <c:v>42982</c:v>
                </c:pt>
                <c:pt idx="326">
                  <c:v>42983</c:v>
                </c:pt>
                <c:pt idx="327">
                  <c:v>42984</c:v>
                </c:pt>
                <c:pt idx="328">
                  <c:v>42985</c:v>
                </c:pt>
                <c:pt idx="329">
                  <c:v>42986</c:v>
                </c:pt>
                <c:pt idx="330">
                  <c:v>42989</c:v>
                </c:pt>
                <c:pt idx="331">
                  <c:v>42990</c:v>
                </c:pt>
                <c:pt idx="332">
                  <c:v>42991</c:v>
                </c:pt>
                <c:pt idx="333">
                  <c:v>42992</c:v>
                </c:pt>
                <c:pt idx="334">
                  <c:v>42993</c:v>
                </c:pt>
                <c:pt idx="335">
                  <c:v>42996</c:v>
                </c:pt>
                <c:pt idx="336">
                  <c:v>42997</c:v>
                </c:pt>
                <c:pt idx="337">
                  <c:v>42998</c:v>
                </c:pt>
                <c:pt idx="338">
                  <c:v>42999</c:v>
                </c:pt>
                <c:pt idx="339">
                  <c:v>43000</c:v>
                </c:pt>
                <c:pt idx="340">
                  <c:v>43003</c:v>
                </c:pt>
                <c:pt idx="341">
                  <c:v>43004</c:v>
                </c:pt>
                <c:pt idx="342">
                  <c:v>43005</c:v>
                </c:pt>
                <c:pt idx="343">
                  <c:v>43006</c:v>
                </c:pt>
                <c:pt idx="344">
                  <c:v>43007</c:v>
                </c:pt>
                <c:pt idx="345">
                  <c:v>43010</c:v>
                </c:pt>
                <c:pt idx="346">
                  <c:v>43011</c:v>
                </c:pt>
                <c:pt idx="347">
                  <c:v>43012</c:v>
                </c:pt>
                <c:pt idx="348">
                  <c:v>43013</c:v>
                </c:pt>
                <c:pt idx="349">
                  <c:v>43014</c:v>
                </c:pt>
                <c:pt idx="350">
                  <c:v>43017</c:v>
                </c:pt>
                <c:pt idx="351">
                  <c:v>43018</c:v>
                </c:pt>
                <c:pt idx="352">
                  <c:v>43019</c:v>
                </c:pt>
                <c:pt idx="353">
                  <c:v>43020</c:v>
                </c:pt>
                <c:pt idx="354">
                  <c:v>43021</c:v>
                </c:pt>
                <c:pt idx="355">
                  <c:v>43024</c:v>
                </c:pt>
                <c:pt idx="356">
                  <c:v>43025</c:v>
                </c:pt>
                <c:pt idx="357">
                  <c:v>43026</c:v>
                </c:pt>
                <c:pt idx="358">
                  <c:v>43027</c:v>
                </c:pt>
                <c:pt idx="359">
                  <c:v>43028</c:v>
                </c:pt>
                <c:pt idx="360">
                  <c:v>43031</c:v>
                </c:pt>
                <c:pt idx="361">
                  <c:v>43032</c:v>
                </c:pt>
                <c:pt idx="362">
                  <c:v>43033</c:v>
                </c:pt>
                <c:pt idx="363">
                  <c:v>43034</c:v>
                </c:pt>
                <c:pt idx="364">
                  <c:v>43035</c:v>
                </c:pt>
                <c:pt idx="365">
                  <c:v>43038</c:v>
                </c:pt>
                <c:pt idx="366">
                  <c:v>43039</c:v>
                </c:pt>
                <c:pt idx="367">
                  <c:v>43040</c:v>
                </c:pt>
                <c:pt idx="368">
                  <c:v>43041</c:v>
                </c:pt>
                <c:pt idx="369">
                  <c:v>43042</c:v>
                </c:pt>
                <c:pt idx="370">
                  <c:v>43045</c:v>
                </c:pt>
                <c:pt idx="371">
                  <c:v>43046</c:v>
                </c:pt>
                <c:pt idx="372">
                  <c:v>43047</c:v>
                </c:pt>
                <c:pt idx="373">
                  <c:v>43048</c:v>
                </c:pt>
                <c:pt idx="374">
                  <c:v>43049</c:v>
                </c:pt>
                <c:pt idx="375">
                  <c:v>43052</c:v>
                </c:pt>
                <c:pt idx="376">
                  <c:v>43053</c:v>
                </c:pt>
                <c:pt idx="377">
                  <c:v>43054</c:v>
                </c:pt>
                <c:pt idx="378">
                  <c:v>43055</c:v>
                </c:pt>
                <c:pt idx="379">
                  <c:v>43056</c:v>
                </c:pt>
                <c:pt idx="380">
                  <c:v>43059</c:v>
                </c:pt>
                <c:pt idx="381">
                  <c:v>43060</c:v>
                </c:pt>
                <c:pt idx="382">
                  <c:v>43061</c:v>
                </c:pt>
                <c:pt idx="383">
                  <c:v>43062</c:v>
                </c:pt>
                <c:pt idx="384">
                  <c:v>43063</c:v>
                </c:pt>
                <c:pt idx="385">
                  <c:v>43066</c:v>
                </c:pt>
                <c:pt idx="386">
                  <c:v>43067</c:v>
                </c:pt>
                <c:pt idx="387">
                  <c:v>43068</c:v>
                </c:pt>
                <c:pt idx="388">
                  <c:v>43069</c:v>
                </c:pt>
                <c:pt idx="389">
                  <c:v>43070</c:v>
                </c:pt>
                <c:pt idx="390">
                  <c:v>43073</c:v>
                </c:pt>
                <c:pt idx="391">
                  <c:v>43074</c:v>
                </c:pt>
                <c:pt idx="392">
                  <c:v>43075</c:v>
                </c:pt>
                <c:pt idx="393">
                  <c:v>43076</c:v>
                </c:pt>
                <c:pt idx="394">
                  <c:v>43077</c:v>
                </c:pt>
                <c:pt idx="395">
                  <c:v>43080</c:v>
                </c:pt>
                <c:pt idx="396">
                  <c:v>43081</c:v>
                </c:pt>
                <c:pt idx="397">
                  <c:v>43082</c:v>
                </c:pt>
                <c:pt idx="398">
                  <c:v>43083</c:v>
                </c:pt>
                <c:pt idx="399">
                  <c:v>43084</c:v>
                </c:pt>
                <c:pt idx="400">
                  <c:v>43087</c:v>
                </c:pt>
                <c:pt idx="401">
                  <c:v>43088</c:v>
                </c:pt>
                <c:pt idx="402">
                  <c:v>43089</c:v>
                </c:pt>
                <c:pt idx="403">
                  <c:v>43090</c:v>
                </c:pt>
                <c:pt idx="404">
                  <c:v>43091</c:v>
                </c:pt>
                <c:pt idx="405">
                  <c:v>43096</c:v>
                </c:pt>
                <c:pt idx="406">
                  <c:v>43097</c:v>
                </c:pt>
                <c:pt idx="407">
                  <c:v>43098</c:v>
                </c:pt>
                <c:pt idx="408">
                  <c:v>43102</c:v>
                </c:pt>
                <c:pt idx="409">
                  <c:v>43103</c:v>
                </c:pt>
                <c:pt idx="410">
                  <c:v>43104</c:v>
                </c:pt>
                <c:pt idx="411">
                  <c:v>43105</c:v>
                </c:pt>
                <c:pt idx="412">
                  <c:v>43108</c:v>
                </c:pt>
                <c:pt idx="413">
                  <c:v>43109</c:v>
                </c:pt>
                <c:pt idx="414">
                  <c:v>43110</c:v>
                </c:pt>
                <c:pt idx="415">
                  <c:v>43111</c:v>
                </c:pt>
                <c:pt idx="416">
                  <c:v>43112</c:v>
                </c:pt>
                <c:pt idx="417">
                  <c:v>43115</c:v>
                </c:pt>
                <c:pt idx="418">
                  <c:v>43116</c:v>
                </c:pt>
                <c:pt idx="419">
                  <c:v>43117</c:v>
                </c:pt>
                <c:pt idx="420">
                  <c:v>43118</c:v>
                </c:pt>
                <c:pt idx="421">
                  <c:v>43119</c:v>
                </c:pt>
                <c:pt idx="422">
                  <c:v>43122</c:v>
                </c:pt>
                <c:pt idx="423">
                  <c:v>43123</c:v>
                </c:pt>
                <c:pt idx="424">
                  <c:v>43124</c:v>
                </c:pt>
                <c:pt idx="425">
                  <c:v>43125</c:v>
                </c:pt>
                <c:pt idx="426">
                  <c:v>43126</c:v>
                </c:pt>
                <c:pt idx="427">
                  <c:v>43129</c:v>
                </c:pt>
                <c:pt idx="428">
                  <c:v>43130</c:v>
                </c:pt>
                <c:pt idx="429">
                  <c:v>43131</c:v>
                </c:pt>
                <c:pt idx="430">
                  <c:v>43132</c:v>
                </c:pt>
                <c:pt idx="431">
                  <c:v>43133</c:v>
                </c:pt>
                <c:pt idx="432">
                  <c:v>43136</c:v>
                </c:pt>
                <c:pt idx="433">
                  <c:v>43137</c:v>
                </c:pt>
                <c:pt idx="434">
                  <c:v>43138</c:v>
                </c:pt>
                <c:pt idx="435">
                  <c:v>43139</c:v>
                </c:pt>
                <c:pt idx="436">
                  <c:v>43140</c:v>
                </c:pt>
                <c:pt idx="437">
                  <c:v>43143</c:v>
                </c:pt>
                <c:pt idx="438">
                  <c:v>43144</c:v>
                </c:pt>
                <c:pt idx="439">
                  <c:v>43145</c:v>
                </c:pt>
                <c:pt idx="440">
                  <c:v>43146</c:v>
                </c:pt>
                <c:pt idx="441">
                  <c:v>43147</c:v>
                </c:pt>
                <c:pt idx="442">
                  <c:v>43150</c:v>
                </c:pt>
                <c:pt idx="443">
                  <c:v>43151</c:v>
                </c:pt>
                <c:pt idx="444">
                  <c:v>43152</c:v>
                </c:pt>
                <c:pt idx="445">
                  <c:v>43153</c:v>
                </c:pt>
                <c:pt idx="446">
                  <c:v>43154</c:v>
                </c:pt>
                <c:pt idx="447">
                  <c:v>43157</c:v>
                </c:pt>
                <c:pt idx="448">
                  <c:v>43158</c:v>
                </c:pt>
                <c:pt idx="449">
                  <c:v>43159</c:v>
                </c:pt>
                <c:pt idx="450">
                  <c:v>43160</c:v>
                </c:pt>
                <c:pt idx="451">
                  <c:v>43161</c:v>
                </c:pt>
                <c:pt idx="452">
                  <c:v>43164</c:v>
                </c:pt>
                <c:pt idx="453">
                  <c:v>43165</c:v>
                </c:pt>
                <c:pt idx="454">
                  <c:v>43166</c:v>
                </c:pt>
                <c:pt idx="455">
                  <c:v>43167</c:v>
                </c:pt>
                <c:pt idx="456">
                  <c:v>43168</c:v>
                </c:pt>
                <c:pt idx="457">
                  <c:v>43171</c:v>
                </c:pt>
                <c:pt idx="458">
                  <c:v>43172</c:v>
                </c:pt>
                <c:pt idx="459">
                  <c:v>43173</c:v>
                </c:pt>
                <c:pt idx="460">
                  <c:v>43174</c:v>
                </c:pt>
                <c:pt idx="461">
                  <c:v>43175</c:v>
                </c:pt>
                <c:pt idx="462">
                  <c:v>43178</c:v>
                </c:pt>
                <c:pt idx="463">
                  <c:v>43179</c:v>
                </c:pt>
                <c:pt idx="464">
                  <c:v>43180</c:v>
                </c:pt>
                <c:pt idx="465">
                  <c:v>43181</c:v>
                </c:pt>
                <c:pt idx="466">
                  <c:v>43182</c:v>
                </c:pt>
                <c:pt idx="467">
                  <c:v>43185</c:v>
                </c:pt>
                <c:pt idx="468">
                  <c:v>43186</c:v>
                </c:pt>
                <c:pt idx="469">
                  <c:v>43187</c:v>
                </c:pt>
                <c:pt idx="470">
                  <c:v>43188</c:v>
                </c:pt>
                <c:pt idx="471">
                  <c:v>43193</c:v>
                </c:pt>
                <c:pt idx="472">
                  <c:v>43194</c:v>
                </c:pt>
                <c:pt idx="473">
                  <c:v>43195</c:v>
                </c:pt>
                <c:pt idx="474">
                  <c:v>43196</c:v>
                </c:pt>
                <c:pt idx="475">
                  <c:v>43199</c:v>
                </c:pt>
                <c:pt idx="476">
                  <c:v>43200</c:v>
                </c:pt>
                <c:pt idx="477">
                  <c:v>43201</c:v>
                </c:pt>
                <c:pt idx="478">
                  <c:v>43202</c:v>
                </c:pt>
                <c:pt idx="479">
                  <c:v>43203</c:v>
                </c:pt>
                <c:pt idx="480">
                  <c:v>43206</c:v>
                </c:pt>
                <c:pt idx="481">
                  <c:v>43207</c:v>
                </c:pt>
                <c:pt idx="482">
                  <c:v>43208</c:v>
                </c:pt>
                <c:pt idx="483">
                  <c:v>43209</c:v>
                </c:pt>
                <c:pt idx="484">
                  <c:v>43210</c:v>
                </c:pt>
                <c:pt idx="485">
                  <c:v>43213</c:v>
                </c:pt>
                <c:pt idx="486">
                  <c:v>43214</c:v>
                </c:pt>
                <c:pt idx="487">
                  <c:v>43215</c:v>
                </c:pt>
                <c:pt idx="488">
                  <c:v>43216</c:v>
                </c:pt>
                <c:pt idx="489">
                  <c:v>43217</c:v>
                </c:pt>
                <c:pt idx="490">
                  <c:v>43220</c:v>
                </c:pt>
                <c:pt idx="491">
                  <c:v>43222</c:v>
                </c:pt>
                <c:pt idx="492">
                  <c:v>43223</c:v>
                </c:pt>
                <c:pt idx="493">
                  <c:v>43224</c:v>
                </c:pt>
                <c:pt idx="494">
                  <c:v>43227</c:v>
                </c:pt>
                <c:pt idx="495">
                  <c:v>43228</c:v>
                </c:pt>
                <c:pt idx="496">
                  <c:v>43229</c:v>
                </c:pt>
                <c:pt idx="497">
                  <c:v>43230</c:v>
                </c:pt>
                <c:pt idx="498">
                  <c:v>43231</c:v>
                </c:pt>
                <c:pt idx="499">
                  <c:v>43234</c:v>
                </c:pt>
                <c:pt idx="500">
                  <c:v>43235</c:v>
                </c:pt>
                <c:pt idx="501">
                  <c:v>43236</c:v>
                </c:pt>
                <c:pt idx="502">
                  <c:v>43237</c:v>
                </c:pt>
                <c:pt idx="503">
                  <c:v>43238</c:v>
                </c:pt>
                <c:pt idx="504">
                  <c:v>43241</c:v>
                </c:pt>
                <c:pt idx="505">
                  <c:v>43242</c:v>
                </c:pt>
                <c:pt idx="506">
                  <c:v>43243</c:v>
                </c:pt>
                <c:pt idx="507">
                  <c:v>43244</c:v>
                </c:pt>
                <c:pt idx="508">
                  <c:v>43245</c:v>
                </c:pt>
                <c:pt idx="509">
                  <c:v>43248</c:v>
                </c:pt>
                <c:pt idx="510">
                  <c:v>43249</c:v>
                </c:pt>
                <c:pt idx="511">
                  <c:v>43250</c:v>
                </c:pt>
                <c:pt idx="512">
                  <c:v>43251</c:v>
                </c:pt>
                <c:pt idx="513">
                  <c:v>43252</c:v>
                </c:pt>
                <c:pt idx="514">
                  <c:v>43255</c:v>
                </c:pt>
                <c:pt idx="515">
                  <c:v>43256</c:v>
                </c:pt>
                <c:pt idx="516">
                  <c:v>43257</c:v>
                </c:pt>
                <c:pt idx="517">
                  <c:v>43258</c:v>
                </c:pt>
                <c:pt idx="518">
                  <c:v>43259</c:v>
                </c:pt>
                <c:pt idx="519">
                  <c:v>43262</c:v>
                </c:pt>
                <c:pt idx="520">
                  <c:v>43263</c:v>
                </c:pt>
                <c:pt idx="521">
                  <c:v>43264</c:v>
                </c:pt>
                <c:pt idx="522">
                  <c:v>43265</c:v>
                </c:pt>
                <c:pt idx="523">
                  <c:v>43266</c:v>
                </c:pt>
                <c:pt idx="524">
                  <c:v>43269</c:v>
                </c:pt>
                <c:pt idx="525">
                  <c:v>43270</c:v>
                </c:pt>
                <c:pt idx="526">
                  <c:v>43271</c:v>
                </c:pt>
                <c:pt idx="527">
                  <c:v>43272</c:v>
                </c:pt>
                <c:pt idx="528">
                  <c:v>43273</c:v>
                </c:pt>
                <c:pt idx="529">
                  <c:v>43276</c:v>
                </c:pt>
                <c:pt idx="530">
                  <c:v>43277</c:v>
                </c:pt>
                <c:pt idx="531">
                  <c:v>43278</c:v>
                </c:pt>
                <c:pt idx="532">
                  <c:v>43279</c:v>
                </c:pt>
                <c:pt idx="533">
                  <c:v>43280</c:v>
                </c:pt>
                <c:pt idx="534">
                  <c:v>43283</c:v>
                </c:pt>
                <c:pt idx="535">
                  <c:v>43284</c:v>
                </c:pt>
                <c:pt idx="536">
                  <c:v>43285</c:v>
                </c:pt>
                <c:pt idx="537">
                  <c:v>43286</c:v>
                </c:pt>
                <c:pt idx="538">
                  <c:v>43287</c:v>
                </c:pt>
                <c:pt idx="539">
                  <c:v>43290</c:v>
                </c:pt>
                <c:pt idx="540">
                  <c:v>43291</c:v>
                </c:pt>
                <c:pt idx="541">
                  <c:v>43292</c:v>
                </c:pt>
                <c:pt idx="542">
                  <c:v>43293</c:v>
                </c:pt>
                <c:pt idx="543">
                  <c:v>43294</c:v>
                </c:pt>
                <c:pt idx="544">
                  <c:v>43297</c:v>
                </c:pt>
                <c:pt idx="545">
                  <c:v>43298</c:v>
                </c:pt>
                <c:pt idx="546">
                  <c:v>43299</c:v>
                </c:pt>
                <c:pt idx="547">
                  <c:v>43300</c:v>
                </c:pt>
                <c:pt idx="548">
                  <c:v>43301</c:v>
                </c:pt>
                <c:pt idx="549">
                  <c:v>43304</c:v>
                </c:pt>
                <c:pt idx="550">
                  <c:v>43305</c:v>
                </c:pt>
                <c:pt idx="551">
                  <c:v>43306</c:v>
                </c:pt>
                <c:pt idx="552">
                  <c:v>43307</c:v>
                </c:pt>
                <c:pt idx="553">
                  <c:v>43308</c:v>
                </c:pt>
                <c:pt idx="554">
                  <c:v>43311</c:v>
                </c:pt>
                <c:pt idx="555">
                  <c:v>43312</c:v>
                </c:pt>
                <c:pt idx="556">
                  <c:v>43313</c:v>
                </c:pt>
                <c:pt idx="557">
                  <c:v>43314</c:v>
                </c:pt>
                <c:pt idx="558">
                  <c:v>43315</c:v>
                </c:pt>
                <c:pt idx="559">
                  <c:v>43318</c:v>
                </c:pt>
                <c:pt idx="560">
                  <c:v>43319</c:v>
                </c:pt>
                <c:pt idx="561">
                  <c:v>43320</c:v>
                </c:pt>
                <c:pt idx="562">
                  <c:v>43321</c:v>
                </c:pt>
                <c:pt idx="563">
                  <c:v>43322</c:v>
                </c:pt>
                <c:pt idx="564">
                  <c:v>43325</c:v>
                </c:pt>
                <c:pt idx="565">
                  <c:v>43326</c:v>
                </c:pt>
                <c:pt idx="566">
                  <c:v>43327</c:v>
                </c:pt>
                <c:pt idx="567">
                  <c:v>43328</c:v>
                </c:pt>
                <c:pt idx="568">
                  <c:v>43329</c:v>
                </c:pt>
                <c:pt idx="569">
                  <c:v>43332</c:v>
                </c:pt>
                <c:pt idx="570">
                  <c:v>43333</c:v>
                </c:pt>
                <c:pt idx="571">
                  <c:v>43334</c:v>
                </c:pt>
                <c:pt idx="572">
                  <c:v>43335</c:v>
                </c:pt>
                <c:pt idx="573">
                  <c:v>43336</c:v>
                </c:pt>
                <c:pt idx="574">
                  <c:v>43339</c:v>
                </c:pt>
                <c:pt idx="575">
                  <c:v>43340</c:v>
                </c:pt>
                <c:pt idx="576">
                  <c:v>43341</c:v>
                </c:pt>
                <c:pt idx="577">
                  <c:v>43342</c:v>
                </c:pt>
                <c:pt idx="578">
                  <c:v>43343</c:v>
                </c:pt>
                <c:pt idx="579">
                  <c:v>43346</c:v>
                </c:pt>
                <c:pt idx="580">
                  <c:v>43347</c:v>
                </c:pt>
                <c:pt idx="581">
                  <c:v>43348</c:v>
                </c:pt>
                <c:pt idx="582">
                  <c:v>43349</c:v>
                </c:pt>
                <c:pt idx="583">
                  <c:v>43350</c:v>
                </c:pt>
                <c:pt idx="584">
                  <c:v>43353</c:v>
                </c:pt>
                <c:pt idx="585">
                  <c:v>43354</c:v>
                </c:pt>
                <c:pt idx="586">
                  <c:v>43355</c:v>
                </c:pt>
                <c:pt idx="587">
                  <c:v>43356</c:v>
                </c:pt>
                <c:pt idx="588">
                  <c:v>43357</c:v>
                </c:pt>
                <c:pt idx="589">
                  <c:v>43360</c:v>
                </c:pt>
                <c:pt idx="590">
                  <c:v>43361</c:v>
                </c:pt>
                <c:pt idx="591">
                  <c:v>43362</c:v>
                </c:pt>
                <c:pt idx="592">
                  <c:v>43363</c:v>
                </c:pt>
                <c:pt idx="593">
                  <c:v>43364</c:v>
                </c:pt>
                <c:pt idx="594">
                  <c:v>43367</c:v>
                </c:pt>
                <c:pt idx="595">
                  <c:v>43368</c:v>
                </c:pt>
                <c:pt idx="596">
                  <c:v>43369</c:v>
                </c:pt>
                <c:pt idx="597">
                  <c:v>43370</c:v>
                </c:pt>
                <c:pt idx="598">
                  <c:v>43371</c:v>
                </c:pt>
                <c:pt idx="599">
                  <c:v>43374</c:v>
                </c:pt>
                <c:pt idx="600">
                  <c:v>43375</c:v>
                </c:pt>
                <c:pt idx="601">
                  <c:v>43376</c:v>
                </c:pt>
                <c:pt idx="602">
                  <c:v>43377</c:v>
                </c:pt>
                <c:pt idx="603">
                  <c:v>43378</c:v>
                </c:pt>
                <c:pt idx="604">
                  <c:v>43381</c:v>
                </c:pt>
                <c:pt idx="605">
                  <c:v>43382</c:v>
                </c:pt>
                <c:pt idx="606">
                  <c:v>43383</c:v>
                </c:pt>
                <c:pt idx="607">
                  <c:v>43384</c:v>
                </c:pt>
                <c:pt idx="608">
                  <c:v>43385</c:v>
                </c:pt>
                <c:pt idx="609">
                  <c:v>43388</c:v>
                </c:pt>
                <c:pt idx="610">
                  <c:v>43389</c:v>
                </c:pt>
                <c:pt idx="611">
                  <c:v>43390</c:v>
                </c:pt>
                <c:pt idx="612">
                  <c:v>43391</c:v>
                </c:pt>
                <c:pt idx="613">
                  <c:v>43392</c:v>
                </c:pt>
                <c:pt idx="614">
                  <c:v>43395</c:v>
                </c:pt>
                <c:pt idx="615">
                  <c:v>43396</c:v>
                </c:pt>
                <c:pt idx="616">
                  <c:v>43397</c:v>
                </c:pt>
                <c:pt idx="617">
                  <c:v>43398</c:v>
                </c:pt>
                <c:pt idx="618">
                  <c:v>43399</c:v>
                </c:pt>
                <c:pt idx="619">
                  <c:v>43402</c:v>
                </c:pt>
                <c:pt idx="620">
                  <c:v>43403</c:v>
                </c:pt>
                <c:pt idx="621">
                  <c:v>43404</c:v>
                </c:pt>
                <c:pt idx="622">
                  <c:v>43405</c:v>
                </c:pt>
                <c:pt idx="623">
                  <c:v>43406</c:v>
                </c:pt>
                <c:pt idx="624">
                  <c:v>43409</c:v>
                </c:pt>
                <c:pt idx="625">
                  <c:v>43410</c:v>
                </c:pt>
                <c:pt idx="626">
                  <c:v>43411</c:v>
                </c:pt>
                <c:pt idx="627">
                  <c:v>43412</c:v>
                </c:pt>
                <c:pt idx="628">
                  <c:v>43413</c:v>
                </c:pt>
                <c:pt idx="629">
                  <c:v>43416</c:v>
                </c:pt>
                <c:pt idx="630">
                  <c:v>43417</c:v>
                </c:pt>
                <c:pt idx="631">
                  <c:v>43418</c:v>
                </c:pt>
                <c:pt idx="632">
                  <c:v>43419</c:v>
                </c:pt>
                <c:pt idx="633">
                  <c:v>43420</c:v>
                </c:pt>
                <c:pt idx="634">
                  <c:v>43423</c:v>
                </c:pt>
                <c:pt idx="635">
                  <c:v>43424</c:v>
                </c:pt>
                <c:pt idx="636">
                  <c:v>43425</c:v>
                </c:pt>
                <c:pt idx="637">
                  <c:v>43426</c:v>
                </c:pt>
                <c:pt idx="638">
                  <c:v>43427</c:v>
                </c:pt>
                <c:pt idx="639">
                  <c:v>43430</c:v>
                </c:pt>
                <c:pt idx="640">
                  <c:v>43431</c:v>
                </c:pt>
                <c:pt idx="641">
                  <c:v>43432</c:v>
                </c:pt>
                <c:pt idx="642">
                  <c:v>43433</c:v>
                </c:pt>
                <c:pt idx="643">
                  <c:v>43434</c:v>
                </c:pt>
                <c:pt idx="644">
                  <c:v>43437</c:v>
                </c:pt>
                <c:pt idx="645">
                  <c:v>43438</c:v>
                </c:pt>
                <c:pt idx="646">
                  <c:v>43439</c:v>
                </c:pt>
                <c:pt idx="647">
                  <c:v>43440</c:v>
                </c:pt>
                <c:pt idx="648">
                  <c:v>43441</c:v>
                </c:pt>
                <c:pt idx="649">
                  <c:v>43444</c:v>
                </c:pt>
                <c:pt idx="650">
                  <c:v>43445</c:v>
                </c:pt>
                <c:pt idx="651">
                  <c:v>43446</c:v>
                </c:pt>
                <c:pt idx="652">
                  <c:v>43447</c:v>
                </c:pt>
                <c:pt idx="653">
                  <c:v>43448</c:v>
                </c:pt>
                <c:pt idx="654">
                  <c:v>43451</c:v>
                </c:pt>
                <c:pt idx="655">
                  <c:v>43452</c:v>
                </c:pt>
                <c:pt idx="656">
                  <c:v>43453</c:v>
                </c:pt>
                <c:pt idx="657">
                  <c:v>43454</c:v>
                </c:pt>
                <c:pt idx="658">
                  <c:v>43455</c:v>
                </c:pt>
                <c:pt idx="659">
                  <c:v>43458</c:v>
                </c:pt>
                <c:pt idx="660">
                  <c:v>43461</c:v>
                </c:pt>
                <c:pt idx="661">
                  <c:v>43462</c:v>
                </c:pt>
                <c:pt idx="662">
                  <c:v>43465</c:v>
                </c:pt>
                <c:pt idx="663">
                  <c:v>43467</c:v>
                </c:pt>
                <c:pt idx="664">
                  <c:v>43468</c:v>
                </c:pt>
                <c:pt idx="665">
                  <c:v>43469</c:v>
                </c:pt>
                <c:pt idx="666">
                  <c:v>43472</c:v>
                </c:pt>
                <c:pt idx="667">
                  <c:v>43473</c:v>
                </c:pt>
                <c:pt idx="668">
                  <c:v>43474</c:v>
                </c:pt>
                <c:pt idx="669">
                  <c:v>43475</c:v>
                </c:pt>
                <c:pt idx="670">
                  <c:v>43476</c:v>
                </c:pt>
                <c:pt idx="671">
                  <c:v>43479</c:v>
                </c:pt>
                <c:pt idx="672">
                  <c:v>43480</c:v>
                </c:pt>
                <c:pt idx="673">
                  <c:v>43481</c:v>
                </c:pt>
                <c:pt idx="674">
                  <c:v>43482</c:v>
                </c:pt>
                <c:pt idx="675">
                  <c:v>43483</c:v>
                </c:pt>
                <c:pt idx="676">
                  <c:v>43486</c:v>
                </c:pt>
                <c:pt idx="677">
                  <c:v>43487</c:v>
                </c:pt>
                <c:pt idx="678">
                  <c:v>43488</c:v>
                </c:pt>
                <c:pt idx="679">
                  <c:v>43489</c:v>
                </c:pt>
                <c:pt idx="680">
                  <c:v>43490</c:v>
                </c:pt>
                <c:pt idx="681">
                  <c:v>43493</c:v>
                </c:pt>
                <c:pt idx="682">
                  <c:v>43494</c:v>
                </c:pt>
                <c:pt idx="683">
                  <c:v>43495</c:v>
                </c:pt>
                <c:pt idx="684">
                  <c:v>43496</c:v>
                </c:pt>
                <c:pt idx="685">
                  <c:v>43497</c:v>
                </c:pt>
                <c:pt idx="686">
                  <c:v>43500</c:v>
                </c:pt>
                <c:pt idx="687">
                  <c:v>43501</c:v>
                </c:pt>
                <c:pt idx="688">
                  <c:v>43502</c:v>
                </c:pt>
                <c:pt idx="689">
                  <c:v>43503</c:v>
                </c:pt>
                <c:pt idx="690">
                  <c:v>43504</c:v>
                </c:pt>
                <c:pt idx="691">
                  <c:v>43507</c:v>
                </c:pt>
                <c:pt idx="692">
                  <c:v>43508</c:v>
                </c:pt>
                <c:pt idx="693">
                  <c:v>43509</c:v>
                </c:pt>
                <c:pt idx="694">
                  <c:v>43510</c:v>
                </c:pt>
                <c:pt idx="695">
                  <c:v>43511</c:v>
                </c:pt>
                <c:pt idx="696">
                  <c:v>43514</c:v>
                </c:pt>
                <c:pt idx="697">
                  <c:v>43515</c:v>
                </c:pt>
                <c:pt idx="698">
                  <c:v>43516</c:v>
                </c:pt>
                <c:pt idx="699">
                  <c:v>43517</c:v>
                </c:pt>
                <c:pt idx="700">
                  <c:v>43518</c:v>
                </c:pt>
                <c:pt idx="701">
                  <c:v>43521</c:v>
                </c:pt>
                <c:pt idx="702">
                  <c:v>43522</c:v>
                </c:pt>
                <c:pt idx="703">
                  <c:v>43523</c:v>
                </c:pt>
                <c:pt idx="704">
                  <c:v>43524</c:v>
                </c:pt>
                <c:pt idx="705">
                  <c:v>43525</c:v>
                </c:pt>
                <c:pt idx="706">
                  <c:v>43528</c:v>
                </c:pt>
                <c:pt idx="707">
                  <c:v>43529</c:v>
                </c:pt>
                <c:pt idx="708">
                  <c:v>43530</c:v>
                </c:pt>
                <c:pt idx="709">
                  <c:v>43531</c:v>
                </c:pt>
                <c:pt idx="710">
                  <c:v>43532</c:v>
                </c:pt>
                <c:pt idx="711">
                  <c:v>43535</c:v>
                </c:pt>
                <c:pt idx="712">
                  <c:v>43536</c:v>
                </c:pt>
                <c:pt idx="713">
                  <c:v>43537</c:v>
                </c:pt>
                <c:pt idx="714">
                  <c:v>43538</c:v>
                </c:pt>
                <c:pt idx="715">
                  <c:v>43539</c:v>
                </c:pt>
                <c:pt idx="716">
                  <c:v>43542</c:v>
                </c:pt>
                <c:pt idx="717">
                  <c:v>43543</c:v>
                </c:pt>
                <c:pt idx="718">
                  <c:v>43544</c:v>
                </c:pt>
                <c:pt idx="719">
                  <c:v>43545</c:v>
                </c:pt>
                <c:pt idx="720">
                  <c:v>43546</c:v>
                </c:pt>
                <c:pt idx="721">
                  <c:v>43549</c:v>
                </c:pt>
                <c:pt idx="722">
                  <c:v>43550</c:v>
                </c:pt>
                <c:pt idx="723">
                  <c:v>43551</c:v>
                </c:pt>
                <c:pt idx="724">
                  <c:v>43552</c:v>
                </c:pt>
                <c:pt idx="725">
                  <c:v>43553</c:v>
                </c:pt>
                <c:pt idx="726">
                  <c:v>43556</c:v>
                </c:pt>
                <c:pt idx="727">
                  <c:v>43557</c:v>
                </c:pt>
                <c:pt idx="728">
                  <c:v>43558</c:v>
                </c:pt>
                <c:pt idx="729">
                  <c:v>43559</c:v>
                </c:pt>
                <c:pt idx="730">
                  <c:v>43560</c:v>
                </c:pt>
                <c:pt idx="731">
                  <c:v>43563</c:v>
                </c:pt>
                <c:pt idx="732">
                  <c:v>43564</c:v>
                </c:pt>
                <c:pt idx="733">
                  <c:v>43565</c:v>
                </c:pt>
                <c:pt idx="734">
                  <c:v>43566</c:v>
                </c:pt>
                <c:pt idx="735">
                  <c:v>43567</c:v>
                </c:pt>
                <c:pt idx="736">
                  <c:v>43570</c:v>
                </c:pt>
                <c:pt idx="737">
                  <c:v>43571</c:v>
                </c:pt>
                <c:pt idx="738">
                  <c:v>43572</c:v>
                </c:pt>
                <c:pt idx="739">
                  <c:v>43573</c:v>
                </c:pt>
                <c:pt idx="740">
                  <c:v>43578</c:v>
                </c:pt>
                <c:pt idx="741">
                  <c:v>43579</c:v>
                </c:pt>
                <c:pt idx="742">
                  <c:v>43580</c:v>
                </c:pt>
                <c:pt idx="743">
                  <c:v>43581</c:v>
                </c:pt>
                <c:pt idx="744">
                  <c:v>43584</c:v>
                </c:pt>
                <c:pt idx="745">
                  <c:v>43585</c:v>
                </c:pt>
                <c:pt idx="746">
                  <c:v>43587</c:v>
                </c:pt>
                <c:pt idx="747">
                  <c:v>43588</c:v>
                </c:pt>
                <c:pt idx="748">
                  <c:v>43591</c:v>
                </c:pt>
                <c:pt idx="749">
                  <c:v>43592</c:v>
                </c:pt>
                <c:pt idx="750">
                  <c:v>43593</c:v>
                </c:pt>
                <c:pt idx="751">
                  <c:v>43594</c:v>
                </c:pt>
                <c:pt idx="752">
                  <c:v>43595</c:v>
                </c:pt>
                <c:pt idx="753">
                  <c:v>43598</c:v>
                </c:pt>
                <c:pt idx="754">
                  <c:v>43599</c:v>
                </c:pt>
                <c:pt idx="755">
                  <c:v>43600</c:v>
                </c:pt>
                <c:pt idx="756">
                  <c:v>43601</c:v>
                </c:pt>
                <c:pt idx="757">
                  <c:v>43602</c:v>
                </c:pt>
                <c:pt idx="758">
                  <c:v>43605</c:v>
                </c:pt>
                <c:pt idx="759">
                  <c:v>43606</c:v>
                </c:pt>
                <c:pt idx="760">
                  <c:v>43607</c:v>
                </c:pt>
                <c:pt idx="761">
                  <c:v>43608</c:v>
                </c:pt>
                <c:pt idx="762">
                  <c:v>43609</c:v>
                </c:pt>
                <c:pt idx="763">
                  <c:v>43612</c:v>
                </c:pt>
                <c:pt idx="764">
                  <c:v>43613</c:v>
                </c:pt>
                <c:pt idx="765">
                  <c:v>43614</c:v>
                </c:pt>
                <c:pt idx="766">
                  <c:v>43615</c:v>
                </c:pt>
                <c:pt idx="767">
                  <c:v>43616</c:v>
                </c:pt>
                <c:pt idx="768">
                  <c:v>43619</c:v>
                </c:pt>
                <c:pt idx="769">
                  <c:v>43620</c:v>
                </c:pt>
                <c:pt idx="770">
                  <c:v>43621</c:v>
                </c:pt>
                <c:pt idx="771">
                  <c:v>43622</c:v>
                </c:pt>
                <c:pt idx="772">
                  <c:v>43623</c:v>
                </c:pt>
                <c:pt idx="773">
                  <c:v>43626</c:v>
                </c:pt>
                <c:pt idx="774">
                  <c:v>43627</c:v>
                </c:pt>
                <c:pt idx="775">
                  <c:v>43628</c:v>
                </c:pt>
                <c:pt idx="776">
                  <c:v>43629</c:v>
                </c:pt>
                <c:pt idx="777">
                  <c:v>43630</c:v>
                </c:pt>
                <c:pt idx="778">
                  <c:v>43633</c:v>
                </c:pt>
                <c:pt idx="779">
                  <c:v>43634</c:v>
                </c:pt>
                <c:pt idx="780">
                  <c:v>43635</c:v>
                </c:pt>
                <c:pt idx="781">
                  <c:v>43636</c:v>
                </c:pt>
                <c:pt idx="782">
                  <c:v>43637</c:v>
                </c:pt>
                <c:pt idx="783">
                  <c:v>43640</c:v>
                </c:pt>
                <c:pt idx="784">
                  <c:v>43641</c:v>
                </c:pt>
                <c:pt idx="785">
                  <c:v>43642</c:v>
                </c:pt>
                <c:pt idx="786">
                  <c:v>43643</c:v>
                </c:pt>
                <c:pt idx="787">
                  <c:v>43644</c:v>
                </c:pt>
                <c:pt idx="788">
                  <c:v>43647</c:v>
                </c:pt>
                <c:pt idx="789">
                  <c:v>43648</c:v>
                </c:pt>
                <c:pt idx="790">
                  <c:v>43649</c:v>
                </c:pt>
                <c:pt idx="791">
                  <c:v>43650</c:v>
                </c:pt>
                <c:pt idx="792">
                  <c:v>43651</c:v>
                </c:pt>
                <c:pt idx="793">
                  <c:v>43654</c:v>
                </c:pt>
                <c:pt idx="794">
                  <c:v>43655</c:v>
                </c:pt>
                <c:pt idx="795">
                  <c:v>43656</c:v>
                </c:pt>
                <c:pt idx="796">
                  <c:v>43657</c:v>
                </c:pt>
                <c:pt idx="797">
                  <c:v>43658</c:v>
                </c:pt>
                <c:pt idx="798">
                  <c:v>43661</c:v>
                </c:pt>
                <c:pt idx="799">
                  <c:v>43662</c:v>
                </c:pt>
                <c:pt idx="800">
                  <c:v>43663</c:v>
                </c:pt>
                <c:pt idx="801">
                  <c:v>43664</c:v>
                </c:pt>
                <c:pt idx="802">
                  <c:v>43665</c:v>
                </c:pt>
                <c:pt idx="803">
                  <c:v>43668</c:v>
                </c:pt>
                <c:pt idx="804">
                  <c:v>43669</c:v>
                </c:pt>
                <c:pt idx="805">
                  <c:v>43670</c:v>
                </c:pt>
                <c:pt idx="806">
                  <c:v>43671</c:v>
                </c:pt>
                <c:pt idx="807">
                  <c:v>43672</c:v>
                </c:pt>
                <c:pt idx="808">
                  <c:v>43675</c:v>
                </c:pt>
                <c:pt idx="809">
                  <c:v>43676</c:v>
                </c:pt>
                <c:pt idx="810">
                  <c:v>43677</c:v>
                </c:pt>
                <c:pt idx="811">
                  <c:v>43678</c:v>
                </c:pt>
                <c:pt idx="812">
                  <c:v>43679</c:v>
                </c:pt>
                <c:pt idx="813">
                  <c:v>43682</c:v>
                </c:pt>
                <c:pt idx="814">
                  <c:v>43683</c:v>
                </c:pt>
                <c:pt idx="815">
                  <c:v>43684</c:v>
                </c:pt>
                <c:pt idx="816">
                  <c:v>43685</c:v>
                </c:pt>
                <c:pt idx="817">
                  <c:v>43686</c:v>
                </c:pt>
                <c:pt idx="818">
                  <c:v>43689</c:v>
                </c:pt>
                <c:pt idx="819">
                  <c:v>43690</c:v>
                </c:pt>
                <c:pt idx="820">
                  <c:v>43691</c:v>
                </c:pt>
                <c:pt idx="821">
                  <c:v>43692</c:v>
                </c:pt>
                <c:pt idx="822">
                  <c:v>43693</c:v>
                </c:pt>
                <c:pt idx="823">
                  <c:v>43696</c:v>
                </c:pt>
                <c:pt idx="824">
                  <c:v>43697</c:v>
                </c:pt>
                <c:pt idx="825">
                  <c:v>43698</c:v>
                </c:pt>
                <c:pt idx="826">
                  <c:v>43699</c:v>
                </c:pt>
                <c:pt idx="827">
                  <c:v>43700</c:v>
                </c:pt>
                <c:pt idx="828">
                  <c:v>43703</c:v>
                </c:pt>
                <c:pt idx="829">
                  <c:v>43704</c:v>
                </c:pt>
                <c:pt idx="830">
                  <c:v>43705</c:v>
                </c:pt>
                <c:pt idx="831">
                  <c:v>43706</c:v>
                </c:pt>
                <c:pt idx="832">
                  <c:v>43707</c:v>
                </c:pt>
                <c:pt idx="833">
                  <c:v>43710</c:v>
                </c:pt>
                <c:pt idx="834">
                  <c:v>43711</c:v>
                </c:pt>
                <c:pt idx="835">
                  <c:v>43712</c:v>
                </c:pt>
                <c:pt idx="836">
                  <c:v>43713</c:v>
                </c:pt>
                <c:pt idx="837">
                  <c:v>43714</c:v>
                </c:pt>
                <c:pt idx="838">
                  <c:v>43717</c:v>
                </c:pt>
                <c:pt idx="839">
                  <c:v>43718</c:v>
                </c:pt>
                <c:pt idx="840">
                  <c:v>43719</c:v>
                </c:pt>
                <c:pt idx="841">
                  <c:v>43720</c:v>
                </c:pt>
                <c:pt idx="842">
                  <c:v>43721</c:v>
                </c:pt>
                <c:pt idx="843">
                  <c:v>43724</c:v>
                </c:pt>
                <c:pt idx="844">
                  <c:v>43725</c:v>
                </c:pt>
                <c:pt idx="845">
                  <c:v>43726</c:v>
                </c:pt>
                <c:pt idx="846">
                  <c:v>43727</c:v>
                </c:pt>
                <c:pt idx="847">
                  <c:v>43728</c:v>
                </c:pt>
                <c:pt idx="848">
                  <c:v>43731</c:v>
                </c:pt>
                <c:pt idx="849">
                  <c:v>43732</c:v>
                </c:pt>
                <c:pt idx="850">
                  <c:v>43733</c:v>
                </c:pt>
                <c:pt idx="851">
                  <c:v>43734</c:v>
                </c:pt>
                <c:pt idx="852">
                  <c:v>43735</c:v>
                </c:pt>
                <c:pt idx="853">
                  <c:v>43738</c:v>
                </c:pt>
                <c:pt idx="854">
                  <c:v>43739</c:v>
                </c:pt>
                <c:pt idx="855">
                  <c:v>43740</c:v>
                </c:pt>
                <c:pt idx="856">
                  <c:v>43741</c:v>
                </c:pt>
                <c:pt idx="857">
                  <c:v>43742</c:v>
                </c:pt>
                <c:pt idx="858">
                  <c:v>43745</c:v>
                </c:pt>
                <c:pt idx="859">
                  <c:v>43746</c:v>
                </c:pt>
                <c:pt idx="860">
                  <c:v>43747</c:v>
                </c:pt>
                <c:pt idx="861">
                  <c:v>43748</c:v>
                </c:pt>
                <c:pt idx="862">
                  <c:v>43749</c:v>
                </c:pt>
                <c:pt idx="863">
                  <c:v>43752</c:v>
                </c:pt>
                <c:pt idx="864">
                  <c:v>43753</c:v>
                </c:pt>
                <c:pt idx="865">
                  <c:v>43754</c:v>
                </c:pt>
                <c:pt idx="866">
                  <c:v>43755</c:v>
                </c:pt>
                <c:pt idx="867">
                  <c:v>43756</c:v>
                </c:pt>
                <c:pt idx="868">
                  <c:v>43759</c:v>
                </c:pt>
                <c:pt idx="869">
                  <c:v>43760</c:v>
                </c:pt>
                <c:pt idx="870">
                  <c:v>43761</c:v>
                </c:pt>
                <c:pt idx="871">
                  <c:v>43762</c:v>
                </c:pt>
                <c:pt idx="872">
                  <c:v>43763</c:v>
                </c:pt>
                <c:pt idx="873">
                  <c:v>43766</c:v>
                </c:pt>
                <c:pt idx="874">
                  <c:v>43767</c:v>
                </c:pt>
                <c:pt idx="875">
                  <c:v>43768</c:v>
                </c:pt>
                <c:pt idx="876">
                  <c:v>43769</c:v>
                </c:pt>
                <c:pt idx="877">
                  <c:v>43770</c:v>
                </c:pt>
                <c:pt idx="878">
                  <c:v>43773</c:v>
                </c:pt>
                <c:pt idx="879">
                  <c:v>43774</c:v>
                </c:pt>
                <c:pt idx="880">
                  <c:v>43775</c:v>
                </c:pt>
                <c:pt idx="881">
                  <c:v>43776</c:v>
                </c:pt>
                <c:pt idx="882">
                  <c:v>43777</c:v>
                </c:pt>
                <c:pt idx="883">
                  <c:v>43780</c:v>
                </c:pt>
                <c:pt idx="884">
                  <c:v>43781</c:v>
                </c:pt>
                <c:pt idx="885">
                  <c:v>43782</c:v>
                </c:pt>
                <c:pt idx="886">
                  <c:v>43783</c:v>
                </c:pt>
                <c:pt idx="887">
                  <c:v>43784</c:v>
                </c:pt>
                <c:pt idx="888">
                  <c:v>43787</c:v>
                </c:pt>
                <c:pt idx="889">
                  <c:v>43788</c:v>
                </c:pt>
                <c:pt idx="890">
                  <c:v>43789</c:v>
                </c:pt>
                <c:pt idx="891">
                  <c:v>43790</c:v>
                </c:pt>
                <c:pt idx="892">
                  <c:v>43791</c:v>
                </c:pt>
                <c:pt idx="893">
                  <c:v>43794</c:v>
                </c:pt>
                <c:pt idx="894">
                  <c:v>43795</c:v>
                </c:pt>
                <c:pt idx="895">
                  <c:v>43796</c:v>
                </c:pt>
                <c:pt idx="896">
                  <c:v>43797</c:v>
                </c:pt>
                <c:pt idx="897">
                  <c:v>43798</c:v>
                </c:pt>
                <c:pt idx="898">
                  <c:v>43801</c:v>
                </c:pt>
                <c:pt idx="899">
                  <c:v>43802</c:v>
                </c:pt>
                <c:pt idx="900">
                  <c:v>43803</c:v>
                </c:pt>
                <c:pt idx="901">
                  <c:v>43804</c:v>
                </c:pt>
                <c:pt idx="902">
                  <c:v>43805</c:v>
                </c:pt>
                <c:pt idx="903">
                  <c:v>43808</c:v>
                </c:pt>
                <c:pt idx="904">
                  <c:v>43809</c:v>
                </c:pt>
                <c:pt idx="905">
                  <c:v>43810</c:v>
                </c:pt>
                <c:pt idx="906">
                  <c:v>43811</c:v>
                </c:pt>
                <c:pt idx="907">
                  <c:v>43812</c:v>
                </c:pt>
                <c:pt idx="908">
                  <c:v>43815</c:v>
                </c:pt>
                <c:pt idx="909">
                  <c:v>43816</c:v>
                </c:pt>
                <c:pt idx="910">
                  <c:v>43817</c:v>
                </c:pt>
                <c:pt idx="911">
                  <c:v>43818</c:v>
                </c:pt>
                <c:pt idx="912">
                  <c:v>43819</c:v>
                </c:pt>
                <c:pt idx="913">
                  <c:v>43822</c:v>
                </c:pt>
                <c:pt idx="914">
                  <c:v>43823</c:v>
                </c:pt>
                <c:pt idx="915">
                  <c:v>43826</c:v>
                </c:pt>
                <c:pt idx="916">
                  <c:v>43829</c:v>
                </c:pt>
                <c:pt idx="917">
                  <c:v>43830</c:v>
                </c:pt>
                <c:pt idx="918">
                  <c:v>43832</c:v>
                </c:pt>
                <c:pt idx="919">
                  <c:v>43833</c:v>
                </c:pt>
                <c:pt idx="920">
                  <c:v>43836</c:v>
                </c:pt>
                <c:pt idx="921">
                  <c:v>43837</c:v>
                </c:pt>
                <c:pt idx="922">
                  <c:v>43838</c:v>
                </c:pt>
                <c:pt idx="923">
                  <c:v>43839</c:v>
                </c:pt>
                <c:pt idx="924">
                  <c:v>43840</c:v>
                </c:pt>
                <c:pt idx="925">
                  <c:v>43843</c:v>
                </c:pt>
                <c:pt idx="926">
                  <c:v>43844</c:v>
                </c:pt>
                <c:pt idx="927">
                  <c:v>43845</c:v>
                </c:pt>
                <c:pt idx="928">
                  <c:v>43846</c:v>
                </c:pt>
                <c:pt idx="929">
                  <c:v>43847</c:v>
                </c:pt>
                <c:pt idx="930">
                  <c:v>43850</c:v>
                </c:pt>
                <c:pt idx="931">
                  <c:v>43851</c:v>
                </c:pt>
                <c:pt idx="932">
                  <c:v>43852</c:v>
                </c:pt>
                <c:pt idx="933">
                  <c:v>43853</c:v>
                </c:pt>
                <c:pt idx="934">
                  <c:v>43854</c:v>
                </c:pt>
                <c:pt idx="935">
                  <c:v>43857</c:v>
                </c:pt>
                <c:pt idx="936">
                  <c:v>43858</c:v>
                </c:pt>
                <c:pt idx="937">
                  <c:v>43859</c:v>
                </c:pt>
                <c:pt idx="938">
                  <c:v>43860</c:v>
                </c:pt>
                <c:pt idx="939">
                  <c:v>43861</c:v>
                </c:pt>
                <c:pt idx="940">
                  <c:v>43864</c:v>
                </c:pt>
                <c:pt idx="941">
                  <c:v>43865</c:v>
                </c:pt>
                <c:pt idx="942">
                  <c:v>43866</c:v>
                </c:pt>
                <c:pt idx="943">
                  <c:v>43867</c:v>
                </c:pt>
                <c:pt idx="944">
                  <c:v>43868</c:v>
                </c:pt>
                <c:pt idx="945">
                  <c:v>43871</c:v>
                </c:pt>
                <c:pt idx="946">
                  <c:v>43872</c:v>
                </c:pt>
                <c:pt idx="947">
                  <c:v>43873</c:v>
                </c:pt>
                <c:pt idx="948">
                  <c:v>43874</c:v>
                </c:pt>
                <c:pt idx="949">
                  <c:v>43875</c:v>
                </c:pt>
                <c:pt idx="950">
                  <c:v>43878</c:v>
                </c:pt>
                <c:pt idx="951">
                  <c:v>43879</c:v>
                </c:pt>
                <c:pt idx="952">
                  <c:v>43880</c:v>
                </c:pt>
                <c:pt idx="953">
                  <c:v>43881</c:v>
                </c:pt>
                <c:pt idx="954">
                  <c:v>43882</c:v>
                </c:pt>
                <c:pt idx="955">
                  <c:v>43885</c:v>
                </c:pt>
                <c:pt idx="956">
                  <c:v>43886</c:v>
                </c:pt>
                <c:pt idx="957">
                  <c:v>43887</c:v>
                </c:pt>
                <c:pt idx="958">
                  <c:v>43888</c:v>
                </c:pt>
                <c:pt idx="959">
                  <c:v>43889</c:v>
                </c:pt>
                <c:pt idx="960">
                  <c:v>43892</c:v>
                </c:pt>
                <c:pt idx="961">
                  <c:v>43893</c:v>
                </c:pt>
                <c:pt idx="962">
                  <c:v>43894</c:v>
                </c:pt>
                <c:pt idx="963">
                  <c:v>43895</c:v>
                </c:pt>
                <c:pt idx="964">
                  <c:v>43896</c:v>
                </c:pt>
                <c:pt idx="965">
                  <c:v>43899</c:v>
                </c:pt>
                <c:pt idx="966">
                  <c:v>43900</c:v>
                </c:pt>
                <c:pt idx="967">
                  <c:v>43901</c:v>
                </c:pt>
                <c:pt idx="968">
                  <c:v>43902</c:v>
                </c:pt>
                <c:pt idx="969">
                  <c:v>43903</c:v>
                </c:pt>
                <c:pt idx="970">
                  <c:v>43906</c:v>
                </c:pt>
                <c:pt idx="971">
                  <c:v>43907</c:v>
                </c:pt>
                <c:pt idx="972">
                  <c:v>43908</c:v>
                </c:pt>
                <c:pt idx="973">
                  <c:v>43909</c:v>
                </c:pt>
                <c:pt idx="974">
                  <c:v>43910</c:v>
                </c:pt>
                <c:pt idx="975">
                  <c:v>43913</c:v>
                </c:pt>
                <c:pt idx="976">
                  <c:v>43914</c:v>
                </c:pt>
                <c:pt idx="977">
                  <c:v>43915</c:v>
                </c:pt>
                <c:pt idx="978">
                  <c:v>43916</c:v>
                </c:pt>
                <c:pt idx="979">
                  <c:v>43917</c:v>
                </c:pt>
                <c:pt idx="980">
                  <c:v>43920</c:v>
                </c:pt>
                <c:pt idx="981">
                  <c:v>43921</c:v>
                </c:pt>
                <c:pt idx="982">
                  <c:v>43922</c:v>
                </c:pt>
                <c:pt idx="983">
                  <c:v>43923</c:v>
                </c:pt>
                <c:pt idx="984">
                  <c:v>43924</c:v>
                </c:pt>
                <c:pt idx="985">
                  <c:v>43927</c:v>
                </c:pt>
                <c:pt idx="986">
                  <c:v>43928</c:v>
                </c:pt>
                <c:pt idx="987">
                  <c:v>43929</c:v>
                </c:pt>
                <c:pt idx="988">
                  <c:v>43930</c:v>
                </c:pt>
                <c:pt idx="989">
                  <c:v>43935</c:v>
                </c:pt>
                <c:pt idx="990">
                  <c:v>43936</c:v>
                </c:pt>
                <c:pt idx="991">
                  <c:v>43937</c:v>
                </c:pt>
                <c:pt idx="992">
                  <c:v>43938</c:v>
                </c:pt>
                <c:pt idx="993">
                  <c:v>43941</c:v>
                </c:pt>
                <c:pt idx="994">
                  <c:v>43942</c:v>
                </c:pt>
                <c:pt idx="995">
                  <c:v>43943</c:v>
                </c:pt>
                <c:pt idx="996">
                  <c:v>43944</c:v>
                </c:pt>
                <c:pt idx="997">
                  <c:v>43945</c:v>
                </c:pt>
                <c:pt idx="998">
                  <c:v>43948</c:v>
                </c:pt>
                <c:pt idx="999">
                  <c:v>43949</c:v>
                </c:pt>
                <c:pt idx="1000">
                  <c:v>43950</c:v>
                </c:pt>
                <c:pt idx="1001">
                  <c:v>43951</c:v>
                </c:pt>
                <c:pt idx="1002">
                  <c:v>43955</c:v>
                </c:pt>
                <c:pt idx="1003">
                  <c:v>43956</c:v>
                </c:pt>
                <c:pt idx="1004">
                  <c:v>43957</c:v>
                </c:pt>
                <c:pt idx="1005">
                  <c:v>43958</c:v>
                </c:pt>
                <c:pt idx="1006">
                  <c:v>43959</c:v>
                </c:pt>
                <c:pt idx="1007">
                  <c:v>43962</c:v>
                </c:pt>
                <c:pt idx="1008">
                  <c:v>43963</c:v>
                </c:pt>
                <c:pt idx="1009">
                  <c:v>43964</c:v>
                </c:pt>
                <c:pt idx="1010">
                  <c:v>43965</c:v>
                </c:pt>
                <c:pt idx="1011">
                  <c:v>43966</c:v>
                </c:pt>
                <c:pt idx="1012">
                  <c:v>43969</c:v>
                </c:pt>
                <c:pt idx="1013">
                  <c:v>43970</c:v>
                </c:pt>
                <c:pt idx="1014">
                  <c:v>43971</c:v>
                </c:pt>
                <c:pt idx="1015">
                  <c:v>43972</c:v>
                </c:pt>
                <c:pt idx="1016">
                  <c:v>43973</c:v>
                </c:pt>
                <c:pt idx="1017">
                  <c:v>43976</c:v>
                </c:pt>
                <c:pt idx="1018">
                  <c:v>43977</c:v>
                </c:pt>
                <c:pt idx="1019">
                  <c:v>43978</c:v>
                </c:pt>
                <c:pt idx="1020">
                  <c:v>43979</c:v>
                </c:pt>
                <c:pt idx="1021">
                  <c:v>43980</c:v>
                </c:pt>
                <c:pt idx="1022">
                  <c:v>43983</c:v>
                </c:pt>
                <c:pt idx="1023">
                  <c:v>43984</c:v>
                </c:pt>
                <c:pt idx="1024">
                  <c:v>43985</c:v>
                </c:pt>
                <c:pt idx="1025">
                  <c:v>43986</c:v>
                </c:pt>
                <c:pt idx="1026">
                  <c:v>43987</c:v>
                </c:pt>
                <c:pt idx="1027">
                  <c:v>43990</c:v>
                </c:pt>
                <c:pt idx="1028">
                  <c:v>43991</c:v>
                </c:pt>
                <c:pt idx="1029">
                  <c:v>43992</c:v>
                </c:pt>
                <c:pt idx="1030">
                  <c:v>43993</c:v>
                </c:pt>
                <c:pt idx="1031">
                  <c:v>43994</c:v>
                </c:pt>
                <c:pt idx="1032">
                  <c:v>43997</c:v>
                </c:pt>
                <c:pt idx="1033">
                  <c:v>43998</c:v>
                </c:pt>
                <c:pt idx="1034">
                  <c:v>43999</c:v>
                </c:pt>
                <c:pt idx="1035">
                  <c:v>44000</c:v>
                </c:pt>
                <c:pt idx="1036">
                  <c:v>44001</c:v>
                </c:pt>
                <c:pt idx="1037">
                  <c:v>44004</c:v>
                </c:pt>
                <c:pt idx="1038">
                  <c:v>44005</c:v>
                </c:pt>
                <c:pt idx="1039">
                  <c:v>44006</c:v>
                </c:pt>
                <c:pt idx="1040">
                  <c:v>44007</c:v>
                </c:pt>
                <c:pt idx="1041">
                  <c:v>44008</c:v>
                </c:pt>
                <c:pt idx="1042">
                  <c:v>44011</c:v>
                </c:pt>
                <c:pt idx="1043">
                  <c:v>44012</c:v>
                </c:pt>
                <c:pt idx="1044">
                  <c:v>44013</c:v>
                </c:pt>
                <c:pt idx="1045">
                  <c:v>44014</c:v>
                </c:pt>
                <c:pt idx="1046">
                  <c:v>44015</c:v>
                </c:pt>
                <c:pt idx="1047">
                  <c:v>44018</c:v>
                </c:pt>
                <c:pt idx="1048">
                  <c:v>44019</c:v>
                </c:pt>
                <c:pt idx="1049">
                  <c:v>44020</c:v>
                </c:pt>
                <c:pt idx="1050">
                  <c:v>44021</c:v>
                </c:pt>
                <c:pt idx="1051">
                  <c:v>44022</c:v>
                </c:pt>
                <c:pt idx="1052">
                  <c:v>44025</c:v>
                </c:pt>
                <c:pt idx="1053">
                  <c:v>44026</c:v>
                </c:pt>
                <c:pt idx="1054">
                  <c:v>44027</c:v>
                </c:pt>
                <c:pt idx="1055">
                  <c:v>44028</c:v>
                </c:pt>
                <c:pt idx="1056">
                  <c:v>44029</c:v>
                </c:pt>
                <c:pt idx="1057">
                  <c:v>44032</c:v>
                </c:pt>
                <c:pt idx="1058">
                  <c:v>44033</c:v>
                </c:pt>
                <c:pt idx="1059">
                  <c:v>44034</c:v>
                </c:pt>
                <c:pt idx="1060">
                  <c:v>44035</c:v>
                </c:pt>
                <c:pt idx="1061">
                  <c:v>44036</c:v>
                </c:pt>
                <c:pt idx="1062">
                  <c:v>44039</c:v>
                </c:pt>
                <c:pt idx="1063">
                  <c:v>44040</c:v>
                </c:pt>
                <c:pt idx="1064">
                  <c:v>44041</c:v>
                </c:pt>
                <c:pt idx="1065">
                  <c:v>44042</c:v>
                </c:pt>
                <c:pt idx="1066">
                  <c:v>44043</c:v>
                </c:pt>
                <c:pt idx="1067">
                  <c:v>44046</c:v>
                </c:pt>
                <c:pt idx="1068">
                  <c:v>44047</c:v>
                </c:pt>
                <c:pt idx="1069">
                  <c:v>44048</c:v>
                </c:pt>
                <c:pt idx="1070">
                  <c:v>44049</c:v>
                </c:pt>
                <c:pt idx="1071">
                  <c:v>44050</c:v>
                </c:pt>
                <c:pt idx="1072">
                  <c:v>44053</c:v>
                </c:pt>
                <c:pt idx="1073">
                  <c:v>44054</c:v>
                </c:pt>
                <c:pt idx="1074">
                  <c:v>44055</c:v>
                </c:pt>
                <c:pt idx="1075">
                  <c:v>44056</c:v>
                </c:pt>
                <c:pt idx="1076">
                  <c:v>44057</c:v>
                </c:pt>
                <c:pt idx="1077">
                  <c:v>44060</c:v>
                </c:pt>
                <c:pt idx="1078">
                  <c:v>44061</c:v>
                </c:pt>
                <c:pt idx="1079">
                  <c:v>44062</c:v>
                </c:pt>
                <c:pt idx="1080">
                  <c:v>44063</c:v>
                </c:pt>
                <c:pt idx="1081">
                  <c:v>44064</c:v>
                </c:pt>
                <c:pt idx="1082">
                  <c:v>44067</c:v>
                </c:pt>
                <c:pt idx="1083">
                  <c:v>44068</c:v>
                </c:pt>
                <c:pt idx="1084">
                  <c:v>44069</c:v>
                </c:pt>
                <c:pt idx="1085">
                  <c:v>44070</c:v>
                </c:pt>
                <c:pt idx="1086">
                  <c:v>44071</c:v>
                </c:pt>
                <c:pt idx="1087">
                  <c:v>44074</c:v>
                </c:pt>
                <c:pt idx="1088">
                  <c:v>44075</c:v>
                </c:pt>
                <c:pt idx="1089">
                  <c:v>44076</c:v>
                </c:pt>
                <c:pt idx="1090">
                  <c:v>44077</c:v>
                </c:pt>
                <c:pt idx="1091">
                  <c:v>44078</c:v>
                </c:pt>
                <c:pt idx="1092">
                  <c:v>44081</c:v>
                </c:pt>
                <c:pt idx="1093">
                  <c:v>44082</c:v>
                </c:pt>
                <c:pt idx="1094">
                  <c:v>44083</c:v>
                </c:pt>
                <c:pt idx="1095">
                  <c:v>44084</c:v>
                </c:pt>
                <c:pt idx="1096">
                  <c:v>44085</c:v>
                </c:pt>
                <c:pt idx="1097">
                  <c:v>44088</c:v>
                </c:pt>
                <c:pt idx="1098">
                  <c:v>44089</c:v>
                </c:pt>
                <c:pt idx="1099">
                  <c:v>44090</c:v>
                </c:pt>
                <c:pt idx="1100">
                  <c:v>44091</c:v>
                </c:pt>
                <c:pt idx="1101">
                  <c:v>44092</c:v>
                </c:pt>
                <c:pt idx="1102">
                  <c:v>44095</c:v>
                </c:pt>
                <c:pt idx="1103">
                  <c:v>44096</c:v>
                </c:pt>
                <c:pt idx="1104">
                  <c:v>44097</c:v>
                </c:pt>
                <c:pt idx="1105">
                  <c:v>44098</c:v>
                </c:pt>
                <c:pt idx="1106">
                  <c:v>44099</c:v>
                </c:pt>
                <c:pt idx="1107">
                  <c:v>44102</c:v>
                </c:pt>
                <c:pt idx="1108">
                  <c:v>44103</c:v>
                </c:pt>
                <c:pt idx="1109">
                  <c:v>44104</c:v>
                </c:pt>
                <c:pt idx="1110">
                  <c:v>44105</c:v>
                </c:pt>
                <c:pt idx="1111">
                  <c:v>44106</c:v>
                </c:pt>
                <c:pt idx="1112">
                  <c:v>44109</c:v>
                </c:pt>
                <c:pt idx="1113">
                  <c:v>44110</c:v>
                </c:pt>
                <c:pt idx="1114">
                  <c:v>44111</c:v>
                </c:pt>
                <c:pt idx="1115">
                  <c:v>44112</c:v>
                </c:pt>
                <c:pt idx="1116">
                  <c:v>44113</c:v>
                </c:pt>
                <c:pt idx="1117">
                  <c:v>44116</c:v>
                </c:pt>
                <c:pt idx="1118">
                  <c:v>44117</c:v>
                </c:pt>
                <c:pt idx="1119">
                  <c:v>44118</c:v>
                </c:pt>
                <c:pt idx="1120">
                  <c:v>44119</c:v>
                </c:pt>
                <c:pt idx="1121">
                  <c:v>44120</c:v>
                </c:pt>
                <c:pt idx="1122">
                  <c:v>44123</c:v>
                </c:pt>
                <c:pt idx="1123">
                  <c:v>44124</c:v>
                </c:pt>
                <c:pt idx="1124">
                  <c:v>44125</c:v>
                </c:pt>
                <c:pt idx="1125">
                  <c:v>44126</c:v>
                </c:pt>
                <c:pt idx="1126">
                  <c:v>44127</c:v>
                </c:pt>
                <c:pt idx="1127">
                  <c:v>44130</c:v>
                </c:pt>
                <c:pt idx="1128">
                  <c:v>44131</c:v>
                </c:pt>
                <c:pt idx="1129">
                  <c:v>44132</c:v>
                </c:pt>
                <c:pt idx="1130">
                  <c:v>44133</c:v>
                </c:pt>
                <c:pt idx="1131">
                  <c:v>44134</c:v>
                </c:pt>
                <c:pt idx="1132">
                  <c:v>44137</c:v>
                </c:pt>
                <c:pt idx="1133">
                  <c:v>44138</c:v>
                </c:pt>
                <c:pt idx="1134">
                  <c:v>44139</c:v>
                </c:pt>
                <c:pt idx="1135">
                  <c:v>44140</c:v>
                </c:pt>
                <c:pt idx="1136">
                  <c:v>44141</c:v>
                </c:pt>
                <c:pt idx="1137">
                  <c:v>44144</c:v>
                </c:pt>
                <c:pt idx="1138">
                  <c:v>44145</c:v>
                </c:pt>
                <c:pt idx="1139">
                  <c:v>44146</c:v>
                </c:pt>
                <c:pt idx="1140">
                  <c:v>44147</c:v>
                </c:pt>
                <c:pt idx="1141">
                  <c:v>44148</c:v>
                </c:pt>
                <c:pt idx="1142">
                  <c:v>44151</c:v>
                </c:pt>
                <c:pt idx="1143">
                  <c:v>44152</c:v>
                </c:pt>
                <c:pt idx="1144">
                  <c:v>44153</c:v>
                </c:pt>
                <c:pt idx="1145">
                  <c:v>44154</c:v>
                </c:pt>
                <c:pt idx="1146">
                  <c:v>44155</c:v>
                </c:pt>
                <c:pt idx="1147">
                  <c:v>44158</c:v>
                </c:pt>
                <c:pt idx="1148">
                  <c:v>44159</c:v>
                </c:pt>
                <c:pt idx="1149">
                  <c:v>44160</c:v>
                </c:pt>
                <c:pt idx="1150">
                  <c:v>44161</c:v>
                </c:pt>
                <c:pt idx="1151">
                  <c:v>44162</c:v>
                </c:pt>
                <c:pt idx="1152">
                  <c:v>44165</c:v>
                </c:pt>
                <c:pt idx="1153">
                  <c:v>44166</c:v>
                </c:pt>
                <c:pt idx="1154">
                  <c:v>44167</c:v>
                </c:pt>
                <c:pt idx="1155">
                  <c:v>44168</c:v>
                </c:pt>
                <c:pt idx="1156">
                  <c:v>44169</c:v>
                </c:pt>
                <c:pt idx="1157">
                  <c:v>44172</c:v>
                </c:pt>
                <c:pt idx="1158">
                  <c:v>44173</c:v>
                </c:pt>
                <c:pt idx="1159">
                  <c:v>44174</c:v>
                </c:pt>
                <c:pt idx="1160">
                  <c:v>44175</c:v>
                </c:pt>
                <c:pt idx="1161">
                  <c:v>44176</c:v>
                </c:pt>
                <c:pt idx="1162">
                  <c:v>44179</c:v>
                </c:pt>
                <c:pt idx="1163">
                  <c:v>44180</c:v>
                </c:pt>
                <c:pt idx="1164">
                  <c:v>44181</c:v>
                </c:pt>
                <c:pt idx="1165">
                  <c:v>44182</c:v>
                </c:pt>
                <c:pt idx="1166">
                  <c:v>44183</c:v>
                </c:pt>
                <c:pt idx="1167">
                  <c:v>44186</c:v>
                </c:pt>
                <c:pt idx="1168">
                  <c:v>44187</c:v>
                </c:pt>
                <c:pt idx="1169">
                  <c:v>44188</c:v>
                </c:pt>
                <c:pt idx="1170">
                  <c:v>44189</c:v>
                </c:pt>
                <c:pt idx="1171">
                  <c:v>44193</c:v>
                </c:pt>
                <c:pt idx="1172">
                  <c:v>44194</c:v>
                </c:pt>
                <c:pt idx="1173">
                  <c:v>44195</c:v>
                </c:pt>
                <c:pt idx="1174">
                  <c:v>44196</c:v>
                </c:pt>
                <c:pt idx="1175">
                  <c:v>44200</c:v>
                </c:pt>
                <c:pt idx="1176">
                  <c:v>44201</c:v>
                </c:pt>
                <c:pt idx="1177">
                  <c:v>44202</c:v>
                </c:pt>
                <c:pt idx="1178">
                  <c:v>44203</c:v>
                </c:pt>
                <c:pt idx="1179">
                  <c:v>44204</c:v>
                </c:pt>
                <c:pt idx="1180">
                  <c:v>44207</c:v>
                </c:pt>
                <c:pt idx="1181">
                  <c:v>44208</c:v>
                </c:pt>
                <c:pt idx="1182">
                  <c:v>44209</c:v>
                </c:pt>
                <c:pt idx="1183">
                  <c:v>44210</c:v>
                </c:pt>
                <c:pt idx="1184">
                  <c:v>44211</c:v>
                </c:pt>
                <c:pt idx="1185">
                  <c:v>44214</c:v>
                </c:pt>
                <c:pt idx="1186">
                  <c:v>44215</c:v>
                </c:pt>
                <c:pt idx="1187">
                  <c:v>44216</c:v>
                </c:pt>
                <c:pt idx="1188">
                  <c:v>44217</c:v>
                </c:pt>
                <c:pt idx="1189">
                  <c:v>44218</c:v>
                </c:pt>
                <c:pt idx="1190">
                  <c:v>44221</c:v>
                </c:pt>
                <c:pt idx="1191">
                  <c:v>44222</c:v>
                </c:pt>
                <c:pt idx="1192">
                  <c:v>44223</c:v>
                </c:pt>
                <c:pt idx="1193">
                  <c:v>44224</c:v>
                </c:pt>
                <c:pt idx="1194">
                  <c:v>44225</c:v>
                </c:pt>
                <c:pt idx="1195">
                  <c:v>44228</c:v>
                </c:pt>
                <c:pt idx="1196">
                  <c:v>44229</c:v>
                </c:pt>
                <c:pt idx="1197">
                  <c:v>44230</c:v>
                </c:pt>
                <c:pt idx="1198">
                  <c:v>44231</c:v>
                </c:pt>
                <c:pt idx="1199">
                  <c:v>44232</c:v>
                </c:pt>
                <c:pt idx="1200">
                  <c:v>44235</c:v>
                </c:pt>
                <c:pt idx="1201">
                  <c:v>44236</c:v>
                </c:pt>
                <c:pt idx="1202">
                  <c:v>44237</c:v>
                </c:pt>
                <c:pt idx="1203">
                  <c:v>44238</c:v>
                </c:pt>
                <c:pt idx="1204">
                  <c:v>44239</c:v>
                </c:pt>
                <c:pt idx="1205">
                  <c:v>44242</c:v>
                </c:pt>
                <c:pt idx="1206">
                  <c:v>44243</c:v>
                </c:pt>
                <c:pt idx="1207">
                  <c:v>44244</c:v>
                </c:pt>
                <c:pt idx="1208">
                  <c:v>44245</c:v>
                </c:pt>
                <c:pt idx="1209">
                  <c:v>44246</c:v>
                </c:pt>
                <c:pt idx="1210">
                  <c:v>44249</c:v>
                </c:pt>
                <c:pt idx="1211">
                  <c:v>44250</c:v>
                </c:pt>
                <c:pt idx="1212">
                  <c:v>44251</c:v>
                </c:pt>
                <c:pt idx="1213">
                  <c:v>44252</c:v>
                </c:pt>
                <c:pt idx="1214">
                  <c:v>44253</c:v>
                </c:pt>
                <c:pt idx="1215">
                  <c:v>44256</c:v>
                </c:pt>
                <c:pt idx="1216">
                  <c:v>44257</c:v>
                </c:pt>
                <c:pt idx="1217">
                  <c:v>44258</c:v>
                </c:pt>
                <c:pt idx="1218">
                  <c:v>44259</c:v>
                </c:pt>
                <c:pt idx="1219">
                  <c:v>44260</c:v>
                </c:pt>
                <c:pt idx="1220">
                  <c:v>44263</c:v>
                </c:pt>
                <c:pt idx="1221">
                  <c:v>44264</c:v>
                </c:pt>
                <c:pt idx="1222">
                  <c:v>44265</c:v>
                </c:pt>
                <c:pt idx="1223">
                  <c:v>44266</c:v>
                </c:pt>
                <c:pt idx="1224">
                  <c:v>44267</c:v>
                </c:pt>
                <c:pt idx="1225">
                  <c:v>44270</c:v>
                </c:pt>
                <c:pt idx="1226">
                  <c:v>44271</c:v>
                </c:pt>
                <c:pt idx="1227">
                  <c:v>44272</c:v>
                </c:pt>
                <c:pt idx="1228">
                  <c:v>44273</c:v>
                </c:pt>
                <c:pt idx="1229">
                  <c:v>44274</c:v>
                </c:pt>
                <c:pt idx="1230">
                  <c:v>44277</c:v>
                </c:pt>
                <c:pt idx="1231">
                  <c:v>44278</c:v>
                </c:pt>
                <c:pt idx="1232">
                  <c:v>44279</c:v>
                </c:pt>
                <c:pt idx="1233">
                  <c:v>44280</c:v>
                </c:pt>
                <c:pt idx="1234">
                  <c:v>44281</c:v>
                </c:pt>
                <c:pt idx="1235">
                  <c:v>44284</c:v>
                </c:pt>
                <c:pt idx="1236">
                  <c:v>44285</c:v>
                </c:pt>
                <c:pt idx="1237">
                  <c:v>44286</c:v>
                </c:pt>
                <c:pt idx="1238">
                  <c:v>44287</c:v>
                </c:pt>
                <c:pt idx="1239">
                  <c:v>44292</c:v>
                </c:pt>
                <c:pt idx="1240">
                  <c:v>44293</c:v>
                </c:pt>
                <c:pt idx="1241">
                  <c:v>44294</c:v>
                </c:pt>
                <c:pt idx="1242">
                  <c:v>44295</c:v>
                </c:pt>
                <c:pt idx="1243">
                  <c:v>44298</c:v>
                </c:pt>
                <c:pt idx="1244">
                  <c:v>44299</c:v>
                </c:pt>
                <c:pt idx="1245">
                  <c:v>44300</c:v>
                </c:pt>
                <c:pt idx="1246">
                  <c:v>44301</c:v>
                </c:pt>
                <c:pt idx="1247">
                  <c:v>44302</c:v>
                </c:pt>
                <c:pt idx="1248">
                  <c:v>44305</c:v>
                </c:pt>
                <c:pt idx="1249">
                  <c:v>44306</c:v>
                </c:pt>
                <c:pt idx="1250">
                  <c:v>44307</c:v>
                </c:pt>
                <c:pt idx="1251">
                  <c:v>44308</c:v>
                </c:pt>
                <c:pt idx="1252">
                  <c:v>44309</c:v>
                </c:pt>
                <c:pt idx="1253">
                  <c:v>44312</c:v>
                </c:pt>
                <c:pt idx="1254">
                  <c:v>44313</c:v>
                </c:pt>
                <c:pt idx="1255">
                  <c:v>44314</c:v>
                </c:pt>
                <c:pt idx="1256">
                  <c:v>44315</c:v>
                </c:pt>
                <c:pt idx="1257">
                  <c:v>44316</c:v>
                </c:pt>
                <c:pt idx="1258">
                  <c:v>44319</c:v>
                </c:pt>
                <c:pt idx="1259">
                  <c:v>44320</c:v>
                </c:pt>
                <c:pt idx="1260">
                  <c:v>44321</c:v>
                </c:pt>
                <c:pt idx="1261">
                  <c:v>44322</c:v>
                </c:pt>
                <c:pt idx="1262">
                  <c:v>44323</c:v>
                </c:pt>
                <c:pt idx="1263">
                  <c:v>44326</c:v>
                </c:pt>
                <c:pt idx="1264">
                  <c:v>44327</c:v>
                </c:pt>
                <c:pt idx="1265">
                  <c:v>44328</c:v>
                </c:pt>
                <c:pt idx="1266">
                  <c:v>44329</c:v>
                </c:pt>
                <c:pt idx="1267">
                  <c:v>44330</c:v>
                </c:pt>
                <c:pt idx="1268">
                  <c:v>44333</c:v>
                </c:pt>
                <c:pt idx="1269">
                  <c:v>44334</c:v>
                </c:pt>
                <c:pt idx="1270">
                  <c:v>44335</c:v>
                </c:pt>
                <c:pt idx="1271">
                  <c:v>44336</c:v>
                </c:pt>
                <c:pt idx="1272">
                  <c:v>44337</c:v>
                </c:pt>
                <c:pt idx="1273">
                  <c:v>44340</c:v>
                </c:pt>
                <c:pt idx="1274">
                  <c:v>44341</c:v>
                </c:pt>
                <c:pt idx="1275">
                  <c:v>44342</c:v>
                </c:pt>
                <c:pt idx="1276">
                  <c:v>44343</c:v>
                </c:pt>
                <c:pt idx="1277">
                  <c:v>44344</c:v>
                </c:pt>
                <c:pt idx="1278">
                  <c:v>44347</c:v>
                </c:pt>
                <c:pt idx="1279">
                  <c:v>44348</c:v>
                </c:pt>
                <c:pt idx="1280">
                  <c:v>44349</c:v>
                </c:pt>
                <c:pt idx="1281">
                  <c:v>44350</c:v>
                </c:pt>
                <c:pt idx="1282">
                  <c:v>44351</c:v>
                </c:pt>
                <c:pt idx="1283">
                  <c:v>44354</c:v>
                </c:pt>
                <c:pt idx="1284">
                  <c:v>44355</c:v>
                </c:pt>
                <c:pt idx="1285">
                  <c:v>44356</c:v>
                </c:pt>
                <c:pt idx="1286">
                  <c:v>44357</c:v>
                </c:pt>
                <c:pt idx="1287">
                  <c:v>44358</c:v>
                </c:pt>
                <c:pt idx="1288">
                  <c:v>44361</c:v>
                </c:pt>
                <c:pt idx="1289">
                  <c:v>44362</c:v>
                </c:pt>
                <c:pt idx="1290">
                  <c:v>44363</c:v>
                </c:pt>
                <c:pt idx="1291">
                  <c:v>44364</c:v>
                </c:pt>
                <c:pt idx="1292">
                  <c:v>44365</c:v>
                </c:pt>
                <c:pt idx="1293">
                  <c:v>44368</c:v>
                </c:pt>
                <c:pt idx="1294">
                  <c:v>44369</c:v>
                </c:pt>
                <c:pt idx="1295">
                  <c:v>44370</c:v>
                </c:pt>
                <c:pt idx="1296">
                  <c:v>44371</c:v>
                </c:pt>
                <c:pt idx="1297">
                  <c:v>44372</c:v>
                </c:pt>
                <c:pt idx="1298">
                  <c:v>44375</c:v>
                </c:pt>
                <c:pt idx="1299">
                  <c:v>44376</c:v>
                </c:pt>
                <c:pt idx="1300">
                  <c:v>44377</c:v>
                </c:pt>
                <c:pt idx="1301">
                  <c:v>44378</c:v>
                </c:pt>
                <c:pt idx="1302">
                  <c:v>44379</c:v>
                </c:pt>
                <c:pt idx="1303">
                  <c:v>44382</c:v>
                </c:pt>
                <c:pt idx="1304">
                  <c:v>44383</c:v>
                </c:pt>
                <c:pt idx="1305">
                  <c:v>44384</c:v>
                </c:pt>
                <c:pt idx="1306">
                  <c:v>44385</c:v>
                </c:pt>
                <c:pt idx="1307">
                  <c:v>44386</c:v>
                </c:pt>
                <c:pt idx="1308">
                  <c:v>44389</c:v>
                </c:pt>
                <c:pt idx="1309">
                  <c:v>44390</c:v>
                </c:pt>
                <c:pt idx="1310">
                  <c:v>44391</c:v>
                </c:pt>
                <c:pt idx="1311">
                  <c:v>44392</c:v>
                </c:pt>
                <c:pt idx="1312">
                  <c:v>44393</c:v>
                </c:pt>
                <c:pt idx="1313">
                  <c:v>44396</c:v>
                </c:pt>
                <c:pt idx="1314">
                  <c:v>44397</c:v>
                </c:pt>
                <c:pt idx="1315">
                  <c:v>44398</c:v>
                </c:pt>
                <c:pt idx="1316">
                  <c:v>44399</c:v>
                </c:pt>
                <c:pt idx="1317">
                  <c:v>44400</c:v>
                </c:pt>
                <c:pt idx="1318">
                  <c:v>44403</c:v>
                </c:pt>
                <c:pt idx="1319">
                  <c:v>44404</c:v>
                </c:pt>
                <c:pt idx="1320">
                  <c:v>44405</c:v>
                </c:pt>
                <c:pt idx="1321">
                  <c:v>44406</c:v>
                </c:pt>
                <c:pt idx="1322">
                  <c:v>44407</c:v>
                </c:pt>
                <c:pt idx="1323">
                  <c:v>44410</c:v>
                </c:pt>
                <c:pt idx="1324">
                  <c:v>44411</c:v>
                </c:pt>
                <c:pt idx="1325">
                  <c:v>44412</c:v>
                </c:pt>
                <c:pt idx="1326">
                  <c:v>44413</c:v>
                </c:pt>
                <c:pt idx="1327">
                  <c:v>44414</c:v>
                </c:pt>
                <c:pt idx="1328">
                  <c:v>44417</c:v>
                </c:pt>
                <c:pt idx="1329">
                  <c:v>44418</c:v>
                </c:pt>
                <c:pt idx="1330">
                  <c:v>44419</c:v>
                </c:pt>
                <c:pt idx="1331">
                  <c:v>44420</c:v>
                </c:pt>
                <c:pt idx="1332">
                  <c:v>44421</c:v>
                </c:pt>
                <c:pt idx="1333">
                  <c:v>44424</c:v>
                </c:pt>
                <c:pt idx="1334">
                  <c:v>44425</c:v>
                </c:pt>
                <c:pt idx="1335">
                  <c:v>44426</c:v>
                </c:pt>
                <c:pt idx="1336">
                  <c:v>44427</c:v>
                </c:pt>
                <c:pt idx="1337">
                  <c:v>44428</c:v>
                </c:pt>
                <c:pt idx="1338">
                  <c:v>44431</c:v>
                </c:pt>
                <c:pt idx="1339">
                  <c:v>44432</c:v>
                </c:pt>
                <c:pt idx="1340">
                  <c:v>44433</c:v>
                </c:pt>
                <c:pt idx="1341">
                  <c:v>44434</c:v>
                </c:pt>
                <c:pt idx="1342">
                  <c:v>44435</c:v>
                </c:pt>
                <c:pt idx="1343">
                  <c:v>44438</c:v>
                </c:pt>
                <c:pt idx="1344">
                  <c:v>44439</c:v>
                </c:pt>
                <c:pt idx="1345">
                  <c:v>44440</c:v>
                </c:pt>
                <c:pt idx="1346">
                  <c:v>44441</c:v>
                </c:pt>
                <c:pt idx="1347">
                  <c:v>44442</c:v>
                </c:pt>
                <c:pt idx="1348">
                  <c:v>44445</c:v>
                </c:pt>
                <c:pt idx="1349">
                  <c:v>44446</c:v>
                </c:pt>
                <c:pt idx="1350">
                  <c:v>44447</c:v>
                </c:pt>
                <c:pt idx="1351">
                  <c:v>44448</c:v>
                </c:pt>
                <c:pt idx="1352">
                  <c:v>44449</c:v>
                </c:pt>
                <c:pt idx="1353">
                  <c:v>44452</c:v>
                </c:pt>
                <c:pt idx="1354">
                  <c:v>44453</c:v>
                </c:pt>
                <c:pt idx="1355">
                  <c:v>44454</c:v>
                </c:pt>
                <c:pt idx="1356">
                  <c:v>44455</c:v>
                </c:pt>
                <c:pt idx="1357">
                  <c:v>44456</c:v>
                </c:pt>
                <c:pt idx="1358">
                  <c:v>44459</c:v>
                </c:pt>
                <c:pt idx="1359">
                  <c:v>44460</c:v>
                </c:pt>
                <c:pt idx="1360">
                  <c:v>44461</c:v>
                </c:pt>
                <c:pt idx="1361">
                  <c:v>44462</c:v>
                </c:pt>
                <c:pt idx="1362">
                  <c:v>44463</c:v>
                </c:pt>
                <c:pt idx="1363">
                  <c:v>44466</c:v>
                </c:pt>
                <c:pt idx="1364">
                  <c:v>44467</c:v>
                </c:pt>
                <c:pt idx="1365">
                  <c:v>44468</c:v>
                </c:pt>
                <c:pt idx="1366">
                  <c:v>44469</c:v>
                </c:pt>
                <c:pt idx="1367">
                  <c:v>44470</c:v>
                </c:pt>
                <c:pt idx="1368">
                  <c:v>44473</c:v>
                </c:pt>
                <c:pt idx="1369">
                  <c:v>44474</c:v>
                </c:pt>
                <c:pt idx="1370">
                  <c:v>44475</c:v>
                </c:pt>
                <c:pt idx="1371">
                  <c:v>44476</c:v>
                </c:pt>
                <c:pt idx="1372">
                  <c:v>44477</c:v>
                </c:pt>
                <c:pt idx="1373">
                  <c:v>44480</c:v>
                </c:pt>
                <c:pt idx="1374">
                  <c:v>44481</c:v>
                </c:pt>
                <c:pt idx="1375">
                  <c:v>44482</c:v>
                </c:pt>
                <c:pt idx="1376">
                  <c:v>44483</c:v>
                </c:pt>
                <c:pt idx="1377">
                  <c:v>44484</c:v>
                </c:pt>
                <c:pt idx="1378">
                  <c:v>44487</c:v>
                </c:pt>
                <c:pt idx="1379">
                  <c:v>44488</c:v>
                </c:pt>
                <c:pt idx="1380">
                  <c:v>44489</c:v>
                </c:pt>
                <c:pt idx="1381">
                  <c:v>44490</c:v>
                </c:pt>
                <c:pt idx="1382">
                  <c:v>44491</c:v>
                </c:pt>
                <c:pt idx="1383">
                  <c:v>44494</c:v>
                </c:pt>
                <c:pt idx="1384">
                  <c:v>44495</c:v>
                </c:pt>
                <c:pt idx="1385">
                  <c:v>44496</c:v>
                </c:pt>
                <c:pt idx="1386">
                  <c:v>44497</c:v>
                </c:pt>
                <c:pt idx="1387">
                  <c:v>44498</c:v>
                </c:pt>
                <c:pt idx="1388">
                  <c:v>44501</c:v>
                </c:pt>
                <c:pt idx="1389">
                  <c:v>44502</c:v>
                </c:pt>
                <c:pt idx="1390">
                  <c:v>44503</c:v>
                </c:pt>
                <c:pt idx="1391">
                  <c:v>44504</c:v>
                </c:pt>
                <c:pt idx="1392">
                  <c:v>44505</c:v>
                </c:pt>
                <c:pt idx="1393">
                  <c:v>44508</c:v>
                </c:pt>
                <c:pt idx="1394">
                  <c:v>44509</c:v>
                </c:pt>
                <c:pt idx="1395">
                  <c:v>44510</c:v>
                </c:pt>
                <c:pt idx="1396">
                  <c:v>44511</c:v>
                </c:pt>
                <c:pt idx="1397">
                  <c:v>44512</c:v>
                </c:pt>
                <c:pt idx="1398">
                  <c:v>44515</c:v>
                </c:pt>
                <c:pt idx="1399">
                  <c:v>44516</c:v>
                </c:pt>
                <c:pt idx="1400">
                  <c:v>44517</c:v>
                </c:pt>
                <c:pt idx="1401">
                  <c:v>44518</c:v>
                </c:pt>
                <c:pt idx="1402">
                  <c:v>44519</c:v>
                </c:pt>
                <c:pt idx="1403">
                  <c:v>44522</c:v>
                </c:pt>
                <c:pt idx="1404">
                  <c:v>44523</c:v>
                </c:pt>
                <c:pt idx="1405">
                  <c:v>44524</c:v>
                </c:pt>
                <c:pt idx="1406">
                  <c:v>44525</c:v>
                </c:pt>
                <c:pt idx="1407">
                  <c:v>44526</c:v>
                </c:pt>
                <c:pt idx="1408">
                  <c:v>44529</c:v>
                </c:pt>
                <c:pt idx="1409">
                  <c:v>44530</c:v>
                </c:pt>
                <c:pt idx="1410">
                  <c:v>44531</c:v>
                </c:pt>
                <c:pt idx="1411">
                  <c:v>44532</c:v>
                </c:pt>
                <c:pt idx="1412">
                  <c:v>44533</c:v>
                </c:pt>
                <c:pt idx="1413">
                  <c:v>44536</c:v>
                </c:pt>
                <c:pt idx="1414">
                  <c:v>44537</c:v>
                </c:pt>
                <c:pt idx="1415">
                  <c:v>44538</c:v>
                </c:pt>
                <c:pt idx="1416">
                  <c:v>44539</c:v>
                </c:pt>
                <c:pt idx="1417">
                  <c:v>44540</c:v>
                </c:pt>
                <c:pt idx="1418">
                  <c:v>44543</c:v>
                </c:pt>
                <c:pt idx="1419">
                  <c:v>44544</c:v>
                </c:pt>
                <c:pt idx="1420">
                  <c:v>44545</c:v>
                </c:pt>
                <c:pt idx="1421">
                  <c:v>44546</c:v>
                </c:pt>
                <c:pt idx="1422">
                  <c:v>44547</c:v>
                </c:pt>
                <c:pt idx="1423">
                  <c:v>44550</c:v>
                </c:pt>
                <c:pt idx="1424">
                  <c:v>44551</c:v>
                </c:pt>
                <c:pt idx="1425">
                  <c:v>44552</c:v>
                </c:pt>
                <c:pt idx="1426">
                  <c:v>44553</c:v>
                </c:pt>
                <c:pt idx="1427">
                  <c:v>44554</c:v>
                </c:pt>
                <c:pt idx="1428">
                  <c:v>44557</c:v>
                </c:pt>
                <c:pt idx="1429">
                  <c:v>44558</c:v>
                </c:pt>
                <c:pt idx="1430">
                  <c:v>44559</c:v>
                </c:pt>
                <c:pt idx="1431">
                  <c:v>44560</c:v>
                </c:pt>
                <c:pt idx="1432">
                  <c:v>44561</c:v>
                </c:pt>
                <c:pt idx="1433">
                  <c:v>44564</c:v>
                </c:pt>
                <c:pt idx="1434">
                  <c:v>44565</c:v>
                </c:pt>
                <c:pt idx="1435">
                  <c:v>44566</c:v>
                </c:pt>
                <c:pt idx="1436">
                  <c:v>44567</c:v>
                </c:pt>
                <c:pt idx="1437">
                  <c:v>44568</c:v>
                </c:pt>
                <c:pt idx="1438">
                  <c:v>44571</c:v>
                </c:pt>
                <c:pt idx="1439">
                  <c:v>44572</c:v>
                </c:pt>
                <c:pt idx="1440">
                  <c:v>44573</c:v>
                </c:pt>
                <c:pt idx="1441">
                  <c:v>44574</c:v>
                </c:pt>
                <c:pt idx="1442">
                  <c:v>44575</c:v>
                </c:pt>
                <c:pt idx="1443">
                  <c:v>44578</c:v>
                </c:pt>
                <c:pt idx="1444">
                  <c:v>44579</c:v>
                </c:pt>
                <c:pt idx="1445">
                  <c:v>44580</c:v>
                </c:pt>
                <c:pt idx="1446">
                  <c:v>44581</c:v>
                </c:pt>
                <c:pt idx="1447">
                  <c:v>44582</c:v>
                </c:pt>
                <c:pt idx="1448">
                  <c:v>44585</c:v>
                </c:pt>
                <c:pt idx="1449">
                  <c:v>44586</c:v>
                </c:pt>
                <c:pt idx="1450">
                  <c:v>44587</c:v>
                </c:pt>
                <c:pt idx="1451">
                  <c:v>44588</c:v>
                </c:pt>
                <c:pt idx="1452">
                  <c:v>44589</c:v>
                </c:pt>
                <c:pt idx="1453">
                  <c:v>44592</c:v>
                </c:pt>
                <c:pt idx="1454">
                  <c:v>44593</c:v>
                </c:pt>
                <c:pt idx="1455">
                  <c:v>44594</c:v>
                </c:pt>
                <c:pt idx="1456">
                  <c:v>44595</c:v>
                </c:pt>
                <c:pt idx="1457">
                  <c:v>44596</c:v>
                </c:pt>
                <c:pt idx="1458">
                  <c:v>44599</c:v>
                </c:pt>
                <c:pt idx="1459">
                  <c:v>44600</c:v>
                </c:pt>
                <c:pt idx="1460">
                  <c:v>44601</c:v>
                </c:pt>
                <c:pt idx="1461">
                  <c:v>44602</c:v>
                </c:pt>
                <c:pt idx="1462">
                  <c:v>44603</c:v>
                </c:pt>
                <c:pt idx="1463">
                  <c:v>44606</c:v>
                </c:pt>
                <c:pt idx="1464">
                  <c:v>44607</c:v>
                </c:pt>
                <c:pt idx="1465">
                  <c:v>44608</c:v>
                </c:pt>
                <c:pt idx="1466">
                  <c:v>44609</c:v>
                </c:pt>
                <c:pt idx="1467">
                  <c:v>44610</c:v>
                </c:pt>
                <c:pt idx="1468">
                  <c:v>44613</c:v>
                </c:pt>
                <c:pt idx="1469">
                  <c:v>44614</c:v>
                </c:pt>
                <c:pt idx="1470">
                  <c:v>44615</c:v>
                </c:pt>
                <c:pt idx="1471">
                  <c:v>44616</c:v>
                </c:pt>
                <c:pt idx="1472">
                  <c:v>44617</c:v>
                </c:pt>
                <c:pt idx="1473">
                  <c:v>44620</c:v>
                </c:pt>
                <c:pt idx="1474">
                  <c:v>44621</c:v>
                </c:pt>
                <c:pt idx="1475">
                  <c:v>44622</c:v>
                </c:pt>
                <c:pt idx="1476">
                  <c:v>44623</c:v>
                </c:pt>
                <c:pt idx="1477">
                  <c:v>44624</c:v>
                </c:pt>
                <c:pt idx="1478">
                  <c:v>44627</c:v>
                </c:pt>
                <c:pt idx="1479">
                  <c:v>44628</c:v>
                </c:pt>
                <c:pt idx="1480">
                  <c:v>44629</c:v>
                </c:pt>
                <c:pt idx="1481">
                  <c:v>44630</c:v>
                </c:pt>
                <c:pt idx="1482">
                  <c:v>44631</c:v>
                </c:pt>
                <c:pt idx="1483">
                  <c:v>44634</c:v>
                </c:pt>
                <c:pt idx="1484">
                  <c:v>44635</c:v>
                </c:pt>
                <c:pt idx="1485">
                  <c:v>44636</c:v>
                </c:pt>
                <c:pt idx="1486">
                  <c:v>44637</c:v>
                </c:pt>
                <c:pt idx="1487">
                  <c:v>44638</c:v>
                </c:pt>
                <c:pt idx="1488">
                  <c:v>44641</c:v>
                </c:pt>
                <c:pt idx="1489">
                  <c:v>44642</c:v>
                </c:pt>
                <c:pt idx="1490">
                  <c:v>44643</c:v>
                </c:pt>
                <c:pt idx="1491">
                  <c:v>44644</c:v>
                </c:pt>
                <c:pt idx="1492">
                  <c:v>44645</c:v>
                </c:pt>
                <c:pt idx="1493">
                  <c:v>44648</c:v>
                </c:pt>
                <c:pt idx="1494">
                  <c:v>44649</c:v>
                </c:pt>
                <c:pt idx="1495">
                  <c:v>44650</c:v>
                </c:pt>
                <c:pt idx="1496">
                  <c:v>44651</c:v>
                </c:pt>
                <c:pt idx="1497">
                  <c:v>44652</c:v>
                </c:pt>
                <c:pt idx="1498">
                  <c:v>44655</c:v>
                </c:pt>
                <c:pt idx="1499">
                  <c:v>44656</c:v>
                </c:pt>
              </c:numCache>
            </c:numRef>
          </c:cat>
          <c:val>
            <c:numRef>
              <c:f>Forwards!$M$15:$M$1514</c:f>
              <c:numCache>
                <c:formatCode>0.00000%</c:formatCode>
                <c:ptCount val="1500"/>
                <c:pt idx="0">
                  <c:v>-1.529999997903044E-3</c:v>
                </c:pt>
                <c:pt idx="1">
                  <c:v>-1.5299968056961062E-3</c:v>
                </c:pt>
                <c:pt idx="2">
                  <c:v>-1.529999997903044E-3</c:v>
                </c:pt>
                <c:pt idx="3">
                  <c:v>-1.5300363791620317E-3</c:v>
                </c:pt>
                <c:pt idx="4">
                  <c:v>-1.5304661236528923E-3</c:v>
                </c:pt>
                <c:pt idx="5">
                  <c:v>-1.5307104788161679E-3</c:v>
                </c:pt>
                <c:pt idx="6">
                  <c:v>-1.5310025075267822E-3</c:v>
                </c:pt>
                <c:pt idx="7">
                  <c:v>-1.5313404818132423E-3</c:v>
                </c:pt>
                <c:pt idx="8">
                  <c:v>-1.5317226737040553E-3</c:v>
                </c:pt>
                <c:pt idx="9">
                  <c:v>-1.5331172752876775E-3</c:v>
                </c:pt>
                <c:pt idx="10">
                  <c:v>-1.5336590578809686E-3</c:v>
                </c:pt>
                <c:pt idx="11">
                  <c:v>-1.5342364182211465E-3</c:v>
                </c:pt>
                <c:pt idx="12">
                  <c:v>-1.5348476283367182E-3</c:v>
                </c:pt>
                <c:pt idx="13">
                  <c:v>-1.5354909602561899E-3</c:v>
                </c:pt>
                <c:pt idx="14">
                  <c:v>-1.5375964071230753E-3</c:v>
                </c:pt>
                <c:pt idx="15">
                  <c:v>-1.5383509465432162E-3</c:v>
                </c:pt>
                <c:pt idx="16">
                  <c:v>-1.5391289679097919E-3</c:v>
                </c:pt>
                <c:pt idx="17">
                  <c:v>-1.5399287432513085E-3</c:v>
                </c:pt>
                <c:pt idx="18">
                  <c:v>-1.5407485445962732E-3</c:v>
                </c:pt>
                <c:pt idx="19">
                  <c:v>-1.5433108249369235E-3</c:v>
                </c:pt>
                <c:pt idx="20">
                  <c:v>-1.5441934505807482E-3</c:v>
                </c:pt>
                <c:pt idx="21">
                  <c:v>-1.5450874623705551E-3</c:v>
                </c:pt>
                <c:pt idx="22">
                  <c:v>-1.545991132334851E-3</c:v>
                </c:pt>
                <c:pt idx="23">
                  <c:v>-1.5469027325021424E-3</c:v>
                </c:pt>
                <c:pt idx="24">
                  <c:v>-1.5496678345070592E-3</c:v>
                </c:pt>
                <c:pt idx="25">
                  <c:v>-1.5505938954063819E-3</c:v>
                </c:pt>
                <c:pt idx="26">
                  <c:v>-1.5515200031572831E-3</c:v>
                </c:pt>
                <c:pt idx="27">
                  <c:v>-1.5524460725631689E-3</c:v>
                </c:pt>
                <c:pt idx="28">
                  <c:v>-1.553372076442227E-3</c:v>
                </c:pt>
                <c:pt idx="29">
                  <c:v>-1.5561494231003067E-3</c:v>
                </c:pt>
                <c:pt idx="30">
                  <c:v>-1.5570748930539252E-3</c:v>
                </c:pt>
                <c:pt idx="31">
                  <c:v>-1.5580001615716518E-3</c:v>
                </c:pt>
                <c:pt idx="32">
                  <c:v>-1.5589252014716732E-3</c:v>
                </c:pt>
                <c:pt idx="33">
                  <c:v>-1.5598499855721771E-3</c:v>
                </c:pt>
                <c:pt idx="34">
                  <c:v>-1.5626225312584537E-3</c:v>
                </c:pt>
                <c:pt idx="35">
                  <c:v>-1.5635460203427579E-3</c:v>
                </c:pt>
                <c:pt idx="36">
                  <c:v>-1.5644691177184803E-3</c:v>
                </c:pt>
                <c:pt idx="37">
                  <c:v>-1.5653917962038079E-3</c:v>
                </c:pt>
                <c:pt idx="38">
                  <c:v>-1.5663140286169277E-3</c:v>
                </c:pt>
                <c:pt idx="39">
                  <c:v>-1.5690777776049122E-3</c:v>
                </c:pt>
                <c:pt idx="40">
                  <c:v>-1.5699979539110728E-3</c:v>
                </c:pt>
                <c:pt idx="41">
                  <c:v>-1.5709175482359614E-3</c:v>
                </c:pt>
                <c:pt idx="42">
                  <c:v>-1.571836533397765E-3</c:v>
                </c:pt>
                <c:pt idx="43">
                  <c:v>-1.5727548822146711E-3</c:v>
                </c:pt>
                <c:pt idx="44">
                  <c:v>-1.5755058387778749E-3</c:v>
                </c:pt>
                <c:pt idx="45">
                  <c:v>-1.5764213703970617E-3</c:v>
                </c:pt>
                <c:pt idx="46">
                  <c:v>-1.5773361297622866E-3</c:v>
                </c:pt>
                <c:pt idx="47">
                  <c:v>-1.5782500896917371E-3</c:v>
                </c:pt>
                <c:pt idx="48">
                  <c:v>-1.5791632230035995E-3</c:v>
                </c:pt>
                <c:pt idx="49">
                  <c:v>-1.5818973914155333E-3</c:v>
                </c:pt>
                <c:pt idx="50">
                  <c:v>-1.582806946438917E-3</c:v>
                </c:pt>
                <c:pt idx="51">
                  <c:v>-1.583715538935649E-3</c:v>
                </c:pt>
                <c:pt idx="52">
                  <c:v>-1.5846231417239161E-3</c:v>
                </c:pt>
                <c:pt idx="53">
                  <c:v>-1.5855297276219059E-3</c:v>
                </c:pt>
                <c:pt idx="54">
                  <c:v>-1.5882431121560805E-3</c:v>
                </c:pt>
                <c:pt idx="55">
                  <c:v>-1.5891453586748315E-3</c:v>
                </c:pt>
                <c:pt idx="56">
                  <c:v>-1.5900464523942405E-3</c:v>
                </c:pt>
                <c:pt idx="57">
                  <c:v>-1.5909463661324947E-3</c:v>
                </c:pt>
                <c:pt idx="58">
                  <c:v>-1.5918450727077816E-3</c:v>
                </c:pt>
                <c:pt idx="59">
                  <c:v>-1.5945336776377085E-3</c:v>
                </c:pt>
                <c:pt idx="60">
                  <c:v>-1.5954272837429969E-3</c:v>
                </c:pt>
                <c:pt idx="61">
                  <c:v>-1.5963195467762533E-3</c:v>
                </c:pt>
                <c:pt idx="62">
                  <c:v>-1.5972104395556653E-3</c:v>
                </c:pt>
                <c:pt idx="63">
                  <c:v>-1.5980999348994198E-3</c:v>
                </c:pt>
                <c:pt idx="64">
                  <c:v>-1.6007597644986098E-3</c:v>
                </c:pt>
                <c:pt idx="65">
                  <c:v>-1.6016433982816059E-3</c:v>
                </c:pt>
                <c:pt idx="66">
                  <c:v>-1.6025254987198803E-3</c:v>
                </c:pt>
                <c:pt idx="67">
                  <c:v>-1.60340603863162E-3</c:v>
                </c:pt>
                <c:pt idx="68">
                  <c:v>-1.6042849908350124E-3</c:v>
                </c:pt>
                <c:pt idx="69">
                  <c:v>-1.6069120493769765E-3</c:v>
                </c:pt>
                <c:pt idx="70">
                  <c:v>-1.6077843789288507E-3</c:v>
                </c:pt>
                <c:pt idx="71">
                  <c:v>-1.6086549848633132E-3</c:v>
                </c:pt>
                <c:pt idx="72">
                  <c:v>-1.6095238399985515E-3</c:v>
                </c:pt>
                <c:pt idx="73">
                  <c:v>-1.6103909171527519E-3</c:v>
                </c:pt>
                <c:pt idx="74">
                  <c:v>-1.6129812089110012E-3</c:v>
                </c:pt>
                <c:pt idx="75">
                  <c:v>-1.6138409023229237E-3</c:v>
                </c:pt>
                <c:pt idx="76">
                  <c:v>-1.6146986818447449E-3</c:v>
                </c:pt>
                <c:pt idx="77">
                  <c:v>-1.6155545202946515E-3</c:v>
                </c:pt>
                <c:pt idx="78">
                  <c:v>-1.6164083904908308E-3</c:v>
                </c:pt>
                <c:pt idx="79">
                  <c:v>-1.6189579197388761E-3</c:v>
                </c:pt>
                <c:pt idx="80">
                  <c:v>-1.6198036451020175E-3</c:v>
                </c:pt>
                <c:pt idx="81">
                  <c:v>-1.6206472663023673E-3</c:v>
                </c:pt>
                <c:pt idx="82">
                  <c:v>-1.6214887561581126E-3</c:v>
                </c:pt>
                <c:pt idx="83">
                  <c:v>-1.622328087487441E-3</c:v>
                </c:pt>
                <c:pt idx="84">
                  <c:v>-1.6248328584987932E-3</c:v>
                </c:pt>
                <c:pt idx="85">
                  <c:v>-1.6256632839043237E-3</c:v>
                </c:pt>
                <c:pt idx="86">
                  <c:v>-1.626491414874373E-3</c:v>
                </c:pt>
                <c:pt idx="87">
                  <c:v>-1.6273172242271276E-3</c:v>
                </c:pt>
                <c:pt idx="88">
                  <c:v>-1.628140684780775E-3</c:v>
                </c:pt>
                <c:pt idx="89">
                  <c:v>-1.6305967018289454E-3</c:v>
                </c:pt>
                <c:pt idx="90">
                  <c:v>-1.6314104953680357E-3</c:v>
                </c:pt>
                <c:pt idx="91">
                  <c:v>-1.6322218041989541E-3</c:v>
                </c:pt>
                <c:pt idx="92">
                  <c:v>-1.6330306011398882E-3</c:v>
                </c:pt>
                <c:pt idx="93">
                  <c:v>-1.6338368590090254E-3</c:v>
                </c:pt>
                <c:pt idx="94">
                  <c:v>-1.6362401263675249E-3</c:v>
                </c:pt>
                <c:pt idx="95">
                  <c:v>-1.6370359561313447E-3</c:v>
                </c:pt>
                <c:pt idx="96">
                  <c:v>-1.6378291109143031E-3</c:v>
                </c:pt>
                <c:pt idx="97">
                  <c:v>-1.6386195635345873E-3</c:v>
                </c:pt>
                <c:pt idx="98">
                  <c:v>-1.6394072868103841E-3</c:v>
                </c:pt>
                <c:pt idx="99">
                  <c:v>-1.6417538087527238E-3</c:v>
                </c:pt>
                <c:pt idx="100">
                  <c:v>-1.6425303428324435E-3</c:v>
                </c:pt>
                <c:pt idx="101">
                  <c:v>-1.6433040116586124E-3</c:v>
                </c:pt>
                <c:pt idx="102">
                  <c:v>-1.6440747880494164E-3</c:v>
                </c:pt>
                <c:pt idx="103">
                  <c:v>-1.644842644823044E-3</c:v>
                </c:pt>
                <c:pt idx="104">
                  <c:v>-1.6471284256227346E-3</c:v>
                </c:pt>
                <c:pt idx="105">
                  <c:v>-1.6478843321095251E-3</c:v>
                </c:pt>
                <c:pt idx="106">
                  <c:v>-1.648637183070074E-3</c:v>
                </c:pt>
                <c:pt idx="107">
                  <c:v>-1.6493869513225688E-3</c:v>
                </c:pt>
                <c:pt idx="108">
                  <c:v>-1.6501336096851967E-3</c:v>
                </c:pt>
                <c:pt idx="109">
                  <c:v>-1.6523546536157496E-3</c:v>
                </c:pt>
                <c:pt idx="110">
                  <c:v>-1.6530886006007805E-3</c:v>
                </c:pt>
                <c:pt idx="111">
                  <c:v>-1.6538193017868806E-3</c:v>
                </c:pt>
                <c:pt idx="112">
                  <c:v>-1.6545467299922364E-3</c:v>
                </c:pt>
                <c:pt idx="113">
                  <c:v>-1.6552708580350351E-3</c:v>
                </c:pt>
                <c:pt idx="114">
                  <c:v>-1.6574231693699611E-3</c:v>
                </c:pt>
                <c:pt idx="115">
                  <c:v>-1.6581338249444034E-3</c:v>
                </c:pt>
                <c:pt idx="116">
                  <c:v>-1.6588410444472244E-3</c:v>
                </c:pt>
                <c:pt idx="117">
                  <c:v>-1.6595448006966112E-3</c:v>
                </c:pt>
                <c:pt idx="118">
                  <c:v>-1.6602450665107514E-3</c:v>
                </c:pt>
                <c:pt idx="119">
                  <c:v>-1.6623246495235614E-3</c:v>
                </c:pt>
                <c:pt idx="120">
                  <c:v>-1.6630106817785851E-3</c:v>
                </c:pt>
                <c:pt idx="121">
                  <c:v>-1.6636930876892976E-3</c:v>
                </c:pt>
                <c:pt idx="122">
                  <c:v>-1.6643718400738863E-3</c:v>
                </c:pt>
                <c:pt idx="123">
                  <c:v>-1.6650469117505378E-3</c:v>
                </c:pt>
                <c:pt idx="124">
                  <c:v>-1.6670497707147428E-3</c:v>
                </c:pt>
                <c:pt idx="125">
                  <c:v>-1.6677098477415186E-3</c:v>
                </c:pt>
                <c:pt idx="126">
                  <c:v>-1.6683661081512929E-3</c:v>
                </c:pt>
                <c:pt idx="127">
                  <c:v>-1.6690185247622532E-3</c:v>
                </c:pt>
                <c:pt idx="128">
                  <c:v>-1.6696670703925868E-3</c:v>
                </c:pt>
                <c:pt idx="129">
                  <c:v>-1.6715892095816979E-3</c:v>
                </c:pt>
                <c:pt idx="130">
                  <c:v>-1.6722219994713956E-3</c:v>
                </c:pt>
                <c:pt idx="131">
                  <c:v>-1.6728507824714022E-3</c:v>
                </c:pt>
                <c:pt idx="132">
                  <c:v>-1.673475531399905E-3</c:v>
                </c:pt>
                <c:pt idx="133">
                  <c:v>-1.6740962190750907E-3</c:v>
                </c:pt>
                <c:pt idx="134">
                  <c:v>-1.675935573093805E-3</c:v>
                </c:pt>
                <c:pt idx="135">
                  <c:v>-1.6765413725236863E-3</c:v>
                </c:pt>
                <c:pt idx="136">
                  <c:v>-1.6771435468732364E-3</c:v>
                </c:pt>
                <c:pt idx="137">
                  <c:v>-1.6777421166671645E-3</c:v>
                </c:pt>
                <c:pt idx="138">
                  <c:v>-1.6783371024301789E-3</c:v>
                </c:pt>
                <c:pt idx="139">
                  <c:v>-1.6801007607808267E-3</c:v>
                </c:pt>
                <c:pt idx="140">
                  <c:v>-1.6806816156672726E-3</c:v>
                </c:pt>
                <c:pt idx="141">
                  <c:v>-1.6812589891463483E-3</c:v>
                </c:pt>
                <c:pt idx="142">
                  <c:v>-1.6818329017427619E-3</c:v>
                </c:pt>
                <c:pt idx="143">
                  <c:v>-1.6824033739812221E-3</c:v>
                </c:pt>
                <c:pt idx="144">
                  <c:v>-1.6840943537959692E-3</c:v>
                </c:pt>
                <c:pt idx="145">
                  <c:v>-1.6846512698497026E-3</c:v>
                </c:pt>
                <c:pt idx="146">
                  <c:v>-1.6852048481690255E-3</c:v>
                </c:pt>
                <c:pt idx="147">
                  <c:v>-1.6857551092786466E-3</c:v>
                </c:pt>
                <c:pt idx="148">
                  <c:v>-1.686302073703275E-3</c:v>
                </c:pt>
                <c:pt idx="149">
                  <c:v>-1.68845737504603E-3</c:v>
                </c:pt>
                <c:pt idx="150">
                  <c:v>-1.6889881639163223E-3</c:v>
                </c:pt>
                <c:pt idx="151">
                  <c:v>-1.6895157792498733E-3</c:v>
                </c:pt>
                <c:pt idx="152">
                  <c:v>-1.6900402415713914E-3</c:v>
                </c:pt>
                <c:pt idx="153">
                  <c:v>-1.6915977298431258E-3</c:v>
                </c:pt>
                <c:pt idx="154">
                  <c:v>-1.6921111672398286E-3</c:v>
                </c:pt>
                <c:pt idx="155">
                  <c:v>-1.6926215376803092E-3</c:v>
                </c:pt>
                <c:pt idx="156">
                  <c:v>-1.6931288618584359E-3</c:v>
                </c:pt>
                <c:pt idx="157">
                  <c:v>-1.6936331604680752E-3</c:v>
                </c:pt>
                <c:pt idx="158">
                  <c:v>-1.6951281098247469E-3</c:v>
                </c:pt>
                <c:pt idx="159">
                  <c:v>-1.6956205130991134E-3</c:v>
                </c:pt>
                <c:pt idx="160">
                  <c:v>-1.6961099942743301E-3</c:v>
                </c:pt>
                <c:pt idx="161">
                  <c:v>-1.6965965740442649E-3</c:v>
                </c:pt>
                <c:pt idx="162">
                  <c:v>-1.6970802731027846E-3</c:v>
                </c:pt>
                <c:pt idx="163">
                  <c:v>-1.6985142929485308E-3</c:v>
                </c:pt>
                <c:pt idx="164">
                  <c:v>-1.6989866761000661E-3</c:v>
                </c:pt>
                <c:pt idx="165">
                  <c:v>-1.6994562820095243E-3</c:v>
                </c:pt>
                <c:pt idx="166">
                  <c:v>-1.6999231313707722E-3</c:v>
                </c:pt>
                <c:pt idx="167">
                  <c:v>-1.7003872448776776E-3</c:v>
                </c:pt>
                <c:pt idx="168">
                  <c:v>-1.7017633772110131E-3</c:v>
                </c:pt>
                <c:pt idx="169">
                  <c:v>-1.7022167542392226E-3</c:v>
                </c:pt>
                <c:pt idx="170">
                  <c:v>-1.7026674988824271E-3</c:v>
                </c:pt>
                <c:pt idx="171">
                  <c:v>-1.7031156318344936E-3</c:v>
                </c:pt>
                <c:pt idx="172">
                  <c:v>-1.7035611737892897E-3</c:v>
                </c:pt>
                <c:pt idx="173">
                  <c:v>-1.70488246060873E-3</c:v>
                </c:pt>
                <c:pt idx="174">
                  <c:v>-1.7053178455131192E-3</c:v>
                </c:pt>
                <c:pt idx="175">
                  <c:v>-1.705750742889575E-3</c:v>
                </c:pt>
                <c:pt idx="176">
                  <c:v>-1.7061811734319649E-3</c:v>
                </c:pt>
                <c:pt idx="177">
                  <c:v>-1.706609157834157E-3</c:v>
                </c:pt>
                <c:pt idx="178">
                  <c:v>-1.7078786411382177E-3</c:v>
                </c:pt>
                <c:pt idx="179">
                  <c:v>-1.7082970479182914E-3</c:v>
                </c:pt>
                <c:pt idx="180">
                  <c:v>-1.7087131120275038E-3</c:v>
                </c:pt>
                <c:pt idx="181">
                  <c:v>-1.7091268541597228E-3</c:v>
                </c:pt>
                <c:pt idx="182">
                  <c:v>-1.7095382950088156E-3</c:v>
                </c:pt>
                <c:pt idx="183">
                  <c:v>-1.7107590167960123E-3</c:v>
                </c:pt>
                <c:pt idx="184">
                  <c:v>-1.7111614594512753E-3</c:v>
                </c:pt>
                <c:pt idx="185">
                  <c:v>-1.7115617042927497E-3</c:v>
                </c:pt>
                <c:pt idx="186">
                  <c:v>-1.7119597720143024E-3</c:v>
                </c:pt>
                <c:pt idx="187">
                  <c:v>-1.7123556833098014E-3</c:v>
                </c:pt>
                <c:pt idx="188">
                  <c:v>-1.7135306855786492E-3</c:v>
                </c:pt>
                <c:pt idx="189">
                  <c:v>-1.7139181781086069E-3</c:v>
                </c:pt>
                <c:pt idx="190">
                  <c:v>-1.7143036176818483E-3</c:v>
                </c:pt>
                <c:pt idx="191">
                  <c:v>-1.7146870249922402E-3</c:v>
                </c:pt>
                <c:pt idx="192">
                  <c:v>-1.7150684207336503E-3</c:v>
                </c:pt>
                <c:pt idx="193">
                  <c:v>-1.7162007454826649E-3</c:v>
                </c:pt>
                <c:pt idx="194">
                  <c:v>-1.7165743018868226E-3</c:v>
                </c:pt>
                <c:pt idx="195">
                  <c:v>-1.7169459501913359E-3</c:v>
                </c:pt>
                <c:pt idx="196">
                  <c:v>-1.7173157110900719E-3</c:v>
                </c:pt>
                <c:pt idx="197">
                  <c:v>-1.7176836052768985E-3</c:v>
                </c:pt>
                <c:pt idx="198">
                  <c:v>-1.7187762945045952E-3</c:v>
                </c:pt>
                <c:pt idx="199">
                  <c:v>-1.7191369287824581E-3</c:v>
                </c:pt>
                <c:pt idx="200">
                  <c:v>-1.7194957998177482E-3</c:v>
                </c:pt>
                <c:pt idx="201">
                  <c:v>-1.7198529283043338E-3</c:v>
                </c:pt>
                <c:pt idx="202">
                  <c:v>-1.7202083349360819E-3</c:v>
                </c:pt>
                <c:pt idx="203">
                  <c:v>-1.7212644306409759E-3</c:v>
                </c:pt>
                <c:pt idx="204">
                  <c:v>-1.7216131567920491E-3</c:v>
                </c:pt>
                <c:pt idx="205">
                  <c:v>-1.7219602645576217E-3</c:v>
                </c:pt>
                <c:pt idx="206">
                  <c:v>-1.7223057746315617E-3</c:v>
                </c:pt>
                <c:pt idx="207">
                  <c:v>-1.7226497077077363E-3</c:v>
                </c:pt>
                <c:pt idx="208">
                  <c:v>-1.7236722518883436E-3</c:v>
                </c:pt>
                <c:pt idx="209">
                  <c:v>-1.7240100839121318E-3</c:v>
                </c:pt>
                <c:pt idx="210">
                  <c:v>-1.724346442407492E-3</c:v>
                </c:pt>
                <c:pt idx="211">
                  <c:v>-1.7246813480682917E-3</c:v>
                </c:pt>
                <c:pt idx="212">
                  <c:v>-1.7250148215883982E-3</c:v>
                </c:pt>
                <c:pt idx="213">
                  <c:v>-1.7260068562432336E-3</c:v>
                </c:pt>
                <c:pt idx="214">
                  <c:v>-1.7263348081392423E-3</c:v>
                </c:pt>
                <c:pt idx="215">
                  <c:v>-1.7266614313638951E-3</c:v>
                </c:pt>
                <c:pt idx="216">
                  <c:v>-1.7269867466110595E-3</c:v>
                </c:pt>
                <c:pt idx="217">
                  <c:v>-1.7273107745746032E-3</c:v>
                </c:pt>
                <c:pt idx="218">
                  <c:v>-1.7282753417021824E-3</c:v>
                </c:pt>
                <c:pt idx="219">
                  <c:v>-1.7285944274699168E-3</c:v>
                </c:pt>
                <c:pt idx="220">
                  <c:v>-1.7289123294233673E-3</c:v>
                </c:pt>
                <c:pt idx="221">
                  <c:v>-1.7292290682564017E-3</c:v>
                </c:pt>
                <c:pt idx="222">
                  <c:v>-1.7295446646628872E-3</c:v>
                </c:pt>
                <c:pt idx="223">
                  <c:v>-1.7304848062617256E-3</c:v>
                </c:pt>
                <c:pt idx="224">
                  <c:v>-1.7307960399006908E-3</c:v>
                </c:pt>
                <c:pt idx="225">
                  <c:v>-1.731106234582444E-3</c:v>
                </c:pt>
                <c:pt idx="226">
                  <c:v>-1.7314154110008536E-3</c:v>
                </c:pt>
                <c:pt idx="227">
                  <c:v>-1.7329467434281003E-3</c:v>
                </c:pt>
                <c:pt idx="228">
                  <c:v>-1.7332502448376621E-3</c:v>
                </c:pt>
                <c:pt idx="229">
                  <c:v>-1.7335528728409514E-3</c:v>
                </c:pt>
                <c:pt idx="230">
                  <c:v>-1.7338546481318368E-3</c:v>
                </c:pt>
                <c:pt idx="231">
                  <c:v>-1.7347550646687399E-3</c:v>
                </c:pt>
                <c:pt idx="232">
                  <c:v>-1.7350536360486817E-3</c:v>
                </c:pt>
                <c:pt idx="233">
                  <c:v>-1.7353514581855565E-3</c:v>
                </c:pt>
                <c:pt idx="234">
                  <c:v>-1.7356485517732313E-3</c:v>
                </c:pt>
                <c:pt idx="235">
                  <c:v>-1.7359449375055742E-3</c:v>
                </c:pt>
                <c:pt idx="236">
                  <c:v>-1.7371238157589709E-3</c:v>
                </c:pt>
                <c:pt idx="237">
                  <c:v>-1.7374169726226639E-3</c:v>
                </c:pt>
                <c:pt idx="238">
                  <c:v>-1.7377095457942293E-3</c:v>
                </c:pt>
                <c:pt idx="239">
                  <c:v>-1.7380015559675347E-3</c:v>
                </c:pt>
                <c:pt idx="240">
                  <c:v>-1.7388744154365641E-3</c:v>
                </c:pt>
                <c:pt idx="241">
                  <c:v>-1.7391643805555036E-3</c:v>
                </c:pt>
                <c:pt idx="242">
                  <c:v>-1.73945388614552E-3</c:v>
                </c:pt>
                <c:pt idx="243">
                  <c:v>-1.7397429529004812E-3</c:v>
                </c:pt>
                <c:pt idx="244">
                  <c:v>-1.7400316015142542E-3</c:v>
                </c:pt>
                <c:pt idx="245">
                  <c:v>-1.7408952454471204E-3</c:v>
                </c:pt>
                <c:pt idx="246">
                  <c:v>-1.741182428434816E-3</c:v>
                </c:pt>
                <c:pt idx="247">
                  <c:v>-1.7414692967506612E-3</c:v>
                </c:pt>
                <c:pt idx="248">
                  <c:v>-1.7417558710885229E-3</c:v>
                </c:pt>
                <c:pt idx="249">
                  <c:v>-1.7420421721422688E-3</c:v>
                </c:pt>
                <c:pt idx="250">
                  <c:v>-1.7428996425374868E-3</c:v>
                </c:pt>
                <c:pt idx="251">
                  <c:v>-1.7431850573934441E-3</c:v>
                </c:pt>
                <c:pt idx="252">
                  <c:v>-1.7434703024346229E-3</c:v>
                </c:pt>
                <c:pt idx="253">
                  <c:v>-1.7437553983548906E-3</c:v>
                </c:pt>
                <c:pt idx="254">
                  <c:v>-1.7440403658481149E-3</c:v>
                </c:pt>
                <c:pt idx="255">
                  <c:v>-1.7448947047041998E-3</c:v>
                </c:pt>
                <c:pt idx="256">
                  <c:v>-1.7451793654279237E-3</c:v>
                </c:pt>
                <c:pt idx="257">
                  <c:v>-1.7454640011939416E-3</c:v>
                </c:pt>
                <c:pt idx="258">
                  <c:v>-1.7466352929875106E-3</c:v>
                </c:pt>
                <c:pt idx="259">
                  <c:v>-1.7562615686278621E-3</c:v>
                </c:pt>
                <c:pt idx="260">
                  <c:v>-1.8092672240919302E-3</c:v>
                </c:pt>
                <c:pt idx="261">
                  <c:v>-1.8261753435109345E-3</c:v>
                </c:pt>
                <c:pt idx="262">
                  <c:v>-1.8421655195693183E-3</c:v>
                </c:pt>
                <c:pt idx="263">
                  <c:v>-1.8572607242157086E-3</c:v>
                </c:pt>
                <c:pt idx="264">
                  <c:v>-1.8714839293987285E-3</c:v>
                </c:pt>
                <c:pt idx="265">
                  <c:v>-1.9091512676538231E-3</c:v>
                </c:pt>
                <c:pt idx="266">
                  <c:v>-1.9201161944696148E-3</c:v>
                </c:pt>
                <c:pt idx="267">
                  <c:v>-1.9303239815651628E-3</c:v>
                </c:pt>
                <c:pt idx="268">
                  <c:v>-1.9397976008890898E-3</c:v>
                </c:pt>
                <c:pt idx="269">
                  <c:v>-1.9485600243900228E-3</c:v>
                </c:pt>
                <c:pt idx="270">
                  <c:v>-1.9708098394411013E-3</c:v>
                </c:pt>
                <c:pt idx="271">
                  <c:v>-1.9769571991363039E-3</c:v>
                </c:pt>
                <c:pt idx="272">
                  <c:v>-1.9825082227516366E-3</c:v>
                </c:pt>
                <c:pt idx="273">
                  <c:v>-1.9874858822357235E-3</c:v>
                </c:pt>
                <c:pt idx="274">
                  <c:v>-1.9919131495371909E-3</c:v>
                </c:pt>
                <c:pt idx="275">
                  <c:v>-2.0021223178321194E-3</c:v>
                </c:pt>
                <c:pt idx="276">
                  <c:v>-2.0045777358893547E-3</c:v>
                </c:pt>
                <c:pt idx="277">
                  <c:v>-2.0065976215070946E-3</c:v>
                </c:pt>
                <c:pt idx="278">
                  <c:v>-2.0082049466339635E-3</c:v>
                </c:pt>
                <c:pt idx="279">
                  <c:v>-2.009422683218587E-3</c:v>
                </c:pt>
                <c:pt idx="280">
                  <c:v>-2.0109680812052328E-3</c:v>
                </c:pt>
                <c:pt idx="281">
                  <c:v>-2.0108571831071228E-3</c:v>
                </c:pt>
                <c:pt idx="282">
                  <c:v>-2.0104715562098917E-3</c:v>
                </c:pt>
                <c:pt idx="283">
                  <c:v>-2.009834172462165E-3</c:v>
                </c:pt>
                <c:pt idx="284">
                  <c:v>-2.0089680038125669E-3</c:v>
                </c:pt>
                <c:pt idx="285">
                  <c:v>-2.0052265079387953E-3</c:v>
                </c:pt>
                <c:pt idx="286">
                  <c:v>-2.0036749191679622E-3</c:v>
                </c:pt>
                <c:pt idx="287">
                  <c:v>-2.0020094052383831E-3</c:v>
                </c:pt>
                <c:pt idx="288">
                  <c:v>-2.0002529380986822E-3</c:v>
                </c:pt>
                <c:pt idx="289">
                  <c:v>-1.9984284896974848E-3</c:v>
                </c:pt>
                <c:pt idx="290">
                  <c:v>-1.9927726611918685E-3</c:v>
                </c:pt>
                <c:pt idx="291">
                  <c:v>-1.9908777857364523E-3</c:v>
                </c:pt>
                <c:pt idx="292">
                  <c:v>-1.9889829102810361E-3</c:v>
                </c:pt>
                <c:pt idx="293">
                  <c:v>-1.9870880348256195E-3</c:v>
                </c:pt>
                <c:pt idx="294">
                  <c:v>-1.9851931593702033E-3</c:v>
                </c:pt>
                <c:pt idx="295">
                  <c:v>-1.9795085330039544E-3</c:v>
                </c:pt>
                <c:pt idx="296">
                  <c:v>-1.9776136575485382E-3</c:v>
                </c:pt>
                <c:pt idx="297">
                  <c:v>-1.975718782093122E-3</c:v>
                </c:pt>
                <c:pt idx="298">
                  <c:v>-1.9738239066377054E-3</c:v>
                </c:pt>
                <c:pt idx="299">
                  <c:v>-1.9719290311822893E-3</c:v>
                </c:pt>
                <c:pt idx="300">
                  <c:v>-1.9662444048160403E-3</c:v>
                </c:pt>
                <c:pt idx="301">
                  <c:v>-1.9643495293606241E-3</c:v>
                </c:pt>
                <c:pt idx="302">
                  <c:v>-1.9624546539052075E-3</c:v>
                </c:pt>
                <c:pt idx="303">
                  <c:v>-1.9605597784497913E-3</c:v>
                </c:pt>
                <c:pt idx="304">
                  <c:v>-1.9586649029943752E-3</c:v>
                </c:pt>
                <c:pt idx="305">
                  <c:v>-1.9529802766281264E-3</c:v>
                </c:pt>
                <c:pt idx="306">
                  <c:v>-1.95108540117271E-3</c:v>
                </c:pt>
                <c:pt idx="307">
                  <c:v>-1.9491905257172937E-3</c:v>
                </c:pt>
                <c:pt idx="308">
                  <c:v>-1.9472956502618775E-3</c:v>
                </c:pt>
                <c:pt idx="309">
                  <c:v>-1.9454007748064611E-3</c:v>
                </c:pt>
                <c:pt idx="310">
                  <c:v>-1.9397161484402121E-3</c:v>
                </c:pt>
                <c:pt idx="311">
                  <c:v>-1.937821272984796E-3</c:v>
                </c:pt>
                <c:pt idx="312">
                  <c:v>-1.9359263975293796E-3</c:v>
                </c:pt>
                <c:pt idx="313">
                  <c:v>-1.9340315220739634E-3</c:v>
                </c:pt>
                <c:pt idx="314">
                  <c:v>-1.932136646618547E-3</c:v>
                </c:pt>
                <c:pt idx="315">
                  <c:v>-1.9264520202522983E-3</c:v>
                </c:pt>
                <c:pt idx="316">
                  <c:v>-1.9245571447968819E-3</c:v>
                </c:pt>
                <c:pt idx="317">
                  <c:v>-1.9226622693414657E-3</c:v>
                </c:pt>
                <c:pt idx="318">
                  <c:v>-1.9207673938860493E-3</c:v>
                </c:pt>
                <c:pt idx="319">
                  <c:v>-1.9188725184306331E-3</c:v>
                </c:pt>
                <c:pt idx="320">
                  <c:v>-1.9131878920643842E-3</c:v>
                </c:pt>
                <c:pt idx="321">
                  <c:v>-1.9112930166089678E-3</c:v>
                </c:pt>
                <c:pt idx="322">
                  <c:v>-1.9093981411535516E-3</c:v>
                </c:pt>
                <c:pt idx="323">
                  <c:v>-1.9075032656981354E-3</c:v>
                </c:pt>
                <c:pt idx="324">
                  <c:v>-1.9056083902427193E-3</c:v>
                </c:pt>
                <c:pt idx="325">
                  <c:v>-1.8999237638764701E-3</c:v>
                </c:pt>
                <c:pt idx="326">
                  <c:v>-1.8980288884210537E-3</c:v>
                </c:pt>
                <c:pt idx="327">
                  <c:v>-1.8961340129656375E-3</c:v>
                </c:pt>
                <c:pt idx="328">
                  <c:v>-1.8942391375102211E-3</c:v>
                </c:pt>
                <c:pt idx="329">
                  <c:v>-1.892344262054805E-3</c:v>
                </c:pt>
                <c:pt idx="330">
                  <c:v>-1.8866596356885562E-3</c:v>
                </c:pt>
                <c:pt idx="331">
                  <c:v>-1.8847647602331398E-3</c:v>
                </c:pt>
                <c:pt idx="332">
                  <c:v>-1.8828698847777236E-3</c:v>
                </c:pt>
                <c:pt idx="333">
                  <c:v>-1.880975009322307E-3</c:v>
                </c:pt>
                <c:pt idx="334">
                  <c:v>-1.8790801338668909E-3</c:v>
                </c:pt>
                <c:pt idx="335">
                  <c:v>-1.8733955075006421E-3</c:v>
                </c:pt>
                <c:pt idx="336">
                  <c:v>-1.871500632045226E-3</c:v>
                </c:pt>
                <c:pt idx="337">
                  <c:v>-1.8696057565898093E-3</c:v>
                </c:pt>
                <c:pt idx="338">
                  <c:v>-1.8677108811343932E-3</c:v>
                </c:pt>
                <c:pt idx="339">
                  <c:v>-1.8658160056789768E-3</c:v>
                </c:pt>
                <c:pt idx="340">
                  <c:v>-1.8601313793127278E-3</c:v>
                </c:pt>
                <c:pt idx="341">
                  <c:v>-1.8582365038573116E-3</c:v>
                </c:pt>
                <c:pt idx="342">
                  <c:v>-1.8563416284018953E-3</c:v>
                </c:pt>
                <c:pt idx="343">
                  <c:v>-1.8544467529464791E-3</c:v>
                </c:pt>
                <c:pt idx="344">
                  <c:v>-1.8525518774910629E-3</c:v>
                </c:pt>
                <c:pt idx="345">
                  <c:v>-1.8468672511248137E-3</c:v>
                </c:pt>
                <c:pt idx="346">
                  <c:v>-1.8449723756693976E-3</c:v>
                </c:pt>
                <c:pt idx="347">
                  <c:v>-1.8430775002139814E-3</c:v>
                </c:pt>
                <c:pt idx="348">
                  <c:v>-1.8411826247585652E-3</c:v>
                </c:pt>
                <c:pt idx="349">
                  <c:v>-1.8392877493031488E-3</c:v>
                </c:pt>
                <c:pt idx="350">
                  <c:v>-1.8336031229368999E-3</c:v>
                </c:pt>
                <c:pt idx="351">
                  <c:v>-1.8317082474814837E-3</c:v>
                </c:pt>
                <c:pt idx="352">
                  <c:v>-1.8298133720260673E-3</c:v>
                </c:pt>
                <c:pt idx="353">
                  <c:v>-1.8279184965706511E-3</c:v>
                </c:pt>
                <c:pt idx="354">
                  <c:v>-1.8260236211152345E-3</c:v>
                </c:pt>
                <c:pt idx="355">
                  <c:v>-1.8203389947489858E-3</c:v>
                </c:pt>
                <c:pt idx="356">
                  <c:v>-1.8184441192935696E-3</c:v>
                </c:pt>
                <c:pt idx="357">
                  <c:v>-1.8165492438381534E-3</c:v>
                </c:pt>
                <c:pt idx="358">
                  <c:v>-1.814654368382737E-3</c:v>
                </c:pt>
                <c:pt idx="359">
                  <c:v>-1.8127594929273206E-3</c:v>
                </c:pt>
                <c:pt idx="360">
                  <c:v>-1.8070748665610719E-3</c:v>
                </c:pt>
                <c:pt idx="361">
                  <c:v>-1.8051799911056555E-3</c:v>
                </c:pt>
                <c:pt idx="362">
                  <c:v>-1.8032851156502393E-3</c:v>
                </c:pt>
                <c:pt idx="363">
                  <c:v>-1.8013902401948227E-3</c:v>
                </c:pt>
                <c:pt idx="364">
                  <c:v>-1.7994953647394066E-3</c:v>
                </c:pt>
                <c:pt idx="365">
                  <c:v>-1.7938107383731578E-3</c:v>
                </c:pt>
                <c:pt idx="366">
                  <c:v>-1.7919158629177416E-3</c:v>
                </c:pt>
                <c:pt idx="367">
                  <c:v>-1.790020987462325E-3</c:v>
                </c:pt>
                <c:pt idx="368">
                  <c:v>-1.7881261120069089E-3</c:v>
                </c:pt>
                <c:pt idx="369">
                  <c:v>-1.7862312365514927E-3</c:v>
                </c:pt>
                <c:pt idx="370">
                  <c:v>-1.7805466101852437E-3</c:v>
                </c:pt>
                <c:pt idx="371">
                  <c:v>-1.7786517347298276E-3</c:v>
                </c:pt>
                <c:pt idx="372">
                  <c:v>-1.776756859274411E-3</c:v>
                </c:pt>
                <c:pt idx="373">
                  <c:v>-1.7748619838189948E-3</c:v>
                </c:pt>
                <c:pt idx="374">
                  <c:v>-1.7729671083635786E-3</c:v>
                </c:pt>
                <c:pt idx="375">
                  <c:v>-1.7672824819973296E-3</c:v>
                </c:pt>
                <c:pt idx="376">
                  <c:v>-1.7653876065419133E-3</c:v>
                </c:pt>
                <c:pt idx="377">
                  <c:v>-1.7634927310864971E-3</c:v>
                </c:pt>
                <c:pt idx="378">
                  <c:v>-1.7615978556310809E-3</c:v>
                </c:pt>
                <c:pt idx="379">
                  <c:v>-1.7597029801756645E-3</c:v>
                </c:pt>
                <c:pt idx="380">
                  <c:v>-1.7540183538094156E-3</c:v>
                </c:pt>
                <c:pt idx="381">
                  <c:v>-1.7521234783539994E-3</c:v>
                </c:pt>
                <c:pt idx="382">
                  <c:v>-1.750228602898583E-3</c:v>
                </c:pt>
                <c:pt idx="383">
                  <c:v>-1.7483337274431668E-3</c:v>
                </c:pt>
                <c:pt idx="384">
                  <c:v>-1.7464388519877504E-3</c:v>
                </c:pt>
                <c:pt idx="385">
                  <c:v>-1.7407542256215017E-3</c:v>
                </c:pt>
                <c:pt idx="386">
                  <c:v>-1.7388593501660853E-3</c:v>
                </c:pt>
                <c:pt idx="387">
                  <c:v>-1.7369644747106691E-3</c:v>
                </c:pt>
                <c:pt idx="388">
                  <c:v>-1.7350695992552527E-3</c:v>
                </c:pt>
                <c:pt idx="389">
                  <c:v>-1.7331747237998363E-3</c:v>
                </c:pt>
                <c:pt idx="390">
                  <c:v>-1.7274900974335876E-3</c:v>
                </c:pt>
                <c:pt idx="391">
                  <c:v>-1.7255830023150487E-3</c:v>
                </c:pt>
                <c:pt idx="392">
                  <c:v>-1.7236515624040659E-3</c:v>
                </c:pt>
                <c:pt idx="393">
                  <c:v>-1.7216959195013415E-3</c:v>
                </c:pt>
                <c:pt idx="394">
                  <c:v>-1.7197162154075779E-3</c:v>
                </c:pt>
                <c:pt idx="395">
                  <c:v>-1.7136341539870726E-3</c:v>
                </c:pt>
                <c:pt idx="396">
                  <c:v>-1.7115596231361738E-3</c:v>
                </c:pt>
                <c:pt idx="397">
                  <c:v>-1.7094617400977472E-3</c:v>
                </c:pt>
                <c:pt idx="398">
                  <c:v>-1.7073406466724941E-3</c:v>
                </c:pt>
                <c:pt idx="399">
                  <c:v>-1.7051964846611176E-3</c:v>
                </c:pt>
                <c:pt idx="400">
                  <c:v>-1.6986270051172687E-3</c:v>
                </c:pt>
                <c:pt idx="401">
                  <c:v>-1.6963919867684198E-3</c:v>
                </c:pt>
                <c:pt idx="402">
                  <c:v>-1.6941346088369584E-3</c:v>
                </c:pt>
                <c:pt idx="403">
                  <c:v>-1.6918550131235868E-3</c:v>
                </c:pt>
                <c:pt idx="404">
                  <c:v>-1.6895533414290076E-3</c:v>
                </c:pt>
                <c:pt idx="405">
                  <c:v>-1.6777188062625688E-3</c:v>
                </c:pt>
                <c:pt idx="406">
                  <c:v>-1.6752876564954885E-3</c:v>
                </c:pt>
                <c:pt idx="407">
                  <c:v>-1.6728354233521161E-3</c:v>
                </c:pt>
                <c:pt idx="408">
                  <c:v>-1.6628184930297472E-3</c:v>
                </c:pt>
                <c:pt idx="409">
                  <c:v>-1.6602629700154469E-3</c:v>
                </c:pt>
                <c:pt idx="410">
                  <c:v>-1.6576872144290673E-3</c:v>
                </c:pt>
                <c:pt idx="411">
                  <c:v>-1.6550913680713113E-3</c:v>
                </c:pt>
                <c:pt idx="412">
                  <c:v>-1.6471847023768063E-3</c:v>
                </c:pt>
                <c:pt idx="413">
                  <c:v>-1.6445099109405662E-3</c:v>
                </c:pt>
                <c:pt idx="414">
                  <c:v>-1.6418157377364605E-3</c:v>
                </c:pt>
                <c:pt idx="415">
                  <c:v>-1.6391023245651921E-3</c:v>
                </c:pt>
                <c:pt idx="416">
                  <c:v>-1.6363698132274627E-3</c:v>
                </c:pt>
                <c:pt idx="417">
                  <c:v>-1.6280591082225306E-3</c:v>
                </c:pt>
                <c:pt idx="418">
                  <c:v>-1.6252516222259798E-3</c:v>
                </c:pt>
                <c:pt idx="419">
                  <c:v>-1.6224257470664795E-3</c:v>
                </c:pt>
                <c:pt idx="420">
                  <c:v>-1.6195816245447312E-3</c:v>
                </c:pt>
                <c:pt idx="421">
                  <c:v>-1.6167193964614379E-3</c:v>
                </c:pt>
                <c:pt idx="422">
                  <c:v>-1.608025496849309E-3</c:v>
                </c:pt>
                <c:pt idx="423">
                  <c:v>-1.6050922645268568E-3</c:v>
                </c:pt>
                <c:pt idx="424">
                  <c:v>-1.6021416356463709E-3</c:v>
                </c:pt>
                <c:pt idx="425">
                  <c:v>-1.5991737520085533E-3</c:v>
                </c:pt>
                <c:pt idx="426">
                  <c:v>-1.596188755414106E-3</c:v>
                </c:pt>
                <c:pt idx="427">
                  <c:v>-1.5871325058980092E-3</c:v>
                </c:pt>
                <c:pt idx="428">
                  <c:v>-1.5840804754840663E-3</c:v>
                </c:pt>
                <c:pt idx="429">
                  <c:v>-1.5810120411170047E-3</c:v>
                </c:pt>
                <c:pt idx="430">
                  <c:v>-1.577927344597527E-3</c:v>
                </c:pt>
                <c:pt idx="431">
                  <c:v>-1.5748265277263356E-3</c:v>
                </c:pt>
                <c:pt idx="432">
                  <c:v>-1.5654287730095002E-3</c:v>
                </c:pt>
                <c:pt idx="433">
                  <c:v>-1.5622648927384756E-3</c:v>
                </c:pt>
                <c:pt idx="434">
                  <c:v>-1.5590856011192485E-3</c:v>
                </c:pt>
                <c:pt idx="435">
                  <c:v>-1.5558910399525211E-3</c:v>
                </c:pt>
                <c:pt idx="436">
                  <c:v>-1.5526813510389952E-3</c:v>
                </c:pt>
                <c:pt idx="437">
                  <c:v>-1.5429629358246508E-3</c:v>
                </c:pt>
                <c:pt idx="438">
                  <c:v>-1.5396941539309549E-3</c:v>
                </c:pt>
                <c:pt idx="439">
                  <c:v>-1.5364109532939715E-3</c:v>
                </c:pt>
                <c:pt idx="440">
                  <c:v>-1.5331134757144036E-3</c:v>
                </c:pt>
                <c:pt idx="441">
                  <c:v>-1.529801862992953E-3</c:v>
                </c:pt>
                <c:pt idx="442">
                  <c:v>-1.5197836319843293E-3</c:v>
                </c:pt>
                <c:pt idx="443">
                  <c:v>-1.5164168967023715E-3</c:v>
                </c:pt>
                <c:pt idx="444">
                  <c:v>-1.5130367352820422E-3</c:v>
                </c:pt>
                <c:pt idx="445">
                  <c:v>-1.5096432895240436E-3</c:v>
                </c:pt>
                <c:pt idx="446">
                  <c:v>-1.5062367012290785E-3</c:v>
                </c:pt>
                <c:pt idx="447">
                  <c:v>-1.4959394991294044E-3</c:v>
                </c:pt>
                <c:pt idx="448">
                  <c:v>-1.4924817586935942E-3</c:v>
                </c:pt>
                <c:pt idx="449">
                  <c:v>-1.4890115847243286E-3</c:v>
                </c:pt>
                <c:pt idx="450">
                  <c:v>-1.4855291190223096E-3</c:v>
                </c:pt>
                <c:pt idx="451">
                  <c:v>-1.4820345033882396E-3</c:v>
                </c:pt>
                <c:pt idx="452">
                  <c:v>-1.4714791749007444E-3</c:v>
                </c:pt>
                <c:pt idx="453">
                  <c:v>-1.4679373775454922E-3</c:v>
                </c:pt>
                <c:pt idx="454">
                  <c:v>-1.4643841392617003E-3</c:v>
                </c:pt>
                <c:pt idx="455">
                  <c:v>-1.4608196018500701E-3</c:v>
                </c:pt>
                <c:pt idx="456">
                  <c:v>-1.4572439071113045E-3</c:v>
                </c:pt>
                <c:pt idx="457">
                  <c:v>-1.4464512969392185E-3</c:v>
                </c:pt>
                <c:pt idx="458">
                  <c:v>-1.4428323908989335E-3</c:v>
                </c:pt>
                <c:pt idx="459">
                  <c:v>-1.4392030365350244E-3</c:v>
                </c:pt>
                <c:pt idx="460">
                  <c:v>-1.4355633756481935E-3</c:v>
                </c:pt>
                <c:pt idx="461">
                  <c:v>-1.4319135500391429E-3</c:v>
                </c:pt>
                <c:pt idx="462">
                  <c:v>-1.4209045028856944E-3</c:v>
                </c:pt>
                <c:pt idx="463">
                  <c:v>-1.4172154363947872E-3</c:v>
                </c:pt>
                <c:pt idx="464">
                  <c:v>-1.413516914185171E-3</c:v>
                </c:pt>
                <c:pt idx="465">
                  <c:v>-1.4098090780575489E-3</c:v>
                </c:pt>
                <c:pt idx="466">
                  <c:v>-1.4060920698126225E-3</c:v>
                </c:pt>
                <c:pt idx="467">
                  <c:v>-1.3948874303810414E-3</c:v>
                </c:pt>
                <c:pt idx="468">
                  <c:v>-1.391135151673921E-3</c:v>
                </c:pt>
                <c:pt idx="469">
                  <c:v>-1.3873744098530079E-3</c:v>
                </c:pt>
                <c:pt idx="470">
                  <c:v>-1.3836053467190044E-3</c:v>
                </c:pt>
                <c:pt idx="471">
                  <c:v>-1.3646401743772046E-3</c:v>
                </c:pt>
                <c:pt idx="472">
                  <c:v>-1.3608241611794041E-3</c:v>
                </c:pt>
                <c:pt idx="473">
                  <c:v>-1.3570008192734283E-3</c:v>
                </c:pt>
                <c:pt idx="474">
                  <c:v>-1.3531702904599804E-3</c:v>
                </c:pt>
                <c:pt idx="475">
                  <c:v>-1.3416370005818223E-3</c:v>
                </c:pt>
                <c:pt idx="476">
                  <c:v>-1.3377791421455057E-3</c:v>
                </c:pt>
                <c:pt idx="477">
                  <c:v>-1.3339148058052277E-3</c:v>
                </c:pt>
                <c:pt idx="478">
                  <c:v>-1.3300441333616905E-3</c:v>
                </c:pt>
                <c:pt idx="479">
                  <c:v>-1.3261672666155962E-3</c:v>
                </c:pt>
                <c:pt idx="480">
                  <c:v>-1.3145009185689934E-3</c:v>
                </c:pt>
                <c:pt idx="481">
                  <c:v>-1.3106006926196932E-3</c:v>
                </c:pt>
                <c:pt idx="482">
                  <c:v>-1.3066949813713474E-3</c:v>
                </c:pt>
                <c:pt idx="483">
                  <c:v>-1.3027839266246581E-3</c:v>
                </c:pt>
                <c:pt idx="484">
                  <c:v>-1.2988676701803277E-3</c:v>
                </c:pt>
                <c:pt idx="485">
                  <c:v>-1.2870891086685095E-3</c:v>
                </c:pt>
                <c:pt idx="486">
                  <c:v>-1.2831534634406357E-3</c:v>
                </c:pt>
                <c:pt idx="487">
                  <c:v>-1.2792133255186322E-3</c:v>
                </c:pt>
                <c:pt idx="488">
                  <c:v>-1.2752688367032004E-3</c:v>
                </c:pt>
                <c:pt idx="489">
                  <c:v>-1.271320138795043E-3</c:v>
                </c:pt>
                <c:pt idx="490">
                  <c:v>-1.2594502085212396E-3</c:v>
                </c:pt>
                <c:pt idx="491">
                  <c:v>-1.2515184758879498E-3</c:v>
                </c:pt>
                <c:pt idx="492">
                  <c:v>-1.2475475012381858E-3</c:v>
                </c:pt>
                <c:pt idx="493">
                  <c:v>-1.2435733101006118E-3</c:v>
                </c:pt>
                <c:pt idx="494">
                  <c:v>-1.231632855768052E-3</c:v>
                </c:pt>
                <c:pt idx="495">
                  <c:v>-1.2276472166862604E-3</c:v>
                </c:pt>
                <c:pt idx="496">
                  <c:v>-1.2236590701201701E-3</c:v>
                </c:pt>
                <c:pt idx="497">
                  <c:v>-1.2196685578704832E-3</c:v>
                </c:pt>
                <c:pt idx="498">
                  <c:v>-1.2156758217379019E-3</c:v>
                </c:pt>
                <c:pt idx="499">
                  <c:v>-1.2036856880498154E-3</c:v>
                </c:pt>
                <c:pt idx="500">
                  <c:v>-1.1996854743926793E-3</c:v>
                </c:pt>
                <c:pt idx="501">
                  <c:v>-1.1956837458561604E-3</c:v>
                </c:pt>
                <c:pt idx="502">
                  <c:v>-1.191680644240961E-3</c:v>
                </c:pt>
                <c:pt idx="503">
                  <c:v>-1.1876763113477823E-3</c:v>
                </c:pt>
                <c:pt idx="504">
                  <c:v>-1.1756573430073984E-3</c:v>
                </c:pt>
                <c:pt idx="505">
                  <c:v>-1.1716495030093279E-3</c:v>
                </c:pt>
                <c:pt idx="506">
                  <c:v>-1.1676411407367899E-3</c:v>
                </c:pt>
                <c:pt idx="507">
                  <c:v>-1.1636323979904869E-3</c:v>
                </c:pt>
                <c:pt idx="508">
                  <c:v>-1.1596234165711214E-3</c:v>
                </c:pt>
                <c:pt idx="509">
                  <c:v>-1.1475961643705064E-3</c:v>
                </c:pt>
                <c:pt idx="510">
                  <c:v>-1.1435870777919202E-3</c:v>
                </c:pt>
                <c:pt idx="511">
                  <c:v>-1.1395779912133335E-3</c:v>
                </c:pt>
                <c:pt idx="512">
                  <c:v>-1.1355689046347467E-3</c:v>
                </c:pt>
                <c:pt idx="513">
                  <c:v>-1.1315598180561598E-3</c:v>
                </c:pt>
                <c:pt idx="514">
                  <c:v>-1.1195325583203998E-3</c:v>
                </c:pt>
                <c:pt idx="515">
                  <c:v>-1.11551814416477E-3</c:v>
                </c:pt>
                <c:pt idx="516">
                  <c:v>-1.1114931113990986E-3</c:v>
                </c:pt>
                <c:pt idx="517">
                  <c:v>-1.1074575148394537E-3</c:v>
                </c:pt>
                <c:pt idx="518">
                  <c:v>-1.1034114093019024E-3</c:v>
                </c:pt>
                <c:pt idx="519">
                  <c:v>-1.0912105869824861E-3</c:v>
                </c:pt>
                <c:pt idx="520">
                  <c:v>-1.0871229936939839E-3</c:v>
                </c:pt>
                <c:pt idx="521">
                  <c:v>-1.0830251655079125E-3</c:v>
                </c:pt>
                <c:pt idx="522">
                  <c:v>-1.0789171572403399E-3</c:v>
                </c:pt>
                <c:pt idx="523">
                  <c:v>-1.074799023707333E-3</c:v>
                </c:pt>
                <c:pt idx="524">
                  <c:v>-1.062384419676382E-3</c:v>
                </c:pt>
                <c:pt idx="525">
                  <c:v>-1.0582263332423129E-3</c:v>
                </c:pt>
                <c:pt idx="526">
                  <c:v>-1.0540583956231474E-3</c:v>
                </c:pt>
                <c:pt idx="527">
                  <c:v>-1.0498806616349519E-3</c:v>
                </c:pt>
                <c:pt idx="528">
                  <c:v>-1.0456931860937943E-3</c:v>
                </c:pt>
                <c:pt idx="529">
                  <c:v>-1.0330728583132244E-3</c:v>
                </c:pt>
                <c:pt idx="530">
                  <c:v>-1.0288469647208936E-3</c:v>
                </c:pt>
                <c:pt idx="531">
                  <c:v>-1.0246116036559385E-3</c:v>
                </c:pt>
                <c:pt idx="532">
                  <c:v>-1.0203668299344259E-3</c:v>
                </c:pt>
                <c:pt idx="533">
                  <c:v>-1.0161126983724237E-3</c:v>
                </c:pt>
                <c:pt idx="534">
                  <c:v>-1.0032947048041513E-3</c:v>
                </c:pt>
                <c:pt idx="535">
                  <c:v>-9.990036900408639E-4</c:v>
                </c:pt>
                <c:pt idx="536">
                  <c:v>-9.9470359151742379E-4</c:v>
                </c:pt>
                <c:pt idx="537">
                  <c:v>-9.9039446404989868E-4</c:v>
                </c:pt>
                <c:pt idx="538">
                  <c:v>-9.8607636245435669E-4</c:v>
                </c:pt>
                <c:pt idx="539">
                  <c:v>-9.730687610602979E-4</c:v>
                </c:pt>
                <c:pt idx="540">
                  <c:v>-9.6871531111335923E-4</c:v>
                </c:pt>
                <c:pt idx="541">
                  <c:v>-9.6435316111874003E-4</c:v>
                </c:pt>
                <c:pt idx="542">
                  <c:v>-9.5998236589250798E-4</c:v>
                </c:pt>
                <c:pt idx="543">
                  <c:v>-9.5560298025073047E-4</c:v>
                </c:pt>
                <c:pt idx="544">
                  <c:v>-9.4241382899280042E-4</c:v>
                </c:pt>
                <c:pt idx="545">
                  <c:v>-9.3800062984951622E-4</c:v>
                </c:pt>
                <c:pt idx="546">
                  <c:v>-9.3357911437102321E-4</c:v>
                </c:pt>
                <c:pt idx="547">
                  <c:v>-9.2914933737338942E-4</c:v>
                </c:pt>
                <c:pt idx="548">
                  <c:v>-9.2471135367268233E-4</c:v>
                </c:pt>
                <c:pt idx="549">
                  <c:v>-9.1134871051279658E-4</c:v>
                </c:pt>
                <c:pt idx="550">
                  <c:v>-9.0687844816047082E-4</c:v>
                </c:pt>
                <c:pt idx="551">
                  <c:v>-9.024002531854092E-4</c:v>
                </c:pt>
                <c:pt idx="552">
                  <c:v>-8.9791418040367961E-4</c:v>
                </c:pt>
                <c:pt idx="553">
                  <c:v>-8.9342028463134813E-4</c:v>
                </c:pt>
                <c:pt idx="554">
                  <c:v>-8.798922075314218E-4</c:v>
                </c:pt>
                <c:pt idx="555">
                  <c:v>-8.7536756795736023E-4</c:v>
                </c:pt>
                <c:pt idx="556">
                  <c:v>-8.7083537947303582E-4</c:v>
                </c:pt>
                <c:pt idx="557">
                  <c:v>-8.6629569689451421E-4</c:v>
                </c:pt>
                <c:pt idx="558">
                  <c:v>-8.6174857503786451E-4</c:v>
                </c:pt>
                <c:pt idx="559">
                  <c:v>-8.480631219598137E-4</c:v>
                </c:pt>
                <c:pt idx="560">
                  <c:v>-8.4348679115132193E-4</c:v>
                </c:pt>
                <c:pt idx="561">
                  <c:v>-8.3890329514503851E-4</c:v>
                </c:pt>
                <c:pt idx="562">
                  <c:v>-8.3431268875703082E-4</c:v>
                </c:pt>
                <c:pt idx="563">
                  <c:v>-8.2971502680336722E-4</c:v>
                </c:pt>
                <c:pt idx="564">
                  <c:v>-8.1588025570910846E-4</c:v>
                </c:pt>
                <c:pt idx="565">
                  <c:v>-8.1125491965349146E-4</c:v>
                </c:pt>
                <c:pt idx="566">
                  <c:v>-8.0662280211255509E-4</c:v>
                </c:pt>
                <c:pt idx="567">
                  <c:v>-8.0198395790236651E-4</c:v>
                </c:pt>
                <c:pt idx="568">
                  <c:v>-7.9733844183899343E-4</c:v>
                </c:pt>
                <c:pt idx="569">
                  <c:v>-7.8336241069044184E-4</c:v>
                </c:pt>
                <c:pt idx="570">
                  <c:v>-7.7869075537500567E-4</c:v>
                </c:pt>
                <c:pt idx="571">
                  <c:v>-7.7401270228672132E-4</c:v>
                </c:pt>
                <c:pt idx="572">
                  <c:v>-7.6932830624165715E-4</c:v>
                </c:pt>
                <c:pt idx="573">
                  <c:v>-7.6463762205588063E-4</c:v>
                </c:pt>
                <c:pt idx="574">
                  <c:v>-7.5052838881495092E-4</c:v>
                </c:pt>
                <c:pt idx="575">
                  <c:v>-7.4581310022699999E-4</c:v>
                </c:pt>
                <c:pt idx="576">
                  <c:v>-7.4109179757867317E-4</c:v>
                </c:pt>
                <c:pt idx="577">
                  <c:v>-7.3636453568603935E-4</c:v>
                </c:pt>
                <c:pt idx="578">
                  <c:v>-7.316313693651647E-4</c:v>
                </c:pt>
                <c:pt idx="579">
                  <c:v>-7.1739699199377339E-4</c:v>
                </c:pt>
                <c:pt idx="580">
                  <c:v>-7.1264075612061204E-4</c:v>
                </c:pt>
                <c:pt idx="581">
                  <c:v>-7.0787888989954782E-4</c:v>
                </c:pt>
                <c:pt idx="582">
                  <c:v>-7.0311144814664899E-4</c:v>
                </c:pt>
                <c:pt idx="583">
                  <c:v>-6.9833848567798108E-4</c:v>
                </c:pt>
                <c:pt idx="584">
                  <c:v>-6.839870221380447E-4</c:v>
                </c:pt>
                <c:pt idx="585">
                  <c:v>-6.7919252496697908E-4</c:v>
                </c:pt>
                <c:pt idx="586">
                  <c:v>-6.7439278116048277E-4</c:v>
                </c:pt>
                <c:pt idx="587">
                  <c:v>-6.6958784553462314E-4</c:v>
                </c:pt>
                <c:pt idx="588">
                  <c:v>-6.6477777290546757E-4</c:v>
                </c:pt>
                <c:pt idx="589">
                  <c:v>-6.5031728115890158E-4</c:v>
                </c:pt>
                <c:pt idx="590">
                  <c:v>-6.4548720867723688E-4</c:v>
                </c:pt>
                <c:pt idx="591">
                  <c:v>-6.4065227327261376E-4</c:v>
                </c:pt>
                <c:pt idx="592">
                  <c:v>-6.3581252976109928E-4</c:v>
                </c:pt>
                <c:pt idx="593">
                  <c:v>-6.3096803295876113E-4</c:v>
                </c:pt>
                <c:pt idx="594">
                  <c:v>-6.1640657096747979E-4</c:v>
                </c:pt>
                <c:pt idx="595">
                  <c:v>-6.115436091625213E-4</c:v>
                </c:pt>
                <c:pt idx="596">
                  <c:v>-6.066761681470771E-4</c:v>
                </c:pt>
                <c:pt idx="597">
                  <c:v>-6.0180430273721317E-4</c:v>
                </c:pt>
                <c:pt idx="598">
                  <c:v>-5.9692806774899775E-4</c:v>
                </c:pt>
                <c:pt idx="599">
                  <c:v>-5.822736934749165E-4</c:v>
                </c:pt>
                <c:pt idx="600">
                  <c:v>-5.7738052833396951E-4</c:v>
                </c:pt>
                <c:pt idx="601">
                  <c:v>-5.7248326769500889E-4</c:v>
                </c:pt>
                <c:pt idx="602">
                  <c:v>-5.6758196637410059E-4</c:v>
                </c:pt>
                <c:pt idx="603">
                  <c:v>-5.6267667918731394E-4</c:v>
                </c:pt>
                <c:pt idx="604">
                  <c:v>-5.4793745059234943E-4</c:v>
                </c:pt>
                <c:pt idx="605">
                  <c:v>-5.4301676810271891E-4</c:v>
                </c:pt>
                <c:pt idx="606">
                  <c:v>-5.3809237382754639E-4</c:v>
                </c:pt>
                <c:pt idx="607">
                  <c:v>-5.3316432258289977E-4</c:v>
                </c:pt>
                <c:pt idx="608">
                  <c:v>-5.2823266918484546E-4</c:v>
                </c:pt>
                <c:pt idx="609">
                  <c:v>-5.134166442309141E-4</c:v>
                </c:pt>
                <c:pt idx="610">
                  <c:v>-5.0847113037990536E-4</c:v>
                </c:pt>
                <c:pt idx="611">
                  <c:v>-5.0352228845582667E-4</c:v>
                </c:pt>
                <c:pt idx="612">
                  <c:v>-4.9857017327474573E-4</c:v>
                </c:pt>
                <c:pt idx="613">
                  <c:v>-4.9361483965272947E-4</c:v>
                </c:pt>
                <c:pt idx="614">
                  <c:v>-4.787300763017463E-4</c:v>
                </c:pt>
                <c:pt idx="615">
                  <c:v>-4.7376241707666549E-4</c:v>
                </c:pt>
                <c:pt idx="616">
                  <c:v>-4.6879181349098598E-4</c:v>
                </c:pt>
                <c:pt idx="617">
                  <c:v>-4.6381832036077622E-4</c:v>
                </c:pt>
                <c:pt idx="618">
                  <c:v>-4.588419925021037E-4</c:v>
                </c:pt>
                <c:pt idx="619">
                  <c:v>-4.4389654871598421E-4</c:v>
                </c:pt>
                <c:pt idx="620">
                  <c:v>-4.3890943010413478E-4</c:v>
                </c:pt>
                <c:pt idx="621">
                  <c:v>-4.3391975084416067E-4</c:v>
                </c:pt>
                <c:pt idx="622">
                  <c:v>-4.2892756575212745E-4</c:v>
                </c:pt>
                <c:pt idx="623">
                  <c:v>-4.2393292964410374E-4</c:v>
                </c:pt>
                <c:pt idx="624">
                  <c:v>-4.0893486338476284E-4</c:v>
                </c:pt>
                <c:pt idx="625">
                  <c:v>-4.0393097137345085E-4</c:v>
                </c:pt>
                <c:pt idx="626">
                  <c:v>-3.9892490242648628E-4</c:v>
                </c:pt>
                <c:pt idx="627">
                  <c:v>-3.9391671135993506E-4</c:v>
                </c:pt>
                <c:pt idx="628">
                  <c:v>-3.88906452989866E-4</c:v>
                </c:pt>
                <c:pt idx="629">
                  <c:v>-3.7386382221922017E-4</c:v>
                </c:pt>
                <c:pt idx="630">
                  <c:v>-3.6884584279575096E-4</c:v>
                </c:pt>
                <c:pt idx="631">
                  <c:v>-3.6382607014910049E-4</c:v>
                </c:pt>
                <c:pt idx="632">
                  <c:v>-3.5880455909533617E-4</c:v>
                </c:pt>
                <c:pt idx="633">
                  <c:v>-3.5378136445052651E-4</c:v>
                </c:pt>
                <c:pt idx="634">
                  <c:v>-3.3870222713049217E-4</c:v>
                </c:pt>
                <c:pt idx="635">
                  <c:v>-3.3367284628217083E-4</c:v>
                </c:pt>
                <c:pt idx="636">
                  <c:v>-3.2864205592314055E-4</c:v>
                </c:pt>
                <c:pt idx="637">
                  <c:v>-3.2360991086946854E-4</c:v>
                </c:pt>
                <c:pt idx="638">
                  <c:v>-3.1857646593722245E-4</c:v>
                </c:pt>
                <c:pt idx="639">
                  <c:v>-3.0346888002971456E-4</c:v>
                </c:pt>
                <c:pt idx="640">
                  <c:v>-2.9843078374384714E-4</c:v>
                </c:pt>
                <c:pt idx="641">
                  <c:v>-2.9339166165974208E-4</c:v>
                </c:pt>
                <c:pt idx="642">
                  <c:v>-2.8835156859346767E-4</c:v>
                </c:pt>
                <c:pt idx="643">
                  <c:v>-2.8331055936109113E-4</c:v>
                </c:pt>
                <c:pt idx="644">
                  <c:v>-2.681825828280245E-4</c:v>
                </c:pt>
                <c:pt idx="645">
                  <c:v>-2.6313583782019181E-4</c:v>
                </c:pt>
                <c:pt idx="646">
                  <c:v>-2.5808319657571262E-4</c:v>
                </c:pt>
                <c:pt idx="647">
                  <c:v>-2.5302469049950574E-4</c:v>
                </c:pt>
                <c:pt idx="648">
                  <c:v>-2.4796035099648652E-4</c:v>
                </c:pt>
                <c:pt idx="649">
                  <c:v>-2.327326459757316E-4</c:v>
                </c:pt>
                <c:pt idx="650">
                  <c:v>-2.2764528681463786E-4</c:v>
                </c:pt>
                <c:pt idx="651">
                  <c:v>-2.2255225125131825E-4</c:v>
                </c:pt>
                <c:pt idx="652">
                  <c:v>-2.1745357069069074E-4</c:v>
                </c:pt>
                <c:pt idx="653">
                  <c:v>-2.1234927653767082E-4</c:v>
                </c:pt>
                <c:pt idx="654">
                  <c:v>-1.9700302657343324E-4</c:v>
                </c:pt>
                <c:pt idx="655">
                  <c:v>-1.9187659210001805E-4</c:v>
                </c:pt>
                <c:pt idx="656">
                  <c:v>-1.8674470105879676E-4</c:v>
                </c:pt>
                <c:pt idx="657">
                  <c:v>-1.8160738485468661E-4</c:v>
                </c:pt>
                <c:pt idx="658">
                  <c:v>-1.7646467489260459E-4</c:v>
                </c:pt>
                <c:pt idx="659">
                  <c:v>-1.6100449650770075E-4</c:v>
                </c:pt>
                <c:pt idx="660">
                  <c:v>-1.454969048780653E-4</c:v>
                </c:pt>
                <c:pt idx="661">
                  <c:v>-1.4031731794786006E-4</c:v>
                </c:pt>
                <c:pt idx="662">
                  <c:v>-1.2474782766510445E-4</c:v>
                </c:pt>
                <c:pt idx="663">
                  <c:v>-1.1434287361565497E-4</c:v>
                </c:pt>
                <c:pt idx="664">
                  <c:v>-1.0913290264739732E-4</c:v>
                </c:pt>
                <c:pt idx="665">
                  <c:v>-1.0391797759000755E-4</c:v>
                </c:pt>
                <c:pt idx="666">
                  <c:v>-8.8243791932216448E-5</c:v>
                </c:pt>
                <c:pt idx="667">
                  <c:v>-8.3009364567470062E-5</c:v>
                </c:pt>
                <c:pt idx="668">
                  <c:v>-7.7770140138176287E-5</c:v>
                </c:pt>
                <c:pt idx="669">
                  <c:v>-7.2526150049253042E-5</c:v>
                </c:pt>
                <c:pt idx="670">
                  <c:v>-6.7277425705618326E-5</c:v>
                </c:pt>
                <c:pt idx="671">
                  <c:v>-5.1503161195608807E-5</c:v>
                </c:pt>
                <c:pt idx="672">
                  <c:v>-4.6235813882295089E-5</c:v>
                </c:pt>
                <c:pt idx="673">
                  <c:v>-4.0963889338854628E-5</c:v>
                </c:pt>
                <c:pt idx="674">
                  <c:v>-3.5687418970205384E-5</c:v>
                </c:pt>
                <c:pt idx="675">
                  <c:v>-3.0406434181262808E-5</c:v>
                </c:pt>
                <c:pt idx="676">
                  <c:v>-1.4536707341851938E-5</c:v>
                </c:pt>
                <c:pt idx="677">
                  <c:v>-9.2379789209104987E-6</c:v>
                </c:pt>
                <c:pt idx="678">
                  <c:v>-3.9348931042620811E-6</c:v>
                </c:pt>
                <c:pt idx="679">
                  <c:v>1.3725187031760903E-6</c:v>
                </c:pt>
                <c:pt idx="680">
                  <c:v>6.6842250964870032E-6</c:v>
                </c:pt>
                <c:pt idx="681">
                  <c:v>2.2644797742483741E-5</c:v>
                </c:pt>
                <c:pt idx="682">
                  <c:v>2.7973368430113381E-5</c:v>
                </c:pt>
                <c:pt idx="683">
                  <c:v>3.3306076679030925E-5</c:v>
                </c:pt>
                <c:pt idx="684">
                  <c:v>3.8642891084318502E-5</c:v>
                </c:pt>
                <c:pt idx="685">
                  <c:v>4.3983780241058898E-5</c:v>
                </c:pt>
                <c:pt idx="686">
                  <c:v>6.0030582170825375E-5</c:v>
                </c:pt>
                <c:pt idx="687">
                  <c:v>6.5387456284206059E-5</c:v>
                </c:pt>
                <c:pt idx="688">
                  <c:v>7.0748248124454096E-5</c:v>
                </c:pt>
                <c:pt idx="689">
                  <c:v>7.6112926286651378E-5</c:v>
                </c:pt>
                <c:pt idx="690">
                  <c:v>8.1481459365882614E-5</c:v>
                </c:pt>
                <c:pt idx="691">
                  <c:v>9.760987405660332E-5</c:v>
                </c:pt>
                <c:pt idx="692">
                  <c:v>1.0299351275479557E-4</c:v>
                </c:pt>
                <c:pt idx="693">
                  <c:v>1.0838084934543436E-4</c:v>
                </c:pt>
                <c:pt idx="694">
                  <c:v>1.1377185242360442E-4</c:v>
                </c:pt>
                <c:pt idx="695">
                  <c:v>1.1916649058438764E-4</c:v>
                </c:pt>
                <c:pt idx="696">
                  <c:v>1.3537190151324474E-4</c:v>
                </c:pt>
                <c:pt idx="697">
                  <c:v>1.4078076595530967E-4</c:v>
                </c:pt>
                <c:pt idx="698">
                  <c:v>1.4619310845540232E-4</c:v>
                </c:pt>
                <c:pt idx="699">
                  <c:v>1.5160889760860457E-4</c:v>
                </c:pt>
                <c:pt idx="700">
                  <c:v>1.5702810201000114E-4</c:v>
                </c:pt>
                <c:pt idx="701">
                  <c:v>1.733058926541791E-4</c:v>
                </c:pt>
                <c:pt idx="702">
                  <c:v>1.7873844399917812E-4</c:v>
                </c:pt>
                <c:pt idx="703">
                  <c:v>1.8417425356778491E-4</c:v>
                </c:pt>
                <c:pt idx="704">
                  <c:v>1.8961328995508242E-4</c:v>
                </c:pt>
                <c:pt idx="705">
                  <c:v>1.9505552175615347E-4</c:v>
                </c:pt>
                <c:pt idx="706">
                  <c:v>2.1140107559283622E-4</c:v>
                </c:pt>
                <c:pt idx="707">
                  <c:v>2.1685577499983049E-4</c:v>
                </c:pt>
                <c:pt idx="708">
                  <c:v>2.2231351279601176E-4</c:v>
                </c:pt>
                <c:pt idx="709">
                  <c:v>2.2777425757646491E-4</c:v>
                </c:pt>
                <c:pt idx="710">
                  <c:v>2.332379779362718E-4</c:v>
                </c:pt>
                <c:pt idx="711">
                  <c:v>2.4964667844264295E-4</c:v>
                </c:pt>
                <c:pt idx="712">
                  <c:v>2.5512198707069371E-4</c:v>
                </c:pt>
                <c:pt idx="713">
                  <c:v>2.6060011425351257E-4</c:v>
                </c:pt>
                <c:pt idx="714">
                  <c:v>2.6608102858618256E-4</c:v>
                </c:pt>
                <c:pt idx="715">
                  <c:v>2.7156469866378564E-4</c:v>
                </c:pt>
                <c:pt idx="716">
                  <c:v>2.8803192931702986E-4</c:v>
                </c:pt>
                <c:pt idx="717">
                  <c:v>2.9352630832519839E-4</c:v>
                </c:pt>
                <c:pt idx="718">
                  <c:v>2.9902328605371439E-4</c:v>
                </c:pt>
                <c:pt idx="719">
                  <c:v>3.0452283109766242E-4</c:v>
                </c:pt>
                <c:pt idx="720">
                  <c:v>3.1002491205212469E-4</c:v>
                </c:pt>
                <c:pt idx="721">
                  <c:v>3.2654605632942397E-4</c:v>
                </c:pt>
                <c:pt idx="722">
                  <c:v>3.3205796687677149E-4</c:v>
                </c:pt>
                <c:pt idx="723">
                  <c:v>3.3757225631004758E-4</c:v>
                </c:pt>
                <c:pt idx="724">
                  <c:v>3.4308889322433507E-4</c:v>
                </c:pt>
                <c:pt idx="725">
                  <c:v>3.4860784621471589E-4</c:v>
                </c:pt>
                <c:pt idx="726">
                  <c:v>3.65178287593255E-4</c:v>
                </c:pt>
                <c:pt idx="727">
                  <c:v>3.7070619083884272E-4</c:v>
                </c:pt>
                <c:pt idx="728">
                  <c:v>3.7623625313593925E-4</c:v>
                </c:pt>
                <c:pt idx="729">
                  <c:v>3.8176844307962734E-4</c:v>
                </c:pt>
                <c:pt idx="730">
                  <c:v>3.8730272926498993E-4</c:v>
                </c:pt>
                <c:pt idx="731">
                  <c:v>4.0391785122195241E-4</c:v>
                </c:pt>
                <c:pt idx="732">
                  <c:v>4.0946020832484175E-4</c:v>
                </c:pt>
                <c:pt idx="733">
                  <c:v>4.1500450464481895E-4</c:v>
                </c:pt>
                <c:pt idx="734">
                  <c:v>4.2055070877696898E-4</c:v>
                </c:pt>
                <c:pt idx="735">
                  <c:v>4.2609878931637357E-4</c:v>
                </c:pt>
                <c:pt idx="736">
                  <c:v>4.4275397532894418E-4</c:v>
                </c:pt>
                <c:pt idx="737">
                  <c:v>4.4830924744819538E-4</c:v>
                </c:pt>
                <c:pt idx="738">
                  <c:v>4.5386623895011656E-4</c:v>
                </c:pt>
                <c:pt idx="739">
                  <c:v>4.5942491842978957E-4</c:v>
                </c:pt>
                <c:pt idx="740">
                  <c:v>4.8724253632233429E-4</c:v>
                </c:pt>
                <c:pt idx="741">
                  <c:v>4.928106841652597E-4</c:v>
                </c:pt>
                <c:pt idx="742">
                  <c:v>4.9838030015151615E-4</c:v>
                </c:pt>
                <c:pt idx="743">
                  <c:v>5.0395135287618865E-4</c:v>
                </c:pt>
                <c:pt idx="744">
                  <c:v>5.2067281743152407E-4</c:v>
                </c:pt>
                <c:pt idx="745">
                  <c:v>5.2624930306068539E-4</c:v>
                </c:pt>
                <c:pt idx="746">
                  <c:v>5.3740608205557938E-4</c:v>
                </c:pt>
                <c:pt idx="747">
                  <c:v>5.4298631261147769E-4</c:v>
                </c:pt>
                <c:pt idx="748">
                  <c:v>5.5973399165397159E-4</c:v>
                </c:pt>
                <c:pt idx="749">
                  <c:v>5.6531877577667845E-4</c:v>
                </c:pt>
                <c:pt idx="750">
                  <c:v>5.70904619778796E-4</c:v>
                </c:pt>
                <c:pt idx="751">
                  <c:v>5.7649149225540597E-4</c:v>
                </c:pt>
                <c:pt idx="752">
                  <c:v>5.8207936180159129E-4</c:v>
                </c:pt>
                <c:pt idx="753">
                  <c:v>5.988486388084274E-4</c:v>
                </c:pt>
                <c:pt idx="754">
                  <c:v>6.0444018258374308E-4</c:v>
                </c:pt>
                <c:pt idx="755">
                  <c:v>6.1003256640404849E-4</c:v>
                </c:pt>
                <c:pt idx="756">
                  <c:v>6.1562575886442569E-4</c:v>
                </c:pt>
                <c:pt idx="757">
                  <c:v>6.2121972855995933E-4</c:v>
                </c:pt>
                <c:pt idx="758">
                  <c:v>6.3800598700832238E-4</c:v>
                </c:pt>
                <c:pt idx="759">
                  <c:v>6.4360275159530624E-4</c:v>
                </c:pt>
                <c:pt idx="760">
                  <c:v>6.4920013639286082E-4</c:v>
                </c:pt>
                <c:pt idx="761">
                  <c:v>6.547981099960683E-4</c:v>
                </c:pt>
                <c:pt idx="762">
                  <c:v>6.6039664100001148E-4</c:v>
                </c:pt>
                <c:pt idx="763">
                  <c:v>6.7719526436708336E-4</c:v>
                </c:pt>
                <c:pt idx="764">
                  <c:v>6.8279571092479834E-4</c:v>
                </c:pt>
                <c:pt idx="765">
                  <c:v>6.8839655785866343E-4</c:v>
                </c:pt>
                <c:pt idx="766">
                  <c:v>6.9399777376376065E-4</c:v>
                </c:pt>
                <c:pt idx="767">
                  <c:v>6.9959932723517458E-4</c:v>
                </c:pt>
                <c:pt idx="768">
                  <c:v>7.1640569899814022E-4</c:v>
                </c:pt>
                <c:pt idx="769">
                  <c:v>7.2200936446597586E-4</c:v>
                </c:pt>
                <c:pt idx="770">
                  <c:v>7.2761538036661595E-4</c:v>
                </c:pt>
                <c:pt idx="771">
                  <c:v>7.332237427907668E-4</c:v>
                </c:pt>
                <c:pt idx="772">
                  <c:v>7.3883444782913473E-4</c:v>
                </c:pt>
                <c:pt idx="773">
                  <c:v>7.556805795366048E-4</c:v>
                </c:pt>
                <c:pt idx="774">
                  <c:v>7.613006159389045E-4</c:v>
                </c:pt>
                <c:pt idx="775">
                  <c:v>7.669229754089542E-4</c:v>
                </c:pt>
                <c:pt idx="776">
                  <c:v>7.7254765403745966E-4</c:v>
                </c:pt>
                <c:pt idx="777">
                  <c:v>7.7817464791512679E-4</c:v>
                </c:pt>
                <c:pt idx="778">
                  <c:v>7.9506948195016405E-4</c:v>
                </c:pt>
                <c:pt idx="779">
                  <c:v>8.0070569773154189E-4</c:v>
                </c:pt>
                <c:pt idx="780">
                  <c:v>8.0634420921561474E-4</c:v>
                </c:pt>
                <c:pt idx="781">
                  <c:v>8.1198501249308685E-4</c:v>
                </c:pt>
                <c:pt idx="782">
                  <c:v>8.176281036546667E-4</c:v>
                </c:pt>
                <c:pt idx="783">
                  <c:v>8.3457106535111004E-4</c:v>
                </c:pt>
                <c:pt idx="784">
                  <c:v>8.4022326895618043E-4</c:v>
                </c:pt>
                <c:pt idx="785">
                  <c:v>8.4587774089888953E-4</c:v>
                </c:pt>
                <c:pt idx="786">
                  <c:v>8.5153447726994279E-4</c:v>
                </c:pt>
                <c:pt idx="787">
                  <c:v>8.5719347416004837E-4</c:v>
                </c:pt>
                <c:pt idx="788">
                  <c:v>8.7418398885173677E-4</c:v>
                </c:pt>
                <c:pt idx="789">
                  <c:v>8.7985198872511216E-4</c:v>
                </c:pt>
                <c:pt idx="790">
                  <c:v>8.8552222957107094E-4</c:v>
                </c:pt>
                <c:pt idx="791">
                  <c:v>8.9119470748031955E-4</c:v>
                </c:pt>
                <c:pt idx="792">
                  <c:v>8.9686941854356418E-4</c:v>
                </c:pt>
                <c:pt idx="793">
                  <c:v>9.1390691156433761E-4</c:v>
                </c:pt>
                <c:pt idx="794">
                  <c:v>9.1959051615063121E-4</c:v>
                </c:pt>
                <c:pt idx="795">
                  <c:v>9.2527633434445278E-4</c:v>
                </c:pt>
                <c:pt idx="796">
                  <c:v>9.3096436223650896E-4</c:v>
                </c:pt>
                <c:pt idx="797">
                  <c:v>9.3665459591750619E-4</c:v>
                </c:pt>
                <c:pt idx="798">
                  <c:v>9.5373849260120655E-4</c:v>
                </c:pt>
                <c:pt idx="799">
                  <c:v>9.5943751034503148E-4</c:v>
                </c:pt>
                <c:pt idx="800">
                  <c:v>9.6513871433132829E-4</c:v>
                </c:pt>
                <c:pt idx="801">
                  <c:v>9.7084210065080548E-4</c:v>
                </c:pt>
                <c:pt idx="802">
                  <c:v>9.7654766539416861E-4</c:v>
                </c:pt>
                <c:pt idx="803">
                  <c:v>9.9367739107463545E-4</c:v>
                </c:pt>
                <c:pt idx="804">
                  <c:v>9.9939163042060426E-4</c:v>
                </c:pt>
                <c:pt idx="805">
                  <c:v>1.0051080286439917E-3</c:v>
                </c:pt>
                <c:pt idx="806">
                  <c:v>1.0108265818355032E-3</c:v>
                </c:pt>
                <c:pt idx="807">
                  <c:v>1.0165472860858443E-3</c:v>
                </c:pt>
                <c:pt idx="808">
                  <c:v>1.033722266096917E-3</c:v>
                </c:pt>
                <c:pt idx="809">
                  <c:v>1.0394515354896449E-3</c:v>
                </c:pt>
                <c:pt idx="810">
                  <c:v>1.0451829363947349E-3</c:v>
                </c:pt>
                <c:pt idx="811">
                  <c:v>1.0509164649028931E-3</c:v>
                </c:pt>
                <c:pt idx="812">
                  <c:v>1.0566521171048275E-3</c:v>
                </c:pt>
                <c:pt idx="813">
                  <c:v>1.0738717767803448E-3</c:v>
                </c:pt>
                <c:pt idx="814">
                  <c:v>1.0796158846644438E-3</c:v>
                </c:pt>
                <c:pt idx="815">
                  <c:v>1.0853620966958502E-3</c:v>
                </c:pt>
                <c:pt idx="816">
                  <c:v>1.0911104089652702E-3</c:v>
                </c:pt>
                <c:pt idx="817">
                  <c:v>1.09686081756341E-3</c:v>
                </c:pt>
                <c:pt idx="818">
                  <c:v>1.114124582237212E-3</c:v>
                </c:pt>
                <c:pt idx="819">
                  <c:v>1.1198833370572958E-3</c:v>
                </c:pt>
                <c:pt idx="820">
                  <c:v>1.1256441686596317E-3</c:v>
                </c:pt>
                <c:pt idx="821">
                  <c:v>1.1314070731349259E-3</c:v>
                </c:pt>
                <c:pt idx="822">
                  <c:v>1.1371720465738848E-3</c:v>
                </c:pt>
                <c:pt idx="823">
                  <c:v>1.154479341579813E-3</c:v>
                </c:pt>
                <c:pt idx="824">
                  <c:v>1.1602525517804948E-3</c:v>
                </c:pt>
                <c:pt idx="825">
                  <c:v>1.1660278113983726E-3</c:v>
                </c:pt>
                <c:pt idx="826">
                  <c:v>1.1718051165241542E-3</c:v>
                </c:pt>
                <c:pt idx="827">
                  <c:v>1.1775844632485454E-3</c:v>
                </c:pt>
                <c:pt idx="828">
                  <c:v>1.1949347139204398E-3</c:v>
                </c:pt>
                <c:pt idx="829">
                  <c:v>1.200722187946333E-3</c:v>
                </c:pt>
                <c:pt idx="830">
                  <c:v>1.2065116840243666E-3</c:v>
                </c:pt>
                <c:pt idx="831">
                  <c:v>1.2123031982452491E-3</c:v>
                </c:pt>
                <c:pt idx="832">
                  <c:v>1.2180967266996849E-3</c:v>
                </c:pt>
                <c:pt idx="833">
                  <c:v>1.2354893583713846E-3</c:v>
                </c:pt>
                <c:pt idx="834">
                  <c:v>1.2412909046671022E-3</c:v>
                </c:pt>
                <c:pt idx="835">
                  <c:v>1.2470944456499061E-3</c:v>
                </c:pt>
                <c:pt idx="836">
                  <c:v>1.2528999774105026E-3</c:v>
                </c:pt>
                <c:pt idx="837">
                  <c:v>1.2587074960395974E-3</c:v>
                </c:pt>
                <c:pt idx="838">
                  <c:v>1.2761419340449412E-3</c:v>
                </c:pt>
                <c:pt idx="839">
                  <c:v>1.2819573610550969E-3</c:v>
                </c:pt>
                <c:pt idx="840">
                  <c:v>1.2877747553872835E-3</c:v>
                </c:pt>
                <c:pt idx="841">
                  <c:v>1.2935941131322075E-3</c:v>
                </c:pt>
                <c:pt idx="842">
                  <c:v>1.2994154303805753E-3</c:v>
                </c:pt>
                <c:pt idx="843">
                  <c:v>1.3168911000534043E-3</c:v>
                </c:pt>
                <c:pt idx="844">
                  <c:v>1.32272021622261E-3</c:v>
                </c:pt>
                <c:pt idx="845">
                  <c:v>1.3285512723487925E-3</c:v>
                </c:pt>
                <c:pt idx="846">
                  <c:v>1.3343842645226573E-3</c:v>
                </c:pt>
                <c:pt idx="847">
                  <c:v>1.3402191888349105E-3</c:v>
                </c:pt>
                <c:pt idx="848">
                  <c:v>1.3577355155090652E-3</c:v>
                </c:pt>
                <c:pt idx="849">
                  <c:v>1.3635781292819357E-3</c:v>
                </c:pt>
                <c:pt idx="850">
                  <c:v>1.3694226556467276E-3</c:v>
                </c:pt>
                <c:pt idx="851">
                  <c:v>1.3752690906941453E-3</c:v>
                </c:pt>
                <c:pt idx="852">
                  <c:v>1.3811174305148972E-3</c:v>
                </c:pt>
                <c:pt idx="853">
                  <c:v>1.3986738395242169E-3</c:v>
                </c:pt>
                <c:pt idx="854">
                  <c:v>1.4045297593453659E-3</c:v>
                </c:pt>
                <c:pt idx="855">
                  <c:v>1.4103875643933803E-3</c:v>
                </c:pt>
                <c:pt idx="856">
                  <c:v>1.4162472507589653E-3</c:v>
                </c:pt>
                <c:pt idx="857">
                  <c:v>1.4221088145328293E-3</c:v>
                </c:pt>
                <c:pt idx="858">
                  <c:v>1.439704731211153E-3</c:v>
                </c:pt>
                <c:pt idx="859">
                  <c:v>1.4455737655251931E-3</c:v>
                </c:pt>
                <c:pt idx="860">
                  <c:v>1.4514446577010432E-3</c:v>
                </c:pt>
                <c:pt idx="861">
                  <c:v>1.4573174038294099E-3</c:v>
                </c:pt>
                <c:pt idx="862">
                  <c:v>1.4631920000009984E-3</c:v>
                </c:pt>
                <c:pt idx="863">
                  <c:v>1.4808268496821666E-3</c:v>
                </c:pt>
                <c:pt idx="864">
                  <c:v>1.4867088069337113E-3</c:v>
                </c:pt>
                <c:pt idx="865">
                  <c:v>1.4925925946820107E-3</c:v>
                </c:pt>
                <c:pt idx="866">
                  <c:v>1.4984782090177711E-3</c:v>
                </c:pt>
                <c:pt idx="867">
                  <c:v>1.5043656460316992E-3</c:v>
                </c:pt>
                <c:pt idx="868">
                  <c:v>1.5220388540495519E-3</c:v>
                </c:pt>
                <c:pt idx="869">
                  <c:v>1.5279335426832143E-3</c:v>
                </c:pt>
                <c:pt idx="870">
                  <c:v>1.5338300344485752E-3</c:v>
                </c:pt>
                <c:pt idx="871">
                  <c:v>1.5397283254363428E-3</c:v>
                </c:pt>
                <c:pt idx="872">
                  <c:v>1.5456284117372229E-3</c:v>
                </c:pt>
                <c:pt idx="873">
                  <c:v>1.563339403425601E-3</c:v>
                </c:pt>
                <c:pt idx="874">
                  <c:v>1.5692466318859935E-3</c:v>
                </c:pt>
                <c:pt idx="875">
                  <c:v>1.5751556361130309E-3</c:v>
                </c:pt>
                <c:pt idx="876">
                  <c:v>1.5810664121974182E-3</c:v>
                </c:pt>
                <c:pt idx="877">
                  <c:v>1.5869789562298637E-3</c:v>
                </c:pt>
                <c:pt idx="878">
                  <c:v>1.6047271569226064E-3</c:v>
                </c:pt>
                <c:pt idx="879">
                  <c:v>1.610646733654344E-3</c:v>
                </c:pt>
                <c:pt idx="880">
                  <c:v>1.6165680587876708E-3</c:v>
                </c:pt>
                <c:pt idx="881">
                  <c:v>1.6224911284132917E-3</c:v>
                </c:pt>
                <c:pt idx="882">
                  <c:v>1.6284159386219159E-3</c:v>
                </c:pt>
                <c:pt idx="883">
                  <c:v>1.6462007736528618E-3</c:v>
                </c:pt>
                <c:pt idx="884">
                  <c:v>1.652132507100557E-3</c:v>
                </c:pt>
                <c:pt idx="885">
                  <c:v>1.658065961584786E-3</c:v>
                </c:pt>
                <c:pt idx="886">
                  <c:v>1.6640011331962553E-3</c:v>
                </c:pt>
                <c:pt idx="887">
                  <c:v>1.669938018025671E-3</c:v>
                </c:pt>
                <c:pt idx="888">
                  <c:v>1.6877589127286602E-3</c:v>
                </c:pt>
                <c:pt idx="889">
                  <c:v>1.6937026113369262E-3</c:v>
                </c:pt>
                <c:pt idx="890">
                  <c:v>1.699648003616671E-3</c:v>
                </c:pt>
                <c:pt idx="891">
                  <c:v>1.7055950856586007E-3</c:v>
                </c:pt>
                <c:pt idx="892">
                  <c:v>1.7115438535534218E-3</c:v>
                </c:pt>
                <c:pt idx="893">
                  <c:v>1.7294002332622961E-3</c:v>
                </c:pt>
                <c:pt idx="894">
                  <c:v>1.7353557054757465E-3</c:v>
                </c:pt>
                <c:pt idx="895">
                  <c:v>1.7413128439956189E-3</c:v>
                </c:pt>
                <c:pt idx="896">
                  <c:v>1.7472716449126225E-3</c:v>
                </c:pt>
                <c:pt idx="897">
                  <c:v>1.7532321043174622E-3</c:v>
                </c:pt>
                <c:pt idx="898">
                  <c:v>1.7711233943660612E-3</c:v>
                </c:pt>
                <c:pt idx="899">
                  <c:v>1.777090024151314E-3</c:v>
                </c:pt>
                <c:pt idx="900">
                  <c:v>1.7830574585055317E-3</c:v>
                </c:pt>
                <c:pt idx="901">
                  <c:v>1.789025715394806E-3</c:v>
                </c:pt>
                <c:pt idx="902">
                  <c:v>1.7949948127852235E-3</c:v>
                </c:pt>
                <c:pt idx="903">
                  <c:v>1.8129073276242343E-3</c:v>
                </c:pt>
                <c:pt idx="904">
                  <c:v>1.8188799666801197E-3</c:v>
                </c:pt>
                <c:pt idx="905">
                  <c:v>1.8248535360675946E-3</c:v>
                </c:pt>
                <c:pt idx="906">
                  <c:v>1.830828053752748E-3</c:v>
                </c:pt>
                <c:pt idx="907">
                  <c:v>1.8368035377016678E-3</c:v>
                </c:pt>
                <c:pt idx="908">
                  <c:v>1.8547359667919238E-3</c:v>
                </c:pt>
                <c:pt idx="909">
                  <c:v>1.8607154954568045E-3</c:v>
                </c:pt>
                <c:pt idx="910">
                  <c:v>1.8666960802158979E-3</c:v>
                </c:pt>
                <c:pt idx="911">
                  <c:v>1.8726777390352927E-3</c:v>
                </c:pt>
                <c:pt idx="912">
                  <c:v>1.8786604898810781E-3</c:v>
                </c:pt>
                <c:pt idx="913">
                  <c:v>1.8966154742376673E-3</c:v>
                </c:pt>
                <c:pt idx="914">
                  <c:v>1.9026027728499043E-3</c:v>
                </c:pt>
                <c:pt idx="915">
                  <c:v>1.9205718316919892E-3</c:v>
                </c:pt>
                <c:pt idx="916">
                  <c:v>1.9385520123299993E-3</c:v>
                </c:pt>
                <c:pt idx="917">
                  <c:v>1.9445479612279564E-3</c:v>
                </c:pt>
                <c:pt idx="918">
                  <c:v>1.9565110170766779E-3</c:v>
                </c:pt>
                <c:pt idx="919">
                  <c:v>1.9624945402747472E-3</c:v>
                </c:pt>
                <c:pt idx="920">
                  <c:v>1.9804533047945256E-3</c:v>
                </c:pt>
                <c:pt idx="921">
                  <c:v>1.9864423506737341E-3</c:v>
                </c:pt>
                <c:pt idx="922">
                  <c:v>1.9924328217712983E-3</c:v>
                </c:pt>
                <c:pt idx="923">
                  <c:v>1.9984247359064451E-3</c:v>
                </c:pt>
                <c:pt idx="924">
                  <c:v>2.004418110898402E-3</c:v>
                </c:pt>
                <c:pt idx="925">
                  <c:v>2.0224071792074218E-3</c:v>
                </c:pt>
                <c:pt idx="926">
                  <c:v>2.0284065758189034E-3</c:v>
                </c:pt>
                <c:pt idx="927">
                  <c:v>2.0344075223833347E-3</c:v>
                </c:pt>
                <c:pt idx="928">
                  <c:v>2.0404100367199455E-3</c:v>
                </c:pt>
                <c:pt idx="929">
                  <c:v>2.0464141366479641E-3</c:v>
                </c:pt>
                <c:pt idx="930">
                  <c:v>2.0644361281727383E-3</c:v>
                </c:pt>
                <c:pt idx="931">
                  <c:v>2.0704467486586638E-3</c:v>
                </c:pt>
                <c:pt idx="932">
                  <c:v>2.0764590438321355E-3</c:v>
                </c:pt>
                <c:pt idx="933">
                  <c:v>2.0824730315123822E-3</c:v>
                </c:pt>
                <c:pt idx="934">
                  <c:v>2.0884887295186316E-3</c:v>
                </c:pt>
                <c:pt idx="935">
                  <c:v>2.106546263685677E-3</c:v>
                </c:pt>
                <c:pt idx="936">
                  <c:v>2.1125689811882179E-3</c:v>
                </c:pt>
                <c:pt idx="937">
                  <c:v>2.1185934981129005E-3</c:v>
                </c:pt>
                <c:pt idx="938">
                  <c:v>2.1246198322789549E-3</c:v>
                </c:pt>
                <c:pt idx="939">
                  <c:v>2.1306480015056083E-3</c:v>
                </c:pt>
                <c:pt idx="940">
                  <c:v>2.1487436977414395E-3</c:v>
                </c:pt>
                <c:pt idx="941">
                  <c:v>2.1547793854027673E-3</c:v>
                </c:pt>
                <c:pt idx="942">
                  <c:v>2.1608169972208344E-3</c:v>
                </c:pt>
                <c:pt idx="943">
                  <c:v>2.166856551014867E-3</c:v>
                </c:pt>
                <c:pt idx="944">
                  <c:v>2.1728980646040954E-3</c:v>
                </c:pt>
                <c:pt idx="945">
                  <c:v>2.1910345423352281E-3</c:v>
                </c:pt>
                <c:pt idx="946">
                  <c:v>2.1970840732975145E-3</c:v>
                </c:pt>
                <c:pt idx="947">
                  <c:v>2.2031356531511362E-3</c:v>
                </c:pt>
                <c:pt idx="948">
                  <c:v>2.2091892997153206E-3</c:v>
                </c:pt>
                <c:pt idx="949">
                  <c:v>2.2152450308092946E-3</c:v>
                </c:pt>
                <c:pt idx="950">
                  <c:v>2.2334249094622437E-3</c:v>
                </c:pt>
                <c:pt idx="951">
                  <c:v>2.2394891568676607E-3</c:v>
                </c:pt>
                <c:pt idx="952">
                  <c:v>2.2455555778990079E-3</c:v>
                </c:pt>
                <c:pt idx="953">
                  <c:v>2.2516241903755151E-3</c:v>
                </c:pt>
                <c:pt idx="954">
                  <c:v>2.2576950121164087E-3</c:v>
                </c:pt>
                <c:pt idx="955">
                  <c:v>2.2759209111176872E-3</c:v>
                </c:pt>
                <c:pt idx="956">
                  <c:v>2.2820007481084074E-3</c:v>
                </c:pt>
                <c:pt idx="957">
                  <c:v>2.2880828834596534E-3</c:v>
                </c:pt>
                <c:pt idx="958">
                  <c:v>2.294167334990653E-3</c:v>
                </c:pt>
                <c:pt idx="959">
                  <c:v>2.3002541205206367E-3</c:v>
                </c:pt>
                <c:pt idx="960">
                  <c:v>2.3185286592967615E-3</c:v>
                </c:pt>
                <c:pt idx="961">
                  <c:v>2.3246249590149551E-3</c:v>
                </c:pt>
                <c:pt idx="962">
                  <c:v>2.3307236818282703E-3</c:v>
                </c:pt>
                <c:pt idx="963">
                  <c:v>2.3368248455559373E-3</c:v>
                </c:pt>
                <c:pt idx="964">
                  <c:v>2.3429284680171821E-3</c:v>
                </c:pt>
                <c:pt idx="965">
                  <c:v>2.3612542659946678E-3</c:v>
                </c:pt>
                <c:pt idx="966">
                  <c:v>2.367367901582507E-3</c:v>
                </c:pt>
                <c:pt idx="967">
                  <c:v>2.3734840850000646E-3</c:v>
                </c:pt>
                <c:pt idx="968">
                  <c:v>2.3796028340665677E-3</c:v>
                </c:pt>
                <c:pt idx="969">
                  <c:v>2.3857241666012463E-3</c:v>
                </c:pt>
                <c:pt idx="970">
                  <c:v>2.404103843206609E-3</c:v>
                </c:pt>
                <c:pt idx="971">
                  <c:v>2.4102356878062644E-3</c:v>
                </c:pt>
                <c:pt idx="972">
                  <c:v>2.4163702049702354E-3</c:v>
                </c:pt>
                <c:pt idx="973">
                  <c:v>2.4225074125177482E-3</c:v>
                </c:pt>
                <c:pt idx="974">
                  <c:v>2.4286473282680307E-3</c:v>
                </c:pt>
                <c:pt idx="975">
                  <c:v>2.4470835029277841E-3</c:v>
                </c:pt>
                <c:pt idx="976">
                  <c:v>2.4532344296814296E-3</c:v>
                </c:pt>
                <c:pt idx="977">
                  <c:v>2.4593881537339842E-3</c:v>
                </c:pt>
                <c:pt idx="978">
                  <c:v>2.4655446929046786E-3</c:v>
                </c:pt>
                <c:pt idx="979">
                  <c:v>2.4717040650127386E-3</c:v>
                </c:pt>
                <c:pt idx="980">
                  <c:v>2.4901993571533969E-3</c:v>
                </c:pt>
                <c:pt idx="981">
                  <c:v>2.4963702392032027E-3</c:v>
                </c:pt>
                <c:pt idx="982">
                  <c:v>2.5025440432865143E-3</c:v>
                </c:pt>
                <c:pt idx="983">
                  <c:v>2.50872078722256E-3</c:v>
                </c:pt>
                <c:pt idx="984">
                  <c:v>2.5149004888305685E-3</c:v>
                </c:pt>
                <c:pt idx="985">
                  <c:v>2.5334575178786482E-3</c:v>
                </c:pt>
                <c:pt idx="986">
                  <c:v>2.5396492283667857E-3</c:v>
                </c:pt>
                <c:pt idx="987">
                  <c:v>2.5458439856230254E-3</c:v>
                </c:pt>
                <c:pt idx="988">
                  <c:v>2.5520418074665954E-3</c:v>
                </c:pt>
                <c:pt idx="989">
                  <c:v>2.583077509167381E-3</c:v>
                </c:pt>
                <c:pt idx="990">
                  <c:v>2.5892940927387214E-3</c:v>
                </c:pt>
                <c:pt idx="991">
                  <c:v>2.5955138656319865E-3</c:v>
                </c:pt>
                <c:pt idx="992">
                  <c:v>2.601736845666407E-3</c:v>
                </c:pt>
                <c:pt idx="993">
                  <c:v>2.6204252068088739E-3</c:v>
                </c:pt>
                <c:pt idx="994">
                  <c:v>2.6266611936001903E-3</c:v>
                </c:pt>
                <c:pt idx="995">
                  <c:v>2.6329004766288016E-3</c:v>
                </c:pt>
                <c:pt idx="996">
                  <c:v>2.6391430737139356E-3</c:v>
                </c:pt>
                <c:pt idx="997">
                  <c:v>2.6453890026748184E-3</c:v>
                </c:pt>
                <c:pt idx="998">
                  <c:v>2.6641469590042511E-3</c:v>
                </c:pt>
                <c:pt idx="999">
                  <c:v>2.6704063936604152E-3</c:v>
                </c:pt>
                <c:pt idx="1000">
                  <c:v>2.6766692492884692E-3</c:v>
                </c:pt>
                <c:pt idx="1001">
                  <c:v>2.6829355437076419E-3</c:v>
                </c:pt>
                <c:pt idx="1002">
                  <c:v>2.7080354656800732E-3</c:v>
                </c:pt>
                <c:pt idx="1003">
                  <c:v>2.7143192213432564E-3</c:v>
                </c:pt>
                <c:pt idx="1004">
                  <c:v>2.7206065227129263E-3</c:v>
                </c:pt>
                <c:pt idx="1005">
                  <c:v>2.7268973876083086E-3</c:v>
                </c:pt>
                <c:pt idx="1006">
                  <c:v>2.7331918338486345E-3</c:v>
                </c:pt>
                <c:pt idx="1007">
                  <c:v>2.7520968388315427E-3</c:v>
                </c:pt>
                <c:pt idx="1008">
                  <c:v>2.7584057886439165E-3</c:v>
                </c:pt>
                <c:pt idx="1009">
                  <c:v>2.7647184088973715E-3</c:v>
                </c:pt>
                <c:pt idx="1010">
                  <c:v>2.7710347174111374E-3</c:v>
                </c:pt>
                <c:pt idx="1011">
                  <c:v>2.7773547320044415E-3</c:v>
                </c:pt>
                <c:pt idx="1012">
                  <c:v>2.7963371904538604E-3</c:v>
                </c:pt>
                <c:pt idx="1013">
                  <c:v>2.8026722075575965E-3</c:v>
                </c:pt>
                <c:pt idx="1014">
                  <c:v>2.8090110198370111E-3</c:v>
                </c:pt>
                <c:pt idx="1015">
                  <c:v>2.8153536451113298E-3</c:v>
                </c:pt>
                <c:pt idx="1016">
                  <c:v>2.8217001011997837E-3</c:v>
                </c:pt>
                <c:pt idx="1017">
                  <c:v>2.8407626325422297E-3</c:v>
                </c:pt>
                <c:pt idx="1018">
                  <c:v>2.8471245900794986E-3</c:v>
                </c:pt>
                <c:pt idx="1019">
                  <c:v>2.8534904675270424E-3</c:v>
                </c:pt>
                <c:pt idx="1020">
                  <c:v>2.8598602827040885E-3</c:v>
                </c:pt>
                <c:pt idx="1021">
                  <c:v>2.866234053429863E-3</c:v>
                </c:pt>
                <c:pt idx="1022">
                  <c:v>2.8853792770918486E-3</c:v>
                </c:pt>
                <c:pt idx="1023">
                  <c:v>2.8917690482048253E-3</c:v>
                </c:pt>
                <c:pt idx="1024">
                  <c:v>2.8981622808772309E-3</c:v>
                </c:pt>
                <c:pt idx="1025">
                  <c:v>2.9045583987632223E-3</c:v>
                </c:pt>
                <c:pt idx="1026">
                  <c:v>2.9109574030625703E-3</c:v>
                </c:pt>
                <c:pt idx="1027">
                  <c:v>2.9301717464385083E-3</c:v>
                </c:pt>
                <c:pt idx="1028">
                  <c:v>2.9365823083890318E-3</c:v>
                </c:pt>
                <c:pt idx="1029">
                  <c:v>2.942995762751787E-3</c:v>
                </c:pt>
                <c:pt idx="1030">
                  <c:v>2.9494121107265436E-3</c:v>
                </c:pt>
                <c:pt idx="1031">
                  <c:v>2.9558313535130785E-3</c:v>
                </c:pt>
                <c:pt idx="1032">
                  <c:v>2.9751064627410971E-3</c:v>
                </c:pt>
                <c:pt idx="1033">
                  <c:v>2.9815372967724853E-3</c:v>
                </c:pt>
                <c:pt idx="1034">
                  <c:v>2.9879710316145234E-3</c:v>
                </c:pt>
                <c:pt idx="1035">
                  <c:v>2.9944076684669863E-3</c:v>
                </c:pt>
                <c:pt idx="1036">
                  <c:v>3.000847208529645E-3</c:v>
                </c:pt>
                <c:pt idx="1037">
                  <c:v>3.0201832599765499E-3</c:v>
                </c:pt>
                <c:pt idx="1038">
                  <c:v>3.0266344248777405E-3</c:v>
                </c:pt>
                <c:pt idx="1039">
                  <c:v>3.0330884989880021E-3</c:v>
                </c:pt>
                <c:pt idx="1040">
                  <c:v>3.0395454835071048E-3</c:v>
                </c:pt>
                <c:pt idx="1041">
                  <c:v>3.0460053796348258E-3</c:v>
                </c:pt>
                <c:pt idx="1042">
                  <c:v>3.0654025496674306E-3</c:v>
                </c:pt>
                <c:pt idx="1043">
                  <c:v>3.0718741042273603E-3</c:v>
                </c:pt>
                <c:pt idx="1044">
                  <c:v>3.0783485763947807E-3</c:v>
                </c:pt>
                <c:pt idx="1045">
                  <c:v>3.0848259673694613E-3</c:v>
                </c:pt>
                <c:pt idx="1046">
                  <c:v>3.0913062783511779E-3</c:v>
                </c:pt>
                <c:pt idx="1047">
                  <c:v>3.1107647433362955E-3</c:v>
                </c:pt>
                <c:pt idx="1048">
                  <c:v>3.1172567463439013E-3</c:v>
                </c:pt>
                <c:pt idx="1049">
                  <c:v>3.1237516753574147E-3</c:v>
                </c:pt>
                <c:pt idx="1050">
                  <c:v>3.1302495315766107E-3</c:v>
                </c:pt>
                <c:pt idx="1051">
                  <c:v>3.1367503162012642E-3</c:v>
                </c:pt>
                <c:pt idx="1052">
                  <c:v>3.1562702525057009E-3</c:v>
                </c:pt>
                <c:pt idx="1053">
                  <c:v>3.1627827627499199E-3</c:v>
                </c:pt>
                <c:pt idx="1054">
                  <c:v>3.1692982073984678E-3</c:v>
                </c:pt>
                <c:pt idx="1055">
                  <c:v>3.1758165876511154E-3</c:v>
                </c:pt>
                <c:pt idx="1056">
                  <c:v>3.1823379047076412E-3</c:v>
                </c:pt>
                <c:pt idx="1057">
                  <c:v>3.2019194886982079E-3</c:v>
                </c:pt>
                <c:pt idx="1058">
                  <c:v>3.2084525649679787E-3</c:v>
                </c:pt>
                <c:pt idx="1059">
                  <c:v>3.2149885840404946E-3</c:v>
                </c:pt>
                <c:pt idx="1060">
                  <c:v>3.2215275471155331E-3</c:v>
                </c:pt>
                <c:pt idx="1061">
                  <c:v>3.228069455392865E-3</c:v>
                </c:pt>
                <c:pt idx="1062">
                  <c:v>3.2477128634363769E-3</c:v>
                </c:pt>
                <c:pt idx="1063">
                  <c:v>3.2542665645206347E-3</c:v>
                </c:pt>
                <c:pt idx="1064">
                  <c:v>3.2608232168060565E-3</c:v>
                </c:pt>
                <c:pt idx="1065">
                  <c:v>3.2673828214924189E-3</c:v>
                </c:pt>
                <c:pt idx="1066">
                  <c:v>3.273945379779499E-3</c:v>
                </c:pt>
                <c:pt idx="1067">
                  <c:v>3.2936507882427649E-3</c:v>
                </c:pt>
                <c:pt idx="1068">
                  <c:v>3.3002251729304442E-3</c:v>
                </c:pt>
                <c:pt idx="1069">
                  <c:v>3.3068025172177094E-3</c:v>
                </c:pt>
                <c:pt idx="1070">
                  <c:v>3.3133828223043367E-3</c:v>
                </c:pt>
                <c:pt idx="1071">
                  <c:v>3.319966089390097E-3</c:v>
                </c:pt>
                <c:pt idx="1072">
                  <c:v>3.3397336746399282E-3</c:v>
                </c:pt>
                <c:pt idx="1073">
                  <c:v>3.3463288017199699E-3</c:v>
                </c:pt>
                <c:pt idx="1074">
                  <c:v>3.3529268967980156E-3</c:v>
                </c:pt>
                <c:pt idx="1075">
                  <c:v>3.3595279610738435E-3</c:v>
                </c:pt>
                <c:pt idx="1076">
                  <c:v>3.3661319957472226E-3</c:v>
                </c:pt>
                <c:pt idx="1077">
                  <c:v>3.3859619341504296E-3</c:v>
                </c:pt>
                <c:pt idx="1078">
                  <c:v>3.3925778624117674E-3</c:v>
                </c:pt>
                <c:pt idx="1079">
                  <c:v>3.3991967670695322E-3</c:v>
                </c:pt>
                <c:pt idx="1080">
                  <c:v>3.4058186493234944E-3</c:v>
                </c:pt>
                <c:pt idx="1081">
                  <c:v>3.41244351037343E-3</c:v>
                </c:pt>
                <c:pt idx="1082">
                  <c:v>3.4323359782968254E-3</c:v>
                </c:pt>
                <c:pt idx="1083">
                  <c:v>3.4389727665283974E-3</c:v>
                </c:pt>
                <c:pt idx="1084">
                  <c:v>3.4456125395548147E-3</c:v>
                </c:pt>
                <c:pt idx="1085">
                  <c:v>3.4522552985758528E-3</c:v>
                </c:pt>
                <c:pt idx="1086">
                  <c:v>3.4589010447912817E-3</c:v>
                </c:pt>
                <c:pt idx="1087">
                  <c:v>3.4788562186016726E-3</c:v>
                </c:pt>
                <c:pt idx="1088">
                  <c:v>3.4855139255924169E-3</c:v>
                </c:pt>
                <c:pt idx="1089">
                  <c:v>3.492174625776427E-3</c:v>
                </c:pt>
                <c:pt idx="1090">
                  <c:v>3.4988383203534736E-3</c:v>
                </c:pt>
                <c:pt idx="1091">
                  <c:v>3.5055050105233351E-3</c:v>
                </c:pt>
                <c:pt idx="1092">
                  <c:v>3.5255230665875341E-3</c:v>
                </c:pt>
                <c:pt idx="1093">
                  <c:v>3.5322017511263868E-3</c:v>
                </c:pt>
                <c:pt idx="1094">
                  <c:v>3.5388834372569256E-3</c:v>
                </c:pt>
                <c:pt idx="1095">
                  <c:v>3.5455681261789196E-3</c:v>
                </c:pt>
                <c:pt idx="1096">
                  <c:v>3.5522558190921459E-3</c:v>
                </c:pt>
                <c:pt idx="1097">
                  <c:v>3.5723369337769661E-3</c:v>
                </c:pt>
                <c:pt idx="1098">
                  <c:v>3.5790366546528643E-3</c:v>
                </c:pt>
                <c:pt idx="1099">
                  <c:v>3.5857393855188661E-3</c:v>
                </c:pt>
                <c:pt idx="1100">
                  <c:v>3.5924451275747447E-3</c:v>
                </c:pt>
                <c:pt idx="1101">
                  <c:v>3.5991538820202779E-3</c:v>
                </c:pt>
                <c:pt idx="1102">
                  <c:v>3.6192982316925258E-3</c:v>
                </c:pt>
                <c:pt idx="1103">
                  <c:v>3.626019047694406E-3</c:v>
                </c:pt>
                <c:pt idx="1104">
                  <c:v>3.6327428820848119E-3</c:v>
                </c:pt>
                <c:pt idx="1105">
                  <c:v>3.6394697360635124E-3</c:v>
                </c:pt>
                <c:pt idx="1106">
                  <c:v>3.6461996108302867E-3</c:v>
                </c:pt>
                <c:pt idx="1107">
                  <c:v>3.6664073718567732E-3</c:v>
                </c:pt>
                <c:pt idx="1108">
                  <c:v>3.6731493417735753E-3</c:v>
                </c:pt>
                <c:pt idx="1109">
                  <c:v>3.6798943384773177E-3</c:v>
                </c:pt>
                <c:pt idx="1110">
                  <c:v>3.6866423631677788E-3</c:v>
                </c:pt>
                <c:pt idx="1111">
                  <c:v>3.6933934170447292E-3</c:v>
                </c:pt>
                <c:pt idx="1112">
                  <c:v>3.7136647657922696E-3</c:v>
                </c:pt>
                <c:pt idx="1113">
                  <c:v>3.7204279484129277E-3</c:v>
                </c:pt>
                <c:pt idx="1114">
                  <c:v>3.7271941662189462E-3</c:v>
                </c:pt>
                <c:pt idx="1115">
                  <c:v>3.7339634204101007E-3</c:v>
                </c:pt>
                <c:pt idx="1116">
                  <c:v>3.7407357121861684E-3</c:v>
                </c:pt>
                <c:pt idx="1117">
                  <c:v>3.7610708250215715E-3</c:v>
                </c:pt>
                <c:pt idx="1118">
                  <c:v>3.7678552791350212E-3</c:v>
                </c:pt>
                <c:pt idx="1119">
                  <c:v>3.7746427768322521E-3</c:v>
                </c:pt>
                <c:pt idx="1120">
                  <c:v>3.7814333193130411E-3</c:v>
                </c:pt>
                <c:pt idx="1121">
                  <c:v>3.7882269077771581E-3</c:v>
                </c:pt>
                <c:pt idx="1122">
                  <c:v>3.8086259610672349E-3</c:v>
                </c:pt>
                <c:pt idx="1123">
                  <c:v>3.8154317454624164E-3</c:v>
                </c:pt>
                <c:pt idx="1124">
                  <c:v>3.8222405818397974E-3</c:v>
                </c:pt>
                <c:pt idx="1125">
                  <c:v>3.8290524713991566E-3</c:v>
                </c:pt>
                <c:pt idx="1126">
                  <c:v>3.8358674153402628E-3</c:v>
                </c:pt>
                <c:pt idx="1127">
                  <c:v>3.8563305854518231E-3</c:v>
                </c:pt>
                <c:pt idx="1128">
                  <c:v>3.8631577589176703E-3</c:v>
                </c:pt>
                <c:pt idx="1129">
                  <c:v>3.8699879927641401E-3</c:v>
                </c:pt>
                <c:pt idx="1130">
                  <c:v>3.8768212881910031E-3</c:v>
                </c:pt>
                <c:pt idx="1131">
                  <c:v>3.8836576463980349E-3</c:v>
                </c:pt>
                <c:pt idx="1132">
                  <c:v>3.9041851096978933E-3</c:v>
                </c:pt>
                <c:pt idx="1133">
                  <c:v>3.9110337310233438E-3</c:v>
                </c:pt>
                <c:pt idx="1134">
                  <c:v>3.9178854211278352E-3</c:v>
                </c:pt>
                <c:pt idx="1135">
                  <c:v>3.9247401812111437E-3</c:v>
                </c:pt>
                <c:pt idx="1136">
                  <c:v>3.9315980124730388E-3</c:v>
                </c:pt>
                <c:pt idx="1137">
                  <c:v>3.9521899453280008E-3</c:v>
                </c:pt>
                <c:pt idx="1138">
                  <c:v>3.9590600733019924E-3</c:v>
                </c:pt>
                <c:pt idx="1139">
                  <c:v>3.9659332784534474E-3</c:v>
                </c:pt>
                <c:pt idx="1140">
                  <c:v>3.9728095619821335E-3</c:v>
                </c:pt>
                <c:pt idx="1141">
                  <c:v>3.9796889250878304E-3</c:v>
                </c:pt>
                <c:pt idx="1142">
                  <c:v>4.0003455038647084E-3</c:v>
                </c:pt>
                <c:pt idx="1143">
                  <c:v>4.0072371972761792E-3</c:v>
                </c:pt>
                <c:pt idx="1144">
                  <c:v>4.0141319762635307E-3</c:v>
                </c:pt>
                <c:pt idx="1145">
                  <c:v>4.0210298420265351E-3</c:v>
                </c:pt>
                <c:pt idx="1146">
                  <c:v>4.027930795764966E-3</c:v>
                </c:pt>
                <c:pt idx="1147">
                  <c:v>4.0486521968305751E-3</c:v>
                </c:pt>
                <c:pt idx="1148">
                  <c:v>4.0555655144684597E-3</c:v>
                </c:pt>
                <c:pt idx="1149">
                  <c:v>4.0624819260806451E-3</c:v>
                </c:pt>
                <c:pt idx="1150">
                  <c:v>4.0694014328669023E-3</c:v>
                </c:pt>
                <c:pt idx="1151">
                  <c:v>4.0763240360270087E-3</c:v>
                </c:pt>
                <c:pt idx="1152">
                  <c:v>4.0971104357481539E-3</c:v>
                </c:pt>
                <c:pt idx="1153">
                  <c:v>4.1040454364013913E-3</c:v>
                </c:pt>
                <c:pt idx="1154">
                  <c:v>4.1109835394273495E-3</c:v>
                </c:pt>
                <c:pt idx="1155">
                  <c:v>4.1179247505539352E-3</c:v>
                </c:pt>
                <c:pt idx="1156">
                  <c:v>4.1248690737981488E-3</c:v>
                </c:pt>
                <c:pt idx="1157">
                  <c:v>4.1457207025705481E-3</c:v>
                </c:pt>
                <c:pt idx="1158">
                  <c:v>4.1526774606192741E-3</c:v>
                </c:pt>
                <c:pt idx="1159">
                  <c:v>4.1596373239526285E-3</c:v>
                </c:pt>
                <c:pt idx="1160">
                  <c:v>4.1666002912040161E-3</c:v>
                </c:pt>
                <c:pt idx="1161">
                  <c:v>4.1735663610068339E-3</c:v>
                </c:pt>
                <c:pt idx="1162">
                  <c:v>4.1944831720578928E-3</c:v>
                </c:pt>
                <c:pt idx="1163">
                  <c:v>4.2014616384004515E-3</c:v>
                </c:pt>
                <c:pt idx="1164">
                  <c:v>4.2084432004614444E-3</c:v>
                </c:pt>
                <c:pt idx="1165">
                  <c:v>4.2154278568742754E-3</c:v>
                </c:pt>
                <c:pt idx="1166">
                  <c:v>4.2224156062723485E-3</c:v>
                </c:pt>
                <c:pt idx="1167">
                  <c:v>4.2433973987120021E-3</c:v>
                </c:pt>
                <c:pt idx="1168">
                  <c:v>4.2503975063850358E-3</c:v>
                </c:pt>
                <c:pt idx="1169">
                  <c:v>4.2574007002103139E-3</c:v>
                </c:pt>
                <c:pt idx="1170">
                  <c:v>4.2644069788212386E-3</c:v>
                </c:pt>
                <c:pt idx="1171">
                  <c:v>4.2924629137893909E-3</c:v>
                </c:pt>
                <c:pt idx="1172">
                  <c:v>4.2994845958295516E-3</c:v>
                </c:pt>
                <c:pt idx="1173">
                  <c:v>4.3065093544557599E-3</c:v>
                </c:pt>
                <c:pt idx="1174">
                  <c:v>4.3135371883014206E-3</c:v>
                </c:pt>
                <c:pt idx="1175">
                  <c:v>4.3417564175579999E-3</c:v>
                </c:pt>
                <c:pt idx="1176">
                  <c:v>4.3488189413355624E-3</c:v>
                </c:pt>
                <c:pt idx="1177">
                  <c:v>4.3558845489427688E-3</c:v>
                </c:pt>
                <c:pt idx="1178">
                  <c:v>4.362953239001756E-3</c:v>
                </c:pt>
                <c:pt idx="1179">
                  <c:v>4.3700250101346609E-3</c:v>
                </c:pt>
                <c:pt idx="1180">
                  <c:v>4.3912587961982639E-3</c:v>
                </c:pt>
                <c:pt idx="1181">
                  <c:v>4.3983428778482207E-3</c:v>
                </c:pt>
                <c:pt idx="1182">
                  <c:v>4.405430033682785E-3</c:v>
                </c:pt>
                <c:pt idx="1183">
                  <c:v>4.4125202623240952E-3</c:v>
                </c:pt>
                <c:pt idx="1184">
                  <c:v>4.4196135623942884E-3</c:v>
                </c:pt>
                <c:pt idx="1185">
                  <c:v>4.4409118773995442E-3</c:v>
                </c:pt>
                <c:pt idx="1186">
                  <c:v>4.4480174494066459E-3</c:v>
                </c:pt>
                <c:pt idx="1187">
                  <c:v>4.4551260859533219E-3</c:v>
                </c:pt>
                <c:pt idx="1188">
                  <c:v>4.4622377856617075E-3</c:v>
                </c:pt>
                <c:pt idx="1189">
                  <c:v>4.4693525471539413E-3</c:v>
                </c:pt>
                <c:pt idx="1190">
                  <c:v>4.4907151885551066E-3</c:v>
                </c:pt>
                <c:pt idx="1191">
                  <c:v>4.4978421834041089E-3</c:v>
                </c:pt>
                <c:pt idx="1192">
                  <c:v>4.5049722331476491E-3</c:v>
                </c:pt>
                <c:pt idx="1193">
                  <c:v>4.5121053364078605E-3</c:v>
                </c:pt>
                <c:pt idx="1194">
                  <c:v>4.519241491806888E-3</c:v>
                </c:pt>
                <c:pt idx="1195">
                  <c:v>4.5406682570582196E-3</c:v>
                </c:pt>
                <c:pt idx="1196">
                  <c:v>4.5478166072338748E-3</c:v>
                </c:pt>
                <c:pt idx="1197">
                  <c:v>4.5549680026590305E-3</c:v>
                </c:pt>
                <c:pt idx="1198">
                  <c:v>4.5621224419558262E-3</c:v>
                </c:pt>
                <c:pt idx="1199">
                  <c:v>4.5692799237463978E-3</c:v>
                </c:pt>
                <c:pt idx="1200">
                  <c:v>4.5907706103021535E-3</c:v>
                </c:pt>
                <c:pt idx="1201">
                  <c:v>4.5979402482892121E-3</c:v>
                </c:pt>
                <c:pt idx="1202">
                  <c:v>4.6051129218807373E-3</c:v>
                </c:pt>
                <c:pt idx="1203">
                  <c:v>4.6122886296988668E-3</c:v>
                </c:pt>
                <c:pt idx="1204">
                  <c:v>4.6194673703657367E-3</c:v>
                </c:pt>
                <c:pt idx="1205">
                  <c:v>4.641021775680175E-3</c:v>
                </c:pt>
                <c:pt idx="1206">
                  <c:v>4.648212633963391E-3</c:v>
                </c:pt>
                <c:pt idx="1207">
                  <c:v>4.6554065182060379E-3</c:v>
                </c:pt>
                <c:pt idx="1208">
                  <c:v>4.6626034270302527E-3</c:v>
                </c:pt>
                <c:pt idx="1209">
                  <c:v>4.669803359058174E-3</c:v>
                </c:pt>
                <c:pt idx="1210">
                  <c:v>4.691421280585556E-3</c:v>
                </c:pt>
                <c:pt idx="1211">
                  <c:v>4.6986332916496808E-3</c:v>
                </c:pt>
                <c:pt idx="1212">
                  <c:v>4.7058483190282E-3</c:v>
                </c:pt>
                <c:pt idx="1213">
                  <c:v>4.7130663613432541E-3</c:v>
                </c:pt>
                <c:pt idx="1214">
                  <c:v>4.7202874172169789E-3</c:v>
                </c:pt>
                <c:pt idx="1215">
                  <c:v>4.7419686524115597E-3</c:v>
                </c:pt>
                <c:pt idx="1216">
                  <c:v>4.7492017487413465E-3</c:v>
                </c:pt>
                <c:pt idx="1217">
                  <c:v>4.7564378517404929E-3</c:v>
                </c:pt>
                <c:pt idx="1218">
                  <c:v>4.7636769600311402E-3</c:v>
                </c:pt>
                <c:pt idx="1219">
                  <c:v>4.7709190722354192E-3</c:v>
                </c:pt>
                <c:pt idx="1220">
                  <c:v>4.7926634185514565E-3</c:v>
                </c:pt>
                <c:pt idx="1221">
                  <c:v>4.7999175326316583E-3</c:v>
                </c:pt>
                <c:pt idx="1222">
                  <c:v>4.807174643736185E-3</c:v>
                </c:pt>
                <c:pt idx="1223">
                  <c:v>4.8144347504871753E-3</c:v>
                </c:pt>
                <c:pt idx="1224">
                  <c:v>4.8216978515067633E-3</c:v>
                </c:pt>
                <c:pt idx="1225">
                  <c:v>4.8435051063985147E-3</c:v>
                </c:pt>
                <c:pt idx="1226">
                  <c:v>4.8507801707138839E-3</c:v>
                </c:pt>
                <c:pt idx="1227">
                  <c:v>4.858058222408544E-3</c:v>
                </c:pt>
                <c:pt idx="1228">
                  <c:v>4.8653392601046303E-3</c:v>
                </c:pt>
                <c:pt idx="1229">
                  <c:v>4.8726232824242823E-3</c:v>
                </c:pt>
                <c:pt idx="1230">
                  <c:v>4.8944932433460037E-3</c:v>
                </c:pt>
                <c:pt idx="1231">
                  <c:v>4.9017891903812925E-3</c:v>
                </c:pt>
                <c:pt idx="1232">
                  <c:v>4.9090881151508375E-3</c:v>
                </c:pt>
                <c:pt idx="1233">
                  <c:v>4.916390016276773E-3</c:v>
                </c:pt>
                <c:pt idx="1234">
                  <c:v>4.9236948923812394E-3</c:v>
                </c:pt>
                <c:pt idx="1235">
                  <c:v>4.9456273567871929E-3</c:v>
                </c:pt>
                <c:pt idx="1236">
                  <c:v>4.9529441190271526E-3</c:v>
                </c:pt>
                <c:pt idx="1237">
                  <c:v>4.9602638493563347E-3</c:v>
                </c:pt>
                <c:pt idx="1238">
                  <c:v>4.9675865463968726E-3</c:v>
                </c:pt>
                <c:pt idx="1239">
                  <c:v>5.0042444840447354E-3</c:v>
                </c:pt>
                <c:pt idx="1240">
                  <c:v>5.0115849524183069E-3</c:v>
                </c:pt>
                <c:pt idx="1241">
                  <c:v>5.0189283778581967E-3</c:v>
                </c:pt>
                <c:pt idx="1242">
                  <c:v>5.0262747589865488E-3</c:v>
                </c:pt>
                <c:pt idx="1243">
                  <c:v>5.0483316227237359E-3</c:v>
                </c:pt>
                <c:pt idx="1244">
                  <c:v>5.0556898128273024E-3</c:v>
                </c:pt>
                <c:pt idx="1245">
                  <c:v>5.0630509517300172E-3</c:v>
                </c:pt>
                <c:pt idx="1246">
                  <c:v>5.0704150380540174E-3</c:v>
                </c:pt>
                <c:pt idx="1247">
                  <c:v>5.0777820704214398E-3</c:v>
                </c:pt>
                <c:pt idx="1248">
                  <c:v>5.0999008300056294E-3</c:v>
                </c:pt>
                <c:pt idx="1249">
                  <c:v>5.1072796327681262E-3</c:v>
                </c:pt>
                <c:pt idx="1250">
                  <c:v>5.1146613746847359E-3</c:v>
                </c:pt>
                <c:pt idx="1251">
                  <c:v>5.1220460543775952E-3</c:v>
                </c:pt>
                <c:pt idx="1252">
                  <c:v>5.1294336704688437E-3</c:v>
                </c:pt>
                <c:pt idx="1253">
                  <c:v>5.1516141233542943E-3</c:v>
                </c:pt>
                <c:pt idx="1254">
                  <c:v>5.1590134712604747E-3</c:v>
                </c:pt>
                <c:pt idx="1255">
                  <c:v>5.1664157486757322E-3</c:v>
                </c:pt>
                <c:pt idx="1256">
                  <c:v>5.1738209542222038E-3</c:v>
                </c:pt>
                <c:pt idx="1257">
                  <c:v>5.1812290865220299E-3</c:v>
                </c:pt>
                <c:pt idx="1258">
                  <c:v>5.2034710301630026E-3</c:v>
                </c:pt>
                <c:pt idx="1259">
                  <c:v>5.2108908556976188E-3</c:v>
                </c:pt>
                <c:pt idx="1260">
                  <c:v>5.2183136010962739E-3</c:v>
                </c:pt>
                <c:pt idx="1261">
                  <c:v>5.2257392649811109E-3</c:v>
                </c:pt>
                <c:pt idx="1262">
                  <c:v>5.2331678459742667E-3</c:v>
                </c:pt>
                <c:pt idx="1263">
                  <c:v>5.2554710778250167E-3</c:v>
                </c:pt>
                <c:pt idx="1264">
                  <c:v>5.2629113134728218E-3</c:v>
                </c:pt>
                <c:pt idx="1265">
                  <c:v>5.270354459339632E-3</c:v>
                </c:pt>
                <c:pt idx="1266">
                  <c:v>5.2778005140475875E-3</c:v>
                </c:pt>
                <c:pt idx="1267">
                  <c:v>5.2852494762188227E-3</c:v>
                </c:pt>
                <c:pt idx="1268">
                  <c:v>5.3076137937336084E-3</c:v>
                </c:pt>
                <c:pt idx="1269">
                  <c:v>5.3150743719793539E-3</c:v>
                </c:pt>
                <c:pt idx="1270">
                  <c:v>5.3225378507990697E-3</c:v>
                </c:pt>
                <c:pt idx="1271">
                  <c:v>5.330004228814896E-3</c:v>
                </c:pt>
                <c:pt idx="1272">
                  <c:v>5.337473504648969E-3</c:v>
                </c:pt>
                <c:pt idx="1273">
                  <c:v>5.3598987052820455E-3</c:v>
                </c:pt>
                <c:pt idx="1274">
                  <c:v>5.3673795586104845E-3</c:v>
                </c:pt>
                <c:pt idx="1275">
                  <c:v>5.374863302867859E-3</c:v>
                </c:pt>
                <c:pt idx="1276">
                  <c:v>5.3823499366763084E-3</c:v>
                </c:pt>
                <c:pt idx="1277">
                  <c:v>5.3898394586579688E-3</c:v>
                </c:pt>
                <c:pt idx="1278">
                  <c:v>5.4123253398635982E-3</c:v>
                </c:pt>
                <c:pt idx="1279">
                  <c:v>5.419826400759482E-3</c:v>
                </c:pt>
                <c:pt idx="1280">
                  <c:v>5.4273303429392674E-3</c:v>
                </c:pt>
                <c:pt idx="1281">
                  <c:v>5.4348373697458534E-3</c:v>
                </c:pt>
                <c:pt idx="1282">
                  <c:v>5.4423476818645762E-3</c:v>
                </c:pt>
                <c:pt idx="1283">
                  <c:v>5.4648982764515441E-3</c:v>
                </c:pt>
                <c:pt idx="1284">
                  <c:v>5.4724216761767881E-3</c:v>
                </c:pt>
                <c:pt idx="1285">
                  <c:v>5.4799483343931539E-3</c:v>
                </c:pt>
                <c:pt idx="1286">
                  <c:v>5.4874782457364378E-3</c:v>
                </c:pt>
                <c:pt idx="1287">
                  <c:v>5.4950114048424393E-3</c:v>
                </c:pt>
                <c:pt idx="1288">
                  <c:v>5.5176303150947141E-3</c:v>
                </c:pt>
                <c:pt idx="1289">
                  <c:v>5.52517641160955E-3</c:v>
                </c:pt>
                <c:pt idx="1290">
                  <c:v>5.5327257290660875E-3</c:v>
                </c:pt>
                <c:pt idx="1291">
                  <c:v>5.5402782621001229E-3</c:v>
                </c:pt>
                <c:pt idx="1292">
                  <c:v>5.5478340053474531E-3</c:v>
                </c:pt>
                <c:pt idx="1293">
                  <c:v>5.5705204427271794E-3</c:v>
                </c:pt>
                <c:pt idx="1294">
                  <c:v>5.5780889731856572E-3</c:v>
                </c:pt>
                <c:pt idx="1295">
                  <c:v>5.5856606870364148E-3</c:v>
                </c:pt>
                <c:pt idx="1296">
                  <c:v>5.5932355789152493E-3</c:v>
                </c:pt>
                <c:pt idx="1297">
                  <c:v>5.6008136434579567E-3</c:v>
                </c:pt>
                <c:pt idx="1298">
                  <c:v>5.6235668194272847E-3</c:v>
                </c:pt>
                <c:pt idx="1299">
                  <c:v>5.6311575209834538E-3</c:v>
                </c:pt>
                <c:pt idx="1300">
                  <c:v>5.6387513683824808E-3</c:v>
                </c:pt>
                <c:pt idx="1301">
                  <c:v>5.6463483562601627E-3</c:v>
                </c:pt>
                <c:pt idx="1302">
                  <c:v>5.6539484792522956E-3</c:v>
                </c:pt>
                <c:pt idx="1303">
                  <c:v>5.6767676052733758E-3</c:v>
                </c:pt>
                <c:pt idx="1304">
                  <c:v>5.6843802150812845E-3</c:v>
                </c:pt>
                <c:pt idx="1305">
                  <c:v>5.6919959331826284E-3</c:v>
                </c:pt>
                <c:pt idx="1306">
                  <c:v>5.6996147542132079E-3</c:v>
                </c:pt>
                <c:pt idx="1307">
                  <c:v>5.7072366728088166E-3</c:v>
                </c:pt>
                <c:pt idx="1308">
                  <c:v>5.7301209603437932E-3</c:v>
                </c:pt>
                <c:pt idx="1309">
                  <c:v>5.7377552155574918E-3</c:v>
                </c:pt>
                <c:pt idx="1310">
                  <c:v>5.7453925415152035E-3</c:v>
                </c:pt>
                <c:pt idx="1311">
                  <c:v>5.7530329328527308E-3</c:v>
                </c:pt>
                <c:pt idx="1312">
                  <c:v>5.7606763842058617E-3</c:v>
                </c:pt>
                <c:pt idx="1313">
                  <c:v>5.7836250447168835E-3</c:v>
                </c:pt>
                <c:pt idx="1314">
                  <c:v>5.7912806824904203E-3</c:v>
                </c:pt>
                <c:pt idx="1315">
                  <c:v>5.7989393534585518E-3</c:v>
                </c:pt>
                <c:pt idx="1316">
                  <c:v>5.8066010522570717E-3</c:v>
                </c:pt>
                <c:pt idx="1317">
                  <c:v>5.8142657735217769E-3</c:v>
                </c:pt>
                <c:pt idx="1318">
                  <c:v>5.8372780184709908E-3</c:v>
                </c:pt>
                <c:pt idx="1319">
                  <c:v>5.844954775958415E-3</c:v>
                </c:pt>
                <c:pt idx="1320">
                  <c:v>5.8526345290910112E-3</c:v>
                </c:pt>
                <c:pt idx="1321">
                  <c:v>5.8603172725045774E-3</c:v>
                </c:pt>
                <c:pt idx="1322">
                  <c:v>5.8680030008349078E-3</c:v>
                </c:pt>
                <c:pt idx="1323">
                  <c:v>5.8910780416844607E-3</c:v>
                </c:pt>
                <c:pt idx="1324">
                  <c:v>5.8987756560398199E-3</c:v>
                </c:pt>
                <c:pt idx="1325">
                  <c:v>5.9064762284909318E-3</c:v>
                </c:pt>
                <c:pt idx="1326">
                  <c:v>5.91417975367359E-3</c:v>
                </c:pt>
                <c:pt idx="1327">
                  <c:v>5.921886226223594E-3</c:v>
                </c:pt>
                <c:pt idx="1328">
                  <c:v>5.9450232744356346E-3</c:v>
                </c:pt>
                <c:pt idx="1329">
                  <c:v>5.9527414828129798E-3</c:v>
                </c:pt>
                <c:pt idx="1330">
                  <c:v>5.9604626117366584E-3</c:v>
                </c:pt>
                <c:pt idx="1331">
                  <c:v>5.9681866558424571E-3</c:v>
                </c:pt>
                <c:pt idx="1332">
                  <c:v>5.9759136097661814E-3</c:v>
                </c:pt>
                <c:pt idx="1333">
                  <c:v>5.9991118768028574E-3</c:v>
                </c:pt>
                <c:pt idx="1334">
                  <c:v>6.0068504163562405E-3</c:v>
                </c:pt>
                <c:pt idx="1335">
                  <c:v>6.0145918389065299E-3</c:v>
                </c:pt>
                <c:pt idx="1336">
                  <c:v>6.0223361390895217E-3</c:v>
                </c:pt>
                <c:pt idx="1337">
                  <c:v>6.0300833115410181E-3</c:v>
                </c:pt>
                <c:pt idx="1338">
                  <c:v>6.0533420088644749E-3</c:v>
                </c:pt>
                <c:pt idx="1339">
                  <c:v>6.0611006167479416E-3</c:v>
                </c:pt>
                <c:pt idx="1340">
                  <c:v>6.0688620700788945E-3</c:v>
                </c:pt>
                <c:pt idx="1341">
                  <c:v>6.0766263634931296E-3</c:v>
                </c:pt>
                <c:pt idx="1342">
                  <c:v>6.084393491626444E-3</c:v>
                </c:pt>
                <c:pt idx="1343">
                  <c:v>6.1077118306988301E-3</c:v>
                </c:pt>
                <c:pt idx="1344">
                  <c:v>6.1154902440664306E-3</c:v>
                </c:pt>
                <c:pt idx="1345">
                  <c:v>6.1232714653320953E-3</c:v>
                </c:pt>
                <c:pt idx="1346">
                  <c:v>6.1310554891316205E-3</c:v>
                </c:pt>
                <c:pt idx="1347">
                  <c:v>6.1388423101008038E-3</c:v>
                </c:pt>
                <c:pt idx="1348">
                  <c:v>6.162219502384267E-3</c:v>
                </c:pt>
                <c:pt idx="1349">
                  <c:v>6.1700174583900532E-3</c:v>
                </c:pt>
                <c:pt idx="1350">
                  <c:v>6.1778181847444765E-3</c:v>
                </c:pt>
                <c:pt idx="1351">
                  <c:v>6.1856216760833417E-3</c:v>
                </c:pt>
                <c:pt idx="1352">
                  <c:v>6.1934279270424424E-3</c:v>
                </c:pt>
                <c:pt idx="1353">
                  <c:v>6.2168631839991341E-3</c:v>
                </c:pt>
                <c:pt idx="1354">
                  <c:v>6.2246804197971491E-3</c:v>
                </c:pt>
                <c:pt idx="1355">
                  <c:v>6.2325003883943828E-3</c:v>
                </c:pt>
                <c:pt idx="1356">
                  <c:v>6.2403230844266392E-3</c:v>
                </c:pt>
                <c:pt idx="1357">
                  <c:v>6.2481485025297056E-3</c:v>
                </c:pt>
                <c:pt idx="1358">
                  <c:v>6.2716410356217691E-3</c:v>
                </c:pt>
                <c:pt idx="1359">
                  <c:v>6.2794772883660657E-3</c:v>
                </c:pt>
                <c:pt idx="1360">
                  <c:v>6.2873162363601609E-3</c:v>
                </c:pt>
                <c:pt idx="1361">
                  <c:v>6.2951578742398533E-3</c:v>
                </c:pt>
                <c:pt idx="1362">
                  <c:v>6.3030021966409356E-3</c:v>
                </c:pt>
                <c:pt idx="1363">
                  <c:v>6.3265512173305187E-3</c:v>
                </c:pt>
                <c:pt idx="1364">
                  <c:v>6.3344062241751462E-3</c:v>
                </c:pt>
                <c:pt idx="1365">
                  <c:v>6.3422638887201503E-3</c:v>
                </c:pt>
                <c:pt idx="1366">
                  <c:v>6.3501242056013298E-3</c:v>
                </c:pt>
                <c:pt idx="1367">
                  <c:v>6.3579871694544807E-3</c:v>
                </c:pt>
                <c:pt idx="1368">
                  <c:v>6.3815918892037313E-3</c:v>
                </c:pt>
                <c:pt idx="1369">
                  <c:v>6.3894653873027346E-3</c:v>
                </c:pt>
                <c:pt idx="1370">
                  <c:v>6.3973415055526978E-3</c:v>
                </c:pt>
                <c:pt idx="1371">
                  <c:v>6.4052202385894135E-3</c:v>
                </c:pt>
                <c:pt idx="1372">
                  <c:v>6.4131015810486788E-3</c:v>
                </c:pt>
                <c:pt idx="1373">
                  <c:v>6.4367612113197447E-3</c:v>
                </c:pt>
                <c:pt idx="1374">
                  <c:v>6.4446529378271774E-3</c:v>
                </c:pt>
                <c:pt idx="1375">
                  <c:v>6.4525472469361498E-3</c:v>
                </c:pt>
                <c:pt idx="1376">
                  <c:v>6.4604441332824485E-3</c:v>
                </c:pt>
                <c:pt idx="1377">
                  <c:v>6.4683435915018775E-3</c:v>
                </c:pt>
                <c:pt idx="1378">
                  <c:v>6.4920573437569065E-3</c:v>
                </c:pt>
                <c:pt idx="1379">
                  <c:v>6.4999670358268187E-3</c:v>
                </c:pt>
                <c:pt idx="1380">
                  <c:v>6.5078792729488443E-3</c:v>
                </c:pt>
                <c:pt idx="1381">
                  <c:v>6.5157940497587788E-3</c:v>
                </c:pt>
                <c:pt idx="1382">
                  <c:v>6.5237113608924242E-3</c:v>
                </c:pt>
                <c:pt idx="1383">
                  <c:v>6.5474784465935597E-3</c:v>
                </c:pt>
                <c:pt idx="1384">
                  <c:v>6.5554058413799998E-3</c:v>
                </c:pt>
                <c:pt idx="1385">
                  <c:v>6.5633357436691315E-3</c:v>
                </c:pt>
                <c:pt idx="1386">
                  <c:v>6.57126814809675E-3</c:v>
                </c:pt>
                <c:pt idx="1387">
                  <c:v>6.5792030492986559E-3</c:v>
                </c:pt>
                <c:pt idx="1388">
                  <c:v>6.6030226799080501E-3</c:v>
                </c:pt>
                <c:pt idx="1389">
                  <c:v>6.6109675145650665E-3</c:v>
                </c:pt>
                <c:pt idx="1390">
                  <c:v>6.6189148191753517E-3</c:v>
                </c:pt>
                <c:pt idx="1391">
                  <c:v>6.6268645883747054E-3</c:v>
                </c:pt>
                <c:pt idx="1392">
                  <c:v>6.634816816798921E-3</c:v>
                </c:pt>
                <c:pt idx="1393">
                  <c:v>6.6586882037787216E-3</c:v>
                </c:pt>
                <c:pt idx="1394">
                  <c:v>6.6666502154603628E-3</c:v>
                </c:pt>
                <c:pt idx="1395">
                  <c:v>6.6746146595458525E-3</c:v>
                </c:pt>
                <c:pt idx="1396">
                  <c:v>6.6825815306709871E-3</c:v>
                </c:pt>
                <c:pt idx="1397">
                  <c:v>6.6905508234715652E-3</c:v>
                </c:pt>
                <c:pt idx="1398">
                  <c:v>6.7144731782839201E-3</c:v>
                </c:pt>
                <c:pt idx="1399">
                  <c:v>6.7224521041442361E-3</c:v>
                </c:pt>
                <c:pt idx="1400">
                  <c:v>6.7304334248589762E-3</c:v>
                </c:pt>
                <c:pt idx="1401">
                  <c:v>6.7384171350639427E-3</c:v>
                </c:pt>
                <c:pt idx="1402">
                  <c:v>6.7464032293949299E-3</c:v>
                </c:pt>
                <c:pt idx="1403">
                  <c:v>6.7703757635019859E-3</c:v>
                </c:pt>
                <c:pt idx="1404">
                  <c:v>6.7783713406950252E-3</c:v>
                </c:pt>
                <c:pt idx="1405">
                  <c:v>6.7863692751930701E-3</c:v>
                </c:pt>
                <c:pt idx="1406">
                  <c:v>6.7943695616319169E-3</c:v>
                </c:pt>
                <c:pt idx="1407">
                  <c:v>6.8023721946473617E-3</c:v>
                </c:pt>
                <c:pt idx="1408">
                  <c:v>6.826394119511265E-3</c:v>
                </c:pt>
                <c:pt idx="1409">
                  <c:v>6.8344060851910776E-3</c:v>
                </c:pt>
                <c:pt idx="1410">
                  <c:v>6.8424203706264732E-3</c:v>
                </c:pt>
                <c:pt idx="1411">
                  <c:v>6.8504369704532504E-3</c:v>
                </c:pt>
                <c:pt idx="1412">
                  <c:v>6.8584595246683555E-3</c:v>
                </c:pt>
                <c:pt idx="1413">
                  <c:v>6.8825836479672305E-3</c:v>
                </c:pt>
                <c:pt idx="1414">
                  <c:v>6.8906433729868342E-3</c:v>
                </c:pt>
                <c:pt idx="1415">
                  <c:v>6.8987120384841573E-3</c:v>
                </c:pt>
                <c:pt idx="1416">
                  <c:v>6.9067895035698351E-3</c:v>
                </c:pt>
                <c:pt idx="1417">
                  <c:v>6.9148756273545069E-3</c:v>
                </c:pt>
                <c:pt idx="1418">
                  <c:v>6.939184542008852E-3</c:v>
                </c:pt>
                <c:pt idx="1419">
                  <c:v>6.9473038916958657E-3</c:v>
                </c:pt>
                <c:pt idx="1420">
                  <c:v>6.9554311956350617E-3</c:v>
                </c:pt>
                <c:pt idx="1421">
                  <c:v>6.9635663129370739E-3</c:v>
                </c:pt>
                <c:pt idx="1422">
                  <c:v>6.9717091027125411E-3</c:v>
                </c:pt>
                <c:pt idx="1423">
                  <c:v>6.996182097986043E-3</c:v>
                </c:pt>
                <c:pt idx="1424">
                  <c:v>7.0043541687617016E-3</c:v>
                </c:pt>
                <c:pt idx="1425">
                  <c:v>7.0125332075640012E-3</c:v>
                </c:pt>
                <c:pt idx="1426">
                  <c:v>7.0207190735035764E-3</c:v>
                </c:pt>
                <c:pt idx="1427">
                  <c:v>7.0289116256910698E-3</c:v>
                </c:pt>
                <c:pt idx="1428">
                  <c:v>7.0535279908474175E-3</c:v>
                </c:pt>
                <c:pt idx="1429">
                  <c:v>7.0617458791329482E-3</c:v>
                </c:pt>
                <c:pt idx="1430">
                  <c:v>7.0699697492195802E-3</c:v>
                </c:pt>
                <c:pt idx="1431">
                  <c:v>7.0781994602179526E-3</c:v>
                </c:pt>
                <c:pt idx="1432">
                  <c:v>7.0864348712387027E-3</c:v>
                </c:pt>
                <c:pt idx="1433">
                  <c:v>7.1111738955415846E-3</c:v>
                </c:pt>
                <c:pt idx="1434">
                  <c:v>7.1194306977582162E-3</c:v>
                </c:pt>
                <c:pt idx="1435">
                  <c:v>7.127692495550412E-3</c:v>
                </c:pt>
                <c:pt idx="1436">
                  <c:v>7.1359591480288096E-3</c:v>
                </c:pt>
                <c:pt idx="1437">
                  <c:v>7.1442305143040452E-3</c:v>
                </c:pt>
                <c:pt idx="1438">
                  <c:v>7.1690714870171549E-3</c:v>
                </c:pt>
                <c:pt idx="1439">
                  <c:v>7.1773602995861179E-3</c:v>
                </c:pt>
                <c:pt idx="1440">
                  <c:v>7.1856531215051065E-3</c:v>
                </c:pt>
                <c:pt idx="1441">
                  <c:v>7.1939498118847572E-3</c:v>
                </c:pt>
                <c:pt idx="1442">
                  <c:v>7.2022502298357089E-3</c:v>
                </c:pt>
                <c:pt idx="1443">
                  <c:v>7.2271724402227372E-3</c:v>
                </c:pt>
                <c:pt idx="1444">
                  <c:v>7.2354863595652632E-3</c:v>
                </c:pt>
                <c:pt idx="1445">
                  <c:v>7.2438033020322716E-3</c:v>
                </c:pt>
                <c:pt idx="1446">
                  <c:v>7.2521231267344078E-3</c:v>
                </c:pt>
                <c:pt idx="1447">
                  <c:v>7.2604456927823045E-3</c:v>
                </c:pt>
                <c:pt idx="1448">
                  <c:v>7.2854284301069397E-3</c:v>
                </c:pt>
                <c:pt idx="1449">
                  <c:v>7.2937605526442557E-3</c:v>
                </c:pt>
                <c:pt idx="1450">
                  <c:v>7.3020947120805207E-3</c:v>
                </c:pt>
                <c:pt idx="1451">
                  <c:v>7.3104307675263712E-3</c:v>
                </c:pt>
                <c:pt idx="1452">
                  <c:v>7.3187685780924426E-3</c:v>
                </c:pt>
                <c:pt idx="1453">
                  <c:v>7.3437911316183721E-3</c:v>
                </c:pt>
                <c:pt idx="1454">
                  <c:v>7.3521345537717105E-3</c:v>
                </c:pt>
                <c:pt idx="1455">
                  <c:v>7.3604790265984583E-3</c:v>
                </c:pt>
                <c:pt idx="1456">
                  <c:v>7.3688244092092528E-3</c:v>
                </c:pt>
                <c:pt idx="1457">
                  <c:v>7.3771705607147322E-3</c:v>
                </c:pt>
                <c:pt idx="1458">
                  <c:v>7.4022122197056461E-3</c:v>
                </c:pt>
                <c:pt idx="1459">
                  <c:v>7.4105600378962348E-3</c:v>
                </c:pt>
                <c:pt idx="1460">
                  <c:v>7.4189079233151593E-3</c:v>
                </c:pt>
                <c:pt idx="1461">
                  <c:v>7.4272557906306484E-3</c:v>
                </c:pt>
                <c:pt idx="1462">
                  <c:v>7.4356036017387645E-3</c:v>
                </c:pt>
                <c:pt idx="1463">
                  <c:v>7.460646333442583E-3</c:v>
                </c:pt>
                <c:pt idx="1464">
                  <c:v>7.4689935553449152E-3</c:v>
                </c:pt>
                <c:pt idx="1465">
                  <c:v>7.4773405388517322E-3</c:v>
                </c:pt>
                <c:pt idx="1466">
                  <c:v>7.4856872475254025E-3</c:v>
                </c:pt>
                <c:pt idx="1467">
                  <c:v>7.4940336449282972E-3</c:v>
                </c:pt>
                <c:pt idx="1468">
                  <c:v>7.5190706051360447E-3</c:v>
                </c:pt>
                <c:pt idx="1469">
                  <c:v>7.5274153930795515E-3</c:v>
                </c:pt>
                <c:pt idx="1470">
                  <c:v>7.5357596875641397E-3</c:v>
                </c:pt>
                <c:pt idx="1471">
                  <c:v>7.5441034521521767E-3</c:v>
                </c:pt>
                <c:pt idx="1472">
                  <c:v>7.5524466504060389E-3</c:v>
                </c:pt>
                <c:pt idx="1473">
                  <c:v>7.5774724827862771E-3</c:v>
                </c:pt>
                <c:pt idx="1474">
                  <c:v>7.5858130513271442E-3</c:v>
                </c:pt>
                <c:pt idx="1475">
                  <c:v>7.5941528713456908E-3</c:v>
                </c:pt>
                <c:pt idx="1476">
                  <c:v>7.6024919064042844E-3</c:v>
                </c:pt>
                <c:pt idx="1477">
                  <c:v>7.6108301200653039E-3</c:v>
                </c:pt>
                <c:pt idx="1478">
                  <c:v>7.6358394682865946E-3</c:v>
                </c:pt>
                <c:pt idx="1479">
                  <c:v>7.6441740319810082E-3</c:v>
                </c:pt>
                <c:pt idx="1480">
                  <c:v>7.6525075920897004E-3</c:v>
                </c:pt>
                <c:pt idx="1481">
                  <c:v>7.6608401121750404E-3</c:v>
                </c:pt>
                <c:pt idx="1482">
                  <c:v>7.6691715557994011E-3</c:v>
                </c:pt>
                <c:pt idx="1483">
                  <c:v>7.6941590635303076E-3</c:v>
                </c:pt>
                <c:pt idx="1484">
                  <c:v>7.7024858369344577E-3</c:v>
                </c:pt>
                <c:pt idx="1485">
                  <c:v>7.7108113516894828E-3</c:v>
                </c:pt>
                <c:pt idx="1486">
                  <c:v>7.7191355713577547E-3</c:v>
                </c:pt>
                <c:pt idx="1487">
                  <c:v>7.7274584595016437E-3</c:v>
                </c:pt>
                <c:pt idx="1488">
                  <c:v>7.7524187704107296E-3</c:v>
                </c:pt>
                <c:pt idx="1489">
                  <c:v>7.7607359680808025E-3</c:v>
                </c:pt>
                <c:pt idx="1490">
                  <c:v>7.7690516520383486E-3</c:v>
                </c:pt>
                <c:pt idx="1491">
                  <c:v>7.7773657858457397E-3</c:v>
                </c:pt>
                <c:pt idx="1492">
                  <c:v>7.7856783330653477E-3</c:v>
                </c:pt>
                <c:pt idx="1493">
                  <c:v>7.8106060908211764E-3</c:v>
                </c:pt>
                <c:pt idx="1494">
                  <c:v>7.8189119273133611E-3</c:v>
                </c:pt>
                <c:pt idx="1495">
                  <c:v>7.8272159950296127E-3</c:v>
                </c:pt>
                <c:pt idx="1496">
                  <c:v>7.8355182575323094E-3</c:v>
                </c:pt>
                <c:pt idx="1497">
                  <c:v>7.843818678383822E-3</c:v>
                </c:pt>
                <c:pt idx="1498">
                  <c:v>7.8687085266549561E-3</c:v>
                </c:pt>
                <c:pt idx="1499">
                  <c:v>7.8770012165254363E-3</c:v>
                </c:pt>
              </c:numCache>
            </c:numRef>
          </c:val>
          <c:smooth val="0"/>
        </c:ser>
        <c:ser>
          <c:idx val="4"/>
          <c:order val="4"/>
          <c:tx>
            <c:strRef>
              <c:f>Forwards!$O$7</c:f>
              <c:strCache>
                <c:ptCount val="1"/>
                <c:pt idx="0">
                  <c:v>EUR12ML</c:v>
                </c:pt>
              </c:strCache>
            </c:strRef>
          </c:tx>
          <c:marker>
            <c:symbol val="none"/>
          </c:marker>
          <c:val>
            <c:numRef>
              <c:f>Forwards!$P$15:$P$1514</c:f>
              <c:numCache>
                <c:formatCode>0.00000%</c:formatCode>
                <c:ptCount val="1500"/>
                <c:pt idx="0">
                  <c:v>-1.484155408285231E-4</c:v>
                </c:pt>
                <c:pt idx="1">
                  <c:v>-1.4920773826929294E-4</c:v>
                </c:pt>
                <c:pt idx="2">
                  <c:v>-1.4999996589647399E-4</c:v>
                </c:pt>
                <c:pt idx="3">
                  <c:v>-1.5079219352365499E-4</c:v>
                </c:pt>
                <c:pt idx="4">
                  <c:v>-1.5316857454108663E-4</c:v>
                </c:pt>
                <c:pt idx="5">
                  <c:v>-1.5396050030415628E-4</c:v>
                </c:pt>
                <c:pt idx="6">
                  <c:v>-1.5475227513517031E-4</c:v>
                </c:pt>
                <c:pt idx="7">
                  <c:v>-1.555438688477175E-4</c:v>
                </c:pt>
                <c:pt idx="8">
                  <c:v>-1.5633525125538679E-4</c:v>
                </c:pt>
                <c:pt idx="9">
                  <c:v>-1.5870782878501575E-4</c:v>
                </c:pt>
                <c:pt idx="10">
                  <c:v>-1.5949806410906208E-4</c:v>
                </c:pt>
                <c:pt idx="11">
                  <c:v>-1.602879371961747E-4</c:v>
                </c:pt>
                <c:pt idx="12">
                  <c:v>-1.6107741785994267E-4</c:v>
                </c:pt>
                <c:pt idx="13">
                  <c:v>-1.6186647591395477E-4</c:v>
                </c:pt>
                <c:pt idx="14">
                  <c:v>-1.6423081255334467E-4</c:v>
                </c:pt>
                <c:pt idx="15">
                  <c:v>-1.6501787830422199E-4</c:v>
                </c:pt>
                <c:pt idx="16">
                  <c:v>-1.6580437051328791E-4</c:v>
                </c:pt>
                <c:pt idx="17">
                  <c:v>-1.6659025899413109E-4</c:v>
                </c:pt>
                <c:pt idx="18">
                  <c:v>-1.6737551356034056E-4</c:v>
                </c:pt>
                <c:pt idx="19">
                  <c:v>-1.6972717190705483E-4</c:v>
                </c:pt>
                <c:pt idx="20">
                  <c:v>-1.7050958895061785E-4</c:v>
                </c:pt>
                <c:pt idx="21">
                  <c:v>-1.7129122114749136E-4</c:v>
                </c:pt>
                <c:pt idx="22">
                  <c:v>-1.7207203831126437E-4</c:v>
                </c:pt>
                <c:pt idx="23">
                  <c:v>-1.7285201025552565E-4</c:v>
                </c:pt>
                <c:pt idx="24">
                  <c:v>-1.7518655290712801E-4</c:v>
                </c:pt>
                <c:pt idx="25">
                  <c:v>-1.7596284210923111E-4</c:v>
                </c:pt>
                <c:pt idx="26">
                  <c:v>-1.7673813515976694E-4</c:v>
                </c:pt>
                <c:pt idx="27">
                  <c:v>-1.7751240187232419E-4</c:v>
                </c:pt>
                <c:pt idx="28">
                  <c:v>-1.7828561206049181E-4</c:v>
                </c:pt>
                <c:pt idx="29">
                  <c:v>-1.8059860161454572E-4</c:v>
                </c:pt>
                <c:pt idx="30">
                  <c:v>-1.8136728384104348E-4</c:v>
                </c:pt>
                <c:pt idx="31">
                  <c:v>-1.8213475861109603E-4</c:v>
                </c:pt>
                <c:pt idx="32">
                  <c:v>-1.8290099573829211E-4</c:v>
                </c:pt>
                <c:pt idx="33">
                  <c:v>-1.8366596503622068E-4</c:v>
                </c:pt>
                <c:pt idx="34">
                  <c:v>-1.8595296409028961E-4</c:v>
                </c:pt>
                <c:pt idx="35">
                  <c:v>-1.8671256020703661E-4</c:v>
                </c:pt>
                <c:pt idx="36">
                  <c:v>-1.874707375624604E-4</c:v>
                </c:pt>
                <c:pt idx="37">
                  <c:v>-1.8822746597014985E-4</c:v>
                </c:pt>
                <c:pt idx="38">
                  <c:v>-1.8898271524369375E-4</c:v>
                </c:pt>
                <c:pt idx="39">
                  <c:v>-1.9123928639534142E-4</c:v>
                </c:pt>
                <c:pt idx="40">
                  <c:v>-1.9198831726819211E-4</c:v>
                </c:pt>
                <c:pt idx="41">
                  <c:v>-1.927357180748417E-4</c:v>
                </c:pt>
                <c:pt idx="42">
                  <c:v>-1.9348145862887895E-4</c:v>
                </c:pt>
                <c:pt idx="43">
                  <c:v>-1.9422550874389284E-4</c:v>
                </c:pt>
                <c:pt idx="44">
                  <c:v>-1.9644721459068266E-4</c:v>
                </c:pt>
                <c:pt idx="45">
                  <c:v>-1.9718420108549159E-4</c:v>
                </c:pt>
                <c:pt idx="46">
                  <c:v>-1.9791934620922141E-4</c:v>
                </c:pt>
                <c:pt idx="47">
                  <c:v>-1.986526197754611E-4</c:v>
                </c:pt>
                <c:pt idx="48">
                  <c:v>-1.9938399159779934E-4</c:v>
                </c:pt>
                <c:pt idx="49">
                  <c:v>-2.0156639473729502E-4</c:v>
                </c:pt>
                <c:pt idx="50">
                  <c:v>-2.0228985771991669E-4</c:v>
                </c:pt>
                <c:pt idx="51">
                  <c:v>-2.0301126802658136E-4</c:v>
                </c:pt>
                <c:pt idx="52">
                  <c:v>-2.0373059547087785E-4</c:v>
                </c:pt>
                <c:pt idx="53">
                  <c:v>-2.0444780986639515E-4</c:v>
                </c:pt>
                <c:pt idx="54">
                  <c:v>-2.0658647289616006E-4</c:v>
                </c:pt>
                <c:pt idx="55">
                  <c:v>-2.0729493323244896E-4</c:v>
                </c:pt>
                <c:pt idx="56">
                  <c:v>-2.0800112958790294E-4</c:v>
                </c:pt>
                <c:pt idx="57">
                  <c:v>-2.0870503177611088E-4</c:v>
                </c:pt>
                <c:pt idx="58">
                  <c:v>-2.0940660961066168E-4</c:v>
                </c:pt>
                <c:pt idx="59">
                  <c:v>-2.1149709512825946E-4</c:v>
                </c:pt>
                <c:pt idx="60">
                  <c:v>-2.1218907368407018E-4</c:v>
                </c:pt>
                <c:pt idx="61">
                  <c:v>-2.1287857695416801E-4</c:v>
                </c:pt>
                <c:pt idx="62">
                  <c:v>-2.1356557475214191E-4</c:v>
                </c:pt>
                <c:pt idx="63">
                  <c:v>-2.1425003689158061E-4</c:v>
                </c:pt>
                <c:pt idx="64">
                  <c:v>-2.1628790749457489E-4</c:v>
                </c:pt>
                <c:pt idx="65">
                  <c:v>-2.1696192513576186E-4</c:v>
                </c:pt>
                <c:pt idx="66">
                  <c:v>-2.1763325618635811E-4</c:v>
                </c:pt>
                <c:pt idx="67">
                  <c:v>-2.1830187045995236E-4</c:v>
                </c:pt>
                <c:pt idx="68">
                  <c:v>-2.1896773777013365E-4</c:v>
                </c:pt>
                <c:pt idx="69">
                  <c:v>-2.2094855605608789E-4</c:v>
                </c:pt>
                <c:pt idx="70">
                  <c:v>-2.2160313364850571E-4</c:v>
                </c:pt>
                <c:pt idx="71">
                  <c:v>-2.2225481334545478E-4</c:v>
                </c:pt>
                <c:pt idx="72">
                  <c:v>-2.2290356496052405E-4</c:v>
                </c:pt>
                <c:pt idx="73">
                  <c:v>-2.2354935830730231E-4</c:v>
                </c:pt>
                <c:pt idx="74">
                  <c:v>-2.2546868687378017E-4</c:v>
                </c:pt>
                <c:pt idx="75">
                  <c:v>-2.2610234528328325E-4</c:v>
                </c:pt>
                <c:pt idx="76">
                  <c:v>-2.2673289449243975E-4</c:v>
                </c:pt>
                <c:pt idx="77">
                  <c:v>-2.2736030431483848E-4</c:v>
                </c:pt>
                <c:pt idx="78">
                  <c:v>-2.2798454456406835E-4</c:v>
                </c:pt>
                <c:pt idx="79">
                  <c:v>-2.2983794600863323E-4</c:v>
                </c:pt>
                <c:pt idx="80">
                  <c:v>-2.3044920610107618E-4</c:v>
                </c:pt>
                <c:pt idx="81">
                  <c:v>-2.3105714568829461E-4</c:v>
                </c:pt>
                <c:pt idx="82">
                  <c:v>-2.3166173458387732E-4</c:v>
                </c:pt>
                <c:pt idx="83">
                  <c:v>-2.322629426014133E-4</c:v>
                </c:pt>
                <c:pt idx="84">
                  <c:v>-2.3404597952162879E-4</c:v>
                </c:pt>
                <c:pt idx="85">
                  <c:v>-2.3463336216286614E-4</c:v>
                </c:pt>
                <c:pt idx="86">
                  <c:v>-2.3521721299400098E-4</c:v>
                </c:pt>
                <c:pt idx="87">
                  <c:v>-2.3579750182862232E-4</c:v>
                </c:pt>
                <c:pt idx="88">
                  <c:v>-2.3637419848031877E-4</c:v>
                </c:pt>
                <c:pt idx="89">
                  <c:v>-2.3808243347374852E-4</c:v>
                </c:pt>
                <c:pt idx="90">
                  <c:v>-2.3864445952963474E-4</c:v>
                </c:pt>
                <c:pt idx="91">
                  <c:v>-2.3920274247054055E-4</c:v>
                </c:pt>
                <c:pt idx="92">
                  <c:v>-2.3975725211005484E-4</c:v>
                </c:pt>
                <c:pt idx="93">
                  <c:v>-2.4030795826176647E-4</c:v>
                </c:pt>
                <c:pt idx="94">
                  <c:v>-2.4193695392597396E-4</c:v>
                </c:pt>
                <c:pt idx="95">
                  <c:v>-2.4247214426236364E-4</c:v>
                </c:pt>
                <c:pt idx="96">
                  <c:v>-2.4300338017889492E-4</c:v>
                </c:pt>
                <c:pt idx="97">
                  <c:v>-2.4353063148915675E-4</c:v>
                </c:pt>
                <c:pt idx="98">
                  <c:v>-2.4405386800673798E-4</c:v>
                </c:pt>
                <c:pt idx="99">
                  <c:v>-2.4559918693928685E-4</c:v>
                </c:pt>
                <c:pt idx="100">
                  <c:v>-2.4610606242203434E-4</c:v>
                </c:pt>
                <c:pt idx="101">
                  <c:v>-2.4660877218004565E-4</c:v>
                </c:pt>
                <c:pt idx="102">
                  <c:v>-2.4710728602690956E-4</c:v>
                </c:pt>
                <c:pt idx="103">
                  <c:v>-2.4760157377621498E-4</c:v>
                </c:pt>
                <c:pt idx="104">
                  <c:v>-2.4905877857466863E-4</c:v>
                </c:pt>
                <c:pt idx="105">
                  <c:v>-2.4953586006962858E-4</c:v>
                </c:pt>
                <c:pt idx="106">
                  <c:v>-2.5000856453497445E-4</c:v>
                </c:pt>
                <c:pt idx="107">
                  <c:v>-2.5047686178429493E-4</c:v>
                </c:pt>
                <c:pt idx="108">
                  <c:v>-2.5094072163117897E-4</c:v>
                </c:pt>
                <c:pt idx="109">
                  <c:v>-2.5230537489310108E-4</c:v>
                </c:pt>
                <c:pt idx="110">
                  <c:v>-2.5275118326612803E-4</c:v>
                </c:pt>
                <c:pt idx="111">
                  <c:v>-2.5319240330466284E-4</c:v>
                </c:pt>
                <c:pt idx="112">
                  <c:v>-2.5362900482229448E-4</c:v>
                </c:pt>
                <c:pt idx="113">
                  <c:v>-2.5406095763261168E-4</c:v>
                </c:pt>
                <c:pt idx="114">
                  <c:v>-2.553286219555658E-4</c:v>
                </c:pt>
                <c:pt idx="115">
                  <c:v>-2.5574167807251424E-4</c:v>
                </c:pt>
                <c:pt idx="116">
                  <c:v>-2.5614993455009264E-4</c:v>
                </c:pt>
                <c:pt idx="117">
                  <c:v>-2.5655336120188987E-4</c:v>
                </c:pt>
                <c:pt idx="118">
                  <c:v>-2.5695192784149482E-4</c:v>
                </c:pt>
                <c:pt idx="119">
                  <c:v>-2.5811816582304442E-4</c:v>
                </c:pt>
                <c:pt idx="120">
                  <c:v>-2.5849699054976888E-4</c:v>
                </c:pt>
                <c:pt idx="121">
                  <c:v>-2.588708043322453E-4</c:v>
                </c:pt>
                <c:pt idx="122">
                  <c:v>-2.5923957698406266E-4</c:v>
                </c:pt>
                <c:pt idx="123">
                  <c:v>-2.596032783188098E-4</c:v>
                </c:pt>
                <c:pt idx="124">
                  <c:v>-2.6066365255651859E-4</c:v>
                </c:pt>
                <c:pt idx="125">
                  <c:v>-2.610067667588735E-4</c:v>
                </c:pt>
                <c:pt idx="126">
                  <c:v>-2.6134465871210255E-4</c:v>
                </c:pt>
                <c:pt idx="127">
                  <c:v>-2.6167729822979457E-4</c:v>
                </c:pt>
                <c:pt idx="128">
                  <c:v>-2.6200465512553843E-4</c:v>
                </c:pt>
                <c:pt idx="129">
                  <c:v>-2.6295472821696983E-4</c:v>
                </c:pt>
                <c:pt idx="130">
                  <c:v>-2.6326065276080978E-4</c:v>
                </c:pt>
                <c:pt idx="131">
                  <c:v>-2.6356114375064593E-4</c:v>
                </c:pt>
                <c:pt idx="132">
                  <c:v>-2.6385617100006711E-4</c:v>
                </c:pt>
                <c:pt idx="133">
                  <c:v>-2.6414570432266229E-4</c:v>
                </c:pt>
                <c:pt idx="134">
                  <c:v>-2.6498103886537984E-4</c:v>
                </c:pt>
                <c:pt idx="135">
                  <c:v>-2.6524829461655933E-4</c:v>
                </c:pt>
                <c:pt idx="136">
                  <c:v>-2.6550990550885711E-4</c:v>
                </c:pt>
                <c:pt idx="137">
                  <c:v>-2.6576584135586199E-4</c:v>
                </c:pt>
                <c:pt idx="138">
                  <c:v>-2.6601607197116291E-4</c:v>
                </c:pt>
                <c:pt idx="139">
                  <c:v>-2.6673223056273031E-4</c:v>
                </c:pt>
                <c:pt idx="140">
                  <c:v>-2.6695933838710386E-4</c:v>
                </c:pt>
                <c:pt idx="141">
                  <c:v>-2.6718059004771777E-4</c:v>
                </c:pt>
                <c:pt idx="142">
                  <c:v>-2.6739595535816088E-4</c:v>
                </c:pt>
                <c:pt idx="143">
                  <c:v>-2.6760540413202209E-4</c:v>
                </c:pt>
                <c:pt idx="144">
                  <c:v>-2.6819794937000272E-4</c:v>
                </c:pt>
                <c:pt idx="145">
                  <c:v>-2.6838343013342489E-4</c:v>
                </c:pt>
                <c:pt idx="146">
                  <c:v>-2.6856284342820946E-4</c:v>
                </c:pt>
                <c:pt idx="147">
                  <c:v>-2.6873615906794534E-4</c:v>
                </c:pt>
                <c:pt idx="148">
                  <c:v>-2.6890334686622132E-4</c:v>
                </c:pt>
                <c:pt idx="149">
                  <c:v>-2.6951021591650406E-4</c:v>
                </c:pt>
                <c:pt idx="150">
                  <c:v>-2.6964631171131384E-4</c:v>
                </c:pt>
                <c:pt idx="151">
                  <c:v>-2.6977609854619697E-4</c:v>
                </c:pt>
                <c:pt idx="152">
                  <c:v>-2.6989954623474226E-4</c:v>
                </c:pt>
                <c:pt idx="153">
                  <c:v>-2.7023210601861096E-4</c:v>
                </c:pt>
                <c:pt idx="154">
                  <c:v>-2.703301186950688E-4</c:v>
                </c:pt>
                <c:pt idx="155">
                  <c:v>-2.7042160543287584E-4</c:v>
                </c:pt>
                <c:pt idx="156">
                  <c:v>-2.7050653579683301E-4</c:v>
                </c:pt>
                <c:pt idx="157">
                  <c:v>-2.7058487935174136E-4</c:v>
                </c:pt>
                <c:pt idx="158">
                  <c:v>-2.7078008481018365E-4</c:v>
                </c:pt>
                <c:pt idx="159">
                  <c:v>-2.7083177677690682E-4</c:v>
                </c:pt>
                <c:pt idx="160">
                  <c:v>-2.7087672975858632E-4</c:v>
                </c:pt>
                <c:pt idx="161">
                  <c:v>-2.7091491332002299E-4</c:v>
                </c:pt>
                <c:pt idx="162">
                  <c:v>-2.7094629702601792E-4</c:v>
                </c:pt>
                <c:pt idx="163">
                  <c:v>-2.7099934465936248E-4</c:v>
                </c:pt>
                <c:pt idx="164">
                  <c:v>-2.7100322459160065E-4</c:v>
                </c:pt>
                <c:pt idx="165">
                  <c:v>-2.7100015249240209E-4</c:v>
                </c:pt>
                <c:pt idx="166">
                  <c:v>-2.7099009792656782E-4</c:v>
                </c:pt>
                <c:pt idx="167">
                  <c:v>-2.7097303045889895E-4</c:v>
                </c:pt>
                <c:pt idx="168">
                  <c:v>-2.7087944629289448E-4</c:v>
                </c:pt>
                <c:pt idx="169">
                  <c:v>-2.7083402286589713E-4</c:v>
                </c:pt>
                <c:pt idx="170">
                  <c:v>-2.7078143436107011E-4</c:v>
                </c:pt>
                <c:pt idx="171">
                  <c:v>-2.7072165034321458E-4</c:v>
                </c:pt>
                <c:pt idx="172">
                  <c:v>-2.7065464037713142E-4</c:v>
                </c:pt>
                <c:pt idx="173">
                  <c:v>-2.7040995043752663E-4</c:v>
                </c:pt>
                <c:pt idx="174">
                  <c:v>-2.7031373232654326E-4</c:v>
                </c:pt>
                <c:pt idx="175">
                  <c:v>-2.7021013609133753E-4</c:v>
                </c:pt>
                <c:pt idx="176">
                  <c:v>-2.7009913129671015E-4</c:v>
                </c:pt>
                <c:pt idx="177">
                  <c:v>-2.6998068750746227E-4</c:v>
                </c:pt>
                <c:pt idx="178">
                  <c:v>-2.6958041782000592E-4</c:v>
                </c:pt>
                <c:pt idx="179">
                  <c:v>-2.6943191370028621E-4</c:v>
                </c:pt>
                <c:pt idx="180">
                  <c:v>-2.6927581840995111E-4</c:v>
                </c:pt>
                <c:pt idx="181">
                  <c:v>-2.6911210151380155E-4</c:v>
                </c:pt>
                <c:pt idx="182">
                  <c:v>-2.6894073257663858E-4</c:v>
                </c:pt>
                <c:pt idx="183">
                  <c:v>-2.6838040916707932E-4</c:v>
                </c:pt>
                <c:pt idx="184">
                  <c:v>-2.6817812771387284E-4</c:v>
                </c:pt>
                <c:pt idx="185">
                  <c:v>-2.6796804204365799E-4</c:v>
                </c:pt>
                <c:pt idx="186">
                  <c:v>-2.6775012172123582E-4</c:v>
                </c:pt>
                <c:pt idx="187">
                  <c:v>-2.6752433631140732E-4</c:v>
                </c:pt>
                <c:pt idx="188">
                  <c:v>-2.6679948520549391E-4</c:v>
                </c:pt>
                <c:pt idx="189">
                  <c:v>-2.6654193509405017E-4</c:v>
                </c:pt>
                <c:pt idx="190">
                  <c:v>-2.6627636771920515E-4</c:v>
                </c:pt>
                <c:pt idx="191">
                  <c:v>-2.6600275264575989E-4</c:v>
                </c:pt>
                <c:pt idx="192">
                  <c:v>-2.6572105943851537E-4</c:v>
                </c:pt>
                <c:pt idx="193">
                  <c:v>-2.6482720666199652E-4</c:v>
                </c:pt>
                <c:pt idx="194">
                  <c:v>-2.645128965675652E-4</c:v>
                </c:pt>
                <c:pt idx="195">
                  <c:v>-2.6419035616333957E-4</c:v>
                </c:pt>
                <c:pt idx="196">
                  <c:v>-2.6385955501412084E-4</c:v>
                </c:pt>
                <c:pt idx="197">
                  <c:v>-2.6352046268470993E-4</c:v>
                </c:pt>
                <c:pt idx="198">
                  <c:v>-2.6245313426333429E-4</c:v>
                </c:pt>
                <c:pt idx="199">
                  <c:v>-2.6208057286116485E-4</c:v>
                </c:pt>
                <c:pt idx="200">
                  <c:v>-2.6169956810280823E-4</c:v>
                </c:pt>
                <c:pt idx="201">
                  <c:v>-2.613100895530656E-4</c:v>
                </c:pt>
                <c:pt idx="202">
                  <c:v>-2.6091210677673787E-4</c:v>
                </c:pt>
                <c:pt idx="203">
                  <c:v>-2.5966682873625419E-4</c:v>
                </c:pt>
                <c:pt idx="204">
                  <c:v>-2.592345247015962E-4</c:v>
                </c:pt>
                <c:pt idx="205">
                  <c:v>-2.5879356426435817E-4</c:v>
                </c:pt>
                <c:pt idx="206">
                  <c:v>-2.5834391698934119E-4</c:v>
                </c:pt>
                <c:pt idx="207">
                  <c:v>-2.5788555244134616E-4</c:v>
                </c:pt>
                <c:pt idx="208">
                  <c:v>-2.5645785080750315E-4</c:v>
                </c:pt>
                <c:pt idx="209">
                  <c:v>-2.5596431281560623E-4</c:v>
                </c:pt>
                <c:pt idx="210">
                  <c:v>-2.5546190537473635E-4</c:v>
                </c:pt>
                <c:pt idx="211">
                  <c:v>-2.5495059804969455E-4</c:v>
                </c:pt>
                <c:pt idx="212">
                  <c:v>-2.5443036040528178E-4</c:v>
                </c:pt>
                <c:pt idx="213">
                  <c:v>-2.5281576120382825E-4</c:v>
                </c:pt>
                <c:pt idx="214">
                  <c:v>-2.5225949792994192E-4</c:v>
                </c:pt>
                <c:pt idx="215">
                  <c:v>-2.5169415216068976E-4</c:v>
                </c:pt>
                <c:pt idx="216">
                  <c:v>-2.5111969346087272E-4</c:v>
                </c:pt>
                <c:pt idx="217">
                  <c:v>-2.5053609139529193E-4</c:v>
                </c:pt>
                <c:pt idx="218">
                  <c:v>-2.4873012065197638E-4</c:v>
                </c:pt>
                <c:pt idx="219">
                  <c:v>-2.4810964077135025E-4</c:v>
                </c:pt>
                <c:pt idx="220">
                  <c:v>-2.4747986534896538E-4</c:v>
                </c:pt>
                <c:pt idx="221">
                  <c:v>-2.4684076394962276E-4</c:v>
                </c:pt>
                <c:pt idx="222">
                  <c:v>-2.4619230613812332E-4</c:v>
                </c:pt>
                <c:pt idx="223">
                  <c:v>-2.4419048987869461E-4</c:v>
                </c:pt>
                <c:pt idx="224">
                  <c:v>-2.4350430206657831E-4</c:v>
                </c:pt>
                <c:pt idx="225">
                  <c:v>-2.4280860566631025E-4</c:v>
                </c:pt>
                <c:pt idx="226">
                  <c:v>-2.4210337024269151E-4</c:v>
                </c:pt>
                <c:pt idx="227">
                  <c:v>-2.3843304254237294E-4</c:v>
                </c:pt>
                <c:pt idx="228">
                  <c:v>-2.376699338394713E-4</c:v>
                </c:pt>
                <c:pt idx="229">
                  <c:v>-2.3689707306682607E-4</c:v>
                </c:pt>
                <c:pt idx="230">
                  <c:v>-2.3611442978923829E-4</c:v>
                </c:pt>
                <c:pt idx="231">
                  <c:v>-2.3370750057482933E-4</c:v>
                </c:pt>
                <c:pt idx="232">
                  <c:v>-2.3288542292548123E-4</c:v>
                </c:pt>
                <c:pt idx="233">
                  <c:v>-2.3205341059519556E-4</c:v>
                </c:pt>
                <c:pt idx="234">
                  <c:v>-2.3121143314877341E-4</c:v>
                </c:pt>
                <c:pt idx="235">
                  <c:v>-2.3035946015101576E-4</c:v>
                </c:pt>
                <c:pt idx="236">
                  <c:v>-2.2685100394265011E-4</c:v>
                </c:pt>
                <c:pt idx="237">
                  <c:v>-2.2594859666023005E-4</c:v>
                </c:pt>
                <c:pt idx="238">
                  <c:v>-2.2503601121528051E-4</c:v>
                </c:pt>
                <c:pt idx="239">
                  <c:v>-2.2411321717260259E-4</c:v>
                </c:pt>
                <c:pt idx="240">
                  <c:v>-2.2128327910620827E-4</c:v>
                </c:pt>
                <c:pt idx="241">
                  <c:v>-2.2031934632062671E-4</c:v>
                </c:pt>
                <c:pt idx="242">
                  <c:v>-2.1934505276132175E-4</c:v>
                </c:pt>
                <c:pt idx="243">
                  <c:v>-2.1836036799309446E-4</c:v>
                </c:pt>
                <c:pt idx="244">
                  <c:v>-2.1736526158074577E-4</c:v>
                </c:pt>
                <c:pt idx="245">
                  <c:v>-2.1431710812698182E-4</c:v>
                </c:pt>
                <c:pt idx="246">
                  <c:v>-2.1328001078615785E-4</c:v>
                </c:pt>
                <c:pt idx="247">
                  <c:v>-2.1223233962521762E-4</c:v>
                </c:pt>
                <c:pt idx="248">
                  <c:v>-2.1117406420896205E-4</c:v>
                </c:pt>
                <c:pt idx="249">
                  <c:v>-2.1010515410219233E-4</c:v>
                </c:pt>
                <c:pt idx="250">
                  <c:v>-2.068343112868074E-4</c:v>
                </c:pt>
                <c:pt idx="251">
                  <c:v>-2.0572255806599062E-4</c:v>
                </c:pt>
                <c:pt idx="252">
                  <c:v>-2.0460001797866469E-4</c:v>
                </c:pt>
                <c:pt idx="253">
                  <c:v>-2.0346666058963049E-4</c:v>
                </c:pt>
                <c:pt idx="254">
                  <c:v>-2.0232245546368912E-4</c:v>
                </c:pt>
                <c:pt idx="255">
                  <c:v>-1.9882444931243207E-4</c:v>
                </c:pt>
                <c:pt idx="256">
                  <c:v>-1.9763654888687207E-4</c:v>
                </c:pt>
                <c:pt idx="257">
                  <c:v>-1.9643764854840993E-4</c:v>
                </c:pt>
                <c:pt idx="258">
                  <c:v>-1.9522771786184662E-4</c:v>
                </c:pt>
                <c:pt idx="259">
                  <c:v>-1.9400672639198331E-4</c:v>
                </c:pt>
                <c:pt idx="260">
                  <c:v>-1.902772785191314E-4</c:v>
                </c:pt>
                <c:pt idx="261">
                  <c:v>-1.8901200759280224E-4</c:v>
                </c:pt>
                <c:pt idx="262">
                  <c:v>-1.8773569756364808E-4</c:v>
                </c:pt>
                <c:pt idx="263">
                  <c:v>-1.8644836146058727E-4</c:v>
                </c:pt>
                <c:pt idx="264">
                  <c:v>-1.8515001231253852E-4</c:v>
                </c:pt>
                <c:pt idx="265">
                  <c:v>-1.8118901688764862E-4</c:v>
                </c:pt>
                <c:pt idx="266">
                  <c:v>-1.7984674584883265E-4</c:v>
                </c:pt>
                <c:pt idx="267">
                  <c:v>-1.7849352690962102E-4</c:v>
                </c:pt>
                <c:pt idx="268">
                  <c:v>-1.7712937309893249E-4</c:v>
                </c:pt>
                <c:pt idx="269">
                  <c:v>-1.7575429744568529E-4</c:v>
                </c:pt>
                <c:pt idx="270">
                  <c:v>-1.7156366971977772E-4</c:v>
                </c:pt>
                <c:pt idx="271">
                  <c:v>-1.7014503698548156E-4</c:v>
                </c:pt>
                <c:pt idx="272">
                  <c:v>-1.6871554755321935E-4</c:v>
                </c:pt>
                <c:pt idx="273">
                  <c:v>-1.6727521445190972E-4</c:v>
                </c:pt>
                <c:pt idx="274">
                  <c:v>-1.6582405071047097E-4</c:v>
                </c:pt>
                <c:pt idx="275">
                  <c:v>-1.61405705934566E-4</c:v>
                </c:pt>
                <c:pt idx="276">
                  <c:v>-1.599113499217965E-4</c:v>
                </c:pt>
                <c:pt idx="277">
                  <c:v>-1.5840622841349039E-4</c:v>
                </c:pt>
                <c:pt idx="278">
                  <c:v>-1.5689035443856644E-4</c:v>
                </c:pt>
                <c:pt idx="279">
                  <c:v>-1.5536374102594286E-4</c:v>
                </c:pt>
                <c:pt idx="280">
                  <c:v>-1.5071959445106094E-4</c:v>
                </c:pt>
                <c:pt idx="281">
                  <c:v>-1.4915015357682459E-4</c:v>
                </c:pt>
                <c:pt idx="282">
                  <c:v>-1.475700384094814E-4</c:v>
                </c:pt>
                <c:pt idx="283">
                  <c:v>-1.4597926197794988E-4</c:v>
                </c:pt>
                <c:pt idx="284">
                  <c:v>-1.4437783731114834E-4</c:v>
                </c:pt>
                <c:pt idx="285">
                  <c:v>-1.3950980418830949E-4</c:v>
                </c:pt>
                <c:pt idx="286">
                  <c:v>-1.3786591686961328E-4</c:v>
                </c:pt>
                <c:pt idx="287">
                  <c:v>-1.3621144646023989E-4</c:v>
                </c:pt>
                <c:pt idx="288">
                  <c:v>-1.3454640598910744E-4</c:v>
                </c:pt>
                <c:pt idx="289">
                  <c:v>-1.3287080848513468E-4</c:v>
                </c:pt>
                <c:pt idx="290">
                  <c:v>-1.2778080406535911E-4</c:v>
                </c:pt>
                <c:pt idx="291">
                  <c:v>-1.2606310871920981E-4</c:v>
                </c:pt>
                <c:pt idx="292">
                  <c:v>-1.243349214848128E-4</c:v>
                </c:pt>
                <c:pt idx="293">
                  <c:v>-1.2259625539108631E-4</c:v>
                </c:pt>
                <c:pt idx="294">
                  <c:v>-1.2084712346694911E-4</c:v>
                </c:pt>
                <c:pt idx="295">
                  <c:v>-1.1553706300125713E-4</c:v>
                </c:pt>
                <c:pt idx="296">
                  <c:v>-1.1374619804466146E-4</c:v>
                </c:pt>
                <c:pt idx="297">
                  <c:v>-1.1194493240224763E-4</c:v>
                </c:pt>
                <c:pt idx="298">
                  <c:v>-1.1013327910293382E-4</c:v>
                </c:pt>
                <c:pt idx="299">
                  <c:v>-1.0831125117563885E-4</c:v>
                </c:pt>
                <c:pt idx="300">
                  <c:v>-1.0278304991505087E-4</c:v>
                </c:pt>
                <c:pt idx="301">
                  <c:v>-1.0091965376501573E-4</c:v>
                </c:pt>
                <c:pt idx="302">
                  <c:v>-9.9045948131591655E-5</c:v>
                </c:pt>
                <c:pt idx="303">
                  <c:v>-9.7161946043697455E-5</c:v>
                </c:pt>
                <c:pt idx="304">
                  <c:v>-9.5267660530251339E-5</c:v>
                </c:pt>
                <c:pt idx="305">
                  <c:v>-8.9523233725787588E-5</c:v>
                </c:pt>
                <c:pt idx="306">
                  <c:v>-8.7587944799319563E-5</c:v>
                </c:pt>
                <c:pt idx="307">
                  <c:v>-8.5642437591892183E-5</c:v>
                </c:pt>
                <c:pt idx="308">
                  <c:v>-8.3686725132424197E-5</c:v>
                </c:pt>
                <c:pt idx="309">
                  <c:v>-8.1720820449833869E-5</c:v>
                </c:pt>
                <c:pt idx="310">
                  <c:v>-7.5762083352514571E-5</c:v>
                </c:pt>
                <c:pt idx="311">
                  <c:v>-7.3755540066620413E-5</c:v>
                </c:pt>
                <c:pt idx="312">
                  <c:v>-7.1738869702196514E-5</c:v>
                </c:pt>
                <c:pt idx="313">
                  <c:v>-6.9712085288161515E-5</c:v>
                </c:pt>
                <c:pt idx="314">
                  <c:v>-6.7675199853433666E-5</c:v>
                </c:pt>
                <c:pt idx="315">
                  <c:v>-6.1504067714279306E-5</c:v>
                </c:pt>
                <c:pt idx="316">
                  <c:v>-5.9426908485965692E-5</c:v>
                </c:pt>
                <c:pt idx="317">
                  <c:v>-5.7339713381552115E-5</c:v>
                </c:pt>
                <c:pt idx="318">
                  <c:v>-5.52424954299567E-5</c:v>
                </c:pt>
                <c:pt idx="319">
                  <c:v>-5.3135267660098145E-5</c:v>
                </c:pt>
                <c:pt idx="320">
                  <c:v>-4.6753655730128756E-5</c:v>
                </c:pt>
                <c:pt idx="321">
                  <c:v>-4.4606518976402583E-5</c:v>
                </c:pt>
                <c:pt idx="322">
                  <c:v>-4.2449437549005979E-5</c:v>
                </c:pt>
                <c:pt idx="323">
                  <c:v>-4.0282424476857057E-5</c:v>
                </c:pt>
                <c:pt idx="324">
                  <c:v>-3.8105492788874636E-5</c:v>
                </c:pt>
                <c:pt idx="325">
                  <c:v>-3.1515316319110457E-5</c:v>
                </c:pt>
                <c:pt idx="326">
                  <c:v>-2.9298840456978443E-5</c:v>
                </c:pt>
                <c:pt idx="327">
                  <c:v>-2.7072511123605518E-5</c:v>
                </c:pt>
                <c:pt idx="328">
                  <c:v>-2.4836341347909822E-5</c:v>
                </c:pt>
                <c:pt idx="329">
                  <c:v>-2.25903441588102E-5</c:v>
                </c:pt>
                <c:pt idx="330">
                  <c:v>-1.5793518400271538E-5</c:v>
                </c:pt>
                <c:pt idx="331">
                  <c:v>-1.350834184674047E-5</c:v>
                </c:pt>
                <c:pt idx="332">
                  <c:v>-1.121340302439805E-5</c:v>
                </c:pt>
                <c:pt idx="333">
                  <c:v>-8.9087149621623531E-6</c:v>
                </c:pt>
                <c:pt idx="334">
                  <c:v>-6.5942906889523316E-6</c:v>
                </c:pt>
                <c:pt idx="335">
                  <c:v>4.0726910734048116E-7</c:v>
                </c:pt>
                <c:pt idx="336">
                  <c:v>2.7605079352636811E-6</c:v>
                </c:pt>
                <c:pt idx="337">
                  <c:v>5.1234178295690648E-6</c:v>
                </c:pt>
                <c:pt idx="338">
                  <c:v>7.4959857613377868E-6</c:v>
                </c:pt>
                <c:pt idx="339">
                  <c:v>9.8781987016517334E-6</c:v>
                </c:pt>
                <c:pt idx="340">
                  <c:v>1.7082577284678444E-5</c:v>
                </c:pt>
                <c:pt idx="341">
                  <c:v>1.950323996998722E-5</c:v>
                </c:pt>
                <c:pt idx="342">
                  <c:v>2.1933482519248646E-5</c:v>
                </c:pt>
                <c:pt idx="343">
                  <c:v>2.4373291903543822E-5</c:v>
                </c:pt>
                <c:pt idx="344">
                  <c:v>2.6822655093954745E-5</c:v>
                </c:pt>
                <c:pt idx="345">
                  <c:v>3.4227937212695048E-5</c:v>
                </c:pt>
                <c:pt idx="346">
                  <c:v>3.6715385338382584E-5</c:v>
                </c:pt>
                <c:pt idx="347">
                  <c:v>3.9212322125593266E-5</c:v>
                </c:pt>
                <c:pt idx="348">
                  <c:v>4.1718734545408219E-5</c:v>
                </c:pt>
                <c:pt idx="349">
                  <c:v>4.423460956890933E-5</c:v>
                </c:pt>
                <c:pt idx="350">
                  <c:v>5.1838879972342702E-5</c:v>
                </c:pt>
                <c:pt idx="351">
                  <c:v>5.4392475121402511E-5</c:v>
                </c:pt>
                <c:pt idx="352">
                  <c:v>5.6955467729555498E-5</c:v>
                </c:pt>
                <c:pt idx="353">
                  <c:v>5.9527844767883603E-5</c:v>
                </c:pt>
                <c:pt idx="354">
                  <c:v>6.2109593207468117E-5</c:v>
                </c:pt>
                <c:pt idx="355">
                  <c:v>6.9910936644574577E-5</c:v>
                </c:pt>
                <c:pt idx="356">
                  <c:v>7.253004039999971E-5</c:v>
                </c:pt>
                <c:pt idx="357">
                  <c:v>7.5158450412088433E-5</c:v>
                </c:pt>
                <c:pt idx="358">
                  <c:v>7.779615365192274E-5</c:v>
                </c:pt>
                <c:pt idx="359">
                  <c:v>8.0443137090583733E-5</c:v>
                </c:pt>
                <c:pt idx="360">
                  <c:v>8.8439638310343246E-5</c:v>
                </c:pt>
                <c:pt idx="361">
                  <c:v>9.1123612255126834E-5</c:v>
                </c:pt>
                <c:pt idx="362">
                  <c:v>9.3816801254144533E-5</c:v>
                </c:pt>
                <c:pt idx="363">
                  <c:v>9.6519192278478311E-5</c:v>
                </c:pt>
                <c:pt idx="364">
                  <c:v>9.9230772299209187E-5</c:v>
                </c:pt>
                <c:pt idx="365">
                  <c:v>1.0742051605060126E-4</c:v>
                </c:pt>
                <c:pt idx="366">
                  <c:v>1.1016872176773638E-4</c:v>
                </c:pt>
                <c:pt idx="367">
                  <c:v>1.1292605133667656E-4</c:v>
                </c:pt>
                <c:pt idx="368">
                  <c:v>1.1569249172850308E-4</c:v>
                </c:pt>
                <c:pt idx="369">
                  <c:v>1.1846802991429708E-4</c:v>
                </c:pt>
                <c:pt idx="370">
                  <c:v>1.2684910094630137E-4</c:v>
                </c:pt>
                <c:pt idx="371">
                  <c:v>1.2966090001878154E-4</c:v>
                </c:pt>
                <c:pt idx="372">
                  <c:v>1.324817317406371E-4</c:v>
                </c:pt>
                <c:pt idx="373">
                  <c:v>1.353115830829494E-4</c:v>
                </c:pt>
                <c:pt idx="374">
                  <c:v>1.3815044101680001E-4</c:v>
                </c:pt>
                <c:pt idx="375">
                  <c:v>1.4672092407839633E-4</c:v>
                </c:pt>
                <c:pt idx="376">
                  <c:v>1.4959567808921467E-4</c:v>
                </c:pt>
                <c:pt idx="377">
                  <c:v>1.5247937354697904E-4</c:v>
                </c:pt>
                <c:pt idx="378">
                  <c:v>1.5537199742277045E-4</c:v>
                </c:pt>
                <c:pt idx="379">
                  <c:v>1.5827353668767071E-4</c:v>
                </c:pt>
                <c:pt idx="380">
                  <c:v>1.6703151652783848E-4</c:v>
                </c:pt>
                <c:pt idx="381">
                  <c:v>1.6996858705998859E-4</c:v>
                </c:pt>
                <c:pt idx="382">
                  <c:v>1.7291450783665498E-4</c:v>
                </c:pt>
                <c:pt idx="383">
                  <c:v>1.7586926582891874E-4</c:v>
                </c:pt>
                <c:pt idx="384">
                  <c:v>1.7883284800786195E-4</c:v>
                </c:pt>
                <c:pt idx="385">
                  <c:v>1.8777640937558116E-4</c:v>
                </c:pt>
                <c:pt idx="386">
                  <c:v>1.9077515801205596E-4</c:v>
                </c:pt>
                <c:pt idx="387">
                  <c:v>1.9378266569061728E-4</c:v>
                </c:pt>
                <c:pt idx="388">
                  <c:v>1.9679891938234695E-4</c:v>
                </c:pt>
                <c:pt idx="389">
                  <c:v>1.9982390605832628E-4</c:v>
                </c:pt>
                <c:pt idx="390">
                  <c:v>2.0895113370257662E-4</c:v>
                </c:pt>
                <c:pt idx="391">
                  <c:v>2.1201092202636953E-4</c:v>
                </c:pt>
                <c:pt idx="392">
                  <c:v>2.1507937818981922E-4</c:v>
                </c:pt>
                <c:pt idx="393">
                  <c:v>2.1815648916400786E-4</c:v>
                </c:pt>
                <c:pt idx="394">
                  <c:v>2.2124224192001629E-4</c:v>
                </c:pt>
                <c:pt idx="395">
                  <c:v>2.3055122058977779E-4</c:v>
                </c:pt>
                <c:pt idx="396">
                  <c:v>2.3367141018388194E-4</c:v>
                </c:pt>
                <c:pt idx="397">
                  <c:v>2.3680017641521329E-4</c:v>
                </c:pt>
                <c:pt idx="398">
                  <c:v>2.3993750625485411E-4</c:v>
                </c:pt>
                <c:pt idx="399">
                  <c:v>2.4308338667388511E-4</c:v>
                </c:pt>
                <c:pt idx="400">
                  <c:v>2.5257220111813729E-4</c:v>
                </c:pt>
                <c:pt idx="401">
                  <c:v>2.5575215356554552E-4</c:v>
                </c:pt>
                <c:pt idx="402">
                  <c:v>2.5894059144775214E-4</c:v>
                </c:pt>
                <c:pt idx="403">
                  <c:v>2.6213750173583828E-4</c:v>
                </c:pt>
                <c:pt idx="404">
                  <c:v>2.6534287140088516E-4</c:v>
                </c:pt>
                <c:pt idx="405">
                  <c:v>2.8149615436838852E-4</c:v>
                </c:pt>
                <c:pt idx="406">
                  <c:v>2.8475200668791301E-4</c:v>
                </c:pt>
                <c:pt idx="407">
                  <c:v>2.880162271819693E-4</c:v>
                </c:pt>
                <c:pt idx="408">
                  <c:v>3.0115653032513874E-4</c:v>
                </c:pt>
                <c:pt idx="409">
                  <c:v>3.0446239625807488E-4</c:v>
                </c:pt>
                <c:pt idx="410">
                  <c:v>3.0777655219203141E-4</c:v>
                </c:pt>
                <c:pt idx="411">
                  <c:v>3.1109898509809012E-4</c:v>
                </c:pt>
                <c:pt idx="412">
                  <c:v>3.2111581535969216E-4</c:v>
                </c:pt>
                <c:pt idx="413">
                  <c:v>3.2447122586497354E-4</c:v>
                </c:pt>
                <c:pt idx="414">
                  <c:v>3.2783484819776446E-4</c:v>
                </c:pt>
                <c:pt idx="415">
                  <c:v>3.3120666932914605E-4</c:v>
                </c:pt>
                <c:pt idx="416">
                  <c:v>3.3458667623019987E-4</c:v>
                </c:pt>
                <c:pt idx="417">
                  <c:v>3.4477568126221208E-4</c:v>
                </c:pt>
                <c:pt idx="418">
                  <c:v>3.4818830095277066E-4</c:v>
                </c:pt>
                <c:pt idx="419">
                  <c:v>3.5160904126840917E-4</c:v>
                </c:pt>
                <c:pt idx="420">
                  <c:v>3.5503788918020938E-4</c:v>
                </c:pt>
                <c:pt idx="421">
                  <c:v>3.5847483165925233E-4</c:v>
                </c:pt>
                <c:pt idx="422">
                  <c:v>3.6883409621065328E-4</c:v>
                </c:pt>
                <c:pt idx="423">
                  <c:v>3.7230328666948279E-4</c:v>
                </c:pt>
                <c:pt idx="424">
                  <c:v>3.7578050655096278E-4</c:v>
                </c:pt>
                <c:pt idx="425">
                  <c:v>3.7926574282617432E-4</c:v>
                </c:pt>
                <c:pt idx="426">
                  <c:v>3.8275898246619908E-4</c:v>
                </c:pt>
                <c:pt idx="427">
                  <c:v>3.9328659128596926E-4</c:v>
                </c:pt>
                <c:pt idx="428">
                  <c:v>3.968117140960624E-4</c:v>
                </c:pt>
                <c:pt idx="429">
                  <c:v>4.0034477512637678E-4</c:v>
                </c:pt>
                <c:pt idx="430">
                  <c:v>4.0388576134799337E-4</c:v>
                </c:pt>
                <c:pt idx="431">
                  <c:v>4.0743465973199357E-4</c:v>
                </c:pt>
                <c:pt idx="432">
                  <c:v>4.1812869756911242E-4</c:v>
                </c:pt>
                <c:pt idx="433">
                  <c:v>4.2170911431346303E-4</c:v>
                </c:pt>
                <c:pt idx="434">
                  <c:v>4.2529737807560472E-4</c:v>
                </c:pt>
                <c:pt idx="435">
                  <c:v>4.2889347582661917E-4</c:v>
                </c:pt>
                <c:pt idx="436">
                  <c:v>4.324973945375882E-4</c:v>
                </c:pt>
                <c:pt idx="437">
                  <c:v>4.4335594614103551E-4</c:v>
                </c:pt>
                <c:pt idx="438">
                  <c:v>4.4699101840263628E-4</c:v>
                </c:pt>
                <c:pt idx="439">
                  <c:v>4.5063384647959901E-4</c:v>
                </c:pt>
                <c:pt idx="440">
                  <c:v>4.5428441734300521E-4</c:v>
                </c:pt>
                <c:pt idx="441">
                  <c:v>4.5794271796393562E-4</c:v>
                </c:pt>
                <c:pt idx="442">
                  <c:v>4.6896386808269121E-4</c:v>
                </c:pt>
                <c:pt idx="443">
                  <c:v>4.7265295744453555E-4</c:v>
                </c:pt>
                <c:pt idx="444">
                  <c:v>4.7634971141931223E-4</c:v>
                </c:pt>
                <c:pt idx="445">
                  <c:v>4.8005411697810287E-4</c:v>
                </c:pt>
                <c:pt idx="446">
                  <c:v>4.837661610919886E-4</c:v>
                </c:pt>
                <c:pt idx="447">
                  <c:v>4.9494799447503187E-4</c:v>
                </c:pt>
                <c:pt idx="448">
                  <c:v>4.9869046252011345E-4</c:v>
                </c:pt>
                <c:pt idx="449">
                  <c:v>5.0244050397569781E-4</c:v>
                </c:pt>
                <c:pt idx="450">
                  <c:v>5.0619810581286587E-4</c:v>
                </c:pt>
                <c:pt idx="451">
                  <c:v>5.0996325500269972E-4</c:v>
                </c:pt>
                <c:pt idx="452">
                  <c:v>5.2130385639901126E-4</c:v>
                </c:pt>
                <c:pt idx="453">
                  <c:v>5.250990647103225E-4</c:v>
                </c:pt>
                <c:pt idx="454">
                  <c:v>5.2890175522970714E-4</c:v>
                </c:pt>
                <c:pt idx="455">
                  <c:v>5.3271191492824661E-4</c:v>
                </c:pt>
                <c:pt idx="456">
                  <c:v>5.3652953077702238E-4</c:v>
                </c:pt>
                <c:pt idx="457">
                  <c:v>5.4802698493558043E-4</c:v>
                </c:pt>
                <c:pt idx="458">
                  <c:v>5.5187429509611556E-4</c:v>
                </c:pt>
                <c:pt idx="459">
                  <c:v>5.5572899626229447E-4</c:v>
                </c:pt>
                <c:pt idx="460">
                  <c:v>5.5959107540519794E-4</c:v>
                </c:pt>
                <c:pt idx="461">
                  <c:v>5.634605194959081E-4</c:v>
                </c:pt>
                <c:pt idx="462">
                  <c:v>5.7511291116569348E-4</c:v>
                </c:pt>
                <c:pt idx="463">
                  <c:v>5.7901168475844498E-4</c:v>
                </c:pt>
                <c:pt idx="464">
                  <c:v>5.8291775815441074E-4</c:v>
                </c:pt>
                <c:pt idx="465">
                  <c:v>5.8683111832467222E-4</c:v>
                </c:pt>
                <c:pt idx="466">
                  <c:v>5.9075175224031033E-4</c:v>
                </c:pt>
                <c:pt idx="467">
                  <c:v>6.0255716617030265E-4</c:v>
                </c:pt>
                <c:pt idx="468">
                  <c:v>6.0650676477826441E-4</c:v>
                </c:pt>
                <c:pt idx="469">
                  <c:v>6.1046357198701016E-4</c:v>
                </c:pt>
                <c:pt idx="470">
                  <c:v>6.1442757476762213E-4</c:v>
                </c:pt>
                <c:pt idx="471">
                  <c:v>6.3435506623652502E-4</c:v>
                </c:pt>
                <c:pt idx="472">
                  <c:v>6.3836196884104477E-4</c:v>
                </c:pt>
                <c:pt idx="473">
                  <c:v>6.4237597581500111E-4</c:v>
                </c:pt>
                <c:pt idx="474">
                  <c:v>6.4639707412947485E-4</c:v>
                </c:pt>
                <c:pt idx="475">
                  <c:v>6.5850278682682022E-4</c:v>
                </c:pt>
                <c:pt idx="476">
                  <c:v>6.625521202141809E-4</c:v>
                </c:pt>
                <c:pt idx="477">
                  <c:v>6.6660847979746723E-4</c:v>
                </c:pt>
                <c:pt idx="478">
                  <c:v>6.7067185254776054E-4</c:v>
                </c:pt>
                <c:pt idx="479">
                  <c:v>6.7474222543614261E-4</c:v>
                </c:pt>
                <c:pt idx="480">
                  <c:v>6.8699521464063342E-4</c:v>
                </c:pt>
                <c:pt idx="481">
                  <c:v>6.9109345779218409E-4</c:v>
                </c:pt>
                <c:pt idx="482">
                  <c:v>6.9519863593723089E-4</c:v>
                </c:pt>
                <c:pt idx="483">
                  <c:v>6.9931073604685451E-4</c:v>
                </c:pt>
                <c:pt idx="484">
                  <c:v>7.0342974509213707E-4</c:v>
                </c:pt>
                <c:pt idx="485">
                  <c:v>7.1582809555275424E-4</c:v>
                </c:pt>
                <c:pt idx="486">
                  <c:v>7.1997461005148748E-4</c:v>
                </c:pt>
                <c:pt idx="487">
                  <c:v>7.2412796834128701E-4</c:v>
                </c:pt>
                <c:pt idx="488">
                  <c:v>7.2828815739323495E-4</c:v>
                </c:pt>
                <c:pt idx="489">
                  <c:v>7.3245516417841199E-4</c:v>
                </c:pt>
                <c:pt idx="490">
                  <c:v>7.4499696064413417E-4</c:v>
                </c:pt>
                <c:pt idx="491">
                  <c:v>7.5339200809059024E-4</c:v>
                </c:pt>
                <c:pt idx="492">
                  <c:v>7.5759964766785475E-4</c:v>
                </c:pt>
                <c:pt idx="493">
                  <c:v>7.6181401377591897E-4</c:v>
                </c:pt>
                <c:pt idx="494">
                  <c:v>7.7449734099572663E-4</c:v>
                </c:pt>
                <c:pt idx="495">
                  <c:v>7.7873848293780515E-4</c:v>
                </c:pt>
                <c:pt idx="496">
                  <c:v>7.829862862660914E-4</c:v>
                </c:pt>
                <c:pt idx="497">
                  <c:v>7.8724073795166649E-4</c:v>
                </c:pt>
                <c:pt idx="498">
                  <c:v>7.9150182496561146E-4</c:v>
                </c:pt>
                <c:pt idx="499">
                  <c:v>8.043247676884841E-4</c:v>
                </c:pt>
                <c:pt idx="500">
                  <c:v>8.0861226572672557E-4</c:v>
                </c:pt>
                <c:pt idx="501">
                  <c:v>8.1290633394874448E-4</c:v>
                </c:pt>
                <c:pt idx="502">
                  <c:v>8.1720695932562275E-4</c:v>
                </c:pt>
                <c:pt idx="503">
                  <c:v>8.2151412882844202E-4</c:v>
                </c:pt>
                <c:pt idx="504">
                  <c:v>8.3447477180335872E-4</c:v>
                </c:pt>
                <c:pt idx="505">
                  <c:v>8.3880798752075615E-4</c:v>
                </c:pt>
                <c:pt idx="506">
                  <c:v>8.4314768221950163E-4</c:v>
                </c:pt>
                <c:pt idx="507">
                  <c:v>8.4749384287067706E-4</c:v>
                </c:pt>
                <c:pt idx="508">
                  <c:v>8.5184645644536313E-4</c:v>
                </c:pt>
                <c:pt idx="509">
                  <c:v>8.6494288442130458E-4</c:v>
                </c:pt>
                <c:pt idx="510">
                  <c:v>8.6932117940085067E-4</c:v>
                </c:pt>
                <c:pt idx="511">
                  <c:v>8.7370586215931531E-4</c:v>
                </c:pt>
                <c:pt idx="512">
                  <c:v>8.7809691966778071E-4</c:v>
                </c:pt>
                <c:pt idx="513">
                  <c:v>8.8249433889732757E-4</c:v>
                </c:pt>
                <c:pt idx="514">
                  <c:v>8.9572463662327296E-4</c:v>
                </c:pt>
                <c:pt idx="515">
                  <c:v>9.0014737154563487E-4</c:v>
                </c:pt>
                <c:pt idx="516">
                  <c:v>9.0457639763052479E-4</c:v>
                </c:pt>
                <c:pt idx="517">
                  <c:v>9.0901169643506363E-4</c:v>
                </c:pt>
                <c:pt idx="518">
                  <c:v>9.134532495163717E-4</c:v>
                </c:pt>
                <c:pt idx="519">
                  <c:v>9.2681524999211511E-4</c:v>
                </c:pt>
                <c:pt idx="520">
                  <c:v>9.3128163575170557E-4</c:v>
                </c:pt>
                <c:pt idx="521">
                  <c:v>9.3575418357366789E-4</c:v>
                </c:pt>
                <c:pt idx="522">
                  <c:v>9.4023287501512269E-4</c:v>
                </c:pt>
                <c:pt idx="523">
                  <c:v>9.4471769163319036E-4</c:v>
                </c:pt>
                <c:pt idx="524">
                  <c:v>9.5820870811827582E-4</c:v>
                </c:pt>
                <c:pt idx="525">
                  <c:v>9.6271784101400072E-4</c:v>
                </c:pt>
                <c:pt idx="526">
                  <c:v>9.6723300687194059E-4</c:v>
                </c:pt>
                <c:pt idx="527">
                  <c:v>9.7175418724921735E-4</c:v>
                </c:pt>
                <c:pt idx="528">
                  <c:v>9.7628136370295064E-4</c:v>
                </c:pt>
                <c:pt idx="529">
                  <c:v>9.8989868509409616E-4</c:v>
                </c:pt>
                <c:pt idx="530">
                  <c:v>9.9444966142486183E-4</c:v>
                </c:pt>
                <c:pt idx="531">
                  <c:v>9.9900654161768558E-4</c:v>
                </c:pt>
                <c:pt idx="532">
                  <c:v>1.0035693072296902E-3</c:v>
                </c:pt>
                <c:pt idx="533">
                  <c:v>1.0081379398179946E-3</c:v>
                </c:pt>
                <c:pt idx="534">
                  <c:v>1.0218788550119173E-3</c:v>
                </c:pt>
                <c:pt idx="535">
                  <c:v>1.0264707710766292E-3</c:v>
                </c:pt>
                <c:pt idx="536">
                  <c:v>1.0310684619032444E-3</c:v>
                </c:pt>
                <c:pt idx="537">
                  <c:v>1.0356719090488828E-3</c:v>
                </c:pt>
                <c:pt idx="538">
                  <c:v>1.0402810940706648E-3</c:v>
                </c:pt>
                <c:pt idx="539">
                  <c:v>1.0541428919640819E-3</c:v>
                </c:pt>
                <c:pt idx="540">
                  <c:v>1.0587748440616465E-3</c:v>
                </c:pt>
                <c:pt idx="541">
                  <c:v>1.0634124418209578E-3</c:v>
                </c:pt>
                <c:pt idx="542">
                  <c:v>1.0680556667991361E-3</c:v>
                </c:pt>
                <c:pt idx="543">
                  <c:v>1.0727045005533024E-3</c:v>
                </c:pt>
                <c:pt idx="544">
                  <c:v>1.0866844700429328E-3</c:v>
                </c:pt>
                <c:pt idx="545">
                  <c:v>1.0913555544722548E-3</c:v>
                </c:pt>
                <c:pt idx="546">
                  <c:v>1.0960321554631684E-3</c:v>
                </c:pt>
                <c:pt idx="547">
                  <c:v>1.100714254572793E-3</c:v>
                </c:pt>
                <c:pt idx="548">
                  <c:v>1.1054018333582487E-3</c:v>
                </c:pt>
                <c:pt idx="549">
                  <c:v>1.1194972633408102E-3</c:v>
                </c:pt>
                <c:pt idx="550">
                  <c:v>1.1242065764007977E-3</c:v>
                </c:pt>
                <c:pt idx="551">
                  <c:v>1.1289212769222193E-3</c:v>
                </c:pt>
                <c:pt idx="552">
                  <c:v>1.1336413464621948E-3</c:v>
                </c:pt>
                <c:pt idx="553">
                  <c:v>1.1383667665778464E-3</c:v>
                </c:pt>
                <c:pt idx="554">
                  <c:v>1.1525749459500576E-3</c:v>
                </c:pt>
                <c:pt idx="555">
                  <c:v>1.1573215839396156E-3</c:v>
                </c:pt>
                <c:pt idx="556">
                  <c:v>1.1620734802904504E-3</c:v>
                </c:pt>
                <c:pt idx="557">
                  <c:v>1.1668306165596848E-3</c:v>
                </c:pt>
                <c:pt idx="558">
                  <c:v>1.171592974304437E-3</c:v>
                </c:pt>
                <c:pt idx="559">
                  <c:v>1.1859111919630156E-3</c:v>
                </c:pt>
                <c:pt idx="560">
                  <c:v>1.1906942511810499E-3</c:v>
                </c:pt>
                <c:pt idx="561">
                  <c:v>1.1954824396602057E-3</c:v>
                </c:pt>
                <c:pt idx="562">
                  <c:v>1.2002757389576037E-3</c:v>
                </c:pt>
                <c:pt idx="563">
                  <c:v>1.2050741306303637E-3</c:v>
                </c:pt>
                <c:pt idx="564">
                  <c:v>1.2194996754720264E-3</c:v>
                </c:pt>
                <c:pt idx="565">
                  <c:v>1.2243182522174434E-3</c:v>
                </c:pt>
                <c:pt idx="566">
                  <c:v>1.2291418291238254E-3</c:v>
                </c:pt>
                <c:pt idx="567">
                  <c:v>1.2339703877482934E-3</c:v>
                </c:pt>
                <c:pt idx="568">
                  <c:v>1.2388039096479675E-3</c:v>
                </c:pt>
                <c:pt idx="569">
                  <c:v>1.2533340705694334E-3</c:v>
                </c:pt>
                <c:pt idx="570">
                  <c:v>1.2581872611411378E-3</c:v>
                </c:pt>
                <c:pt idx="571">
                  <c:v>1.2630453227736517E-3</c:v>
                </c:pt>
                <c:pt idx="572">
                  <c:v>1.2679082370240955E-3</c:v>
                </c:pt>
                <c:pt idx="573">
                  <c:v>1.2727759854495894E-3</c:v>
                </c:pt>
                <c:pt idx="574">
                  <c:v>1.2874080513475771E-3</c:v>
                </c:pt>
                <c:pt idx="575">
                  <c:v>1.2922949520444756E-3</c:v>
                </c:pt>
                <c:pt idx="576">
                  <c:v>1.2971865947020282E-3</c:v>
                </c:pt>
                <c:pt idx="577">
                  <c:v>1.3020829608773529E-3</c:v>
                </c:pt>
                <c:pt idx="578">
                  <c:v>1.3069840321275725E-3</c:v>
                </c:pt>
                <c:pt idx="579">
                  <c:v>1.3217152918987988E-3</c:v>
                </c:pt>
                <c:pt idx="580">
                  <c:v>1.3266349990197989E-3</c:v>
                </c:pt>
                <c:pt idx="581">
                  <c:v>1.3315593190012954E-3</c:v>
                </c:pt>
                <c:pt idx="582">
                  <c:v>1.3364882334004078E-3</c:v>
                </c:pt>
                <c:pt idx="583">
                  <c:v>1.3414217237742588E-3</c:v>
                </c:pt>
                <c:pt idx="584">
                  <c:v>1.3562494663154415E-3</c:v>
                </c:pt>
                <c:pt idx="585">
                  <c:v>1.3612010761594477E-3</c:v>
                </c:pt>
                <c:pt idx="586">
                  <c:v>1.3661571697637944E-3</c:v>
                </c:pt>
                <c:pt idx="587">
                  <c:v>1.3711177286856017E-3</c:v>
                </c:pt>
                <c:pt idx="588">
                  <c:v>1.3760827344819902E-3</c:v>
                </c:pt>
                <c:pt idx="589">
                  <c:v>1.3910042486898466E-3</c:v>
                </c:pt>
                <c:pt idx="590">
                  <c:v>1.3959868575557656E-3</c:v>
                </c:pt>
                <c:pt idx="591">
                  <c:v>1.4009738210818681E-3</c:v>
                </c:pt>
                <c:pt idx="592">
                  <c:v>1.4059651208252753E-3</c:v>
                </c:pt>
                <c:pt idx="593">
                  <c:v>1.4109607383431071E-3</c:v>
                </c:pt>
                <c:pt idx="594">
                  <c:v>1.4259733131143577E-3</c:v>
                </c:pt>
                <c:pt idx="595">
                  <c:v>1.4309860173010946E-3</c:v>
                </c:pt>
                <c:pt idx="596">
                  <c:v>1.4360029470478583E-3</c:v>
                </c:pt>
                <c:pt idx="597">
                  <c:v>1.4410240839117711E-3</c:v>
                </c:pt>
                <c:pt idx="598">
                  <c:v>1.4460494094499529E-3</c:v>
                </c:pt>
                <c:pt idx="599">
                  <c:v>1.4611503336813148E-3</c:v>
                </c:pt>
                <c:pt idx="600">
                  <c:v>1.4661922294877763E-3</c:v>
                </c:pt>
                <c:pt idx="601">
                  <c:v>1.4712382217541085E-3</c:v>
                </c:pt>
                <c:pt idx="602">
                  <c:v>1.4762882920374332E-3</c:v>
                </c:pt>
                <c:pt idx="603">
                  <c:v>1.4813424218948692E-3</c:v>
                </c:pt>
                <c:pt idx="604">
                  <c:v>1.49652898448306E-3</c:v>
                </c:pt>
                <c:pt idx="605">
                  <c:v>1.5015991682081518E-3</c:v>
                </c:pt>
                <c:pt idx="606">
                  <c:v>1.5066733192929586E-3</c:v>
                </c:pt>
                <c:pt idx="607">
                  <c:v>1.5117514192946003E-3</c:v>
                </c:pt>
                <c:pt idx="608">
                  <c:v>1.5168334497701985E-3</c:v>
                </c:pt>
                <c:pt idx="609">
                  <c:v>1.5321029396119354E-3</c:v>
                </c:pt>
                <c:pt idx="610">
                  <c:v>1.5372005075545636E-3</c:v>
                </c:pt>
                <c:pt idx="611">
                  <c:v>1.5423019137567504E-3</c:v>
                </c:pt>
                <c:pt idx="612">
                  <c:v>1.5474071397756169E-3</c:v>
                </c:pt>
                <c:pt idx="613">
                  <c:v>1.5525161671682828E-3</c:v>
                </c:pt>
                <c:pt idx="614">
                  <c:v>1.5678658731602842E-3</c:v>
                </c:pt>
                <c:pt idx="615">
                  <c:v>1.5729899216193539E-3</c:v>
                </c:pt>
                <c:pt idx="616">
                  <c:v>1.578117679237827E-3</c:v>
                </c:pt>
                <c:pt idx="617">
                  <c:v>1.5832491275728229E-3</c:v>
                </c:pt>
                <c:pt idx="618">
                  <c:v>1.5883842481814623E-3</c:v>
                </c:pt>
                <c:pt idx="619">
                  <c:v>1.6038114592204465E-3</c:v>
                </c:pt>
                <c:pt idx="620">
                  <c:v>1.608961084494865E-3</c:v>
                </c:pt>
                <c:pt idx="621">
                  <c:v>1.6141142898285293E-3</c:v>
                </c:pt>
                <c:pt idx="622">
                  <c:v>1.6192710567785608E-3</c:v>
                </c:pt>
                <c:pt idx="623">
                  <c:v>1.6244313669020799E-3</c:v>
                </c:pt>
                <c:pt idx="624">
                  <c:v>1.6399333718847655E-3</c:v>
                </c:pt>
                <c:pt idx="625">
                  <c:v>1.6451076702734386E-3</c:v>
                </c:pt>
                <c:pt idx="626">
                  <c:v>1.6502854196212007E-3</c:v>
                </c:pt>
                <c:pt idx="627">
                  <c:v>1.6554666014851744E-3</c:v>
                </c:pt>
                <c:pt idx="628">
                  <c:v>1.6606511974224779E-3</c:v>
                </c:pt>
                <c:pt idx="629">
                  <c:v>1.6762252852455816E-3</c:v>
                </c:pt>
                <c:pt idx="630">
                  <c:v>1.6814233530474153E-3</c:v>
                </c:pt>
                <c:pt idx="631">
                  <c:v>1.6866247427081819E-3</c:v>
                </c:pt>
                <c:pt idx="632">
                  <c:v>1.6918294357850035E-3</c:v>
                </c:pt>
                <c:pt idx="633">
                  <c:v>1.6970374138349984E-3</c:v>
                </c:pt>
                <c:pt idx="634">
                  <c:v>1.7126808733952384E-3</c:v>
                </c:pt>
                <c:pt idx="635">
                  <c:v>1.717901806909138E-3</c:v>
                </c:pt>
                <c:pt idx="636">
                  <c:v>1.7231259331818149E-3</c:v>
                </c:pt>
                <c:pt idx="637">
                  <c:v>1.7283532337703897E-3</c:v>
                </c:pt>
                <c:pt idx="638">
                  <c:v>1.733583690231983E-3</c:v>
                </c:pt>
                <c:pt idx="639">
                  <c:v>1.7492938104260774E-3</c:v>
                </c:pt>
                <c:pt idx="640">
                  <c:v>1.7545367059509484E-3</c:v>
                </c:pt>
                <c:pt idx="641">
                  <c:v>1.7597826651344415E-3</c:v>
                </c:pt>
                <c:pt idx="642">
                  <c:v>1.7650316695336764E-3</c:v>
                </c:pt>
                <c:pt idx="643">
                  <c:v>1.7702837007057728E-3</c:v>
                </c:pt>
                <c:pt idx="644">
                  <c:v>1.7860577704304408E-3</c:v>
                </c:pt>
                <c:pt idx="645">
                  <c:v>1.7913217242651902E-3</c:v>
                </c:pt>
                <c:pt idx="646">
                  <c:v>1.7965886126584051E-3</c:v>
                </c:pt>
                <c:pt idx="647">
                  <c:v>1.8018584171672046E-3</c:v>
                </c:pt>
                <c:pt idx="648">
                  <c:v>1.8071311193487104E-3</c:v>
                </c:pt>
                <c:pt idx="649">
                  <c:v>1.8229664275006688E-3</c:v>
                </c:pt>
                <c:pt idx="650">
                  <c:v>1.8282505359442033E-3</c:v>
                </c:pt>
                <c:pt idx="651">
                  <c:v>1.8335374498460464E-3</c:v>
                </c:pt>
                <c:pt idx="652">
                  <c:v>1.8388271507633175E-3</c:v>
                </c:pt>
                <c:pt idx="653">
                  <c:v>1.8441196202531387E-3</c:v>
                </c:pt>
                <c:pt idx="654">
                  <c:v>1.8600134557291046E-3</c:v>
                </c:pt>
                <c:pt idx="655">
                  <c:v>1.8653168150803295E-3</c:v>
                </c:pt>
                <c:pt idx="656">
                  <c:v>1.8706228507897064E-3</c:v>
                </c:pt>
                <c:pt idx="657">
                  <c:v>1.875931544414356E-3</c:v>
                </c:pt>
                <c:pt idx="658">
                  <c:v>1.8812428775113988E-3</c:v>
                </c:pt>
                <c:pt idx="659">
                  <c:v>1.8971925292080901E-3</c:v>
                </c:pt>
                <c:pt idx="660">
                  <c:v>1.9131652722126616E-3</c:v>
                </c:pt>
                <c:pt idx="661">
                  <c:v>1.9184945652158316E-3</c:v>
                </c:pt>
                <c:pt idx="662">
                  <c:v>1.9344973220299683E-3</c:v>
                </c:pt>
                <c:pt idx="663">
                  <c:v>1.9451780403144533E-3</c:v>
                </c:pt>
                <c:pt idx="664">
                  <c:v>1.9505220082505765E-3</c:v>
                </c:pt>
                <c:pt idx="665">
                  <c:v>1.95586835745878E-3</c:v>
                </c:pt>
                <c:pt idx="666">
                  <c:v>1.9719215082870797E-3</c:v>
                </c:pt>
                <c:pt idx="667">
                  <c:v>1.9772771981548106E-3</c:v>
                </c:pt>
                <c:pt idx="668">
                  <c:v>1.982635177080225E-3</c:v>
                </c:pt>
                <c:pt idx="669">
                  <c:v>1.9879954266204436E-3</c:v>
                </c:pt>
                <c:pt idx="670">
                  <c:v>1.9933579283325856E-3</c:v>
                </c:pt>
                <c:pt idx="671">
                  <c:v>2.0094587620717659E-3</c:v>
                </c:pt>
                <c:pt idx="672">
                  <c:v>2.0148300880428113E-3</c:v>
                </c:pt>
                <c:pt idx="673">
                  <c:v>2.0202035739713842E-3</c:v>
                </c:pt>
                <c:pt idx="674">
                  <c:v>2.0255792014146033E-3</c:v>
                </c:pt>
                <c:pt idx="675">
                  <c:v>2.0309569519295916E-3</c:v>
                </c:pt>
                <c:pt idx="676">
                  <c:v>2.0471027574763688E-3</c:v>
                </c:pt>
                <c:pt idx="677">
                  <c:v>2.0524888158496351E-3</c:v>
                </c:pt>
                <c:pt idx="678">
                  <c:v>2.0578769050802713E-3</c:v>
                </c:pt>
                <c:pt idx="679">
                  <c:v>2.063267006725399E-3</c:v>
                </c:pt>
                <c:pt idx="680">
                  <c:v>2.0686591023421387E-3</c:v>
                </c:pt>
                <c:pt idx="681">
                  <c:v>2.0848471685932326E-3</c:v>
                </c:pt>
                <c:pt idx="682">
                  <c:v>2.0902470556676237E-3</c:v>
                </c:pt>
                <c:pt idx="683">
                  <c:v>2.0956488444992304E-3</c:v>
                </c:pt>
                <c:pt idx="684">
                  <c:v>2.1010525166451715E-3</c:v>
                </c:pt>
                <c:pt idx="685">
                  <c:v>2.1064580536625686E-3</c:v>
                </c:pt>
                <c:pt idx="686">
                  <c:v>2.1226856695146967E-3</c:v>
                </c:pt>
                <c:pt idx="687">
                  <c:v>2.1280984815891207E-3</c:v>
                </c:pt>
                <c:pt idx="688">
                  <c:v>2.1335130663206032E-3</c:v>
                </c:pt>
                <c:pt idx="689">
                  <c:v>2.1389294052662632E-3</c:v>
                </c:pt>
                <c:pt idx="690">
                  <c:v>2.1443474799832233E-3</c:v>
                </c:pt>
                <c:pt idx="691">
                  <c:v>2.1606119343331046E-3</c:v>
                </c:pt>
                <c:pt idx="692">
                  <c:v>2.1660367677064666E-3</c:v>
                </c:pt>
                <c:pt idx="693">
                  <c:v>2.1714632446367304E-3</c:v>
                </c:pt>
                <c:pt idx="694">
                  <c:v>2.1768913466810166E-3</c:v>
                </c:pt>
                <c:pt idx="695">
                  <c:v>2.1823210553964462E-3</c:v>
                </c:pt>
                <c:pt idx="696">
                  <c:v>2.1986196371407965E-3</c:v>
                </c:pt>
                <c:pt idx="697">
                  <c:v>2.204055588112003E-3</c:v>
                </c:pt>
                <c:pt idx="698">
                  <c:v>2.2094930535399553E-3</c:v>
                </c:pt>
                <c:pt idx="699">
                  <c:v>2.2149320149817725E-3</c:v>
                </c:pt>
                <c:pt idx="700">
                  <c:v>2.2203724539945776E-3</c:v>
                </c:pt>
                <c:pt idx="701">
                  <c:v>2.2367024520301157E-3</c:v>
                </c:pt>
                <c:pt idx="702">
                  <c:v>2.2421486168980728E-3</c:v>
                </c:pt>
                <c:pt idx="703">
                  <c:v>2.2475961671226184E-3</c:v>
                </c:pt>
                <c:pt idx="704">
                  <c:v>2.2530450842608734E-3</c:v>
                </c:pt>
                <c:pt idx="705">
                  <c:v>2.2584953498699599E-3</c:v>
                </c:pt>
                <c:pt idx="706">
                  <c:v>2.2748540530934049E-3</c:v>
                </c:pt>
                <c:pt idx="707">
                  <c:v>2.2803095281570176E-3</c:v>
                </c:pt>
                <c:pt idx="708">
                  <c:v>2.2857662594770621E-3</c:v>
                </c:pt>
                <c:pt idx="709">
                  <c:v>2.2912242286106613E-3</c:v>
                </c:pt>
                <c:pt idx="710">
                  <c:v>2.2966834171149349E-3</c:v>
                </c:pt>
                <c:pt idx="711">
                  <c:v>2.3130681144230033E-3</c:v>
                </c:pt>
                <c:pt idx="712">
                  <c:v>2.3185319959811782E-3</c:v>
                </c:pt>
                <c:pt idx="713">
                  <c:v>2.3239970046956301E-3</c:v>
                </c:pt>
                <c:pt idx="714">
                  <c:v>2.3294631221234788E-3</c:v>
                </c:pt>
                <c:pt idx="715">
                  <c:v>2.3349303298218446E-3</c:v>
                </c:pt>
                <c:pt idx="716">
                  <c:v>2.3513383101112562E-3</c:v>
                </c:pt>
                <c:pt idx="717">
                  <c:v>2.3568096944628992E-3</c:v>
                </c:pt>
                <c:pt idx="718">
                  <c:v>2.3622820768706616E-3</c:v>
                </c:pt>
                <c:pt idx="719">
                  <c:v>2.3677554388916657E-3</c:v>
                </c:pt>
                <c:pt idx="720">
                  <c:v>2.3732297620830318E-3</c:v>
                </c:pt>
                <c:pt idx="721">
                  <c:v>2.3896583142505026E-3</c:v>
                </c:pt>
                <c:pt idx="722">
                  <c:v>2.3951362976945192E-3</c:v>
                </c:pt>
                <c:pt idx="723">
                  <c:v>2.4006151500945007E-3</c:v>
                </c:pt>
                <c:pt idx="724">
                  <c:v>2.4060948530075662E-3</c:v>
                </c:pt>
                <c:pt idx="725">
                  <c:v>2.4115753879908369E-3</c:v>
                </c:pt>
                <c:pt idx="726">
                  <c:v>2.4280218009330853E-3</c:v>
                </c:pt>
                <c:pt idx="727">
                  <c:v>2.433505479768382E-3</c:v>
                </c:pt>
                <c:pt idx="728">
                  <c:v>2.4389898984594877E-3</c:v>
                </c:pt>
                <c:pt idx="729">
                  <c:v>2.4444750385635206E-3</c:v>
                </c:pt>
                <c:pt idx="730">
                  <c:v>2.4499608816376025E-3</c:v>
                </c:pt>
                <c:pt idx="731">
                  <c:v>2.4664224442513477E-3</c:v>
                </c:pt>
                <c:pt idx="732">
                  <c:v>2.4719109147768306E-3</c:v>
                </c:pt>
                <c:pt idx="733">
                  <c:v>2.4773999960579643E-3</c:v>
                </c:pt>
                <c:pt idx="734">
                  <c:v>2.4828896696518711E-3</c:v>
                </c:pt>
                <c:pt idx="735">
                  <c:v>2.4883799171156705E-3</c:v>
                </c:pt>
                <c:pt idx="736">
                  <c:v>2.5048539182976302E-3</c:v>
                </c:pt>
                <c:pt idx="737">
                  <c:v>2.5103462768122043E-3</c:v>
                </c:pt>
                <c:pt idx="738">
                  <c:v>2.5158391169822747E-3</c:v>
                </c:pt>
                <c:pt idx="739">
                  <c:v>2.5213324203649614E-3</c:v>
                </c:pt>
                <c:pt idx="740">
                  <c:v>2.5488052399668475E-3</c:v>
                </c:pt>
                <c:pt idx="741">
                  <c:v>2.5543009353247597E-3</c:v>
                </c:pt>
                <c:pt idx="742">
                  <c:v>2.559796964795131E-3</c:v>
                </c:pt>
                <c:pt idx="743">
                  <c:v>2.5652933099350821E-3</c:v>
                </c:pt>
                <c:pt idx="744">
                  <c:v>2.5817840549436223E-3</c:v>
                </c:pt>
                <c:pt idx="745">
                  <c:v>2.5872814783331E-3</c:v>
                </c:pt>
                <c:pt idx="746">
                  <c:v>2.5982769770347231E-3</c:v>
                </c:pt>
                <c:pt idx="747">
                  <c:v>2.6037750154611103E-3</c:v>
                </c:pt>
                <c:pt idx="748">
                  <c:v>2.6202700657280177E-3</c:v>
                </c:pt>
                <c:pt idx="749">
                  <c:v>2.6257686660033047E-3</c:v>
                </c:pt>
                <c:pt idx="750">
                  <c:v>2.6312673606336185E-3</c:v>
                </c:pt>
                <c:pt idx="751">
                  <c:v>2.6367661311760796E-3</c:v>
                </c:pt>
                <c:pt idx="752">
                  <c:v>2.6422649591878074E-3</c:v>
                </c:pt>
                <c:pt idx="753">
                  <c:v>2.658761603609801E-3</c:v>
                </c:pt>
                <c:pt idx="754">
                  <c:v>2.6642604770698046E-3</c:v>
                </c:pt>
                <c:pt idx="755">
                  <c:v>2.6697593157846782E-3</c:v>
                </c:pt>
                <c:pt idx="756">
                  <c:v>2.6752581013115419E-3</c:v>
                </c:pt>
                <c:pt idx="757">
                  <c:v>2.6807568152075164E-3</c:v>
                </c:pt>
                <c:pt idx="758">
                  <c:v>2.697252342681315E-3</c:v>
                </c:pt>
                <c:pt idx="759">
                  <c:v>2.7027505856249399E-3</c:v>
                </c:pt>
                <c:pt idx="760">
                  <c:v>2.7082486647232785E-3</c:v>
                </c:pt>
                <c:pt idx="761">
                  <c:v>2.7137465615334521E-3</c:v>
                </c:pt>
                <c:pt idx="762">
                  <c:v>2.719244257612581E-3</c:v>
                </c:pt>
                <c:pt idx="763">
                  <c:v>2.7357359570348997E-3</c:v>
                </c:pt>
                <c:pt idx="764">
                  <c:v>2.7412326657610536E-3</c:v>
                </c:pt>
                <c:pt idx="765">
                  <c:v>2.7467290815417641E-3</c:v>
                </c:pt>
                <c:pt idx="766">
                  <c:v>2.7522251859341523E-3</c:v>
                </c:pt>
                <c:pt idx="767">
                  <c:v>2.7577209604953403E-3</c:v>
                </c:pt>
                <c:pt idx="768">
                  <c:v>2.7742061207628988E-3</c:v>
                </c:pt>
                <c:pt idx="769">
                  <c:v>2.7797003973381289E-3</c:v>
                </c:pt>
                <c:pt idx="770">
                  <c:v>2.7851942864736213E-3</c:v>
                </c:pt>
                <c:pt idx="771">
                  <c:v>2.7906878043323534E-3</c:v>
                </c:pt>
                <c:pt idx="772">
                  <c:v>2.7961809670773068E-3</c:v>
                </c:pt>
                <c:pt idx="773">
                  <c:v>2.8126584862592945E-3</c:v>
                </c:pt>
                <c:pt idx="774">
                  <c:v>2.8181503901789336E-3</c:v>
                </c:pt>
                <c:pt idx="775">
                  <c:v>2.8236420197996943E-3</c:v>
                </c:pt>
                <c:pt idx="776">
                  <c:v>2.8291333912845583E-3</c:v>
                </c:pt>
                <c:pt idx="777">
                  <c:v>2.8346245207965031E-3</c:v>
                </c:pt>
                <c:pt idx="778">
                  <c:v>2.8510966191246327E-3</c:v>
                </c:pt>
                <c:pt idx="779">
                  <c:v>2.856586942374706E-3</c:v>
                </c:pt>
                <c:pt idx="780">
                  <c:v>2.862077104466764E-3</c:v>
                </c:pt>
                <c:pt idx="781">
                  <c:v>2.867567121563783E-3</c:v>
                </c:pt>
                <c:pt idx="782">
                  <c:v>2.8730570098287464E-3</c:v>
                </c:pt>
                <c:pt idx="783">
                  <c:v>2.8895260632610959E-3</c:v>
                </c:pt>
                <c:pt idx="784">
                  <c:v>2.8950155978276324E-3</c:v>
                </c:pt>
                <c:pt idx="785">
                  <c:v>2.9005050843770126E-3</c:v>
                </c:pt>
                <c:pt idx="786">
                  <c:v>2.9059945390722155E-3</c:v>
                </c:pt>
                <c:pt idx="787">
                  <c:v>2.9114839780762232E-3</c:v>
                </c:pt>
                <c:pt idx="788">
                  <c:v>2.9279523625708715E-3</c:v>
                </c:pt>
                <c:pt idx="789">
                  <c:v>2.933441900439896E-3</c:v>
                </c:pt>
                <c:pt idx="790">
                  <c:v>2.938931503432626E-3</c:v>
                </c:pt>
                <c:pt idx="791">
                  <c:v>2.9444211877120395E-3</c:v>
                </c:pt>
                <c:pt idx="792">
                  <c:v>2.9499109694411186E-3</c:v>
                </c:pt>
                <c:pt idx="793">
                  <c:v>2.9663810609561444E-3</c:v>
                </c:pt>
                <c:pt idx="794">
                  <c:v>2.971871394113684E-3</c:v>
                </c:pt>
                <c:pt idx="795">
                  <c:v>2.9773619055357891E-3</c:v>
                </c:pt>
                <c:pt idx="796">
                  <c:v>2.9828526113854404E-3</c:v>
                </c:pt>
                <c:pt idx="797">
                  <c:v>2.9883435278256166E-3</c:v>
                </c:pt>
                <c:pt idx="798">
                  <c:v>3.0048177023191012E-3</c:v>
                </c:pt>
                <c:pt idx="799">
                  <c:v>3.0103096227511823E-3</c:v>
                </c:pt>
                <c:pt idx="800">
                  <c:v>3.0158018345886892E-3</c:v>
                </c:pt>
                <c:pt idx="801">
                  <c:v>3.0212943539946026E-3</c:v>
                </c:pt>
                <c:pt idx="802">
                  <c:v>3.0267871971319041E-3</c:v>
                </c:pt>
                <c:pt idx="803">
                  <c:v>3.0432678305619266E-3</c:v>
                </c:pt>
                <c:pt idx="804">
                  <c:v>3.0487621302545749E-3</c:v>
                </c:pt>
                <c:pt idx="805">
                  <c:v>3.0542568344935107E-3</c:v>
                </c:pt>
                <c:pt idx="806">
                  <c:v>3.0597519594417148E-3</c:v>
                </c:pt>
                <c:pt idx="807">
                  <c:v>3.0652475212621651E-3</c:v>
                </c:pt>
                <c:pt idx="808">
                  <c:v>3.0817369895868056E-3</c:v>
                </c:pt>
                <c:pt idx="809">
                  <c:v>3.0872344605260482E-3</c:v>
                </c:pt>
                <c:pt idx="810">
                  <c:v>3.09273244915244E-3</c:v>
                </c:pt>
                <c:pt idx="811">
                  <c:v>3.0982309716289587E-3</c:v>
                </c:pt>
                <c:pt idx="812">
                  <c:v>3.1037300441185871E-3</c:v>
                </c:pt>
                <c:pt idx="813">
                  <c:v>3.1202307232959235E-3</c:v>
                </c:pt>
                <c:pt idx="814">
                  <c:v>3.1257321574677875E-3</c:v>
                </c:pt>
                <c:pt idx="815">
                  <c:v>3.1312342224676603E-3</c:v>
                </c:pt>
                <c:pt idx="816">
                  <c:v>3.1367369344585229E-3</c:v>
                </c:pt>
                <c:pt idx="817">
                  <c:v>3.1422403096033544E-3</c:v>
                </c:pt>
                <c:pt idx="818">
                  <c:v>3.158754575591467E-3</c:v>
                </c:pt>
                <c:pt idx="819">
                  <c:v>3.1642607649819774E-3</c:v>
                </c:pt>
                <c:pt idx="820">
                  <c:v>3.1697676983413591E-3</c:v>
                </c:pt>
                <c:pt idx="821">
                  <c:v>3.1752753918325902E-3</c:v>
                </c:pt>
                <c:pt idx="822">
                  <c:v>3.1807838616186523E-3</c:v>
                </c:pt>
                <c:pt idx="823">
                  <c:v>3.1973140903756203E-3</c:v>
                </c:pt>
                <c:pt idx="824">
                  <c:v>3.2028258269708059E-3</c:v>
                </c:pt>
                <c:pt idx="825">
                  <c:v>3.2083384206757206E-3</c:v>
                </c:pt>
                <c:pt idx="826">
                  <c:v>3.2138518876533477E-3</c:v>
                </c:pt>
                <c:pt idx="827">
                  <c:v>3.2193662440666662E-3</c:v>
                </c:pt>
                <c:pt idx="828">
                  <c:v>3.2359148115505706E-3</c:v>
                </c:pt>
                <c:pt idx="829">
                  <c:v>3.2414328873364554E-3</c:v>
                </c:pt>
                <c:pt idx="830">
                  <c:v>3.246951933372932E-3</c:v>
                </c:pt>
                <c:pt idx="831">
                  <c:v>3.2524719658229809E-3</c:v>
                </c:pt>
                <c:pt idx="832">
                  <c:v>3.257993000849582E-3</c:v>
                </c:pt>
                <c:pt idx="833">
                  <c:v>3.2745622830185005E-3</c:v>
                </c:pt>
                <c:pt idx="834">
                  <c:v>3.2800874899811122E-3</c:v>
                </c:pt>
                <c:pt idx="835">
                  <c:v>3.2856137803351773E-3</c:v>
                </c:pt>
                <c:pt idx="836">
                  <c:v>3.2911411702436751E-3</c:v>
                </c:pt>
                <c:pt idx="837">
                  <c:v>3.2966696758695855E-3</c:v>
                </c:pt>
                <c:pt idx="838">
                  <c:v>3.3132620486815978E-3</c:v>
                </c:pt>
                <c:pt idx="839">
                  <c:v>3.3187951788069625E-3</c:v>
                </c:pt>
                <c:pt idx="840">
                  <c:v>3.3243295054646415E-3</c:v>
                </c:pt>
                <c:pt idx="841">
                  <c:v>3.3298650448176145E-3</c:v>
                </c:pt>
                <c:pt idx="842">
                  <c:v>3.3354018130288612E-3</c:v>
                </c:pt>
                <c:pt idx="843">
                  <c:v>3.3520196524420478E-3</c:v>
                </c:pt>
                <c:pt idx="844">
                  <c:v>3.3575614977161914E-3</c:v>
                </c:pt>
                <c:pt idx="845">
                  <c:v>3.3631046526635105E-3</c:v>
                </c:pt>
                <c:pt idx="846">
                  <c:v>3.3686491334469853E-3</c:v>
                </c:pt>
                <c:pt idx="847">
                  <c:v>3.3741949562295947E-3</c:v>
                </c:pt>
                <c:pt idx="848">
                  <c:v>3.3908406382020346E-3</c:v>
                </c:pt>
                <c:pt idx="849">
                  <c:v>3.3963919906109846E-3</c:v>
                </c:pt>
                <c:pt idx="850">
                  <c:v>3.4019447658339714E-3</c:v>
                </c:pt>
                <c:pt idx="851">
                  <c:v>3.4074989800339729E-3</c:v>
                </c:pt>
                <c:pt idx="852">
                  <c:v>3.4130546493739717E-3</c:v>
                </c:pt>
                <c:pt idx="853">
                  <c:v>3.4297305498637446E-3</c:v>
                </c:pt>
                <c:pt idx="854">
                  <c:v>3.4352922013935272E-3</c:v>
                </c:pt>
                <c:pt idx="855">
                  <c:v>3.4408553888782083E-3</c:v>
                </c:pt>
                <c:pt idx="856">
                  <c:v>3.4464201284807642E-3</c:v>
                </c:pt>
                <c:pt idx="857">
                  <c:v>3.4519864363641781E-3</c:v>
                </c:pt>
                <c:pt idx="858">
                  <c:v>3.4686949313293622E-3</c:v>
                </c:pt>
                <c:pt idx="859">
                  <c:v>3.474267673966005E-3</c:v>
                </c:pt>
                <c:pt idx="860">
                  <c:v>3.479842065698405E-3</c:v>
                </c:pt>
                <c:pt idx="861">
                  <c:v>3.4854181226895435E-3</c:v>
                </c:pt>
                <c:pt idx="862">
                  <c:v>3.4909958611023984E-3</c:v>
                </c:pt>
                <c:pt idx="863">
                  <c:v>3.5077393265010742E-3</c:v>
                </c:pt>
                <c:pt idx="864">
                  <c:v>3.5133239522306026E-3</c:v>
                </c:pt>
                <c:pt idx="865">
                  <c:v>3.5189103401967498E-3</c:v>
                </c:pt>
                <c:pt idx="866">
                  <c:v>3.5244985065624951E-3</c:v>
                </c:pt>
                <c:pt idx="867">
                  <c:v>3.5300884674908202E-3</c:v>
                </c:pt>
                <c:pt idx="868">
                  <c:v>3.546869279281066E-3</c:v>
                </c:pt>
                <c:pt idx="869">
                  <c:v>3.552466580089507E-3</c:v>
                </c:pt>
                <c:pt idx="870">
                  <c:v>3.5580657562754264E-3</c:v>
                </c:pt>
                <c:pt idx="871">
                  <c:v>3.5636668240018061E-3</c:v>
                </c:pt>
                <c:pt idx="872">
                  <c:v>3.569269799431625E-3</c:v>
                </c:pt>
                <c:pt idx="873">
                  <c:v>3.5860903335715229E-3</c:v>
                </c:pt>
                <c:pt idx="874">
                  <c:v>3.5917011014449012E-3</c:v>
                </c:pt>
                <c:pt idx="875">
                  <c:v>3.5973138578366212E-3</c:v>
                </c:pt>
                <c:pt idx="876">
                  <c:v>3.602928618909661E-3</c:v>
                </c:pt>
                <c:pt idx="877">
                  <c:v>3.6085454008270013E-3</c:v>
                </c:pt>
                <c:pt idx="878">
                  <c:v>3.6254080332746288E-3</c:v>
                </c:pt>
                <c:pt idx="879">
                  <c:v>3.6310330601989739E-3</c:v>
                </c:pt>
                <c:pt idx="880">
                  <c:v>3.6366601887825195E-3</c:v>
                </c:pt>
                <c:pt idx="881">
                  <c:v>3.6422894351882461E-3</c:v>
                </c:pt>
                <c:pt idx="882">
                  <c:v>3.6479208155791349E-3</c:v>
                </c:pt>
                <c:pt idx="883">
                  <c:v>3.6648279222925707E-3</c:v>
                </c:pt>
                <c:pt idx="884">
                  <c:v>3.6704680002539068E-3</c:v>
                </c:pt>
                <c:pt idx="885">
                  <c:v>3.6761102930153054E-3</c:v>
                </c:pt>
                <c:pt idx="886">
                  <c:v>3.6817548167397463E-3</c:v>
                </c:pt>
                <c:pt idx="887">
                  <c:v>3.6874015875902099E-3</c:v>
                </c:pt>
                <c:pt idx="888">
                  <c:v>3.7043555445275332E-3</c:v>
                </c:pt>
                <c:pt idx="889">
                  <c:v>3.7100114655118878E-3</c:v>
                </c:pt>
                <c:pt idx="890">
                  <c:v>3.7156697144371652E-3</c:v>
                </c:pt>
                <c:pt idx="891">
                  <c:v>3.7213303074663463E-3</c:v>
                </c:pt>
                <c:pt idx="892">
                  <c:v>3.7269932607624109E-3</c:v>
                </c:pt>
                <c:pt idx="893">
                  <c:v>3.7439964438817043E-3</c:v>
                </c:pt>
                <c:pt idx="894">
                  <c:v>3.7496689998751027E-3</c:v>
                </c:pt>
                <c:pt idx="895">
                  <c:v>3.7553439969502849E-3</c:v>
                </c:pt>
                <c:pt idx="896">
                  <c:v>3.7610214512702324E-3</c:v>
                </c:pt>
                <c:pt idx="897">
                  <c:v>3.7667013789979237E-3</c:v>
                </c:pt>
                <c:pt idx="898">
                  <c:v>3.7837561642572659E-3</c:v>
                </c:pt>
                <c:pt idx="899">
                  <c:v>3.7894461472457366E-3</c:v>
                </c:pt>
                <c:pt idx="900">
                  <c:v>3.7951386844568506E-3</c:v>
                </c:pt>
                <c:pt idx="901">
                  <c:v>3.8008337920535915E-3</c:v>
                </c:pt>
                <c:pt idx="902">
                  <c:v>3.8065314861989354E-3</c:v>
                </c:pt>
                <c:pt idx="903">
                  <c:v>3.8236402495564056E-3</c:v>
                </c:pt>
                <c:pt idx="904">
                  <c:v>3.8293484515259726E-3</c:v>
                </c:pt>
                <c:pt idx="905">
                  <c:v>3.8350593208590468E-3</c:v>
                </c:pt>
                <c:pt idx="906">
                  <c:v>3.8407728737186063E-3</c:v>
                </c:pt>
                <c:pt idx="907">
                  <c:v>3.846489126267632E-3</c:v>
                </c:pt>
                <c:pt idx="908">
                  <c:v>3.8636542436813071E-3</c:v>
                </c:pt>
                <c:pt idx="909">
                  <c:v>3.8693814566179993E-3</c:v>
                </c:pt>
                <c:pt idx="910">
                  <c:v>3.8751114500590574E-3</c:v>
                </c:pt>
                <c:pt idx="911">
                  <c:v>3.8808442401674632E-3</c:v>
                </c:pt>
                <c:pt idx="912">
                  <c:v>3.8865798431061962E-3</c:v>
                </c:pt>
                <c:pt idx="913">
                  <c:v>3.903803690534158E-3</c:v>
                </c:pt>
                <c:pt idx="914">
                  <c:v>3.9095507064239995E-3</c:v>
                </c:pt>
                <c:pt idx="915">
                  <c:v>3.9268091806168139E-3</c:v>
                </c:pt>
                <c:pt idx="916">
                  <c:v>3.9440941340171433E-3</c:v>
                </c:pt>
                <c:pt idx="917">
                  <c:v>3.949861744846162E-3</c:v>
                </c:pt>
                <c:pt idx="918">
                  <c:v>3.9613744448335183E-3</c:v>
                </c:pt>
                <c:pt idx="919">
                  <c:v>3.9671353204713579E-3</c:v>
                </c:pt>
                <c:pt idx="920">
                  <c:v>3.9844362423318161E-3</c:v>
                </c:pt>
                <c:pt idx="921">
                  <c:v>3.9902093680371422E-3</c:v>
                </c:pt>
                <c:pt idx="922">
                  <c:v>3.9959855963364885E-3</c:v>
                </c:pt>
                <c:pt idx="923">
                  <c:v>4.0017649432607105E-3</c:v>
                </c:pt>
                <c:pt idx="924">
                  <c:v>4.0075474248406663E-3</c:v>
                </c:pt>
                <c:pt idx="925">
                  <c:v>4.0249138378235291E-3</c:v>
                </c:pt>
                <c:pt idx="926">
                  <c:v>4.0307090183350084E-3</c:v>
                </c:pt>
                <c:pt idx="927">
                  <c:v>4.0365074136565135E-3</c:v>
                </c:pt>
                <c:pt idx="928">
                  <c:v>4.0423090398189034E-3</c:v>
                </c:pt>
                <c:pt idx="929">
                  <c:v>4.048113912853037E-3</c:v>
                </c:pt>
                <c:pt idx="930">
                  <c:v>4.0655481734944779E-3</c:v>
                </c:pt>
                <c:pt idx="931">
                  <c:v>4.071366194324166E-3</c:v>
                </c:pt>
                <c:pt idx="932">
                  <c:v>4.0771875421798899E-3</c:v>
                </c:pt>
                <c:pt idx="933">
                  <c:v>4.0830122330925067E-3</c:v>
                </c:pt>
                <c:pt idx="934">
                  <c:v>4.0888402830928736E-3</c:v>
                </c:pt>
                <c:pt idx="935">
                  <c:v>4.1063447479290699E-3</c:v>
                </c:pt>
                <c:pt idx="936">
                  <c:v>4.1121863945890267E-3</c:v>
                </c:pt>
                <c:pt idx="937">
                  <c:v>4.1180314804910266E-3</c:v>
                </c:pt>
                <c:pt idx="938">
                  <c:v>4.1238800216659268E-3</c:v>
                </c:pt>
                <c:pt idx="939">
                  <c:v>4.1297320341445887E-3</c:v>
                </c:pt>
                <c:pt idx="940">
                  <c:v>4.1473090597117139E-3</c:v>
                </c:pt>
                <c:pt idx="941">
                  <c:v>4.1531751177139977E-3</c:v>
                </c:pt>
                <c:pt idx="942">
                  <c:v>4.1590447271743327E-3</c:v>
                </c:pt>
                <c:pt idx="943">
                  <c:v>4.164917904123577E-3</c:v>
                </c:pt>
                <c:pt idx="944">
                  <c:v>4.1707946645925904E-3</c:v>
                </c:pt>
                <c:pt idx="945">
                  <c:v>4.1884466074268217E-3</c:v>
                </c:pt>
                <c:pt idx="946">
                  <c:v>4.1943378622834896E-3</c:v>
                </c:pt>
                <c:pt idx="947">
                  <c:v>4.2002327808142188E-3</c:v>
                </c:pt>
                <c:pt idx="948">
                  <c:v>4.2061313790498654E-3</c:v>
                </c:pt>
                <c:pt idx="949">
                  <c:v>4.2120336730212876E-3</c:v>
                </c:pt>
                <c:pt idx="950">
                  <c:v>4.2297628896587995E-3</c:v>
                </c:pt>
                <c:pt idx="951">
                  <c:v>4.2356801268819124E-3</c:v>
                </c:pt>
                <c:pt idx="952">
                  <c:v>4.2416011399950913E-3</c:v>
                </c:pt>
                <c:pt idx="953">
                  <c:v>4.2475259450291993E-3</c:v>
                </c:pt>
                <c:pt idx="954">
                  <c:v>4.253454558015091E-3</c:v>
                </c:pt>
                <c:pt idx="955">
                  <c:v>4.2712634049920572E-3</c:v>
                </c:pt>
                <c:pt idx="956">
                  <c:v>4.2772074100936724E-3</c:v>
                </c:pt>
                <c:pt idx="957">
                  <c:v>4.2831553033013626E-3</c:v>
                </c:pt>
                <c:pt idx="958">
                  <c:v>4.2891071006459875E-3</c:v>
                </c:pt>
                <c:pt idx="959">
                  <c:v>4.2950628181584061E-3</c:v>
                </c:pt>
                <c:pt idx="960">
                  <c:v>4.3129536520110055E-3</c:v>
                </c:pt>
                <c:pt idx="961">
                  <c:v>4.3189252105031804E-3</c:v>
                </c:pt>
                <c:pt idx="962">
                  <c:v>4.3249007693174392E-3</c:v>
                </c:pt>
                <c:pt idx="963">
                  <c:v>4.3308803444846418E-3</c:v>
                </c:pt>
                <c:pt idx="964">
                  <c:v>4.3368639520356463E-3</c:v>
                </c:pt>
                <c:pt idx="965">
                  <c:v>4.3548391293000517E-3</c:v>
                </c:pt>
                <c:pt idx="966">
                  <c:v>4.3608390266948452E-3</c:v>
                </c:pt>
                <c:pt idx="967">
                  <c:v>4.3668430366277317E-3</c:v>
                </c:pt>
                <c:pt idx="968">
                  <c:v>4.3728511751295702E-3</c:v>
                </c:pt>
                <c:pt idx="969">
                  <c:v>4.3788634582312179E-3</c:v>
                </c:pt>
                <c:pt idx="970">
                  <c:v>4.3969253354436064E-3</c:v>
                </c:pt>
                <c:pt idx="971">
                  <c:v>4.4029543572530758E-3</c:v>
                </c:pt>
                <c:pt idx="972">
                  <c:v>4.4089876038166491E-3</c:v>
                </c:pt>
                <c:pt idx="973">
                  <c:v>4.4150250911651817E-3</c:v>
                </c:pt>
                <c:pt idx="974">
                  <c:v>4.4210668353295316E-3</c:v>
                </c:pt>
                <c:pt idx="975">
                  <c:v>4.4392177690260777E-3</c:v>
                </c:pt>
                <c:pt idx="976">
                  <c:v>4.4452767007622839E-3</c:v>
                </c:pt>
                <c:pt idx="977">
                  <c:v>4.4513399694686004E-3</c:v>
                </c:pt>
                <c:pt idx="978">
                  <c:v>4.4574075911758843E-3</c:v>
                </c:pt>
                <c:pt idx="979">
                  <c:v>4.4634795819149965E-3</c:v>
                </c:pt>
                <c:pt idx="980">
                  <c:v>4.4817219286318738E-3</c:v>
                </c:pt>
                <c:pt idx="981">
                  <c:v>4.4878115558068758E-3</c:v>
                </c:pt>
                <c:pt idx="982">
                  <c:v>4.4939056321679945E-3</c:v>
                </c:pt>
                <c:pt idx="983">
                  <c:v>4.5000041737460889E-3</c:v>
                </c:pt>
                <c:pt idx="984">
                  <c:v>4.5061071965720205E-3</c:v>
                </c:pt>
                <c:pt idx="985">
                  <c:v>4.5244433128454054E-3</c:v>
                </c:pt>
                <c:pt idx="986">
                  <c:v>4.5305644209712595E-3</c:v>
                </c:pt>
                <c:pt idx="987">
                  <c:v>4.5366900904992404E-3</c:v>
                </c:pt>
                <c:pt idx="988">
                  <c:v>4.5428203374602042E-3</c:v>
                </c:pt>
                <c:pt idx="989">
                  <c:v>4.5735407948398477E-3</c:v>
                </c:pt>
                <c:pt idx="990">
                  <c:v>4.5796988430467471E-3</c:v>
                </c:pt>
                <c:pt idx="991">
                  <c:v>4.5858615809026403E-3</c:v>
                </c:pt>
                <c:pt idx="992">
                  <c:v>4.5920290244383854E-3</c:v>
                </c:pt>
                <c:pt idx="993">
                  <c:v>4.6105597494333125E-3</c:v>
                </c:pt>
                <c:pt idx="994">
                  <c:v>4.6167461759970465E-3</c:v>
                </c:pt>
                <c:pt idx="995">
                  <c:v>4.6229373883949244E-3</c:v>
                </c:pt>
                <c:pt idx="996">
                  <c:v>4.6291334026578044E-3</c:v>
                </c:pt>
                <c:pt idx="997">
                  <c:v>4.6353342348165434E-3</c:v>
                </c:pt>
                <c:pt idx="998">
                  <c:v>4.653965798976506E-3</c:v>
                </c:pt>
                <c:pt idx="999">
                  <c:v>4.6601860630272685E-3</c:v>
                </c:pt>
                <c:pt idx="1000">
                  <c:v>4.6664112251281822E-3</c:v>
                </c:pt>
                <c:pt idx="1001">
                  <c:v>4.672641301310107E-3</c:v>
                </c:pt>
                <c:pt idx="1002">
                  <c:v>4.6976110674650717E-3</c:v>
                </c:pt>
                <c:pt idx="1003">
                  <c:v>4.70386595451492E-3</c:v>
                </c:pt>
                <c:pt idx="1004">
                  <c:v>4.7101258518309303E-3</c:v>
                </c:pt>
                <c:pt idx="1005">
                  <c:v>4.7163907754439564E-3</c:v>
                </c:pt>
                <c:pt idx="1006">
                  <c:v>4.7226607413848607E-3</c:v>
                </c:pt>
                <c:pt idx="1007">
                  <c:v>4.7415010534834169E-3</c:v>
                </c:pt>
                <c:pt idx="1008">
                  <c:v>4.7477913490444109E-3</c:v>
                </c:pt>
                <c:pt idx="1009">
                  <c:v>4.7540867670875717E-3</c:v>
                </c:pt>
                <c:pt idx="1010">
                  <c:v>4.7603873236437616E-3</c:v>
                </c:pt>
                <c:pt idx="1011">
                  <c:v>4.7666930347438361E-3</c:v>
                </c:pt>
                <c:pt idx="1012">
                  <c:v>4.7856412556159522E-3</c:v>
                </c:pt>
                <c:pt idx="1013">
                  <c:v>4.7919677452001493E-3</c:v>
                </c:pt>
                <c:pt idx="1014">
                  <c:v>4.7982994694825247E-3</c:v>
                </c:pt>
                <c:pt idx="1015">
                  <c:v>4.8046364444939323E-3</c:v>
                </c:pt>
                <c:pt idx="1016">
                  <c:v>4.8109786862652361E-3</c:v>
                </c:pt>
                <c:pt idx="1017">
                  <c:v>4.8300371724470884E-3</c:v>
                </c:pt>
                <c:pt idx="1018">
                  <c:v>4.8364006415665467E-3</c:v>
                </c:pt>
                <c:pt idx="1019">
                  <c:v>4.8427694576001915E-3</c:v>
                </c:pt>
                <c:pt idx="1020">
                  <c:v>4.8491436365788801E-3</c:v>
                </c:pt>
                <c:pt idx="1021">
                  <c:v>4.8555231945334697E-3</c:v>
                </c:pt>
                <c:pt idx="1022">
                  <c:v>4.8746943025612319E-3</c:v>
                </c:pt>
                <c:pt idx="1023">
                  <c:v>4.8810955367280121E-3</c:v>
                </c:pt>
                <c:pt idx="1024">
                  <c:v>4.8875022248507484E-3</c:v>
                </c:pt>
                <c:pt idx="1025">
                  <c:v>4.8939143570891188E-3</c:v>
                </c:pt>
                <c:pt idx="1026">
                  <c:v>4.900331918428558E-3</c:v>
                </c:pt>
                <c:pt idx="1027">
                  <c:v>4.9196170269077003E-3</c:v>
                </c:pt>
                <c:pt idx="1028">
                  <c:v>4.926056154505816E-3</c:v>
                </c:pt>
                <c:pt idx="1029">
                  <c:v>4.9325006361322019E-3</c:v>
                </c:pt>
                <c:pt idx="1030">
                  <c:v>4.9389504567722911E-3</c:v>
                </c:pt>
                <c:pt idx="1031">
                  <c:v>4.9454056014115256E-3</c:v>
                </c:pt>
                <c:pt idx="1032">
                  <c:v>4.964802829178494E-3</c:v>
                </c:pt>
                <c:pt idx="1033">
                  <c:v>4.9712791196686989E-3</c:v>
                </c:pt>
                <c:pt idx="1034">
                  <c:v>4.9777606590852451E-3</c:v>
                </c:pt>
                <c:pt idx="1035">
                  <c:v>4.9842474324135709E-3</c:v>
                </c:pt>
                <c:pt idx="1036">
                  <c:v>4.9907394246391148E-3</c:v>
                </c:pt>
                <c:pt idx="1037">
                  <c:v>5.0102465645534486E-3</c:v>
                </c:pt>
                <c:pt idx="1038">
                  <c:v>5.016759282222256E-3</c:v>
                </c:pt>
                <c:pt idx="1039">
                  <c:v>5.023277143715481E-3</c:v>
                </c:pt>
                <c:pt idx="1040">
                  <c:v>5.029800134018555E-3</c:v>
                </c:pt>
                <c:pt idx="1041">
                  <c:v>5.0363282381169243E-3</c:v>
                </c:pt>
                <c:pt idx="1042">
                  <c:v>5.0559430830381686E-3</c:v>
                </c:pt>
                <c:pt idx="1043">
                  <c:v>5.0624914921720927E-3</c:v>
                </c:pt>
                <c:pt idx="1044">
                  <c:v>5.0690449400285081E-3</c:v>
                </c:pt>
                <c:pt idx="1045">
                  <c:v>5.0756034115928455E-3</c:v>
                </c:pt>
                <c:pt idx="1046">
                  <c:v>5.0821668918505508E-3</c:v>
                </c:pt>
                <c:pt idx="1047">
                  <c:v>5.1018872346382501E-3</c:v>
                </c:pt>
                <c:pt idx="1048">
                  <c:v>5.1084705995238068E-3</c:v>
                </c:pt>
                <c:pt idx="1049">
                  <c:v>5.1150588980299234E-3</c:v>
                </c:pt>
                <c:pt idx="1050">
                  <c:v>5.1216521151420408E-3</c:v>
                </c:pt>
                <c:pt idx="1051">
                  <c:v>5.1282502358455991E-3</c:v>
                </c:pt>
                <c:pt idx="1052">
                  <c:v>5.1480738693592933E-3</c:v>
                </c:pt>
                <c:pt idx="1053">
                  <c:v>5.1546914542829961E-3</c:v>
                </c:pt>
                <c:pt idx="1054">
                  <c:v>5.1613138677253341E-3</c:v>
                </c:pt>
                <c:pt idx="1055">
                  <c:v>5.1679410946717441E-3</c:v>
                </c:pt>
                <c:pt idx="1056">
                  <c:v>5.1745731201076695E-3</c:v>
                </c:pt>
                <c:pt idx="1057">
                  <c:v>5.1944978372069012E-3</c:v>
                </c:pt>
                <c:pt idx="1058">
                  <c:v>5.2011489064552642E-3</c:v>
                </c:pt>
                <c:pt idx="1059">
                  <c:v>5.2078046991203353E-3</c:v>
                </c:pt>
                <c:pt idx="1060">
                  <c:v>5.2144652001875538E-3</c:v>
                </c:pt>
                <c:pt idx="1061">
                  <c:v>5.221130394642357E-3</c:v>
                </c:pt>
                <c:pt idx="1062">
                  <c:v>5.2411539881866724E-3</c:v>
                </c:pt>
                <c:pt idx="1063">
                  <c:v>5.2478378060462115E-3</c:v>
                </c:pt>
                <c:pt idx="1064">
                  <c:v>5.2545262422205299E-3</c:v>
                </c:pt>
                <c:pt idx="1065">
                  <c:v>5.2612192816950676E-3</c:v>
                </c:pt>
                <c:pt idx="1066">
                  <c:v>5.2679169094552681E-3</c:v>
                </c:pt>
                <c:pt idx="1067">
                  <c:v>5.2880371723042097E-3</c:v>
                </c:pt>
                <c:pt idx="1068">
                  <c:v>5.2947530030614358E-3</c:v>
                </c:pt>
                <c:pt idx="1069">
                  <c:v>5.3014733470315156E-3</c:v>
                </c:pt>
                <c:pt idx="1070">
                  <c:v>5.3081981891998911E-3</c:v>
                </c:pt>
                <c:pt idx="1071">
                  <c:v>5.3149275145519988E-3</c:v>
                </c:pt>
                <c:pt idx="1072">
                  <c:v>5.3351422395651084E-3</c:v>
                </c:pt>
                <c:pt idx="1073">
                  <c:v>5.3418893475065399E-3</c:v>
                </c:pt>
                <c:pt idx="1074">
                  <c:v>5.3486408635588954E-3</c:v>
                </c:pt>
                <c:pt idx="1075">
                  <c:v>5.355396772707622E-3</c:v>
                </c:pt>
                <c:pt idx="1076">
                  <c:v>5.3621570599381527E-3</c:v>
                </c:pt>
                <c:pt idx="1077">
                  <c:v>5.3824640399749747E-3</c:v>
                </c:pt>
                <c:pt idx="1078">
                  <c:v>5.3892416893871198E-3</c:v>
                </c:pt>
                <c:pt idx="1079">
                  <c:v>5.3960236418082695E-3</c:v>
                </c:pt>
                <c:pt idx="1080">
                  <c:v>5.4028098822238588E-3</c:v>
                </c:pt>
                <c:pt idx="1081">
                  <c:v>5.409600395619326E-3</c:v>
                </c:pt>
                <c:pt idx="1082">
                  <c:v>5.4299974235394047E-3</c:v>
                </c:pt>
                <c:pt idx="1083">
                  <c:v>5.4368048787087819E-3</c:v>
                </c:pt>
                <c:pt idx="1084">
                  <c:v>5.4436165317852349E-3</c:v>
                </c:pt>
                <c:pt idx="1085">
                  <c:v>5.4504323677542045E-3</c:v>
                </c:pt>
                <c:pt idx="1086">
                  <c:v>5.457252371601125E-3</c:v>
                </c:pt>
                <c:pt idx="1087">
                  <c:v>5.4777372402639978E-3</c:v>
                </c:pt>
                <c:pt idx="1088">
                  <c:v>5.4845737654771222E-3</c:v>
                </c:pt>
                <c:pt idx="1089">
                  <c:v>5.491414383495396E-3</c:v>
                </c:pt>
                <c:pt idx="1090">
                  <c:v>5.498259079304256E-3</c:v>
                </c:pt>
                <c:pt idx="1091">
                  <c:v>5.5051078378891456E-3</c:v>
                </c:pt>
                <c:pt idx="1092">
                  <c:v>5.5256783401543578E-3</c:v>
                </c:pt>
                <c:pt idx="1093">
                  <c:v>5.5325431996977436E-3</c:v>
                </c:pt>
                <c:pt idx="1094">
                  <c:v>5.5394120469443508E-3</c:v>
                </c:pt>
                <c:pt idx="1095">
                  <c:v>5.5462848668796196E-3</c:v>
                </c:pt>
                <c:pt idx="1096">
                  <c:v>5.5531616444889865E-3</c:v>
                </c:pt>
                <c:pt idx="1097">
                  <c:v>5.5738155732160859E-3</c:v>
                </c:pt>
                <c:pt idx="1098">
                  <c:v>5.5807080313762438E-3</c:v>
                </c:pt>
                <c:pt idx="1099">
                  <c:v>5.5876043721376995E-3</c:v>
                </c:pt>
                <c:pt idx="1100">
                  <c:v>5.5945045804858878E-3</c:v>
                </c:pt>
                <c:pt idx="1101">
                  <c:v>5.6014086414062532E-3</c:v>
                </c:pt>
                <c:pt idx="1102">
                  <c:v>5.6221437894547754E-3</c:v>
                </c:pt>
                <c:pt idx="1103">
                  <c:v>5.629063110518224E-3</c:v>
                </c:pt>
                <c:pt idx="1104">
                  <c:v>5.6359862090810441E-3</c:v>
                </c:pt>
                <c:pt idx="1105">
                  <c:v>5.6429130701286679E-3</c:v>
                </c:pt>
                <c:pt idx="1106">
                  <c:v>5.6498436786465425E-3</c:v>
                </c:pt>
                <c:pt idx="1107">
                  <c:v>5.6706578388760328E-3</c:v>
                </c:pt>
                <c:pt idx="1108">
                  <c:v>5.6776032871292872E-3</c:v>
                </c:pt>
                <c:pt idx="1109">
                  <c:v>5.6845524077799798E-3</c:v>
                </c:pt>
                <c:pt idx="1110">
                  <c:v>5.6915051858135576E-3</c:v>
                </c:pt>
                <c:pt idx="1111">
                  <c:v>5.6984616062154547E-3</c:v>
                </c:pt>
                <c:pt idx="1112">
                  <c:v>5.7193525714854584E-3</c:v>
                </c:pt>
                <c:pt idx="1113">
                  <c:v>5.7263234112150284E-3</c:v>
                </c:pt>
                <c:pt idx="1114">
                  <c:v>5.7332978182401146E-3</c:v>
                </c:pt>
                <c:pt idx="1115">
                  <c:v>5.7402757775461555E-3</c:v>
                </c:pt>
                <c:pt idx="1116">
                  <c:v>5.7472572741185911E-3</c:v>
                </c:pt>
                <c:pt idx="1117">
                  <c:v>5.7682228372886507E-3</c:v>
                </c:pt>
                <c:pt idx="1118">
                  <c:v>5.7752183327810513E-3</c:v>
                </c:pt>
                <c:pt idx="1119">
                  <c:v>5.782217290467042E-3</c:v>
                </c:pt>
                <c:pt idx="1120">
                  <c:v>5.7892196953320645E-3</c:v>
                </c:pt>
                <c:pt idx="1121">
                  <c:v>5.7962255323615501E-3</c:v>
                </c:pt>
                <c:pt idx="1122">
                  <c:v>5.8172634862912074E-3</c:v>
                </c:pt>
                <c:pt idx="1123">
                  <c:v>5.8242829018329573E-3</c:v>
                </c:pt>
                <c:pt idx="1124">
                  <c:v>5.8313056744663675E-3</c:v>
                </c:pt>
                <c:pt idx="1125">
                  <c:v>5.8383317891768814E-3</c:v>
                </c:pt>
                <c:pt idx="1126">
                  <c:v>5.8453612309499357E-3</c:v>
                </c:pt>
                <c:pt idx="1127">
                  <c:v>5.866469368498735E-3</c:v>
                </c:pt>
                <c:pt idx="1128">
                  <c:v>5.8735119683763423E-3</c:v>
                </c:pt>
                <c:pt idx="1129">
                  <c:v>5.8805578202436887E-3</c:v>
                </c:pt>
                <c:pt idx="1130">
                  <c:v>5.8876069090862092E-3</c:v>
                </c:pt>
                <c:pt idx="1131">
                  <c:v>5.8946592198893437E-3</c:v>
                </c:pt>
                <c:pt idx="1132">
                  <c:v>5.9158353339168286E-3</c:v>
                </c:pt>
                <c:pt idx="1133">
                  <c:v>5.9229003824168118E-3</c:v>
                </c:pt>
                <c:pt idx="1134">
                  <c:v>5.9299685778046052E-3</c:v>
                </c:pt>
                <c:pt idx="1135">
                  <c:v>5.9370399050656499E-3</c:v>
                </c:pt>
                <c:pt idx="1136">
                  <c:v>5.9441143491853789E-3</c:v>
                </c:pt>
                <c:pt idx="1137">
                  <c:v>5.9653562325510884E-3</c:v>
                </c:pt>
                <c:pt idx="1138">
                  <c:v>5.9724429939599618E-3</c:v>
                </c:pt>
                <c:pt idx="1139">
                  <c:v>5.9795327971547199E-3</c:v>
                </c:pt>
                <c:pt idx="1140">
                  <c:v>5.9866256271207969E-3</c:v>
                </c:pt>
                <c:pt idx="1141">
                  <c:v>5.9937214688436389E-3</c:v>
                </c:pt>
                <c:pt idx="1142">
                  <c:v>6.0150269144071192E-3</c:v>
                </c:pt>
                <c:pt idx="1143">
                  <c:v>6.022134653011396E-3</c:v>
                </c:pt>
                <c:pt idx="1144">
                  <c:v>6.0292453282996313E-3</c:v>
                </c:pt>
                <c:pt idx="1145">
                  <c:v>6.0363589252572592E-3</c:v>
                </c:pt>
                <c:pt idx="1146">
                  <c:v>6.043475428869724E-3</c:v>
                </c:pt>
                <c:pt idx="1147">
                  <c:v>6.0648422294905186E-3</c:v>
                </c:pt>
                <c:pt idx="1148">
                  <c:v>6.0719702095767122E-3</c:v>
                </c:pt>
                <c:pt idx="1149">
                  <c:v>6.0791010212449372E-3</c:v>
                </c:pt>
                <c:pt idx="1150">
                  <c:v>6.0862346494806293E-3</c:v>
                </c:pt>
                <c:pt idx="1151">
                  <c:v>6.0933710792692346E-3</c:v>
                </c:pt>
                <c:pt idx="1152">
                  <c:v>6.1147970278068835E-3</c:v>
                </c:pt>
                <c:pt idx="1153">
                  <c:v>6.1219445136615107E-3</c:v>
                </c:pt>
                <c:pt idx="1154">
                  <c:v>6.129094725996243E-3</c:v>
                </c:pt>
                <c:pt idx="1155">
                  <c:v>6.1362476497965153E-3</c:v>
                </c:pt>
                <c:pt idx="1156">
                  <c:v>6.1434032700477719E-3</c:v>
                </c:pt>
                <c:pt idx="1157">
                  <c:v>6.1648861593618185E-3</c:v>
                </c:pt>
                <c:pt idx="1158">
                  <c:v>6.1720524152713944E-3</c:v>
                </c:pt>
                <c:pt idx="1159">
                  <c:v>6.1792212925591439E-3</c:v>
                </c:pt>
                <c:pt idx="1160">
                  <c:v>6.1863927762105123E-3</c:v>
                </c:pt>
                <c:pt idx="1161">
                  <c:v>6.1935668512109344E-3</c:v>
                </c:pt>
                <c:pt idx="1162">
                  <c:v>6.2151044741609249E-3</c:v>
                </c:pt>
                <c:pt idx="1163">
                  <c:v>6.2222887644119602E-3</c:v>
                </c:pt>
                <c:pt idx="1164">
                  <c:v>6.2294755709392472E-3</c:v>
                </c:pt>
                <c:pt idx="1165">
                  <c:v>6.2366648787282198E-3</c:v>
                </c:pt>
                <c:pt idx="1166">
                  <c:v>6.2438566727643259E-3</c:v>
                </c:pt>
                <c:pt idx="1167">
                  <c:v>6.2654468222098011E-3</c:v>
                </c:pt>
                <c:pt idx="1168">
                  <c:v>6.2726484110888093E-3</c:v>
                </c:pt>
                <c:pt idx="1169">
                  <c:v>6.2798524111421436E-3</c:v>
                </c:pt>
                <c:pt idx="1170">
                  <c:v>6.2870588073552424E-3</c:v>
                </c:pt>
                <c:pt idx="1171">
                  <c:v>6.3159080535140442E-3</c:v>
                </c:pt>
                <c:pt idx="1172">
                  <c:v>6.3231262053075454E-3</c:v>
                </c:pt>
                <c:pt idx="1173">
                  <c:v>6.3303466631734412E-3</c:v>
                </c:pt>
                <c:pt idx="1174">
                  <c:v>6.3375694120971779E-3</c:v>
                </c:pt>
                <c:pt idx="1175">
                  <c:v>6.3665622825794963E-3</c:v>
                </c:pt>
                <c:pt idx="1176">
                  <c:v>6.3738161079923503E-3</c:v>
                </c:pt>
                <c:pt idx="1177">
                  <c:v>6.3810721462455007E-3</c:v>
                </c:pt>
                <c:pt idx="1178">
                  <c:v>6.3883303822006438E-3</c:v>
                </c:pt>
                <c:pt idx="1179">
                  <c:v>6.3955908007194678E-3</c:v>
                </c:pt>
                <c:pt idx="1180">
                  <c:v>6.4173850002749696E-3</c:v>
                </c:pt>
                <c:pt idx="1181">
                  <c:v>6.4246539976654613E-3</c:v>
                </c:pt>
                <c:pt idx="1182">
                  <c:v>6.4319251019280994E-3</c:v>
                </c:pt>
                <c:pt idx="1183">
                  <c:v>6.4391982979245836E-3</c:v>
                </c:pt>
                <c:pt idx="1184">
                  <c:v>6.4464735705166022E-3</c:v>
                </c:pt>
                <c:pt idx="1185">
                  <c:v>6.468311696482809E-3</c:v>
                </c:pt>
                <c:pt idx="1186">
                  <c:v>6.4755951240739046E-3</c:v>
                </c:pt>
                <c:pt idx="1187">
                  <c:v>6.4828805525690043E-3</c:v>
                </c:pt>
                <c:pt idx="1188">
                  <c:v>6.4901679668298009E-3</c:v>
                </c:pt>
                <c:pt idx="1189">
                  <c:v>6.4974573517179862E-3</c:v>
                </c:pt>
                <c:pt idx="1190">
                  <c:v>6.519337178763812E-3</c:v>
                </c:pt>
                <c:pt idx="1191">
                  <c:v>6.5266342947784889E-3</c:v>
                </c:pt>
                <c:pt idx="1192">
                  <c:v>6.5339333057290207E-3</c:v>
                </c:pt>
                <c:pt idx="1193">
                  <c:v>6.5412341964771002E-3</c:v>
                </c:pt>
                <c:pt idx="1194">
                  <c:v>6.5485369518844235E-3</c:v>
                </c:pt>
                <c:pt idx="1195">
                  <c:v>6.5704562546787847E-3</c:v>
                </c:pt>
                <c:pt idx="1196">
                  <c:v>6.5777663173400133E-3</c:v>
                </c:pt>
                <c:pt idx="1197">
                  <c:v>6.5850781689689494E-3</c:v>
                </c:pt>
                <c:pt idx="1198">
                  <c:v>6.5923917944272891E-3</c:v>
                </c:pt>
                <c:pt idx="1199">
                  <c:v>6.5997071785767226E-3</c:v>
                </c:pt>
                <c:pt idx="1200">
                  <c:v>6.6216637317885324E-3</c:v>
                </c:pt>
                <c:pt idx="1201">
                  <c:v>6.6289859993192831E-3</c:v>
                </c:pt>
                <c:pt idx="1202">
                  <c:v>6.6363099498495956E-3</c:v>
                </c:pt>
                <c:pt idx="1203">
                  <c:v>6.6436355682411635E-3</c:v>
                </c:pt>
                <c:pt idx="1204">
                  <c:v>6.650962839355682E-3</c:v>
                </c:pt>
                <c:pt idx="1205">
                  <c:v>6.6729544176538568E-3</c:v>
                </c:pt>
                <c:pt idx="1206">
                  <c:v>6.6802881482771036E-3</c:v>
                </c:pt>
                <c:pt idx="1207">
                  <c:v>6.6876234559317647E-3</c:v>
                </c:pt>
                <c:pt idx="1208">
                  <c:v>6.6949603254795346E-3</c:v>
                </c:pt>
                <c:pt idx="1209">
                  <c:v>6.702298741782106E-3</c:v>
                </c:pt>
                <c:pt idx="1210">
                  <c:v>6.7243231198355676E-3</c:v>
                </c:pt>
                <c:pt idx="1211">
                  <c:v>6.7316675717742809E-3</c:v>
                </c:pt>
                <c:pt idx="1212">
                  <c:v>6.7390134947762602E-3</c:v>
                </c:pt>
                <c:pt idx="1213">
                  <c:v>6.7463608737032025E-3</c:v>
                </c:pt>
                <c:pt idx="1214">
                  <c:v>6.7537096934168024E-3</c:v>
                </c:pt>
                <c:pt idx="1215">
                  <c:v>6.775764645894463E-3</c:v>
                </c:pt>
                <c:pt idx="1216">
                  <c:v>6.7831190773716141E-3</c:v>
                </c:pt>
                <c:pt idx="1217">
                  <c:v>6.7904748739438872E-3</c:v>
                </c:pt>
                <c:pt idx="1218">
                  <c:v>6.7978320204729777E-3</c:v>
                </c:pt>
                <c:pt idx="1219">
                  <c:v>6.8051905018205738E-3</c:v>
                </c:pt>
                <c:pt idx="1220">
                  <c:v>6.8272738033913483E-3</c:v>
                </c:pt>
                <c:pt idx="1221">
                  <c:v>6.8346374726299119E-3</c:v>
                </c:pt>
                <c:pt idx="1222">
                  <c:v>6.8420024009954511E-3</c:v>
                </c:pt>
                <c:pt idx="1223">
                  <c:v>6.8493685733496575E-3</c:v>
                </c:pt>
                <c:pt idx="1224">
                  <c:v>6.856735974554223E-3</c:v>
                </c:pt>
                <c:pt idx="1225">
                  <c:v>6.8788453998870286E-3</c:v>
                </c:pt>
                <c:pt idx="1226">
                  <c:v>6.8862175651099753E-3</c:v>
                </c:pt>
                <c:pt idx="1227">
                  <c:v>6.8935908834917509E-3</c:v>
                </c:pt>
                <c:pt idx="1228">
                  <c:v>6.9009653398940472E-3</c:v>
                </c:pt>
                <c:pt idx="1229">
                  <c:v>6.9083409191785586E-3</c:v>
                </c:pt>
                <c:pt idx="1230">
                  <c:v>6.9304742429423093E-3</c:v>
                </c:pt>
                <c:pt idx="1231">
                  <c:v>6.9378541623726113E-3</c:v>
                </c:pt>
                <c:pt idx="1232">
                  <c:v>6.9452351289935954E-3</c:v>
                </c:pt>
                <c:pt idx="1233">
                  <c:v>6.952617127666952E-3</c:v>
                </c:pt>
                <c:pt idx="1234">
                  <c:v>6.9600001432543772E-3</c:v>
                </c:pt>
                <c:pt idx="1235">
                  <c:v>6.9821551401179948E-3</c:v>
                </c:pt>
                <c:pt idx="1236">
                  <c:v>6.9895420719786223E-3</c:v>
                </c:pt>
                <c:pt idx="1237">
                  <c:v>6.9969299450617873E-3</c:v>
                </c:pt>
                <c:pt idx="1238">
                  <c:v>7.0043187442291781E-3</c:v>
                </c:pt>
                <c:pt idx="1239">
                  <c:v>7.0412761014888147E-3</c:v>
                </c:pt>
                <c:pt idx="1240">
                  <c:v>7.0486701392571327E-3</c:v>
                </c:pt>
                <c:pt idx="1241">
                  <c:v>7.0560649971415264E-3</c:v>
                </c:pt>
                <c:pt idx="1242">
                  <c:v>7.0634606600036972E-3</c:v>
                </c:pt>
                <c:pt idx="1243">
                  <c:v>7.0856523270737895E-3</c:v>
                </c:pt>
                <c:pt idx="1244">
                  <c:v>7.0930510584639892E-3</c:v>
                </c:pt>
                <c:pt idx="1245">
                  <c:v>7.1004505191404306E-3</c:v>
                </c:pt>
                <c:pt idx="1246">
                  <c:v>7.1078506939648047E-3</c:v>
                </c:pt>
                <c:pt idx="1247">
                  <c:v>7.1152515677988075E-3</c:v>
                </c:pt>
                <c:pt idx="1248">
                  <c:v>7.1374582319755084E-3</c:v>
                </c:pt>
                <c:pt idx="1249">
                  <c:v>7.1448617504649521E-3</c:v>
                </c:pt>
                <c:pt idx="1250">
                  <c:v>7.1522658922724891E-3</c:v>
                </c:pt>
                <c:pt idx="1251">
                  <c:v>7.1596706422598147E-3</c:v>
                </c:pt>
                <c:pt idx="1252">
                  <c:v>7.16707598528862E-3</c:v>
                </c:pt>
                <c:pt idx="1253">
                  <c:v>7.189295421240847E-3</c:v>
                </c:pt>
                <c:pt idx="1254">
                  <c:v>7.1967029850525076E-3</c:v>
                </c:pt>
                <c:pt idx="1255">
                  <c:v>7.2041110662141123E-3</c:v>
                </c:pt>
                <c:pt idx="1256">
                  <c:v>7.2115196495873592E-3</c:v>
                </c:pt>
                <c:pt idx="1257">
                  <c:v>7.218928720033939E-3</c:v>
                </c:pt>
                <c:pt idx="1258">
                  <c:v>7.241158702430613E-3</c:v>
                </c:pt>
                <c:pt idx="1259">
                  <c:v>7.2485695697874601E-3</c:v>
                </c:pt>
                <c:pt idx="1260">
                  <c:v>7.2559808485261048E-3</c:v>
                </c:pt>
                <c:pt idx="1261">
                  <c:v>7.2633925235082459E-3</c:v>
                </c:pt>
                <c:pt idx="1262">
                  <c:v>7.2708045795955717E-3</c:v>
                </c:pt>
                <c:pt idx="1263">
                  <c:v>7.2930428831056047E-3</c:v>
                </c:pt>
                <c:pt idx="1264">
                  <c:v>7.3004563122306123E-3</c:v>
                </c:pt>
                <c:pt idx="1265">
                  <c:v>7.3078700467692709E-3</c:v>
                </c:pt>
                <c:pt idx="1266">
                  <c:v>7.3152840715832784E-3</c:v>
                </c:pt>
                <c:pt idx="1267">
                  <c:v>7.3226983715343206E-3</c:v>
                </c:pt>
                <c:pt idx="1268">
                  <c:v>7.3449427708266301E-3</c:v>
                </c:pt>
                <c:pt idx="1269">
                  <c:v>7.3523580199427686E-3</c:v>
                </c:pt>
                <c:pt idx="1270">
                  <c:v>7.3597734685044115E-3</c:v>
                </c:pt>
                <c:pt idx="1271">
                  <c:v>7.3671891013732567E-3</c:v>
                </c:pt>
                <c:pt idx="1272">
                  <c:v>7.3746049034109935E-3</c:v>
                </c:pt>
                <c:pt idx="1273">
                  <c:v>7.3968531731544917E-3</c:v>
                </c:pt>
                <c:pt idx="1274">
                  <c:v>7.4042695004847333E-3</c:v>
                </c:pt>
                <c:pt idx="1275">
                  <c:v>7.4116859212923344E-3</c:v>
                </c:pt>
                <c:pt idx="1276">
                  <c:v>7.4191024204389878E-3</c:v>
                </c:pt>
                <c:pt idx="1277">
                  <c:v>7.4265189827863887E-3</c:v>
                </c:pt>
                <c:pt idx="1278">
                  <c:v>7.4487688976499966E-3</c:v>
                </c:pt>
                <c:pt idx="1279">
                  <c:v>7.4561855614173117E-3</c:v>
                </c:pt>
                <c:pt idx="1280">
                  <c:v>7.4636022126938414E-3</c:v>
                </c:pt>
                <c:pt idx="1281">
                  <c:v>7.471018838372671E-3</c:v>
                </c:pt>
                <c:pt idx="1282">
                  <c:v>7.4784354334724631E-3</c:v>
                </c:pt>
                <c:pt idx="1283">
                  <c:v>7.5006850057981718E-3</c:v>
                </c:pt>
                <c:pt idx="1284">
                  <c:v>7.5081014490823725E-3</c:v>
                </c:pt>
                <c:pt idx="1285">
                  <c:v>7.5155178470378177E-3</c:v>
                </c:pt>
                <c:pt idx="1286">
                  <c:v>7.5229341967145581E-3</c:v>
                </c:pt>
                <c:pt idx="1287">
                  <c:v>7.5303504951626564E-3</c:v>
                </c:pt>
                <c:pt idx="1288">
                  <c:v>7.5525990536356473E-3</c:v>
                </c:pt>
                <c:pt idx="1289">
                  <c:v>7.5600151176697279E-3</c:v>
                </c:pt>
                <c:pt idx="1290">
                  <c:v>7.5674311157254452E-3</c:v>
                </c:pt>
                <c:pt idx="1291">
                  <c:v>7.5748470448528549E-3</c:v>
                </c:pt>
                <c:pt idx="1292">
                  <c:v>7.582262902102014E-3</c:v>
                </c:pt>
                <c:pt idx="1293">
                  <c:v>7.6045100130805385E-3</c:v>
                </c:pt>
                <c:pt idx="1294">
                  <c:v>7.6119255533172517E-3</c:v>
                </c:pt>
                <c:pt idx="1295">
                  <c:v>7.6193410069259945E-3</c:v>
                </c:pt>
                <c:pt idx="1296">
                  <c:v>7.6267563709568227E-3</c:v>
                </c:pt>
                <c:pt idx="1297">
                  <c:v>7.6341716424597923E-3</c:v>
                </c:pt>
                <c:pt idx="1298">
                  <c:v>7.6564168723021108E-3</c:v>
                </c:pt>
                <c:pt idx="1299">
                  <c:v>7.6638317441942083E-3</c:v>
                </c:pt>
                <c:pt idx="1300">
                  <c:v>7.6712465088087291E-3</c:v>
                </c:pt>
                <c:pt idx="1301">
                  <c:v>7.6786611631957285E-3</c:v>
                </c:pt>
                <c:pt idx="1302">
                  <c:v>7.6860757044052621E-3</c:v>
                </c:pt>
                <c:pt idx="1303">
                  <c:v>7.7083186194696332E-3</c:v>
                </c:pt>
                <c:pt idx="1304">
                  <c:v>7.7157326784698674E-3</c:v>
                </c:pt>
                <c:pt idx="1305">
                  <c:v>7.7231466095429155E-3</c:v>
                </c:pt>
                <c:pt idx="1306">
                  <c:v>7.7305604097388366E-3</c:v>
                </c:pt>
                <c:pt idx="1307">
                  <c:v>7.7379740761076869E-3</c:v>
                </c:pt>
                <c:pt idx="1308">
                  <c:v>7.7602142427523665E-3</c:v>
                </c:pt>
                <c:pt idx="1309">
                  <c:v>7.7676273443134892E-3</c:v>
                </c:pt>
                <c:pt idx="1310">
                  <c:v>7.7750402972978187E-3</c:v>
                </c:pt>
                <c:pt idx="1311">
                  <c:v>7.7824530987554178E-3</c:v>
                </c:pt>
                <c:pt idx="1312">
                  <c:v>7.7898657457363338E-3</c:v>
                </c:pt>
                <c:pt idx="1313">
                  <c:v>7.8121027303195761E-3</c:v>
                </c:pt>
                <c:pt idx="1314">
                  <c:v>7.8195147298943408E-3</c:v>
                </c:pt>
                <c:pt idx="1315">
                  <c:v>7.8269265602427078E-3</c:v>
                </c:pt>
                <c:pt idx="1316">
                  <c:v>7.8343382184147305E-3</c:v>
                </c:pt>
                <c:pt idx="1317">
                  <c:v>7.8417497014604681E-3</c:v>
                </c:pt>
                <c:pt idx="1318">
                  <c:v>7.8639830703405317E-3</c:v>
                </c:pt>
                <c:pt idx="1319">
                  <c:v>7.8713938233816901E-3</c:v>
                </c:pt>
                <c:pt idx="1320">
                  <c:v>7.8788043865468411E-3</c:v>
                </c:pt>
                <c:pt idx="1321">
                  <c:v>7.8862147568860459E-3</c:v>
                </c:pt>
                <c:pt idx="1322">
                  <c:v>7.893624931449357E-3</c:v>
                </c:pt>
                <c:pt idx="1323">
                  <c:v>7.915854250984497E-3</c:v>
                </c:pt>
                <c:pt idx="1324">
                  <c:v>7.9232636129447972E-3</c:v>
                </c:pt>
                <c:pt idx="1325">
                  <c:v>7.93067276437949E-3</c:v>
                </c:pt>
                <c:pt idx="1326">
                  <c:v>7.9380817023386261E-3</c:v>
                </c:pt>
                <c:pt idx="1327">
                  <c:v>7.9454904238722614E-3</c:v>
                </c:pt>
                <c:pt idx="1328">
                  <c:v>7.9677152604207373E-3</c:v>
                </c:pt>
                <c:pt idx="1329">
                  <c:v>7.9751230867529353E-3</c:v>
                </c:pt>
                <c:pt idx="1330">
                  <c:v>7.9825306819099207E-3</c:v>
                </c:pt>
                <c:pt idx="1331">
                  <c:v>7.9899380429417372E-3</c:v>
                </c:pt>
                <c:pt idx="1332">
                  <c:v>7.9973451668984511E-3</c:v>
                </c:pt>
                <c:pt idx="1333">
                  <c:v>8.0195650868185153E-3</c:v>
                </c:pt>
                <c:pt idx="1334">
                  <c:v>8.0269712329753672E-3</c:v>
                </c:pt>
                <c:pt idx="1335">
                  <c:v>8.0343771273073926E-3</c:v>
                </c:pt>
                <c:pt idx="1336">
                  <c:v>8.0417827668646472E-3</c:v>
                </c:pt>
                <c:pt idx="1337">
                  <c:v>8.0491881486971922E-3</c:v>
                </c:pt>
                <c:pt idx="1338">
                  <c:v>8.0714027183471024E-3</c:v>
                </c:pt>
                <c:pt idx="1339">
                  <c:v>8.0788070397813539E-3</c:v>
                </c:pt>
                <c:pt idx="1340">
                  <c:v>8.0862110887411753E-3</c:v>
                </c:pt>
                <c:pt idx="1341">
                  <c:v>8.0936148622766206E-3</c:v>
                </c:pt>
                <c:pt idx="1342">
                  <c:v>8.1010183574377458E-3</c:v>
                </c:pt>
                <c:pt idx="1343">
                  <c:v>8.1232271431757597E-3</c:v>
                </c:pt>
                <c:pt idx="1344">
                  <c:v>8.1306294953401668E-3</c:v>
                </c:pt>
                <c:pt idx="1345">
                  <c:v>8.138031554380535E-3</c:v>
                </c:pt>
                <c:pt idx="1346">
                  <c:v>8.1454333173469218E-3</c:v>
                </c:pt>
                <c:pt idx="1347">
                  <c:v>8.1528347812893798E-3</c:v>
                </c:pt>
                <c:pt idx="1348">
                  <c:v>8.1750373494737551E-3</c:v>
                </c:pt>
                <c:pt idx="1349">
                  <c:v>8.1824375878210721E-3</c:v>
                </c:pt>
                <c:pt idx="1350">
                  <c:v>8.1898375123947379E-3</c:v>
                </c:pt>
                <c:pt idx="1351">
                  <c:v>8.1972371202448154E-3</c:v>
                </c:pt>
                <c:pt idx="1352">
                  <c:v>8.2046364084213605E-3</c:v>
                </c:pt>
                <c:pt idx="1353">
                  <c:v>8.2268323254103565E-3</c:v>
                </c:pt>
                <c:pt idx="1354">
                  <c:v>8.2342303053933273E-3</c:v>
                </c:pt>
                <c:pt idx="1355">
                  <c:v>8.2416279509530434E-3</c:v>
                </c:pt>
                <c:pt idx="1356">
                  <c:v>8.249025259139571E-3</c:v>
                </c:pt>
                <c:pt idx="1357">
                  <c:v>8.2564222270029505E-3</c:v>
                </c:pt>
                <c:pt idx="1358">
                  <c:v>8.2786110591548199E-3</c:v>
                </c:pt>
                <c:pt idx="1359">
                  <c:v>8.2860066362262039E-3</c:v>
                </c:pt>
                <c:pt idx="1360">
                  <c:v>8.2934018582247297E-3</c:v>
                </c:pt>
                <c:pt idx="1361">
                  <c:v>8.3007967222004497E-3</c:v>
                </c:pt>
                <c:pt idx="1362">
                  <c:v>8.3081912252034196E-3</c:v>
                </c:pt>
                <c:pt idx="1363">
                  <c:v>8.33037253887642E-3</c:v>
                </c:pt>
                <c:pt idx="1364">
                  <c:v>8.3377655684889664E-3</c:v>
                </c:pt>
                <c:pt idx="1365">
                  <c:v>8.3451582223790476E-3</c:v>
                </c:pt>
                <c:pt idx="1366">
                  <c:v>8.3525504975967193E-3</c:v>
                </c:pt>
                <c:pt idx="1367">
                  <c:v>8.3599423911920358E-3</c:v>
                </c:pt>
                <c:pt idx="1368">
                  <c:v>8.3821157527444214E-3</c:v>
                </c:pt>
                <c:pt idx="1369">
                  <c:v>8.3895060903508827E-3</c:v>
                </c:pt>
                <c:pt idx="1370">
                  <c:v>8.3968960315852718E-3</c:v>
                </c:pt>
                <c:pt idx="1371">
                  <c:v>8.4042855734976444E-3</c:v>
                </c:pt>
                <c:pt idx="1372">
                  <c:v>8.4116747131380565E-3</c:v>
                </c:pt>
                <c:pt idx="1373">
                  <c:v>8.4338396889280867E-3</c:v>
                </c:pt>
                <c:pt idx="1374">
                  <c:v>8.4412271899812139E-3</c:v>
                </c:pt>
                <c:pt idx="1375">
                  <c:v>8.4486142740126668E-3</c:v>
                </c:pt>
                <c:pt idx="1376">
                  <c:v>8.4560009380724929E-3</c:v>
                </c:pt>
                <c:pt idx="1377">
                  <c:v>8.4633871792107514E-3</c:v>
                </c:pt>
                <c:pt idx="1378">
                  <c:v>8.4855433355966823E-3</c:v>
                </c:pt>
                <c:pt idx="1379">
                  <c:v>8.4929278555492312E-3</c:v>
                </c:pt>
                <c:pt idx="1380">
                  <c:v>8.5003119378304955E-3</c:v>
                </c:pt>
                <c:pt idx="1381">
                  <c:v>8.5076955794905259E-3</c:v>
                </c:pt>
                <c:pt idx="1382">
                  <c:v>8.5150787775793851E-3</c:v>
                </c:pt>
                <c:pt idx="1383">
                  <c:v>8.5372256809194743E-3</c:v>
                </c:pt>
                <c:pt idx="1384">
                  <c:v>8.5446070752241959E-3</c:v>
                </c:pt>
                <c:pt idx="1385">
                  <c:v>8.551988011208024E-3</c:v>
                </c:pt>
                <c:pt idx="1386">
                  <c:v>8.5593684859210147E-3</c:v>
                </c:pt>
                <c:pt idx="1387">
                  <c:v>8.5667484964132255E-3</c:v>
                </c:pt>
                <c:pt idx="1388">
                  <c:v>8.5888857130657272E-3</c:v>
                </c:pt>
                <c:pt idx="1389">
                  <c:v>8.596263837175374E-3</c:v>
                </c:pt>
                <c:pt idx="1390">
                  <c:v>8.6036414823145186E-3</c:v>
                </c:pt>
                <c:pt idx="1391">
                  <c:v>8.6110186455332204E-3</c:v>
                </c:pt>
                <c:pt idx="1392">
                  <c:v>8.6183953238815336E-3</c:v>
                </c:pt>
                <c:pt idx="1393">
                  <c:v>8.6405224202047073E-3</c:v>
                </c:pt>
                <c:pt idx="1394">
                  <c:v>8.6478971295720318E-3</c:v>
                </c:pt>
                <c:pt idx="1395">
                  <c:v>8.6552713393192472E-3</c:v>
                </c:pt>
                <c:pt idx="1396">
                  <c:v>8.662645046496411E-3</c:v>
                </c:pt>
                <c:pt idx="1397">
                  <c:v>8.6700182481535808E-3</c:v>
                </c:pt>
                <c:pt idx="1398">
                  <c:v>8.6921347905056841E-3</c:v>
                </c:pt>
                <c:pt idx="1399">
                  <c:v>8.6995059405834355E-3</c:v>
                </c:pt>
                <c:pt idx="1400">
                  <c:v>8.7068765703914707E-3</c:v>
                </c:pt>
                <c:pt idx="1401">
                  <c:v>8.7142466769798508E-3</c:v>
                </c:pt>
                <c:pt idx="1402">
                  <c:v>8.7216162573986282E-3</c:v>
                </c:pt>
                <c:pt idx="1403">
                  <c:v>8.7437218121379154E-3</c:v>
                </c:pt>
                <c:pt idx="1404">
                  <c:v>8.7510892583788479E-3</c:v>
                </c:pt>
                <c:pt idx="1405">
                  <c:v>8.7584561637004607E-3</c:v>
                </c:pt>
                <c:pt idx="1406">
                  <c:v>8.7658225251528079E-3</c:v>
                </c:pt>
                <c:pt idx="1407">
                  <c:v>8.7731883397859454E-3</c:v>
                </c:pt>
                <c:pt idx="1408">
                  <c:v>8.7952824732706707E-3</c:v>
                </c:pt>
                <c:pt idx="1409">
                  <c:v>8.8026460711275387E-3</c:v>
                </c:pt>
                <c:pt idx="1410">
                  <c:v>8.8100091074154764E-3</c:v>
                </c:pt>
                <c:pt idx="1411">
                  <c:v>8.8173715791845433E-3</c:v>
                </c:pt>
                <c:pt idx="1412">
                  <c:v>8.8247334834847951E-3</c:v>
                </c:pt>
                <c:pt idx="1413">
                  <c:v>8.8468157620732162E-3</c:v>
                </c:pt>
                <c:pt idx="1414">
                  <c:v>8.8541753669987688E-3</c:v>
                </c:pt>
                <c:pt idx="1415">
                  <c:v>8.8615343897057875E-3</c:v>
                </c:pt>
                <c:pt idx="1416">
                  <c:v>8.8688928272443249E-3</c:v>
                </c:pt>
                <c:pt idx="1417">
                  <c:v>8.8762506766644437E-3</c:v>
                </c:pt>
                <c:pt idx="1418">
                  <c:v>8.8983206667148217E-3</c:v>
                </c:pt>
                <c:pt idx="1419">
                  <c:v>8.9056761341618097E-3</c:v>
                </c:pt>
                <c:pt idx="1420">
                  <c:v>8.9130309987406568E-3</c:v>
                </c:pt>
                <c:pt idx="1421">
                  <c:v>8.9203852575014189E-3</c:v>
                </c:pt>
                <c:pt idx="1422">
                  <c:v>8.9277389074941538E-3</c:v>
                </c:pt>
                <c:pt idx="1423">
                  <c:v>8.949796175364743E-3</c:v>
                </c:pt>
                <c:pt idx="1424">
                  <c:v>8.9571473607859223E-3</c:v>
                </c:pt>
                <c:pt idx="1425">
                  <c:v>8.9644979226893538E-3</c:v>
                </c:pt>
                <c:pt idx="1426">
                  <c:v>8.9718478581250916E-3</c:v>
                </c:pt>
                <c:pt idx="1427">
                  <c:v>8.9791971641431951E-3</c:v>
                </c:pt>
                <c:pt idx="1428">
                  <c:v>9.0012412761922497E-3</c:v>
                </c:pt>
                <c:pt idx="1429">
                  <c:v>9.008588035040373E-3</c:v>
                </c:pt>
                <c:pt idx="1430">
                  <c:v>9.0159341497211398E-3</c:v>
                </c:pt>
                <c:pt idx="1431">
                  <c:v>9.0232796172846075E-3</c:v>
                </c:pt>
                <c:pt idx="1432">
                  <c:v>9.0306244347808321E-3</c:v>
                </c:pt>
                <c:pt idx="1433">
                  <c:v>9.0526549573666116E-3</c:v>
                </c:pt>
                <c:pt idx="1434">
                  <c:v>9.059997145094428E-3</c:v>
                </c:pt>
                <c:pt idx="1435">
                  <c:v>9.0673386680052825E-3</c:v>
                </c:pt>
                <c:pt idx="1436">
                  <c:v>9.074679523149231E-3</c:v>
                </c:pt>
                <c:pt idx="1437">
                  <c:v>9.0820197075763293E-3</c:v>
                </c:pt>
                <c:pt idx="1438">
                  <c:v>9.1040362070570879E-3</c:v>
                </c:pt>
                <c:pt idx="1439">
                  <c:v>9.1113736791173534E-3</c:v>
                </c:pt>
                <c:pt idx="1440">
                  <c:v>9.1187104657110465E-3</c:v>
                </c:pt>
                <c:pt idx="1441">
                  <c:v>9.1260465638882283E-3</c:v>
                </c:pt>
                <c:pt idx="1442">
                  <c:v>9.133381970698953E-3</c:v>
                </c:pt>
                <c:pt idx="1443">
                  <c:v>9.1553840134329517E-3</c:v>
                </c:pt>
                <c:pt idx="1444">
                  <c:v>9.1627166252784137E-3</c:v>
                </c:pt>
                <c:pt idx="1445">
                  <c:v>9.1700485310076962E-3</c:v>
                </c:pt>
                <c:pt idx="1446">
                  <c:v>9.1773797276708639E-3</c:v>
                </c:pt>
                <c:pt idx="1447">
                  <c:v>9.1847102123179675E-3</c:v>
                </c:pt>
                <c:pt idx="1448">
                  <c:v>9.2066973646634607E-3</c:v>
                </c:pt>
                <c:pt idx="1449">
                  <c:v>9.2140249717468734E-3</c:v>
                </c:pt>
                <c:pt idx="1450">
                  <c:v>9.2213518520645032E-3</c:v>
                </c:pt>
                <c:pt idx="1451">
                  <c:v>9.2286780026664093E-3</c:v>
                </c:pt>
                <c:pt idx="1452">
                  <c:v>9.2360034206026408E-3</c:v>
                </c:pt>
                <c:pt idx="1453">
                  <c:v>9.2579752489178845E-3</c:v>
                </c:pt>
                <c:pt idx="1454">
                  <c:v>9.2652977066920005E-3</c:v>
                </c:pt>
                <c:pt idx="1455">
                  <c:v>9.2726194170507266E-3</c:v>
                </c:pt>
                <c:pt idx="1456">
                  <c:v>9.279940377044122E-3</c:v>
                </c:pt>
                <c:pt idx="1457">
                  <c:v>9.2872605837222393E-3</c:v>
                </c:pt>
                <c:pt idx="1458">
                  <c:v>9.3092166543654875E-3</c:v>
                </c:pt>
                <c:pt idx="1459">
                  <c:v>9.3165338182830595E-3</c:v>
                </c:pt>
                <c:pt idx="1460">
                  <c:v>9.3238502141356344E-3</c:v>
                </c:pt>
                <c:pt idx="1461">
                  <c:v>9.3311658389732717E-3</c:v>
                </c:pt>
                <c:pt idx="1462">
                  <c:v>9.3384806898460238E-3</c:v>
                </c:pt>
                <c:pt idx="1463">
                  <c:v>9.3604205691755395E-3</c:v>
                </c:pt>
                <c:pt idx="1464">
                  <c:v>9.3677322946893165E-3</c:v>
                </c:pt>
                <c:pt idx="1465">
                  <c:v>9.3750432314884929E-3</c:v>
                </c:pt>
                <c:pt idx="1466">
                  <c:v>9.3823533766231211E-3</c:v>
                </c:pt>
                <c:pt idx="1467">
                  <c:v>9.3896627271432605E-3</c:v>
                </c:pt>
                <c:pt idx="1468">
                  <c:v>9.4115859815172981E-3</c:v>
                </c:pt>
                <c:pt idx="1469">
                  <c:v>9.4188921240800378E-3</c:v>
                </c:pt>
                <c:pt idx="1470">
                  <c:v>9.4261974572785682E-3</c:v>
                </c:pt>
                <c:pt idx="1471">
                  <c:v>9.4335019781629417E-3</c:v>
                </c:pt>
                <c:pt idx="1472">
                  <c:v>9.4408056837832193E-3</c:v>
                </c:pt>
                <c:pt idx="1473">
                  <c:v>9.4627118795600346E-3</c:v>
                </c:pt>
                <c:pt idx="1474">
                  <c:v>9.4700122946244861E-3</c:v>
                </c:pt>
                <c:pt idx="1475">
                  <c:v>9.4773118796751231E-3</c:v>
                </c:pt>
                <c:pt idx="1476">
                  <c:v>9.4846106317619926E-3</c:v>
                </c:pt>
                <c:pt idx="1477">
                  <c:v>9.4919085479351663E-3</c:v>
                </c:pt>
                <c:pt idx="1478">
                  <c:v>9.5137972514730135E-3</c:v>
                </c:pt>
                <c:pt idx="1479">
                  <c:v>9.5210917944919295E-3</c:v>
                </c:pt>
                <c:pt idx="1480">
                  <c:v>9.5283854868474203E-3</c:v>
                </c:pt>
                <c:pt idx="1481">
                  <c:v>9.5356783255895472E-3</c:v>
                </c:pt>
                <c:pt idx="1482">
                  <c:v>9.5429703077683625E-3</c:v>
                </c:pt>
                <c:pt idx="1483">
                  <c:v>9.5648410854254993E-3</c:v>
                </c:pt>
                <c:pt idx="1484">
                  <c:v>9.5721296118516305E-3</c:v>
                </c:pt>
                <c:pt idx="1485">
                  <c:v>9.5794172669647331E-3</c:v>
                </c:pt>
                <c:pt idx="1486">
                  <c:v>9.5867040478148612E-3</c:v>
                </c:pt>
                <c:pt idx="1487">
                  <c:v>9.5939899514520723E-3</c:v>
                </c:pt>
                <c:pt idx="1488">
                  <c:v>9.6158423695867565E-3</c:v>
                </c:pt>
                <c:pt idx="1489">
                  <c:v>9.623124734872859E-3</c:v>
                </c:pt>
                <c:pt idx="1490">
                  <c:v>9.6304062081963241E-3</c:v>
                </c:pt>
                <c:pt idx="1491">
                  <c:v>9.6376867866072077E-3</c:v>
                </c:pt>
                <c:pt idx="1492">
                  <c:v>9.6449664671555656E-3</c:v>
                </c:pt>
                <c:pt idx="1493">
                  <c:v>9.6668000921260582E-3</c:v>
                </c:pt>
                <c:pt idx="1494">
                  <c:v>9.6740761517248794E-3</c:v>
                </c:pt>
                <c:pt idx="1495">
                  <c:v>9.6813512987114561E-3</c:v>
                </c:pt>
                <c:pt idx="1496">
                  <c:v>9.6886255301358477E-3</c:v>
                </c:pt>
                <c:pt idx="1497">
                  <c:v>9.6958988430481084E-3</c:v>
                </c:pt>
                <c:pt idx="1498">
                  <c:v>9.7177132412126603E-3</c:v>
                </c:pt>
                <c:pt idx="1499">
                  <c:v>9.7249828505769562E-3</c:v>
                </c:pt>
              </c:numCache>
            </c:numRef>
          </c:val>
          <c:smooth val="0"/>
        </c:ser>
        <c:dLbls>
          <c:showLegendKey val="0"/>
          <c:showVal val="0"/>
          <c:showCatName val="0"/>
          <c:showSerName val="0"/>
          <c:showPercent val="0"/>
          <c:showBubbleSize val="0"/>
        </c:dLbls>
        <c:marker val="1"/>
        <c:smooth val="0"/>
        <c:axId val="113451776"/>
        <c:axId val="113495040"/>
      </c:lineChart>
      <c:dateAx>
        <c:axId val="113451776"/>
        <c:scaling>
          <c:orientation val="minMax"/>
        </c:scaling>
        <c:delete val="0"/>
        <c:axPos val="b"/>
        <c:numFmt formatCode="d\-mmm\-yy" sourceLinked="1"/>
        <c:majorTickMark val="out"/>
        <c:minorTickMark val="none"/>
        <c:tickLblPos val="nextTo"/>
        <c:crossAx val="113495040"/>
        <c:crosses val="autoZero"/>
        <c:auto val="1"/>
        <c:lblOffset val="100"/>
        <c:baseTimeUnit val="days"/>
      </c:dateAx>
      <c:valAx>
        <c:axId val="113495040"/>
        <c:scaling>
          <c:orientation val="minMax"/>
        </c:scaling>
        <c:delete val="0"/>
        <c:axPos val="l"/>
        <c:majorGridlines/>
        <c:numFmt formatCode="0.00000%" sourceLinked="1"/>
        <c:majorTickMark val="out"/>
        <c:minorTickMark val="none"/>
        <c:tickLblPos val="nextTo"/>
        <c:crossAx val="113451776"/>
        <c:crosses val="autoZero"/>
        <c:crossBetween val="between"/>
      </c:valAx>
    </c:plotArea>
    <c:legend>
      <c:legendPos val="r"/>
      <c:layout>
        <c:manualLayout>
          <c:xMode val="edge"/>
          <c:yMode val="edge"/>
          <c:x val="0.10603039180707388"/>
          <c:y val="2.7706451167288298E-2"/>
          <c:w val="0.16916005387618574"/>
          <c:h val="0.26465602983837544"/>
        </c:manualLayout>
      </c:layout>
      <c:overlay val="0"/>
      <c:txPr>
        <a:bodyPr/>
        <a:lstStyle/>
        <a:p>
          <a:pPr>
            <a:defRPr sz="2000"/>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_rels/drawing10.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2</xdr:col>
      <xdr:colOff>47624</xdr:colOff>
      <xdr:row>4</xdr:row>
      <xdr:rowOff>28575</xdr:rowOff>
    </xdr:from>
    <xdr:to>
      <xdr:col>2</xdr:col>
      <xdr:colOff>438149</xdr:colOff>
      <xdr:row>6</xdr:row>
      <xdr:rowOff>47683</xdr:rowOff>
    </xdr:to>
    <xdr:pic macro="[0]!RefreshCurvesAndPricing">
      <xdr:nvPicPr>
        <xdr:cNvPr id="2" name="Picture 1"/>
        <xdr:cNvPicPr>
          <a:picLocks noChangeAspect="1"/>
        </xdr:cNvPicPr>
      </xdr:nvPicPr>
      <xdr:blipFill>
        <a:blip xmlns:r="http://schemas.openxmlformats.org/officeDocument/2006/relationships" r:embed="rId1"/>
        <a:stretch>
          <a:fillRect/>
        </a:stretch>
      </xdr:blipFill>
      <xdr:spPr>
        <a:xfrm>
          <a:off x="1266824" y="1552575"/>
          <a:ext cx="390525" cy="40010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190500</xdr:colOff>
      <xdr:row>4</xdr:row>
      <xdr:rowOff>9525</xdr:rowOff>
    </xdr:from>
    <xdr:to>
      <xdr:col>0</xdr:col>
      <xdr:colOff>543093</xdr:colOff>
      <xdr:row>5</xdr:row>
      <xdr:rowOff>168841</xdr:rowOff>
    </xdr:to>
    <xdr:pic macro="[0]!ShowHideInfo">
      <xdr:nvPicPr>
        <xdr:cNvPr id="2" name="Picture 1"/>
        <xdr:cNvPicPr>
          <a:picLocks noChangeAspect="1"/>
        </xdr:cNvPicPr>
      </xdr:nvPicPr>
      <xdr:blipFill>
        <a:blip xmlns:r="http://schemas.openxmlformats.org/officeDocument/2006/relationships" r:embed="rId1"/>
        <a:stretch>
          <a:fillRect/>
        </a:stretch>
      </xdr:blipFill>
      <xdr:spPr>
        <a:xfrm>
          <a:off x="190500" y="981075"/>
          <a:ext cx="352593" cy="34981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142875</xdr:colOff>
      <xdr:row>5</xdr:row>
      <xdr:rowOff>9525</xdr:rowOff>
    </xdr:from>
    <xdr:to>
      <xdr:col>0</xdr:col>
      <xdr:colOff>495468</xdr:colOff>
      <xdr:row>6</xdr:row>
      <xdr:rowOff>168841</xdr:rowOff>
    </xdr:to>
    <xdr:pic macro="[0]!ShowHideInfo">
      <xdr:nvPicPr>
        <xdr:cNvPr id="3" name="Picture 2"/>
        <xdr:cNvPicPr>
          <a:picLocks noChangeAspect="1"/>
        </xdr:cNvPicPr>
      </xdr:nvPicPr>
      <xdr:blipFill>
        <a:blip xmlns:r="http://schemas.openxmlformats.org/officeDocument/2006/relationships" r:embed="rId1"/>
        <a:stretch>
          <a:fillRect/>
        </a:stretch>
      </xdr:blipFill>
      <xdr:spPr>
        <a:xfrm>
          <a:off x="142875" y="1533525"/>
          <a:ext cx="352593" cy="34981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142875</xdr:colOff>
      <xdr:row>4</xdr:row>
      <xdr:rowOff>19050</xdr:rowOff>
    </xdr:from>
    <xdr:to>
      <xdr:col>0</xdr:col>
      <xdr:colOff>495468</xdr:colOff>
      <xdr:row>5</xdr:row>
      <xdr:rowOff>178366</xdr:rowOff>
    </xdr:to>
    <xdr:pic macro="[0]!ShowHideInfo">
      <xdr:nvPicPr>
        <xdr:cNvPr id="3" name="Picture 2"/>
        <xdr:cNvPicPr>
          <a:picLocks noChangeAspect="1"/>
        </xdr:cNvPicPr>
      </xdr:nvPicPr>
      <xdr:blipFill>
        <a:blip xmlns:r="http://schemas.openxmlformats.org/officeDocument/2006/relationships" r:embed="rId1"/>
        <a:stretch>
          <a:fillRect/>
        </a:stretch>
      </xdr:blipFill>
      <xdr:spPr>
        <a:xfrm>
          <a:off x="142875" y="1066800"/>
          <a:ext cx="352593" cy="34981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114300</xdr:colOff>
      <xdr:row>4</xdr:row>
      <xdr:rowOff>0</xdr:rowOff>
    </xdr:from>
    <xdr:to>
      <xdr:col>0</xdr:col>
      <xdr:colOff>466893</xdr:colOff>
      <xdr:row>5</xdr:row>
      <xdr:rowOff>159316</xdr:rowOff>
    </xdr:to>
    <xdr:pic macro="[0]!ShowHideInfo">
      <xdr:nvPicPr>
        <xdr:cNvPr id="3" name="Picture 2"/>
        <xdr:cNvPicPr>
          <a:picLocks noChangeAspect="1"/>
        </xdr:cNvPicPr>
      </xdr:nvPicPr>
      <xdr:blipFill>
        <a:blip xmlns:r="http://schemas.openxmlformats.org/officeDocument/2006/relationships" r:embed="rId1"/>
        <a:stretch>
          <a:fillRect/>
        </a:stretch>
      </xdr:blipFill>
      <xdr:spPr>
        <a:xfrm>
          <a:off x="114300" y="1047750"/>
          <a:ext cx="352593" cy="34981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123825</xdr:colOff>
      <xdr:row>4</xdr:row>
      <xdr:rowOff>0</xdr:rowOff>
    </xdr:from>
    <xdr:to>
      <xdr:col>0</xdr:col>
      <xdr:colOff>476418</xdr:colOff>
      <xdr:row>5</xdr:row>
      <xdr:rowOff>159316</xdr:rowOff>
    </xdr:to>
    <xdr:pic macro="[0]!ShowHideInfo">
      <xdr:nvPicPr>
        <xdr:cNvPr id="3" name="Picture 2"/>
        <xdr:cNvPicPr>
          <a:picLocks noChangeAspect="1"/>
        </xdr:cNvPicPr>
      </xdr:nvPicPr>
      <xdr:blipFill>
        <a:blip xmlns:r="http://schemas.openxmlformats.org/officeDocument/2006/relationships" r:embed="rId1"/>
        <a:stretch>
          <a:fillRect/>
        </a:stretch>
      </xdr:blipFill>
      <xdr:spPr>
        <a:xfrm>
          <a:off x="123825" y="1047750"/>
          <a:ext cx="352593" cy="349816"/>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18</xdr:col>
      <xdr:colOff>400048</xdr:colOff>
      <xdr:row>6</xdr:row>
      <xdr:rowOff>47625</xdr:rowOff>
    </xdr:from>
    <xdr:to>
      <xdr:col>30</xdr:col>
      <xdr:colOff>419099</xdr:colOff>
      <xdr:row>40</xdr:row>
      <xdr:rowOff>180975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12</xdr:col>
      <xdr:colOff>0</xdr:colOff>
      <xdr:row>85</xdr:row>
      <xdr:rowOff>57151</xdr:rowOff>
    </xdr:from>
    <xdr:to>
      <xdr:col>13</xdr:col>
      <xdr:colOff>590550</xdr:colOff>
      <xdr:row>85</xdr:row>
      <xdr:rowOff>66675</xdr:rowOff>
    </xdr:to>
    <xdr:cxnSp macro="">
      <xdr:nvCxnSpPr>
        <xdr:cNvPr id="11" name="Straight Arrow Connector 10"/>
        <xdr:cNvCxnSpPr/>
      </xdr:nvCxnSpPr>
      <xdr:spPr>
        <a:xfrm>
          <a:off x="35947350" y="13115926"/>
          <a:ext cx="4219575" cy="9524"/>
        </a:xfrm>
        <a:prstGeom prst="straightConnector1">
          <a:avLst/>
        </a:prstGeom>
        <a:ln>
          <a:headEnd type="arrow"/>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28575</xdr:colOff>
      <xdr:row>85</xdr:row>
      <xdr:rowOff>57150</xdr:rowOff>
    </xdr:from>
    <xdr:to>
      <xdr:col>16</xdr:col>
      <xdr:colOff>561975</xdr:colOff>
      <xdr:row>85</xdr:row>
      <xdr:rowOff>57150</xdr:rowOff>
    </xdr:to>
    <xdr:cxnSp macro="">
      <xdr:nvCxnSpPr>
        <xdr:cNvPr id="19" name="Straight Arrow Connector 18"/>
        <xdr:cNvCxnSpPr/>
      </xdr:nvCxnSpPr>
      <xdr:spPr>
        <a:xfrm>
          <a:off x="40214550" y="13115925"/>
          <a:ext cx="1752600" cy="0"/>
        </a:xfrm>
        <a:prstGeom prst="straightConnector1">
          <a:avLst/>
        </a:prstGeom>
        <a:ln>
          <a:headEnd type="arrow"/>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xdr:from>
      <xdr:col>27</xdr:col>
      <xdr:colOff>28575</xdr:colOff>
      <xdr:row>84</xdr:row>
      <xdr:rowOff>57151</xdr:rowOff>
    </xdr:from>
    <xdr:to>
      <xdr:col>31</xdr:col>
      <xdr:colOff>590550</xdr:colOff>
      <xdr:row>84</xdr:row>
      <xdr:rowOff>66675</xdr:rowOff>
    </xdr:to>
    <xdr:cxnSp macro="">
      <xdr:nvCxnSpPr>
        <xdr:cNvPr id="2" name="Straight Arrow Connector 1"/>
        <xdr:cNvCxnSpPr/>
      </xdr:nvCxnSpPr>
      <xdr:spPr>
        <a:xfrm>
          <a:off x="24660225" y="16163926"/>
          <a:ext cx="3000375" cy="9524"/>
        </a:xfrm>
        <a:prstGeom prst="straightConnector1">
          <a:avLst/>
        </a:prstGeom>
        <a:ln>
          <a:headEnd type="arrow"/>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28575</xdr:colOff>
      <xdr:row>84</xdr:row>
      <xdr:rowOff>57150</xdr:rowOff>
    </xdr:from>
    <xdr:to>
      <xdr:col>26</xdr:col>
      <xdr:colOff>561975</xdr:colOff>
      <xdr:row>84</xdr:row>
      <xdr:rowOff>57150</xdr:rowOff>
    </xdr:to>
    <xdr:cxnSp macro="">
      <xdr:nvCxnSpPr>
        <xdr:cNvPr id="3" name="Straight Arrow Connector 2"/>
        <xdr:cNvCxnSpPr/>
      </xdr:nvCxnSpPr>
      <xdr:spPr>
        <a:xfrm>
          <a:off x="22831425" y="16163925"/>
          <a:ext cx="1752600" cy="0"/>
        </a:xfrm>
        <a:prstGeom prst="straightConnector1">
          <a:avLst/>
        </a:prstGeom>
        <a:ln>
          <a:headEnd type="arrow"/>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28575</xdr:colOff>
      <xdr:row>84</xdr:row>
      <xdr:rowOff>57150</xdr:rowOff>
    </xdr:from>
    <xdr:to>
      <xdr:col>34</xdr:col>
      <xdr:colOff>561975</xdr:colOff>
      <xdr:row>84</xdr:row>
      <xdr:rowOff>57150</xdr:rowOff>
    </xdr:to>
    <xdr:cxnSp macro="">
      <xdr:nvCxnSpPr>
        <xdr:cNvPr id="4" name="Straight Arrow Connector 3"/>
        <xdr:cNvCxnSpPr/>
      </xdr:nvCxnSpPr>
      <xdr:spPr>
        <a:xfrm>
          <a:off x="27708225" y="16163925"/>
          <a:ext cx="1752600" cy="0"/>
        </a:xfrm>
        <a:prstGeom prst="straightConnector1">
          <a:avLst/>
        </a:prstGeom>
        <a:ln>
          <a:headEnd type="arrow"/>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238125</xdr:colOff>
      <xdr:row>10</xdr:row>
      <xdr:rowOff>85725</xdr:rowOff>
    </xdr:from>
    <xdr:to>
      <xdr:col>0</xdr:col>
      <xdr:colOff>544978</xdr:colOff>
      <xdr:row>12</xdr:row>
      <xdr:rowOff>19108</xdr:rowOff>
    </xdr:to>
    <xdr:pic macro="[0]!RefreshCurvesAndPricing">
      <xdr:nvPicPr>
        <xdr:cNvPr id="2" name="Picture 1"/>
        <xdr:cNvPicPr>
          <a:picLocks noChangeAspect="1"/>
        </xdr:cNvPicPr>
      </xdr:nvPicPr>
      <xdr:blipFill>
        <a:blip xmlns:r="http://schemas.openxmlformats.org/officeDocument/2006/relationships" r:embed="rId1"/>
        <a:stretch>
          <a:fillRect/>
        </a:stretch>
      </xdr:blipFill>
      <xdr:spPr>
        <a:xfrm>
          <a:off x="238125" y="1524000"/>
          <a:ext cx="306853" cy="314383"/>
        </a:xfrm>
        <a:prstGeom prst="rect">
          <a:avLst/>
        </a:prstGeom>
      </xdr:spPr>
    </xdr:pic>
    <xdr:clientData/>
  </xdr:twoCellAnchor>
  <xdr:twoCellAnchor editAs="oneCell">
    <xdr:from>
      <xdr:col>4</xdr:col>
      <xdr:colOff>1</xdr:colOff>
      <xdr:row>7</xdr:row>
      <xdr:rowOff>0</xdr:rowOff>
    </xdr:from>
    <xdr:to>
      <xdr:col>16</xdr:col>
      <xdr:colOff>19051</xdr:colOff>
      <xdr:row>44</xdr:row>
      <xdr:rowOff>9525</xdr:rowOff>
    </xdr:to>
    <xdr:pic>
      <xdr:nvPicPr>
        <xdr:cNvPr id="4" name="Picture 3"/>
        <xdr:cNvPicPr>
          <a:picLocks noChangeAspect="1"/>
        </xdr:cNvPicPr>
      </xdr:nvPicPr>
      <xdr:blipFill>
        <a:blip xmlns:r="http://schemas.openxmlformats.org/officeDocument/2006/relationships" r:embed="rId2"/>
        <a:stretch>
          <a:fillRect/>
        </a:stretch>
      </xdr:blipFill>
      <xdr:spPr>
        <a:xfrm>
          <a:off x="5600701" y="1647825"/>
          <a:ext cx="7334250" cy="70580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257175</xdr:colOff>
      <xdr:row>11</xdr:row>
      <xdr:rowOff>114300</xdr:rowOff>
    </xdr:from>
    <xdr:to>
      <xdr:col>0</xdr:col>
      <xdr:colOff>564028</xdr:colOff>
      <xdr:row>13</xdr:row>
      <xdr:rowOff>47683</xdr:rowOff>
    </xdr:to>
    <xdr:pic macro="[0]!RefreshCurvesAndPricing">
      <xdr:nvPicPr>
        <xdr:cNvPr id="2" name="Picture 1"/>
        <xdr:cNvPicPr>
          <a:picLocks noChangeAspect="1"/>
        </xdr:cNvPicPr>
      </xdr:nvPicPr>
      <xdr:blipFill>
        <a:blip xmlns:r="http://schemas.openxmlformats.org/officeDocument/2006/relationships" r:embed="rId1"/>
        <a:stretch>
          <a:fillRect/>
        </a:stretch>
      </xdr:blipFill>
      <xdr:spPr>
        <a:xfrm>
          <a:off x="257175" y="1552575"/>
          <a:ext cx="306853" cy="314383"/>
        </a:xfrm>
        <a:prstGeom prst="rect">
          <a:avLst/>
        </a:prstGeom>
      </xdr:spPr>
    </xdr:pic>
    <xdr:clientData/>
  </xdr:twoCellAnchor>
  <xdr:twoCellAnchor editAs="oneCell">
    <xdr:from>
      <xdr:col>3</xdr:col>
      <xdr:colOff>590550</xdr:colOff>
      <xdr:row>7</xdr:row>
      <xdr:rowOff>190499</xdr:rowOff>
    </xdr:from>
    <xdr:to>
      <xdr:col>9</xdr:col>
      <xdr:colOff>604401</xdr:colOff>
      <xdr:row>43</xdr:row>
      <xdr:rowOff>180975</xdr:rowOff>
    </xdr:to>
    <xdr:pic>
      <xdr:nvPicPr>
        <xdr:cNvPr id="5" name="Picture 4"/>
        <xdr:cNvPicPr>
          <a:picLocks noChangeAspect="1"/>
        </xdr:cNvPicPr>
      </xdr:nvPicPr>
      <xdr:blipFill>
        <a:blip xmlns:r="http://schemas.openxmlformats.org/officeDocument/2006/relationships" r:embed="rId2"/>
        <a:stretch>
          <a:fillRect/>
        </a:stretch>
      </xdr:blipFill>
      <xdr:spPr>
        <a:xfrm>
          <a:off x="5657850" y="1838324"/>
          <a:ext cx="8091051" cy="6848476"/>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2.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3.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4.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1"/>
  </sheetPr>
  <dimension ref="B2:L3695"/>
  <sheetViews>
    <sheetView showGridLines="0" workbookViewId="0"/>
  </sheetViews>
  <sheetFormatPr defaultRowHeight="15" x14ac:dyDescent="0.25"/>
  <cols>
    <col min="2" max="2" width="10.140625" bestFit="1" customWidth="1"/>
    <col min="3" max="3" width="9.140625" customWidth="1"/>
    <col min="4" max="4" width="10.140625" style="125" bestFit="1" customWidth="1"/>
    <col min="5" max="5" width="16.5703125" customWidth="1"/>
    <col min="6" max="6" width="20.42578125" customWidth="1"/>
    <col min="7" max="7" width="20.140625" customWidth="1"/>
    <col min="9" max="9" width="9.140625" style="125" customWidth="1"/>
    <col min="10" max="10" width="20.7109375" style="125" customWidth="1"/>
    <col min="11" max="11" width="16.85546875" style="125" customWidth="1"/>
  </cols>
  <sheetData>
    <row r="2" spans="2:12" x14ac:dyDescent="0.25">
      <c r="B2" s="79"/>
      <c r="C2" s="80"/>
      <c r="D2" s="80"/>
      <c r="E2" s="80"/>
      <c r="F2" s="80"/>
      <c r="G2" s="80"/>
      <c r="H2" s="80"/>
      <c r="I2" s="80"/>
      <c r="J2" s="80"/>
      <c r="K2" s="80"/>
      <c r="L2" s="81"/>
    </row>
    <row r="3" spans="2:12" s="125" customFormat="1" x14ac:dyDescent="0.25">
      <c r="B3" s="82"/>
      <c r="C3" s="130"/>
      <c r="D3" s="130"/>
      <c r="E3" s="130"/>
      <c r="F3" s="130"/>
      <c r="G3" s="130"/>
      <c r="H3" s="130"/>
      <c r="I3" s="130"/>
      <c r="J3" s="130"/>
      <c r="K3" s="130"/>
      <c r="L3" s="83"/>
    </row>
    <row r="4" spans="2:12" x14ac:dyDescent="0.25">
      <c r="B4" s="82"/>
      <c r="C4" s="77" t="s">
        <v>180</v>
      </c>
      <c r="D4" s="77"/>
      <c r="E4" s="77" t="s">
        <v>356</v>
      </c>
      <c r="F4" s="5"/>
      <c r="G4" s="5"/>
      <c r="H4" s="5"/>
      <c r="I4" s="130"/>
      <c r="J4" s="77" t="s">
        <v>355</v>
      </c>
      <c r="K4" s="130"/>
      <c r="L4" s="83"/>
    </row>
    <row r="5" spans="2:12" x14ac:dyDescent="0.25">
      <c r="B5" s="82"/>
      <c r="C5" s="5"/>
      <c r="D5" s="130"/>
      <c r="E5" s="119" t="s">
        <v>179</v>
      </c>
      <c r="F5" s="274">
        <v>42521</v>
      </c>
      <c r="G5" s="5"/>
      <c r="H5" s="5"/>
      <c r="I5" s="130"/>
      <c r="J5" s="272" t="s">
        <v>371</v>
      </c>
      <c r="K5" s="273" t="s">
        <v>369</v>
      </c>
      <c r="L5" s="83"/>
    </row>
    <row r="6" spans="2:12" x14ac:dyDescent="0.25">
      <c r="B6" s="82"/>
      <c r="C6" s="5"/>
      <c r="D6" s="130"/>
      <c r="E6" s="120" t="s">
        <v>110</v>
      </c>
      <c r="F6" s="278" t="s">
        <v>437</v>
      </c>
      <c r="G6" s="107" t="str">
        <f>"fn_"&amp;Interpolation&amp;"Interpolation"</f>
        <v>fn_SplineInterpolation</v>
      </c>
      <c r="H6" s="5"/>
      <c r="I6" s="130"/>
      <c r="J6" s="268" t="s">
        <v>198</v>
      </c>
      <c r="K6" s="269" t="s">
        <v>370</v>
      </c>
      <c r="L6" s="83"/>
    </row>
    <row r="7" spans="2:12" x14ac:dyDescent="0.25">
      <c r="B7" s="82"/>
      <c r="C7" s="5"/>
      <c r="D7" s="130"/>
      <c r="E7" s="121" t="s">
        <v>97</v>
      </c>
      <c r="F7" s="275" t="b">
        <v>1</v>
      </c>
      <c r="G7" s="5"/>
      <c r="H7" s="5"/>
      <c r="I7" s="130"/>
      <c r="J7" s="268" t="s">
        <v>201</v>
      </c>
      <c r="K7" s="269" t="s">
        <v>200</v>
      </c>
      <c r="L7" s="83"/>
    </row>
    <row r="8" spans="2:12" x14ac:dyDescent="0.25">
      <c r="B8" s="82"/>
      <c r="C8" s="108"/>
      <c r="D8" s="108"/>
      <c r="E8" s="5"/>
      <c r="F8" s="5"/>
      <c r="G8" s="5"/>
      <c r="H8" s="5"/>
      <c r="I8" s="130"/>
      <c r="J8" s="268" t="s">
        <v>170</v>
      </c>
      <c r="K8" s="269" t="s">
        <v>28</v>
      </c>
      <c r="L8" s="83"/>
    </row>
    <row r="9" spans="2:12" s="125" customFormat="1" x14ac:dyDescent="0.25">
      <c r="B9" s="82"/>
      <c r="C9" s="108"/>
      <c r="D9" s="108"/>
      <c r="E9" s="77" t="s">
        <v>380</v>
      </c>
      <c r="F9" s="130"/>
      <c r="G9" s="130"/>
      <c r="H9" s="130"/>
      <c r="I9" s="130"/>
      <c r="J9" s="268" t="s">
        <v>162</v>
      </c>
      <c r="K9" s="269" t="s">
        <v>108</v>
      </c>
      <c r="L9" s="83"/>
    </row>
    <row r="10" spans="2:12" s="125" customFormat="1" x14ac:dyDescent="0.25">
      <c r="B10" s="82"/>
      <c r="C10" s="108"/>
      <c r="D10" s="108"/>
      <c r="E10" s="314" t="s">
        <v>381</v>
      </c>
      <c r="F10" s="315" t="s">
        <v>382</v>
      </c>
      <c r="G10" s="108"/>
      <c r="H10" s="130"/>
      <c r="I10" s="130"/>
      <c r="J10" s="270" t="s">
        <v>208</v>
      </c>
      <c r="K10" s="271" t="s">
        <v>26</v>
      </c>
      <c r="L10" s="83"/>
    </row>
    <row r="11" spans="2:12" s="125" customFormat="1" x14ac:dyDescent="0.25">
      <c r="B11" s="82"/>
      <c r="C11" s="108"/>
      <c r="D11" s="108"/>
      <c r="E11" s="108"/>
      <c r="F11" s="108"/>
      <c r="G11" s="108"/>
      <c r="H11" s="130"/>
      <c r="I11" s="130"/>
      <c r="J11" s="130"/>
      <c r="K11" s="130"/>
      <c r="L11" s="83"/>
    </row>
    <row r="12" spans="2:12" s="125" customFormat="1" x14ac:dyDescent="0.25">
      <c r="B12" s="82"/>
      <c r="C12" s="108"/>
      <c r="D12" s="108"/>
      <c r="E12" s="77" t="s">
        <v>357</v>
      </c>
      <c r="F12" s="130"/>
      <c r="G12" s="130"/>
      <c r="H12" s="130"/>
      <c r="I12" s="130"/>
      <c r="J12" s="130"/>
      <c r="K12" s="130"/>
      <c r="L12" s="83"/>
    </row>
    <row r="13" spans="2:12" s="125" customFormat="1" x14ac:dyDescent="0.25">
      <c r="B13" s="82"/>
      <c r="C13" s="108"/>
      <c r="D13" s="108"/>
      <c r="E13" s="119" t="s">
        <v>346</v>
      </c>
      <c r="F13" s="276">
        <v>1</v>
      </c>
      <c r="G13" s="107" t="str">
        <f>F13&amp;" Basis Point(s)"</f>
        <v>1 Basis Point(s)</v>
      </c>
      <c r="H13" s="130"/>
      <c r="I13" s="130"/>
      <c r="J13" s="272" t="s">
        <v>354</v>
      </c>
      <c r="K13" s="273" t="s">
        <v>369</v>
      </c>
      <c r="L13" s="83"/>
    </row>
    <row r="14" spans="2:12" s="125" customFormat="1" x14ac:dyDescent="0.25">
      <c r="B14" s="82"/>
      <c r="C14" s="108"/>
      <c r="D14" s="108"/>
      <c r="E14" s="121" t="s">
        <v>347</v>
      </c>
      <c r="F14" s="277" t="s">
        <v>358</v>
      </c>
      <c r="G14" s="130"/>
      <c r="H14" s="130"/>
      <c r="I14" s="130"/>
      <c r="J14" s="270" t="s">
        <v>328</v>
      </c>
      <c r="K14" s="304" t="s">
        <v>370</v>
      </c>
      <c r="L14" s="83"/>
    </row>
    <row r="15" spans="2:12" s="125" customFormat="1" x14ac:dyDescent="0.25">
      <c r="B15" s="82"/>
      <c r="C15" s="108"/>
      <c r="D15" s="108"/>
      <c r="E15" s="130"/>
      <c r="F15" s="130"/>
      <c r="G15" s="130"/>
      <c r="H15" s="130"/>
      <c r="I15" s="130"/>
      <c r="J15" s="130"/>
      <c r="K15" s="130"/>
      <c r="L15" s="83"/>
    </row>
    <row r="16" spans="2:12" x14ac:dyDescent="0.25">
      <c r="B16" s="82"/>
      <c r="C16" s="5"/>
      <c r="D16" s="130"/>
      <c r="E16" s="5"/>
      <c r="F16" s="5"/>
      <c r="G16" s="5"/>
      <c r="H16" s="5"/>
      <c r="I16" s="130"/>
      <c r="J16" s="130"/>
      <c r="K16" s="130"/>
      <c r="L16" s="83"/>
    </row>
    <row r="17" spans="2:12" x14ac:dyDescent="0.25">
      <c r="B17" s="82"/>
      <c r="C17" s="130"/>
      <c r="D17" s="130"/>
      <c r="E17" s="130"/>
      <c r="F17" s="130"/>
      <c r="G17" s="130"/>
      <c r="H17" s="130"/>
      <c r="I17" s="130"/>
      <c r="J17" s="130"/>
      <c r="K17" s="130"/>
      <c r="L17" s="83"/>
    </row>
    <row r="18" spans="2:12" x14ac:dyDescent="0.25">
      <c r="B18" s="82"/>
      <c r="C18" s="130"/>
      <c r="D18" s="130"/>
      <c r="E18" s="130"/>
      <c r="F18" s="130"/>
      <c r="G18" s="130"/>
      <c r="H18" s="130"/>
      <c r="I18" s="130"/>
      <c r="J18" s="130"/>
      <c r="K18" s="130"/>
      <c r="L18" s="83"/>
    </row>
    <row r="19" spans="2:12" x14ac:dyDescent="0.25">
      <c r="B19" s="82"/>
      <c r="C19" s="130"/>
      <c r="D19" s="130"/>
      <c r="E19" s="77" t="s">
        <v>443</v>
      </c>
      <c r="F19" s="130"/>
      <c r="G19" s="130"/>
      <c r="H19" s="130"/>
      <c r="I19" s="130"/>
      <c r="J19" s="130"/>
      <c r="K19" s="130"/>
      <c r="L19" s="83"/>
    </row>
    <row r="20" spans="2:12" x14ac:dyDescent="0.25">
      <c r="B20" s="82"/>
      <c r="C20" s="130"/>
      <c r="D20" s="130"/>
      <c r="E20" s="433" t="s">
        <v>80</v>
      </c>
      <c r="F20" s="434" t="s">
        <v>78</v>
      </c>
      <c r="G20" s="434" t="s">
        <v>443</v>
      </c>
      <c r="H20" s="130"/>
      <c r="I20" s="130"/>
      <c r="J20" s="130"/>
      <c r="K20" s="130"/>
      <c r="L20" s="83"/>
    </row>
    <row r="21" spans="2:12" x14ac:dyDescent="0.25">
      <c r="B21" s="82"/>
      <c r="C21" s="130"/>
      <c r="D21" s="130"/>
      <c r="E21" s="431" t="s">
        <v>387</v>
      </c>
      <c r="F21" s="105" t="s">
        <v>198</v>
      </c>
      <c r="G21" s="166" t="str">
        <f ca="1">_xll.meCurveFrequency($F$20,$F21)</f>
        <v>1D</v>
      </c>
      <c r="H21" s="130"/>
      <c r="I21" s="130"/>
      <c r="J21" s="130"/>
      <c r="K21" s="130"/>
      <c r="L21" s="83"/>
    </row>
    <row r="22" spans="2:12" x14ac:dyDescent="0.25">
      <c r="B22" s="82"/>
      <c r="C22" s="130"/>
      <c r="D22" s="130"/>
      <c r="E22" s="431" t="s">
        <v>387</v>
      </c>
      <c r="F22" s="105" t="s">
        <v>201</v>
      </c>
      <c r="G22" s="166" t="str">
        <f ca="1">_xll.meCurveFrequency($F$20,$F22)</f>
        <v>1M</v>
      </c>
      <c r="H22" s="130"/>
      <c r="I22" s="130"/>
      <c r="J22" s="130"/>
      <c r="K22" s="130"/>
      <c r="L22" s="83"/>
    </row>
    <row r="23" spans="2:12" x14ac:dyDescent="0.25">
      <c r="B23" s="82"/>
      <c r="C23" s="130"/>
      <c r="D23" s="130"/>
      <c r="E23" s="431" t="s">
        <v>387</v>
      </c>
      <c r="F23" s="105" t="s">
        <v>170</v>
      </c>
      <c r="G23" s="166" t="str">
        <f ca="1">_xll.meCurveFrequency($F$20,$F23)</f>
        <v>3M</v>
      </c>
      <c r="H23" s="130"/>
      <c r="I23" s="130"/>
      <c r="J23" s="130"/>
      <c r="K23" s="130"/>
      <c r="L23" s="83"/>
    </row>
    <row r="24" spans="2:12" x14ac:dyDescent="0.25">
      <c r="B24" s="82"/>
      <c r="C24" s="130"/>
      <c r="D24" s="130"/>
      <c r="E24" s="431" t="s">
        <v>387</v>
      </c>
      <c r="F24" s="105" t="s">
        <v>162</v>
      </c>
      <c r="G24" s="166" t="str">
        <f ca="1">_xll.meCurveFrequency($F$20,$F24)</f>
        <v>6M</v>
      </c>
      <c r="H24" s="130"/>
      <c r="I24" s="130"/>
      <c r="J24" s="130"/>
      <c r="K24" s="130"/>
      <c r="L24" s="83"/>
    </row>
    <row r="25" spans="2:12" x14ac:dyDescent="0.25">
      <c r="B25" s="82"/>
      <c r="C25" s="130"/>
      <c r="D25" s="130"/>
      <c r="E25" s="432" t="s">
        <v>387</v>
      </c>
      <c r="F25" s="106" t="s">
        <v>208</v>
      </c>
      <c r="G25" s="167" t="str">
        <f ca="1">_xll.meCurveFrequency($F$20,$F25)</f>
        <v>1Y</v>
      </c>
      <c r="H25" s="130"/>
      <c r="I25" s="130"/>
      <c r="J25" s="130"/>
      <c r="K25" s="130"/>
      <c r="L25" s="83"/>
    </row>
    <row r="26" spans="2:12" x14ac:dyDescent="0.25">
      <c r="B26" s="82"/>
      <c r="C26" s="130"/>
      <c r="D26" s="130"/>
      <c r="E26" s="130"/>
      <c r="F26" s="130"/>
      <c r="G26" s="130"/>
      <c r="H26" s="130"/>
      <c r="I26" s="130"/>
      <c r="J26" s="130"/>
      <c r="K26" s="130"/>
      <c r="L26" s="83"/>
    </row>
    <row r="27" spans="2:12" x14ac:dyDescent="0.25">
      <c r="B27" s="82"/>
      <c r="C27" s="130"/>
      <c r="D27" s="130"/>
      <c r="E27" s="130"/>
      <c r="F27" s="130"/>
      <c r="G27" s="130"/>
      <c r="H27" s="130"/>
      <c r="I27" s="130"/>
      <c r="J27" s="130"/>
      <c r="K27" s="130"/>
      <c r="L27" s="83"/>
    </row>
    <row r="28" spans="2:12" x14ac:dyDescent="0.25">
      <c r="B28" s="82"/>
      <c r="C28" s="130"/>
      <c r="D28" s="130"/>
      <c r="E28" s="130"/>
      <c r="F28" s="130"/>
      <c r="G28" s="130"/>
      <c r="H28" s="130"/>
      <c r="I28" s="130"/>
      <c r="J28" s="130"/>
      <c r="K28" s="130"/>
      <c r="L28" s="83"/>
    </row>
    <row r="29" spans="2:12" x14ac:dyDescent="0.25">
      <c r="B29" s="82"/>
      <c r="C29" s="130"/>
      <c r="D29" s="130"/>
      <c r="E29" s="130"/>
      <c r="F29" s="130"/>
      <c r="G29" s="130"/>
      <c r="H29" s="130"/>
      <c r="I29" s="130"/>
      <c r="J29" s="130"/>
      <c r="K29" s="130"/>
      <c r="L29" s="83"/>
    </row>
    <row r="30" spans="2:12" x14ac:dyDescent="0.25">
      <c r="B30" s="82"/>
      <c r="C30" s="130"/>
      <c r="D30" s="130"/>
      <c r="E30" s="130"/>
      <c r="F30" s="130"/>
      <c r="G30" s="130"/>
      <c r="H30" s="130"/>
      <c r="I30" s="130"/>
      <c r="J30" s="130"/>
      <c r="K30" s="130"/>
      <c r="L30" s="83"/>
    </row>
    <row r="31" spans="2:12" x14ac:dyDescent="0.25">
      <c r="B31" s="82"/>
      <c r="C31" s="130"/>
      <c r="D31" s="130"/>
      <c r="E31" s="130"/>
      <c r="F31" s="130"/>
      <c r="G31" s="130"/>
      <c r="H31" s="130"/>
      <c r="I31" s="130"/>
      <c r="J31" s="130"/>
      <c r="K31" s="130"/>
      <c r="L31" s="83"/>
    </row>
    <row r="32" spans="2:12" x14ac:dyDescent="0.25">
      <c r="B32" s="82"/>
      <c r="C32" s="130"/>
      <c r="D32" s="130"/>
      <c r="E32" s="130"/>
      <c r="F32" s="130"/>
      <c r="G32" s="130"/>
      <c r="H32" s="130"/>
      <c r="I32" s="130"/>
      <c r="J32" s="130"/>
      <c r="K32" s="130"/>
      <c r="L32" s="83"/>
    </row>
    <row r="33" spans="2:12" x14ac:dyDescent="0.25">
      <c r="B33" s="99"/>
      <c r="C33" s="100"/>
      <c r="D33" s="100"/>
      <c r="E33" s="100"/>
      <c r="F33" s="100"/>
      <c r="G33" s="100"/>
      <c r="H33" s="100"/>
      <c r="I33" s="100"/>
      <c r="J33" s="100"/>
      <c r="K33" s="100"/>
      <c r="L33" s="101"/>
    </row>
    <row r="34" spans="2:12" x14ac:dyDescent="0.25">
      <c r="B34" s="112"/>
      <c r="D34" s="112"/>
      <c r="E34" s="417"/>
      <c r="F34" s="418"/>
    </row>
    <row r="35" spans="2:12" x14ac:dyDescent="0.25">
      <c r="B35" s="112"/>
      <c r="D35" s="112"/>
      <c r="E35" s="417"/>
      <c r="F35" s="418"/>
    </row>
    <row r="36" spans="2:12" x14ac:dyDescent="0.25">
      <c r="B36" s="112"/>
      <c r="D36" s="112"/>
      <c r="E36" s="417"/>
      <c r="F36" s="418"/>
    </row>
    <row r="37" spans="2:12" x14ac:dyDescent="0.25">
      <c r="B37" s="112"/>
      <c r="D37" s="112"/>
      <c r="E37" s="417"/>
      <c r="F37" s="418"/>
    </row>
    <row r="38" spans="2:12" x14ac:dyDescent="0.25">
      <c r="B38" s="112"/>
      <c r="D38" s="112"/>
      <c r="E38" s="417"/>
      <c r="F38" s="418"/>
    </row>
    <row r="39" spans="2:12" x14ac:dyDescent="0.25">
      <c r="B39" s="112"/>
      <c r="D39" s="112"/>
      <c r="E39" s="417"/>
      <c r="F39" s="418"/>
    </row>
    <row r="40" spans="2:12" x14ac:dyDescent="0.25">
      <c r="B40" s="112"/>
      <c r="D40" s="112"/>
      <c r="E40" s="417"/>
      <c r="F40" s="418"/>
    </row>
    <row r="41" spans="2:12" x14ac:dyDescent="0.25">
      <c r="B41" s="112"/>
      <c r="D41" s="112"/>
      <c r="E41" s="417"/>
      <c r="F41" s="418"/>
    </row>
    <row r="42" spans="2:12" x14ac:dyDescent="0.25">
      <c r="B42" s="112"/>
      <c r="D42" s="112"/>
      <c r="E42" s="417"/>
      <c r="F42" s="418"/>
    </row>
    <row r="43" spans="2:12" x14ac:dyDescent="0.25">
      <c r="B43" s="112"/>
      <c r="D43" s="112"/>
      <c r="E43" s="417"/>
      <c r="F43" s="418"/>
    </row>
    <row r="44" spans="2:12" x14ac:dyDescent="0.25">
      <c r="B44" s="112"/>
      <c r="D44" s="112"/>
      <c r="E44" s="417"/>
      <c r="F44" s="418"/>
    </row>
    <row r="45" spans="2:12" x14ac:dyDescent="0.25">
      <c r="B45" s="112"/>
      <c r="D45" s="112"/>
      <c r="E45" s="417"/>
      <c r="F45" s="418"/>
    </row>
    <row r="46" spans="2:12" x14ac:dyDescent="0.25">
      <c r="B46" s="112"/>
      <c r="D46" s="112"/>
      <c r="E46" s="417"/>
      <c r="F46" s="418"/>
    </row>
    <row r="47" spans="2:12" x14ac:dyDescent="0.25">
      <c r="B47" s="112"/>
      <c r="D47" s="112"/>
      <c r="E47" s="417"/>
      <c r="F47" s="418"/>
    </row>
    <row r="48" spans="2:12" x14ac:dyDescent="0.25">
      <c r="B48" s="112"/>
      <c r="D48" s="112"/>
      <c r="E48" s="417"/>
      <c r="F48" s="418"/>
    </row>
    <row r="49" spans="2:6" x14ac:dyDescent="0.25">
      <c r="B49" s="112"/>
      <c r="D49" s="112"/>
      <c r="E49" s="417"/>
      <c r="F49" s="418"/>
    </row>
    <row r="50" spans="2:6" x14ac:dyDescent="0.25">
      <c r="B50" s="112"/>
      <c r="D50" s="112"/>
      <c r="E50" s="417"/>
      <c r="F50" s="418"/>
    </row>
    <row r="51" spans="2:6" x14ac:dyDescent="0.25">
      <c r="B51" s="112"/>
      <c r="D51" s="112"/>
      <c r="E51" s="417"/>
      <c r="F51" s="418"/>
    </row>
    <row r="52" spans="2:6" x14ac:dyDescent="0.25">
      <c r="B52" s="112"/>
      <c r="D52" s="112"/>
      <c r="E52" s="417"/>
      <c r="F52" s="418"/>
    </row>
    <row r="53" spans="2:6" x14ac:dyDescent="0.25">
      <c r="B53" s="112"/>
      <c r="D53" s="112"/>
      <c r="E53" s="417"/>
      <c r="F53" s="418"/>
    </row>
    <row r="54" spans="2:6" x14ac:dyDescent="0.25">
      <c r="B54" s="112"/>
      <c r="D54" s="112"/>
      <c r="E54" s="417"/>
      <c r="F54" s="418"/>
    </row>
    <row r="55" spans="2:6" x14ac:dyDescent="0.25">
      <c r="B55" s="112"/>
      <c r="D55" s="112"/>
      <c r="E55" s="417"/>
      <c r="F55" s="418"/>
    </row>
    <row r="56" spans="2:6" x14ac:dyDescent="0.25">
      <c r="B56" s="112"/>
      <c r="D56" s="112"/>
      <c r="E56" s="417"/>
      <c r="F56" s="418"/>
    </row>
    <row r="57" spans="2:6" x14ac:dyDescent="0.25">
      <c r="B57" s="112"/>
      <c r="D57" s="112"/>
      <c r="E57" s="417"/>
      <c r="F57" s="418"/>
    </row>
    <row r="58" spans="2:6" x14ac:dyDescent="0.25">
      <c r="B58" s="112"/>
      <c r="D58" s="112"/>
      <c r="E58" s="417"/>
      <c r="F58" s="418"/>
    </row>
    <row r="59" spans="2:6" x14ac:dyDescent="0.25">
      <c r="B59" s="112"/>
      <c r="D59" s="112"/>
      <c r="E59" s="417"/>
      <c r="F59" s="418"/>
    </row>
    <row r="60" spans="2:6" x14ac:dyDescent="0.25">
      <c r="B60" s="112"/>
      <c r="D60" s="112"/>
      <c r="E60" s="417"/>
      <c r="F60" s="418"/>
    </row>
    <row r="61" spans="2:6" x14ac:dyDescent="0.25">
      <c r="B61" s="112"/>
      <c r="D61" s="112"/>
      <c r="E61" s="417"/>
      <c r="F61" s="418"/>
    </row>
    <row r="62" spans="2:6" x14ac:dyDescent="0.25">
      <c r="B62" s="112"/>
      <c r="D62" s="112"/>
      <c r="E62" s="417"/>
      <c r="F62" s="418"/>
    </row>
    <row r="63" spans="2:6" x14ac:dyDescent="0.25">
      <c r="B63" s="112"/>
      <c r="D63" s="112"/>
      <c r="E63" s="417"/>
      <c r="F63" s="418"/>
    </row>
    <row r="64" spans="2:6" x14ac:dyDescent="0.25">
      <c r="B64" s="112"/>
      <c r="D64" s="112"/>
      <c r="E64" s="417"/>
      <c r="F64" s="418"/>
    </row>
    <row r="65" spans="2:6" x14ac:dyDescent="0.25">
      <c r="B65" s="112"/>
      <c r="D65" s="112"/>
      <c r="E65" s="417"/>
      <c r="F65" s="418"/>
    </row>
    <row r="66" spans="2:6" x14ac:dyDescent="0.25">
      <c r="B66" s="112"/>
      <c r="D66" s="112"/>
      <c r="E66" s="417"/>
      <c r="F66" s="418"/>
    </row>
    <row r="67" spans="2:6" x14ac:dyDescent="0.25">
      <c r="B67" s="112"/>
      <c r="D67" s="112"/>
      <c r="E67" s="417"/>
      <c r="F67" s="418"/>
    </row>
    <row r="68" spans="2:6" x14ac:dyDescent="0.25">
      <c r="B68" s="112"/>
      <c r="D68" s="112"/>
      <c r="E68" s="417"/>
      <c r="F68" s="418"/>
    </row>
    <row r="69" spans="2:6" x14ac:dyDescent="0.25">
      <c r="B69" s="112"/>
      <c r="D69" s="112"/>
      <c r="E69" s="417"/>
      <c r="F69" s="418"/>
    </row>
    <row r="70" spans="2:6" x14ac:dyDescent="0.25">
      <c r="B70" s="112"/>
      <c r="D70" s="112"/>
      <c r="E70" s="417"/>
      <c r="F70" s="418"/>
    </row>
    <row r="71" spans="2:6" x14ac:dyDescent="0.25">
      <c r="B71" s="112"/>
      <c r="D71" s="112"/>
      <c r="E71" s="417"/>
      <c r="F71" s="418"/>
    </row>
    <row r="72" spans="2:6" x14ac:dyDescent="0.25">
      <c r="B72" s="112"/>
      <c r="D72" s="112"/>
      <c r="E72" s="417"/>
      <c r="F72" s="418"/>
    </row>
    <row r="73" spans="2:6" x14ac:dyDescent="0.25">
      <c r="B73" s="112"/>
      <c r="D73" s="112"/>
      <c r="E73" s="417"/>
      <c r="F73" s="418"/>
    </row>
    <row r="74" spans="2:6" x14ac:dyDescent="0.25">
      <c r="B74" s="112"/>
      <c r="D74" s="112"/>
      <c r="E74" s="417"/>
      <c r="F74" s="418"/>
    </row>
    <row r="75" spans="2:6" x14ac:dyDescent="0.25">
      <c r="B75" s="112"/>
      <c r="D75" s="112"/>
      <c r="E75" s="417"/>
      <c r="F75" s="418"/>
    </row>
    <row r="76" spans="2:6" x14ac:dyDescent="0.25">
      <c r="B76" s="112"/>
      <c r="D76" s="112"/>
      <c r="E76" s="417"/>
      <c r="F76" s="418"/>
    </row>
    <row r="77" spans="2:6" x14ac:dyDescent="0.25">
      <c r="B77" s="112"/>
      <c r="D77" s="112"/>
      <c r="E77" s="417"/>
      <c r="F77" s="418"/>
    </row>
    <row r="78" spans="2:6" x14ac:dyDescent="0.25">
      <c r="B78" s="112"/>
      <c r="D78" s="112"/>
      <c r="E78" s="417"/>
      <c r="F78" s="418"/>
    </row>
    <row r="79" spans="2:6" x14ac:dyDescent="0.25">
      <c r="B79" s="112"/>
      <c r="D79" s="112"/>
      <c r="E79" s="417"/>
      <c r="F79" s="418"/>
    </row>
    <row r="80" spans="2:6" x14ac:dyDescent="0.25">
      <c r="B80" s="112"/>
      <c r="D80" s="112"/>
      <c r="E80" s="417"/>
      <c r="F80" s="418"/>
    </row>
    <row r="81" spans="2:6" x14ac:dyDescent="0.25">
      <c r="B81" s="112"/>
      <c r="D81" s="112"/>
      <c r="E81" s="417"/>
      <c r="F81" s="418"/>
    </row>
    <row r="82" spans="2:6" x14ac:dyDescent="0.25">
      <c r="B82" s="112"/>
      <c r="D82" s="112"/>
      <c r="E82" s="417"/>
      <c r="F82" s="418"/>
    </row>
    <row r="83" spans="2:6" x14ac:dyDescent="0.25">
      <c r="B83" s="112"/>
      <c r="D83" s="112"/>
      <c r="E83" s="417"/>
      <c r="F83" s="418"/>
    </row>
    <row r="84" spans="2:6" x14ac:dyDescent="0.25">
      <c r="B84" s="112"/>
      <c r="D84" s="112"/>
      <c r="E84" s="417"/>
      <c r="F84" s="418"/>
    </row>
    <row r="85" spans="2:6" x14ac:dyDescent="0.25">
      <c r="B85" s="112"/>
      <c r="D85" s="112"/>
      <c r="E85" s="417"/>
      <c r="F85" s="418"/>
    </row>
    <row r="86" spans="2:6" x14ac:dyDescent="0.25">
      <c r="B86" s="112"/>
      <c r="D86" s="112"/>
      <c r="E86" s="417"/>
      <c r="F86" s="418"/>
    </row>
    <row r="87" spans="2:6" x14ac:dyDescent="0.25">
      <c r="B87" s="112"/>
      <c r="D87" s="112"/>
      <c r="E87" s="417"/>
      <c r="F87" s="418"/>
    </row>
    <row r="88" spans="2:6" x14ac:dyDescent="0.25">
      <c r="B88" s="112"/>
      <c r="D88" s="112"/>
      <c r="E88" s="417"/>
      <c r="F88" s="418"/>
    </row>
    <row r="89" spans="2:6" x14ac:dyDescent="0.25">
      <c r="B89" s="112"/>
      <c r="D89" s="112"/>
      <c r="E89" s="417"/>
      <c r="F89" s="418"/>
    </row>
    <row r="90" spans="2:6" x14ac:dyDescent="0.25">
      <c r="B90" s="112"/>
      <c r="D90" s="112"/>
      <c r="E90" s="417"/>
      <c r="F90" s="418"/>
    </row>
    <row r="91" spans="2:6" x14ac:dyDescent="0.25">
      <c r="B91" s="112"/>
      <c r="D91" s="112"/>
      <c r="E91" s="417"/>
      <c r="F91" s="418"/>
    </row>
    <row r="92" spans="2:6" x14ac:dyDescent="0.25">
      <c r="B92" s="112"/>
      <c r="D92" s="112"/>
      <c r="E92" s="417"/>
      <c r="F92" s="418"/>
    </row>
    <row r="93" spans="2:6" x14ac:dyDescent="0.25">
      <c r="B93" s="112"/>
      <c r="D93" s="112"/>
      <c r="E93" s="417"/>
      <c r="F93" s="418"/>
    </row>
    <row r="94" spans="2:6" x14ac:dyDescent="0.25">
      <c r="B94" s="112"/>
      <c r="D94" s="112"/>
      <c r="E94" s="417"/>
      <c r="F94" s="418"/>
    </row>
    <row r="95" spans="2:6" x14ac:dyDescent="0.25">
      <c r="B95" s="112"/>
      <c r="D95" s="112"/>
      <c r="E95" s="417"/>
      <c r="F95" s="418"/>
    </row>
    <row r="96" spans="2:6" x14ac:dyDescent="0.25">
      <c r="B96" s="112"/>
      <c r="D96" s="112"/>
      <c r="E96" s="417"/>
      <c r="F96" s="418"/>
    </row>
    <row r="97" spans="2:6" x14ac:dyDescent="0.25">
      <c r="B97" s="112"/>
      <c r="D97" s="112"/>
      <c r="E97" s="417"/>
      <c r="F97" s="418"/>
    </row>
    <row r="98" spans="2:6" x14ac:dyDescent="0.25">
      <c r="B98" s="112"/>
      <c r="D98" s="112"/>
      <c r="E98" s="417"/>
      <c r="F98" s="418"/>
    </row>
    <row r="99" spans="2:6" x14ac:dyDescent="0.25">
      <c r="B99" s="112"/>
      <c r="D99" s="112"/>
      <c r="E99" s="417"/>
      <c r="F99" s="418"/>
    </row>
    <row r="100" spans="2:6" x14ac:dyDescent="0.25">
      <c r="B100" s="112"/>
      <c r="D100" s="112"/>
      <c r="E100" s="417"/>
      <c r="F100" s="418"/>
    </row>
    <row r="101" spans="2:6" x14ac:dyDescent="0.25">
      <c r="B101" s="112"/>
      <c r="D101" s="112"/>
      <c r="E101" s="417"/>
      <c r="F101" s="418"/>
    </row>
    <row r="102" spans="2:6" x14ac:dyDescent="0.25">
      <c r="B102" s="112"/>
      <c r="D102" s="112"/>
      <c r="E102" s="417"/>
      <c r="F102" s="418"/>
    </row>
    <row r="103" spans="2:6" x14ac:dyDescent="0.25">
      <c r="B103" s="112"/>
      <c r="D103" s="112"/>
      <c r="E103" s="417"/>
      <c r="F103" s="418"/>
    </row>
    <row r="104" spans="2:6" x14ac:dyDescent="0.25">
      <c r="B104" s="112"/>
      <c r="D104" s="112"/>
      <c r="E104" s="417"/>
      <c r="F104" s="418"/>
    </row>
    <row r="105" spans="2:6" x14ac:dyDescent="0.25">
      <c r="B105" s="112"/>
      <c r="D105" s="112"/>
      <c r="E105" s="417"/>
      <c r="F105" s="418"/>
    </row>
    <row r="106" spans="2:6" x14ac:dyDescent="0.25">
      <c r="B106" s="112"/>
      <c r="D106" s="112"/>
      <c r="E106" s="417"/>
      <c r="F106" s="418"/>
    </row>
    <row r="107" spans="2:6" x14ac:dyDescent="0.25">
      <c r="B107" s="112"/>
      <c r="D107" s="112"/>
      <c r="E107" s="417"/>
      <c r="F107" s="418"/>
    </row>
    <row r="108" spans="2:6" x14ac:dyDescent="0.25">
      <c r="B108" s="112"/>
      <c r="D108" s="112"/>
      <c r="E108" s="417"/>
      <c r="F108" s="418"/>
    </row>
    <row r="109" spans="2:6" x14ac:dyDescent="0.25">
      <c r="B109" s="112"/>
      <c r="D109" s="112"/>
      <c r="E109" s="417"/>
      <c r="F109" s="418"/>
    </row>
    <row r="110" spans="2:6" x14ac:dyDescent="0.25">
      <c r="B110" s="112"/>
      <c r="D110" s="112"/>
      <c r="E110" s="417"/>
      <c r="F110" s="418"/>
    </row>
    <row r="111" spans="2:6" x14ac:dyDescent="0.25">
      <c r="B111" s="112"/>
      <c r="D111" s="112"/>
      <c r="E111" s="417"/>
      <c r="F111" s="418"/>
    </row>
    <row r="112" spans="2:6" x14ac:dyDescent="0.25">
      <c r="B112" s="112"/>
      <c r="D112" s="112"/>
      <c r="E112" s="417"/>
      <c r="F112" s="418"/>
    </row>
    <row r="113" spans="2:6" x14ac:dyDescent="0.25">
      <c r="B113" s="112"/>
      <c r="D113" s="112"/>
      <c r="E113" s="417"/>
      <c r="F113" s="418"/>
    </row>
    <row r="114" spans="2:6" x14ac:dyDescent="0.25">
      <c r="B114" s="112"/>
      <c r="D114" s="112"/>
      <c r="E114" s="417"/>
      <c r="F114" s="418"/>
    </row>
    <row r="115" spans="2:6" x14ac:dyDescent="0.25">
      <c r="B115" s="112"/>
      <c r="D115" s="112"/>
      <c r="E115" s="417"/>
      <c r="F115" s="418"/>
    </row>
    <row r="116" spans="2:6" x14ac:dyDescent="0.25">
      <c r="B116" s="112"/>
      <c r="D116" s="112"/>
      <c r="E116" s="417"/>
      <c r="F116" s="418"/>
    </row>
    <row r="117" spans="2:6" x14ac:dyDescent="0.25">
      <c r="B117" s="112"/>
      <c r="D117" s="112"/>
      <c r="E117" s="417"/>
      <c r="F117" s="418"/>
    </row>
    <row r="118" spans="2:6" x14ac:dyDescent="0.25">
      <c r="B118" s="112"/>
      <c r="D118" s="112"/>
      <c r="E118" s="417"/>
      <c r="F118" s="418"/>
    </row>
    <row r="119" spans="2:6" x14ac:dyDescent="0.25">
      <c r="B119" s="112"/>
      <c r="D119" s="112"/>
      <c r="E119" s="417"/>
      <c r="F119" s="418"/>
    </row>
    <row r="120" spans="2:6" x14ac:dyDescent="0.25">
      <c r="B120" s="112"/>
      <c r="D120" s="112"/>
      <c r="E120" s="417"/>
      <c r="F120" s="418"/>
    </row>
    <row r="121" spans="2:6" x14ac:dyDescent="0.25">
      <c r="B121" s="112"/>
      <c r="D121" s="112"/>
      <c r="E121" s="417"/>
      <c r="F121" s="418"/>
    </row>
    <row r="122" spans="2:6" x14ac:dyDescent="0.25">
      <c r="B122" s="112"/>
      <c r="D122" s="112"/>
      <c r="E122" s="417"/>
      <c r="F122" s="418"/>
    </row>
    <row r="123" spans="2:6" x14ac:dyDescent="0.25">
      <c r="B123" s="112"/>
      <c r="D123" s="112"/>
      <c r="E123" s="417"/>
      <c r="F123" s="418"/>
    </row>
    <row r="124" spans="2:6" x14ac:dyDescent="0.25">
      <c r="B124" s="112"/>
      <c r="D124" s="112"/>
      <c r="E124" s="417"/>
      <c r="F124" s="418"/>
    </row>
    <row r="125" spans="2:6" x14ac:dyDescent="0.25">
      <c r="B125" s="112"/>
      <c r="D125" s="112"/>
      <c r="E125" s="417"/>
      <c r="F125" s="418"/>
    </row>
    <row r="126" spans="2:6" x14ac:dyDescent="0.25">
      <c r="B126" s="112"/>
      <c r="D126" s="112"/>
      <c r="E126" s="417"/>
      <c r="F126" s="418"/>
    </row>
    <row r="127" spans="2:6" x14ac:dyDescent="0.25">
      <c r="B127" s="112"/>
      <c r="D127" s="112"/>
      <c r="E127" s="417"/>
      <c r="F127" s="418"/>
    </row>
    <row r="128" spans="2:6" x14ac:dyDescent="0.25">
      <c r="B128" s="112"/>
      <c r="D128" s="112"/>
      <c r="E128" s="417"/>
      <c r="F128" s="418"/>
    </row>
    <row r="129" spans="2:6" x14ac:dyDescent="0.25">
      <c r="B129" s="112"/>
      <c r="D129" s="112"/>
      <c r="E129" s="417"/>
      <c r="F129" s="418"/>
    </row>
    <row r="130" spans="2:6" x14ac:dyDescent="0.25">
      <c r="B130" s="112"/>
      <c r="D130" s="112"/>
      <c r="E130" s="417"/>
      <c r="F130" s="418"/>
    </row>
    <row r="131" spans="2:6" x14ac:dyDescent="0.25">
      <c r="B131" s="112"/>
      <c r="D131" s="112"/>
      <c r="E131" s="417"/>
      <c r="F131" s="418"/>
    </row>
    <row r="132" spans="2:6" x14ac:dyDescent="0.25">
      <c r="B132" s="112"/>
      <c r="D132" s="112"/>
      <c r="E132" s="417"/>
      <c r="F132" s="418"/>
    </row>
    <row r="133" spans="2:6" x14ac:dyDescent="0.25">
      <c r="B133" s="112"/>
      <c r="D133" s="112"/>
      <c r="E133" s="417"/>
      <c r="F133" s="418"/>
    </row>
    <row r="134" spans="2:6" x14ac:dyDescent="0.25">
      <c r="B134" s="112"/>
      <c r="D134" s="112"/>
      <c r="E134" s="417"/>
      <c r="F134" s="418"/>
    </row>
    <row r="135" spans="2:6" x14ac:dyDescent="0.25">
      <c r="B135" s="112"/>
      <c r="D135" s="112"/>
      <c r="E135" s="417"/>
      <c r="F135" s="418"/>
    </row>
    <row r="136" spans="2:6" x14ac:dyDescent="0.25">
      <c r="B136" s="112"/>
      <c r="D136" s="112"/>
      <c r="E136" s="417"/>
      <c r="F136" s="418"/>
    </row>
    <row r="137" spans="2:6" x14ac:dyDescent="0.25">
      <c r="B137" s="112"/>
      <c r="D137" s="112"/>
      <c r="E137" s="417"/>
      <c r="F137" s="418"/>
    </row>
    <row r="138" spans="2:6" x14ac:dyDescent="0.25">
      <c r="B138" s="112"/>
      <c r="D138" s="112"/>
      <c r="E138" s="417"/>
      <c r="F138" s="418"/>
    </row>
    <row r="139" spans="2:6" x14ac:dyDescent="0.25">
      <c r="B139" s="112"/>
      <c r="D139" s="112"/>
      <c r="E139" s="417"/>
      <c r="F139" s="418"/>
    </row>
    <row r="140" spans="2:6" x14ac:dyDescent="0.25">
      <c r="B140" s="112"/>
      <c r="D140" s="112"/>
      <c r="E140" s="417"/>
      <c r="F140" s="418"/>
    </row>
    <row r="141" spans="2:6" x14ac:dyDescent="0.25">
      <c r="B141" s="112"/>
      <c r="D141" s="112"/>
      <c r="E141" s="417"/>
      <c r="F141" s="418"/>
    </row>
    <row r="142" spans="2:6" x14ac:dyDescent="0.25">
      <c r="B142" s="112"/>
      <c r="D142" s="112"/>
      <c r="E142" s="417"/>
      <c r="F142" s="418"/>
    </row>
    <row r="143" spans="2:6" x14ac:dyDescent="0.25">
      <c r="B143" s="112"/>
      <c r="D143" s="112"/>
      <c r="E143" s="417"/>
      <c r="F143" s="418"/>
    </row>
    <row r="144" spans="2:6" x14ac:dyDescent="0.25">
      <c r="B144" s="112"/>
      <c r="D144" s="112"/>
      <c r="E144" s="417"/>
      <c r="F144" s="418"/>
    </row>
    <row r="145" spans="2:6" x14ac:dyDescent="0.25">
      <c r="B145" s="112"/>
      <c r="D145" s="112"/>
      <c r="E145" s="417"/>
      <c r="F145" s="418"/>
    </row>
    <row r="146" spans="2:6" x14ac:dyDescent="0.25">
      <c r="B146" s="112"/>
      <c r="D146" s="112"/>
      <c r="E146" s="417"/>
      <c r="F146" s="418"/>
    </row>
    <row r="147" spans="2:6" x14ac:dyDescent="0.25">
      <c r="B147" s="112"/>
      <c r="D147" s="112"/>
      <c r="E147" s="417"/>
      <c r="F147" s="418"/>
    </row>
    <row r="148" spans="2:6" x14ac:dyDescent="0.25">
      <c r="B148" s="112"/>
      <c r="D148" s="112"/>
      <c r="E148" s="417"/>
      <c r="F148" s="418"/>
    </row>
    <row r="149" spans="2:6" x14ac:dyDescent="0.25">
      <c r="B149" s="112"/>
      <c r="D149" s="112"/>
      <c r="E149" s="417"/>
      <c r="F149" s="418"/>
    </row>
    <row r="150" spans="2:6" x14ac:dyDescent="0.25">
      <c r="B150" s="112"/>
      <c r="D150" s="112"/>
      <c r="E150" s="417"/>
      <c r="F150" s="418"/>
    </row>
    <row r="151" spans="2:6" x14ac:dyDescent="0.25">
      <c r="B151" s="112"/>
      <c r="D151" s="112"/>
      <c r="E151" s="417"/>
      <c r="F151" s="418"/>
    </row>
    <row r="152" spans="2:6" x14ac:dyDescent="0.25">
      <c r="B152" s="112"/>
      <c r="D152" s="112"/>
      <c r="E152" s="417"/>
      <c r="F152" s="418"/>
    </row>
    <row r="153" spans="2:6" x14ac:dyDescent="0.25">
      <c r="B153" s="112"/>
      <c r="D153" s="112"/>
      <c r="E153" s="417"/>
      <c r="F153" s="418"/>
    </row>
    <row r="154" spans="2:6" x14ac:dyDescent="0.25">
      <c r="B154" s="112"/>
      <c r="D154" s="112"/>
      <c r="E154" s="417"/>
      <c r="F154" s="418"/>
    </row>
    <row r="155" spans="2:6" x14ac:dyDescent="0.25">
      <c r="B155" s="112"/>
      <c r="D155" s="112"/>
      <c r="E155" s="417"/>
      <c r="F155" s="418"/>
    </row>
    <row r="156" spans="2:6" x14ac:dyDescent="0.25">
      <c r="B156" s="112"/>
      <c r="D156" s="112"/>
      <c r="E156" s="417"/>
      <c r="F156" s="418"/>
    </row>
    <row r="157" spans="2:6" x14ac:dyDescent="0.25">
      <c r="B157" s="112"/>
      <c r="D157" s="112"/>
      <c r="E157" s="417"/>
      <c r="F157" s="418"/>
    </row>
    <row r="158" spans="2:6" x14ac:dyDescent="0.25">
      <c r="B158" s="112"/>
      <c r="D158" s="112"/>
      <c r="E158" s="417"/>
      <c r="F158" s="418"/>
    </row>
    <row r="159" spans="2:6" x14ac:dyDescent="0.25">
      <c r="B159" s="112"/>
      <c r="D159" s="112"/>
      <c r="E159" s="417"/>
      <c r="F159" s="418"/>
    </row>
    <row r="160" spans="2:6" x14ac:dyDescent="0.25">
      <c r="B160" s="112"/>
      <c r="D160" s="112"/>
      <c r="E160" s="417"/>
      <c r="F160" s="418"/>
    </row>
    <row r="161" spans="2:6" x14ac:dyDescent="0.25">
      <c r="B161" s="112"/>
      <c r="D161" s="112"/>
      <c r="E161" s="417"/>
      <c r="F161" s="418"/>
    </row>
    <row r="162" spans="2:6" x14ac:dyDescent="0.25">
      <c r="B162" s="112"/>
      <c r="D162" s="112"/>
      <c r="E162" s="417"/>
      <c r="F162" s="418"/>
    </row>
    <row r="163" spans="2:6" x14ac:dyDescent="0.25">
      <c r="B163" s="112"/>
      <c r="D163" s="112"/>
      <c r="E163" s="417"/>
      <c r="F163" s="418"/>
    </row>
    <row r="164" spans="2:6" x14ac:dyDescent="0.25">
      <c r="B164" s="112"/>
      <c r="D164" s="112"/>
      <c r="E164" s="417"/>
      <c r="F164" s="418"/>
    </row>
    <row r="165" spans="2:6" x14ac:dyDescent="0.25">
      <c r="B165" s="112"/>
      <c r="D165" s="112"/>
      <c r="E165" s="417"/>
      <c r="F165" s="418"/>
    </row>
    <row r="166" spans="2:6" x14ac:dyDescent="0.25">
      <c r="B166" s="112"/>
      <c r="D166" s="112"/>
      <c r="E166" s="417"/>
      <c r="F166" s="418"/>
    </row>
    <row r="167" spans="2:6" x14ac:dyDescent="0.25">
      <c r="B167" s="112"/>
      <c r="D167" s="112"/>
      <c r="E167" s="417"/>
      <c r="F167" s="418"/>
    </row>
    <row r="168" spans="2:6" x14ac:dyDescent="0.25">
      <c r="B168" s="112"/>
      <c r="D168" s="112"/>
      <c r="E168" s="417"/>
      <c r="F168" s="418"/>
    </row>
    <row r="169" spans="2:6" x14ac:dyDescent="0.25">
      <c r="B169" s="112"/>
      <c r="D169" s="112"/>
      <c r="E169" s="417"/>
      <c r="F169" s="418"/>
    </row>
    <row r="170" spans="2:6" x14ac:dyDescent="0.25">
      <c r="B170" s="112"/>
      <c r="D170" s="112"/>
      <c r="E170" s="417"/>
      <c r="F170" s="418"/>
    </row>
    <row r="171" spans="2:6" x14ac:dyDescent="0.25">
      <c r="B171" s="112"/>
      <c r="D171" s="112"/>
      <c r="E171" s="417"/>
      <c r="F171" s="418"/>
    </row>
    <row r="172" spans="2:6" x14ac:dyDescent="0.25">
      <c r="B172" s="112"/>
      <c r="D172" s="112"/>
      <c r="E172" s="417"/>
      <c r="F172" s="418"/>
    </row>
    <row r="173" spans="2:6" x14ac:dyDescent="0.25">
      <c r="B173" s="112"/>
      <c r="D173" s="112"/>
      <c r="E173" s="417"/>
      <c r="F173" s="418"/>
    </row>
    <row r="174" spans="2:6" x14ac:dyDescent="0.25">
      <c r="B174" s="112"/>
      <c r="D174" s="112"/>
      <c r="E174" s="417"/>
      <c r="F174" s="418"/>
    </row>
    <row r="175" spans="2:6" x14ac:dyDescent="0.25">
      <c r="B175" s="112"/>
      <c r="D175" s="112"/>
      <c r="E175" s="417"/>
      <c r="F175" s="418"/>
    </row>
    <row r="176" spans="2:6" x14ac:dyDescent="0.25">
      <c r="B176" s="112"/>
      <c r="D176" s="112"/>
      <c r="E176" s="417"/>
      <c r="F176" s="418"/>
    </row>
    <row r="177" spans="2:6" x14ac:dyDescent="0.25">
      <c r="B177" s="112"/>
      <c r="D177" s="112"/>
      <c r="E177" s="417"/>
      <c r="F177" s="418"/>
    </row>
    <row r="178" spans="2:6" x14ac:dyDescent="0.25">
      <c r="B178" s="112"/>
      <c r="D178" s="112"/>
      <c r="E178" s="417"/>
      <c r="F178" s="418"/>
    </row>
    <row r="179" spans="2:6" x14ac:dyDescent="0.25">
      <c r="B179" s="112"/>
      <c r="D179" s="112"/>
      <c r="E179" s="417"/>
      <c r="F179" s="418"/>
    </row>
    <row r="180" spans="2:6" x14ac:dyDescent="0.25">
      <c r="B180" s="112"/>
      <c r="D180" s="112"/>
      <c r="E180" s="417"/>
      <c r="F180" s="418"/>
    </row>
    <row r="181" spans="2:6" x14ac:dyDescent="0.25">
      <c r="B181" s="112"/>
      <c r="D181" s="112"/>
      <c r="E181" s="417"/>
      <c r="F181" s="418"/>
    </row>
    <row r="182" spans="2:6" x14ac:dyDescent="0.25">
      <c r="B182" s="112"/>
      <c r="D182" s="112"/>
      <c r="E182" s="417"/>
      <c r="F182" s="418"/>
    </row>
    <row r="183" spans="2:6" x14ac:dyDescent="0.25">
      <c r="B183" s="112"/>
      <c r="D183" s="112"/>
      <c r="E183" s="417"/>
      <c r="F183" s="418"/>
    </row>
    <row r="184" spans="2:6" x14ac:dyDescent="0.25">
      <c r="B184" s="112"/>
      <c r="D184" s="112"/>
      <c r="E184" s="417"/>
      <c r="F184" s="418"/>
    </row>
    <row r="185" spans="2:6" x14ac:dyDescent="0.25">
      <c r="B185" s="112"/>
      <c r="D185" s="112"/>
      <c r="E185" s="417"/>
      <c r="F185" s="418"/>
    </row>
    <row r="186" spans="2:6" x14ac:dyDescent="0.25">
      <c r="B186" s="112"/>
      <c r="D186" s="112"/>
      <c r="E186" s="417"/>
      <c r="F186" s="418"/>
    </row>
    <row r="187" spans="2:6" x14ac:dyDescent="0.25">
      <c r="B187" s="112"/>
      <c r="D187" s="112"/>
      <c r="E187" s="417"/>
      <c r="F187" s="418"/>
    </row>
    <row r="188" spans="2:6" x14ac:dyDescent="0.25">
      <c r="B188" s="112"/>
      <c r="D188" s="112"/>
      <c r="E188" s="417"/>
      <c r="F188" s="418"/>
    </row>
    <row r="189" spans="2:6" x14ac:dyDescent="0.25">
      <c r="B189" s="112"/>
      <c r="D189" s="112"/>
      <c r="E189" s="417"/>
      <c r="F189" s="418"/>
    </row>
    <row r="190" spans="2:6" x14ac:dyDescent="0.25">
      <c r="B190" s="112"/>
      <c r="D190" s="112"/>
      <c r="E190" s="417"/>
      <c r="F190" s="418"/>
    </row>
    <row r="191" spans="2:6" x14ac:dyDescent="0.25">
      <c r="B191" s="112"/>
      <c r="D191" s="112"/>
      <c r="E191" s="417"/>
      <c r="F191" s="418"/>
    </row>
    <row r="192" spans="2:6" x14ac:dyDescent="0.25">
      <c r="B192" s="112"/>
      <c r="D192" s="112"/>
      <c r="E192" s="417"/>
      <c r="F192" s="418"/>
    </row>
    <row r="193" spans="2:6" x14ac:dyDescent="0.25">
      <c r="B193" s="112"/>
      <c r="D193" s="112"/>
      <c r="E193" s="417"/>
      <c r="F193" s="418"/>
    </row>
    <row r="194" spans="2:6" x14ac:dyDescent="0.25">
      <c r="B194" s="112"/>
      <c r="D194" s="112"/>
      <c r="E194" s="417"/>
      <c r="F194" s="418"/>
    </row>
    <row r="195" spans="2:6" x14ac:dyDescent="0.25">
      <c r="B195" s="112"/>
      <c r="D195" s="112"/>
      <c r="E195" s="417"/>
      <c r="F195" s="418"/>
    </row>
    <row r="196" spans="2:6" x14ac:dyDescent="0.25">
      <c r="B196" s="112"/>
      <c r="D196" s="112"/>
      <c r="E196" s="417"/>
      <c r="F196" s="418"/>
    </row>
    <row r="197" spans="2:6" x14ac:dyDescent="0.25">
      <c r="B197" s="112"/>
      <c r="D197" s="112"/>
      <c r="E197" s="417"/>
      <c r="F197" s="418"/>
    </row>
    <row r="198" spans="2:6" x14ac:dyDescent="0.25">
      <c r="B198" s="112"/>
      <c r="D198" s="112"/>
      <c r="E198" s="417"/>
      <c r="F198" s="418"/>
    </row>
    <row r="199" spans="2:6" x14ac:dyDescent="0.25">
      <c r="B199" s="112"/>
      <c r="D199" s="112"/>
      <c r="E199" s="417"/>
      <c r="F199" s="418"/>
    </row>
    <row r="200" spans="2:6" x14ac:dyDescent="0.25">
      <c r="B200" s="112"/>
      <c r="D200" s="112"/>
      <c r="E200" s="417"/>
      <c r="F200" s="418"/>
    </row>
    <row r="201" spans="2:6" x14ac:dyDescent="0.25">
      <c r="B201" s="112"/>
      <c r="D201" s="112"/>
      <c r="E201" s="417"/>
      <c r="F201" s="418"/>
    </row>
    <row r="202" spans="2:6" x14ac:dyDescent="0.25">
      <c r="B202" s="112"/>
      <c r="D202" s="112"/>
      <c r="E202" s="417"/>
      <c r="F202" s="418"/>
    </row>
    <row r="203" spans="2:6" x14ac:dyDescent="0.25">
      <c r="B203" s="112"/>
      <c r="D203" s="112"/>
      <c r="E203" s="417"/>
      <c r="F203" s="418"/>
    </row>
    <row r="204" spans="2:6" x14ac:dyDescent="0.25">
      <c r="B204" s="112"/>
      <c r="D204" s="112"/>
      <c r="E204" s="417"/>
      <c r="F204" s="418"/>
    </row>
    <row r="205" spans="2:6" x14ac:dyDescent="0.25">
      <c r="B205" s="112"/>
      <c r="D205" s="112"/>
      <c r="E205" s="417"/>
      <c r="F205" s="418"/>
    </row>
    <row r="206" spans="2:6" x14ac:dyDescent="0.25">
      <c r="B206" s="112"/>
      <c r="D206" s="112"/>
      <c r="E206" s="417"/>
      <c r="F206" s="418"/>
    </row>
    <row r="207" spans="2:6" x14ac:dyDescent="0.25">
      <c r="B207" s="112"/>
      <c r="D207" s="112"/>
      <c r="E207" s="417"/>
      <c r="F207" s="418"/>
    </row>
    <row r="208" spans="2:6" x14ac:dyDescent="0.25">
      <c r="B208" s="112"/>
      <c r="D208" s="112"/>
      <c r="E208" s="417"/>
      <c r="F208" s="418"/>
    </row>
    <row r="209" spans="2:6" x14ac:dyDescent="0.25">
      <c r="B209" s="112"/>
      <c r="D209" s="112"/>
      <c r="E209" s="417"/>
      <c r="F209" s="418"/>
    </row>
    <row r="210" spans="2:6" x14ac:dyDescent="0.25">
      <c r="B210" s="112"/>
      <c r="D210" s="112"/>
      <c r="E210" s="417"/>
      <c r="F210" s="418"/>
    </row>
    <row r="211" spans="2:6" x14ac:dyDescent="0.25">
      <c r="B211" s="112"/>
      <c r="D211" s="112"/>
      <c r="E211" s="417"/>
      <c r="F211" s="418"/>
    </row>
    <row r="212" spans="2:6" x14ac:dyDescent="0.25">
      <c r="B212" s="112"/>
      <c r="D212" s="112"/>
      <c r="E212" s="417"/>
      <c r="F212" s="418"/>
    </row>
    <row r="213" spans="2:6" x14ac:dyDescent="0.25">
      <c r="B213" s="112"/>
      <c r="D213" s="112"/>
      <c r="E213" s="417"/>
      <c r="F213" s="418"/>
    </row>
    <row r="214" spans="2:6" x14ac:dyDescent="0.25">
      <c r="B214" s="112"/>
      <c r="D214" s="112"/>
      <c r="E214" s="417"/>
      <c r="F214" s="418"/>
    </row>
    <row r="215" spans="2:6" x14ac:dyDescent="0.25">
      <c r="B215" s="112"/>
      <c r="D215" s="112"/>
      <c r="E215" s="417"/>
      <c r="F215" s="418"/>
    </row>
    <row r="216" spans="2:6" x14ac:dyDescent="0.25">
      <c r="B216" s="112"/>
      <c r="D216" s="112"/>
      <c r="E216" s="417"/>
      <c r="F216" s="418"/>
    </row>
    <row r="217" spans="2:6" x14ac:dyDescent="0.25">
      <c r="B217" s="112"/>
      <c r="D217" s="112"/>
      <c r="E217" s="417"/>
      <c r="F217" s="418"/>
    </row>
    <row r="218" spans="2:6" x14ac:dyDescent="0.25">
      <c r="B218" s="112"/>
      <c r="D218" s="112"/>
      <c r="E218" s="417"/>
      <c r="F218" s="418"/>
    </row>
    <row r="219" spans="2:6" x14ac:dyDescent="0.25">
      <c r="B219" s="112"/>
      <c r="D219" s="112"/>
      <c r="E219" s="417"/>
      <c r="F219" s="418"/>
    </row>
    <row r="220" spans="2:6" x14ac:dyDescent="0.25">
      <c r="B220" s="112"/>
      <c r="D220" s="112"/>
      <c r="E220" s="417"/>
      <c r="F220" s="418"/>
    </row>
    <row r="221" spans="2:6" x14ac:dyDescent="0.25">
      <c r="B221" s="112"/>
      <c r="D221" s="112"/>
      <c r="E221" s="417"/>
      <c r="F221" s="418"/>
    </row>
    <row r="222" spans="2:6" x14ac:dyDescent="0.25">
      <c r="B222" s="112"/>
      <c r="D222" s="112"/>
      <c r="E222" s="417"/>
      <c r="F222" s="418"/>
    </row>
    <row r="223" spans="2:6" x14ac:dyDescent="0.25">
      <c r="B223" s="112"/>
      <c r="D223" s="112"/>
      <c r="E223" s="417"/>
      <c r="F223" s="418"/>
    </row>
    <row r="224" spans="2:6" x14ac:dyDescent="0.25">
      <c r="B224" s="112"/>
      <c r="D224" s="112"/>
      <c r="E224" s="417"/>
      <c r="F224" s="418"/>
    </row>
    <row r="225" spans="2:6" x14ac:dyDescent="0.25">
      <c r="B225" s="112"/>
      <c r="D225" s="112"/>
      <c r="E225" s="417"/>
      <c r="F225" s="418"/>
    </row>
    <row r="226" spans="2:6" x14ac:dyDescent="0.25">
      <c r="B226" s="112"/>
      <c r="D226" s="112"/>
      <c r="E226" s="417"/>
      <c r="F226" s="418"/>
    </row>
    <row r="227" spans="2:6" x14ac:dyDescent="0.25">
      <c r="B227" s="112"/>
      <c r="D227" s="112"/>
      <c r="E227" s="417"/>
      <c r="F227" s="418"/>
    </row>
    <row r="228" spans="2:6" x14ac:dyDescent="0.25">
      <c r="B228" s="112"/>
      <c r="D228" s="112"/>
      <c r="E228" s="417"/>
      <c r="F228" s="418"/>
    </row>
    <row r="229" spans="2:6" x14ac:dyDescent="0.25">
      <c r="B229" s="112"/>
      <c r="D229" s="112"/>
      <c r="E229" s="417"/>
      <c r="F229" s="418"/>
    </row>
    <row r="230" spans="2:6" x14ac:dyDescent="0.25">
      <c r="B230" s="112"/>
      <c r="D230" s="112"/>
      <c r="E230" s="417"/>
      <c r="F230" s="418"/>
    </row>
    <row r="231" spans="2:6" x14ac:dyDescent="0.25">
      <c r="B231" s="112"/>
      <c r="D231" s="112"/>
      <c r="E231" s="417"/>
      <c r="F231" s="418"/>
    </row>
    <row r="232" spans="2:6" x14ac:dyDescent="0.25">
      <c r="B232" s="112"/>
      <c r="D232" s="112"/>
      <c r="E232" s="417"/>
      <c r="F232" s="418"/>
    </row>
    <row r="233" spans="2:6" x14ac:dyDescent="0.25">
      <c r="B233" s="112"/>
      <c r="D233" s="112"/>
      <c r="E233" s="417"/>
      <c r="F233" s="418"/>
    </row>
    <row r="234" spans="2:6" x14ac:dyDescent="0.25">
      <c r="B234" s="112"/>
      <c r="D234" s="112"/>
      <c r="E234" s="417"/>
      <c r="F234" s="418"/>
    </row>
    <row r="235" spans="2:6" x14ac:dyDescent="0.25">
      <c r="B235" s="112"/>
      <c r="D235" s="112"/>
      <c r="E235" s="417"/>
      <c r="F235" s="418"/>
    </row>
    <row r="236" spans="2:6" x14ac:dyDescent="0.25">
      <c r="B236" s="112"/>
      <c r="D236" s="112"/>
      <c r="E236" s="417"/>
      <c r="F236" s="418"/>
    </row>
    <row r="237" spans="2:6" x14ac:dyDescent="0.25">
      <c r="B237" s="112"/>
      <c r="D237" s="112"/>
      <c r="E237" s="417"/>
      <c r="F237" s="418"/>
    </row>
    <row r="238" spans="2:6" x14ac:dyDescent="0.25">
      <c r="B238" s="112"/>
      <c r="D238" s="112"/>
      <c r="E238" s="417"/>
      <c r="F238" s="418"/>
    </row>
    <row r="239" spans="2:6" x14ac:dyDescent="0.25">
      <c r="B239" s="112"/>
      <c r="D239" s="112"/>
      <c r="E239" s="417"/>
      <c r="F239" s="418"/>
    </row>
    <row r="240" spans="2:6" x14ac:dyDescent="0.25">
      <c r="B240" s="112"/>
      <c r="D240" s="112"/>
      <c r="E240" s="417"/>
      <c r="F240" s="418"/>
    </row>
    <row r="241" spans="2:6" x14ac:dyDescent="0.25">
      <c r="B241" s="112"/>
      <c r="D241" s="112"/>
      <c r="E241" s="417"/>
      <c r="F241" s="418"/>
    </row>
    <row r="242" spans="2:6" x14ac:dyDescent="0.25">
      <c r="B242" s="112"/>
      <c r="D242" s="112"/>
      <c r="E242" s="417"/>
      <c r="F242" s="418"/>
    </row>
    <row r="243" spans="2:6" x14ac:dyDescent="0.25">
      <c r="B243" s="112"/>
      <c r="D243" s="112"/>
      <c r="E243" s="417"/>
      <c r="F243" s="418"/>
    </row>
    <row r="244" spans="2:6" x14ac:dyDescent="0.25">
      <c r="B244" s="112"/>
      <c r="D244" s="112"/>
      <c r="E244" s="417"/>
      <c r="F244" s="418"/>
    </row>
    <row r="245" spans="2:6" x14ac:dyDescent="0.25">
      <c r="B245" s="112"/>
      <c r="D245" s="112"/>
      <c r="E245" s="417"/>
      <c r="F245" s="418"/>
    </row>
    <row r="246" spans="2:6" x14ac:dyDescent="0.25">
      <c r="B246" s="112"/>
      <c r="D246" s="112"/>
      <c r="E246" s="417"/>
      <c r="F246" s="418"/>
    </row>
    <row r="247" spans="2:6" x14ac:dyDescent="0.25">
      <c r="B247" s="112"/>
      <c r="D247" s="112"/>
      <c r="E247" s="417"/>
      <c r="F247" s="418"/>
    </row>
    <row r="248" spans="2:6" x14ac:dyDescent="0.25">
      <c r="B248" s="112"/>
      <c r="D248" s="112"/>
      <c r="E248" s="417"/>
      <c r="F248" s="418"/>
    </row>
    <row r="249" spans="2:6" x14ac:dyDescent="0.25">
      <c r="B249" s="112"/>
      <c r="D249" s="112"/>
      <c r="E249" s="417"/>
      <c r="F249" s="418"/>
    </row>
    <row r="250" spans="2:6" x14ac:dyDescent="0.25">
      <c r="B250" s="112"/>
      <c r="D250" s="112"/>
      <c r="E250" s="417"/>
      <c r="F250" s="418"/>
    </row>
    <row r="251" spans="2:6" x14ac:dyDescent="0.25">
      <c r="B251" s="112"/>
      <c r="D251" s="112"/>
      <c r="E251" s="417"/>
      <c r="F251" s="418"/>
    </row>
    <row r="252" spans="2:6" x14ac:dyDescent="0.25">
      <c r="B252" s="112"/>
      <c r="D252" s="112"/>
      <c r="E252" s="417"/>
      <c r="F252" s="418"/>
    </row>
    <row r="253" spans="2:6" x14ac:dyDescent="0.25">
      <c r="B253" s="112"/>
      <c r="D253" s="112"/>
      <c r="E253" s="417"/>
      <c r="F253" s="418"/>
    </row>
    <row r="254" spans="2:6" x14ac:dyDescent="0.25">
      <c r="B254" s="112"/>
      <c r="D254" s="112"/>
      <c r="E254" s="417"/>
      <c r="F254" s="418"/>
    </row>
    <row r="255" spans="2:6" x14ac:dyDescent="0.25">
      <c r="B255" s="112"/>
      <c r="D255" s="112"/>
      <c r="E255" s="417"/>
      <c r="F255" s="418"/>
    </row>
    <row r="256" spans="2:6" x14ac:dyDescent="0.25">
      <c r="B256" s="112"/>
      <c r="D256" s="112"/>
      <c r="E256" s="417"/>
      <c r="F256" s="418"/>
    </row>
    <row r="257" spans="2:6" x14ac:dyDescent="0.25">
      <c r="B257" s="112"/>
      <c r="D257" s="112"/>
      <c r="E257" s="417"/>
      <c r="F257" s="418"/>
    </row>
    <row r="258" spans="2:6" x14ac:dyDescent="0.25">
      <c r="B258" s="112"/>
      <c r="D258" s="112"/>
      <c r="E258" s="417"/>
      <c r="F258" s="418"/>
    </row>
    <row r="259" spans="2:6" x14ac:dyDescent="0.25">
      <c r="B259" s="112"/>
      <c r="D259" s="112"/>
      <c r="E259" s="417"/>
      <c r="F259" s="418"/>
    </row>
    <row r="260" spans="2:6" x14ac:dyDescent="0.25">
      <c r="B260" s="112"/>
      <c r="D260" s="112"/>
      <c r="E260" s="417"/>
      <c r="F260" s="418"/>
    </row>
    <row r="261" spans="2:6" x14ac:dyDescent="0.25">
      <c r="B261" s="112"/>
      <c r="D261" s="112"/>
      <c r="E261" s="417"/>
      <c r="F261" s="418"/>
    </row>
    <row r="262" spans="2:6" x14ac:dyDescent="0.25">
      <c r="B262" s="112"/>
      <c r="D262" s="112"/>
      <c r="E262" s="417"/>
      <c r="F262" s="418"/>
    </row>
    <row r="263" spans="2:6" x14ac:dyDescent="0.25">
      <c r="B263" s="112"/>
      <c r="D263" s="112"/>
      <c r="E263" s="417"/>
      <c r="F263" s="418"/>
    </row>
    <row r="264" spans="2:6" x14ac:dyDescent="0.25">
      <c r="B264" s="112"/>
      <c r="D264" s="112"/>
      <c r="E264" s="417"/>
      <c r="F264" s="418"/>
    </row>
    <row r="265" spans="2:6" x14ac:dyDescent="0.25">
      <c r="B265" s="112"/>
      <c r="D265" s="112"/>
      <c r="E265" s="417"/>
      <c r="F265" s="418"/>
    </row>
    <row r="266" spans="2:6" x14ac:dyDescent="0.25">
      <c r="B266" s="112"/>
      <c r="D266" s="112"/>
      <c r="E266" s="417"/>
      <c r="F266" s="418"/>
    </row>
    <row r="267" spans="2:6" x14ac:dyDescent="0.25">
      <c r="B267" s="112"/>
      <c r="D267" s="112"/>
      <c r="E267" s="417"/>
      <c r="F267" s="418"/>
    </row>
    <row r="268" spans="2:6" x14ac:dyDescent="0.25">
      <c r="B268" s="112"/>
      <c r="D268" s="112"/>
      <c r="E268" s="417"/>
      <c r="F268" s="418"/>
    </row>
    <row r="269" spans="2:6" x14ac:dyDescent="0.25">
      <c r="B269" s="112"/>
      <c r="D269" s="112"/>
      <c r="E269" s="417"/>
      <c r="F269" s="418"/>
    </row>
    <row r="270" spans="2:6" x14ac:dyDescent="0.25">
      <c r="B270" s="112"/>
      <c r="D270" s="112"/>
      <c r="E270" s="417"/>
      <c r="F270" s="418"/>
    </row>
    <row r="271" spans="2:6" x14ac:dyDescent="0.25">
      <c r="B271" s="112"/>
      <c r="D271" s="112"/>
      <c r="E271" s="417"/>
      <c r="F271" s="418"/>
    </row>
    <row r="272" spans="2:6" x14ac:dyDescent="0.25">
      <c r="B272" s="112"/>
      <c r="D272" s="112"/>
      <c r="E272" s="417"/>
      <c r="F272" s="418"/>
    </row>
    <row r="273" spans="2:6" x14ac:dyDescent="0.25">
      <c r="B273" s="112"/>
      <c r="D273" s="112"/>
      <c r="E273" s="417"/>
      <c r="F273" s="418"/>
    </row>
    <row r="274" spans="2:6" x14ac:dyDescent="0.25">
      <c r="B274" s="112"/>
      <c r="D274" s="112"/>
      <c r="E274" s="417"/>
      <c r="F274" s="418"/>
    </row>
    <row r="275" spans="2:6" x14ac:dyDescent="0.25">
      <c r="B275" s="112"/>
      <c r="D275" s="112"/>
      <c r="E275" s="417"/>
      <c r="F275" s="418"/>
    </row>
    <row r="276" spans="2:6" x14ac:dyDescent="0.25">
      <c r="B276" s="112"/>
      <c r="D276" s="112"/>
      <c r="E276" s="417"/>
      <c r="F276" s="418"/>
    </row>
    <row r="277" spans="2:6" x14ac:dyDescent="0.25">
      <c r="B277" s="112"/>
      <c r="D277" s="112"/>
      <c r="E277" s="417"/>
      <c r="F277" s="418"/>
    </row>
    <row r="278" spans="2:6" x14ac:dyDescent="0.25">
      <c r="B278" s="112"/>
      <c r="D278" s="112"/>
      <c r="E278" s="417"/>
      <c r="F278" s="418"/>
    </row>
    <row r="279" spans="2:6" x14ac:dyDescent="0.25">
      <c r="B279" s="112"/>
      <c r="D279" s="112"/>
      <c r="E279" s="417"/>
      <c r="F279" s="418"/>
    </row>
    <row r="280" spans="2:6" x14ac:dyDescent="0.25">
      <c r="B280" s="112"/>
      <c r="D280" s="112"/>
      <c r="E280" s="417"/>
      <c r="F280" s="418"/>
    </row>
    <row r="281" spans="2:6" x14ac:dyDescent="0.25">
      <c r="B281" s="112"/>
      <c r="D281" s="112"/>
      <c r="E281" s="417"/>
      <c r="F281" s="418"/>
    </row>
    <row r="282" spans="2:6" x14ac:dyDescent="0.25">
      <c r="B282" s="112"/>
      <c r="D282" s="112"/>
      <c r="E282" s="417"/>
      <c r="F282" s="418"/>
    </row>
    <row r="283" spans="2:6" x14ac:dyDescent="0.25">
      <c r="B283" s="112"/>
      <c r="D283" s="112"/>
      <c r="E283" s="417"/>
      <c r="F283" s="418"/>
    </row>
    <row r="284" spans="2:6" x14ac:dyDescent="0.25">
      <c r="B284" s="112"/>
      <c r="D284" s="112"/>
      <c r="E284" s="417"/>
      <c r="F284" s="418"/>
    </row>
    <row r="285" spans="2:6" x14ac:dyDescent="0.25">
      <c r="B285" s="112"/>
      <c r="D285" s="112"/>
      <c r="E285" s="417"/>
      <c r="F285" s="418"/>
    </row>
    <row r="286" spans="2:6" x14ac:dyDescent="0.25">
      <c r="B286" s="112"/>
      <c r="D286" s="112"/>
      <c r="E286" s="417"/>
      <c r="F286" s="418"/>
    </row>
    <row r="287" spans="2:6" x14ac:dyDescent="0.25">
      <c r="B287" s="112"/>
      <c r="D287" s="112"/>
      <c r="E287" s="417"/>
      <c r="F287" s="418"/>
    </row>
    <row r="288" spans="2:6" x14ac:dyDescent="0.25">
      <c r="B288" s="112"/>
      <c r="D288" s="112"/>
      <c r="E288" s="417"/>
      <c r="F288" s="418"/>
    </row>
    <row r="289" spans="2:6" x14ac:dyDescent="0.25">
      <c r="B289" s="112"/>
      <c r="D289" s="112"/>
      <c r="E289" s="417"/>
      <c r="F289" s="418"/>
    </row>
    <row r="290" spans="2:6" x14ac:dyDescent="0.25">
      <c r="B290" s="112"/>
      <c r="D290" s="112"/>
      <c r="E290" s="417"/>
      <c r="F290" s="418"/>
    </row>
    <row r="291" spans="2:6" x14ac:dyDescent="0.25">
      <c r="B291" s="112"/>
      <c r="D291" s="112"/>
      <c r="E291" s="417"/>
      <c r="F291" s="418"/>
    </row>
    <row r="292" spans="2:6" x14ac:dyDescent="0.25">
      <c r="B292" s="112"/>
      <c r="D292" s="112"/>
      <c r="E292" s="417"/>
      <c r="F292" s="418"/>
    </row>
    <row r="293" spans="2:6" x14ac:dyDescent="0.25">
      <c r="B293" s="112"/>
      <c r="D293" s="112"/>
      <c r="E293" s="417"/>
      <c r="F293" s="418"/>
    </row>
    <row r="294" spans="2:6" x14ac:dyDescent="0.25">
      <c r="B294" s="112"/>
      <c r="D294" s="112"/>
      <c r="E294" s="417"/>
      <c r="F294" s="418"/>
    </row>
    <row r="295" spans="2:6" x14ac:dyDescent="0.25">
      <c r="B295" s="112"/>
      <c r="D295" s="112"/>
      <c r="E295" s="417"/>
      <c r="F295" s="418"/>
    </row>
    <row r="296" spans="2:6" x14ac:dyDescent="0.25">
      <c r="B296" s="112"/>
      <c r="D296" s="112"/>
      <c r="E296" s="417"/>
      <c r="F296" s="418"/>
    </row>
    <row r="297" spans="2:6" x14ac:dyDescent="0.25">
      <c r="B297" s="112"/>
      <c r="D297" s="112"/>
      <c r="E297" s="417"/>
      <c r="F297" s="418"/>
    </row>
    <row r="298" spans="2:6" x14ac:dyDescent="0.25">
      <c r="B298" s="112"/>
      <c r="D298" s="112"/>
      <c r="E298" s="417"/>
      <c r="F298" s="418"/>
    </row>
    <row r="299" spans="2:6" x14ac:dyDescent="0.25">
      <c r="B299" s="112"/>
      <c r="D299" s="112"/>
      <c r="E299" s="417"/>
      <c r="F299" s="418"/>
    </row>
    <row r="300" spans="2:6" x14ac:dyDescent="0.25">
      <c r="B300" s="112"/>
      <c r="D300" s="112"/>
      <c r="E300" s="417"/>
      <c r="F300" s="418"/>
    </row>
    <row r="301" spans="2:6" x14ac:dyDescent="0.25">
      <c r="B301" s="112"/>
      <c r="D301" s="112"/>
      <c r="E301" s="417"/>
      <c r="F301" s="418"/>
    </row>
    <row r="302" spans="2:6" x14ac:dyDescent="0.25">
      <c r="B302" s="112"/>
      <c r="D302" s="112"/>
      <c r="E302" s="417"/>
      <c r="F302" s="418"/>
    </row>
    <row r="303" spans="2:6" x14ac:dyDescent="0.25">
      <c r="B303" s="112"/>
      <c r="D303" s="112"/>
      <c r="E303" s="417"/>
      <c r="F303" s="418"/>
    </row>
    <row r="304" spans="2:6" x14ac:dyDescent="0.25">
      <c r="B304" s="112"/>
      <c r="D304" s="112"/>
      <c r="E304" s="417"/>
      <c r="F304" s="418"/>
    </row>
    <row r="305" spans="2:6" x14ac:dyDescent="0.25">
      <c r="B305" s="112"/>
      <c r="D305" s="112"/>
      <c r="E305" s="417"/>
      <c r="F305" s="418"/>
    </row>
    <row r="306" spans="2:6" x14ac:dyDescent="0.25">
      <c r="B306" s="112"/>
      <c r="D306" s="112"/>
      <c r="E306" s="417"/>
      <c r="F306" s="418"/>
    </row>
    <row r="307" spans="2:6" x14ac:dyDescent="0.25">
      <c r="B307" s="112"/>
      <c r="D307" s="112"/>
      <c r="E307" s="417"/>
      <c r="F307" s="418"/>
    </row>
    <row r="308" spans="2:6" x14ac:dyDescent="0.25">
      <c r="B308" s="112"/>
      <c r="D308" s="112"/>
      <c r="E308" s="417"/>
      <c r="F308" s="418"/>
    </row>
    <row r="309" spans="2:6" x14ac:dyDescent="0.25">
      <c r="B309" s="112"/>
      <c r="D309" s="112"/>
      <c r="E309" s="417"/>
      <c r="F309" s="418"/>
    </row>
    <row r="310" spans="2:6" x14ac:dyDescent="0.25">
      <c r="B310" s="112"/>
      <c r="D310" s="112"/>
      <c r="E310" s="417"/>
      <c r="F310" s="418"/>
    </row>
    <row r="311" spans="2:6" x14ac:dyDescent="0.25">
      <c r="B311" s="112"/>
      <c r="D311" s="112"/>
      <c r="E311" s="417"/>
      <c r="F311" s="418"/>
    </row>
    <row r="312" spans="2:6" x14ac:dyDescent="0.25">
      <c r="B312" s="112"/>
      <c r="D312" s="112"/>
      <c r="E312" s="417"/>
      <c r="F312" s="418"/>
    </row>
    <row r="313" spans="2:6" x14ac:dyDescent="0.25">
      <c r="B313" s="112"/>
      <c r="D313" s="112"/>
      <c r="E313" s="417"/>
      <c r="F313" s="418"/>
    </row>
    <row r="314" spans="2:6" x14ac:dyDescent="0.25">
      <c r="B314" s="112"/>
      <c r="D314" s="112"/>
      <c r="E314" s="417"/>
      <c r="F314" s="418"/>
    </row>
    <row r="315" spans="2:6" x14ac:dyDescent="0.25">
      <c r="B315" s="112"/>
      <c r="D315" s="112"/>
      <c r="E315" s="417"/>
      <c r="F315" s="418"/>
    </row>
    <row r="316" spans="2:6" x14ac:dyDescent="0.25">
      <c r="B316" s="112"/>
      <c r="D316" s="112"/>
      <c r="E316" s="417"/>
      <c r="F316" s="418"/>
    </row>
    <row r="317" spans="2:6" x14ac:dyDescent="0.25">
      <c r="B317" s="112"/>
      <c r="D317" s="112"/>
      <c r="E317" s="417"/>
      <c r="F317" s="418"/>
    </row>
    <row r="318" spans="2:6" x14ac:dyDescent="0.25">
      <c r="B318" s="112"/>
      <c r="D318" s="112"/>
      <c r="E318" s="417"/>
      <c r="F318" s="418"/>
    </row>
    <row r="319" spans="2:6" x14ac:dyDescent="0.25">
      <c r="B319" s="112"/>
      <c r="D319" s="112"/>
      <c r="E319" s="417"/>
      <c r="F319" s="418"/>
    </row>
    <row r="320" spans="2:6" x14ac:dyDescent="0.25">
      <c r="B320" s="112"/>
      <c r="D320" s="112"/>
      <c r="E320" s="417"/>
      <c r="F320" s="418"/>
    </row>
    <row r="321" spans="2:6" x14ac:dyDescent="0.25">
      <c r="B321" s="112"/>
      <c r="D321" s="112"/>
      <c r="E321" s="417"/>
      <c r="F321" s="418"/>
    </row>
    <row r="322" spans="2:6" x14ac:dyDescent="0.25">
      <c r="B322" s="112"/>
      <c r="D322" s="112"/>
      <c r="E322" s="417"/>
      <c r="F322" s="418"/>
    </row>
    <row r="323" spans="2:6" x14ac:dyDescent="0.25">
      <c r="B323" s="112"/>
      <c r="D323" s="112"/>
      <c r="E323" s="417"/>
      <c r="F323" s="418"/>
    </row>
    <row r="324" spans="2:6" x14ac:dyDescent="0.25">
      <c r="B324" s="112"/>
      <c r="D324" s="112"/>
      <c r="E324" s="417"/>
      <c r="F324" s="418"/>
    </row>
    <row r="325" spans="2:6" x14ac:dyDescent="0.25">
      <c r="B325" s="112"/>
      <c r="D325" s="112"/>
      <c r="E325" s="417"/>
      <c r="F325" s="418"/>
    </row>
    <row r="326" spans="2:6" x14ac:dyDescent="0.25">
      <c r="B326" s="112"/>
      <c r="D326" s="112"/>
      <c r="E326" s="417"/>
      <c r="F326" s="418"/>
    </row>
    <row r="327" spans="2:6" x14ac:dyDescent="0.25">
      <c r="B327" s="112"/>
      <c r="D327" s="112"/>
      <c r="E327" s="417"/>
      <c r="F327" s="418"/>
    </row>
    <row r="328" spans="2:6" x14ac:dyDescent="0.25">
      <c r="B328" s="112"/>
      <c r="D328" s="112"/>
      <c r="E328" s="417"/>
      <c r="F328" s="418"/>
    </row>
    <row r="329" spans="2:6" x14ac:dyDescent="0.25">
      <c r="B329" s="112"/>
      <c r="D329" s="112"/>
      <c r="E329" s="417"/>
      <c r="F329" s="418"/>
    </row>
    <row r="330" spans="2:6" x14ac:dyDescent="0.25">
      <c r="B330" s="112"/>
      <c r="D330" s="112"/>
      <c r="E330" s="417"/>
      <c r="F330" s="418"/>
    </row>
    <row r="331" spans="2:6" x14ac:dyDescent="0.25">
      <c r="B331" s="112"/>
      <c r="D331" s="112"/>
      <c r="E331" s="417"/>
      <c r="F331" s="418"/>
    </row>
    <row r="332" spans="2:6" x14ac:dyDescent="0.25">
      <c r="B332" s="112"/>
      <c r="D332" s="112"/>
      <c r="E332" s="417"/>
      <c r="F332" s="418"/>
    </row>
    <row r="333" spans="2:6" x14ac:dyDescent="0.25">
      <c r="B333" s="112"/>
      <c r="D333" s="112"/>
      <c r="E333" s="417"/>
      <c r="F333" s="418"/>
    </row>
    <row r="334" spans="2:6" x14ac:dyDescent="0.25">
      <c r="B334" s="112"/>
      <c r="D334" s="112"/>
      <c r="E334" s="417"/>
      <c r="F334" s="418"/>
    </row>
    <row r="335" spans="2:6" x14ac:dyDescent="0.25">
      <c r="B335" s="112"/>
      <c r="D335" s="112"/>
      <c r="E335" s="417"/>
      <c r="F335" s="418"/>
    </row>
    <row r="336" spans="2:6" x14ac:dyDescent="0.25">
      <c r="B336" s="112"/>
      <c r="D336" s="112"/>
      <c r="E336" s="417"/>
      <c r="F336" s="418"/>
    </row>
    <row r="337" spans="2:6" x14ac:dyDescent="0.25">
      <c r="B337" s="112"/>
      <c r="D337" s="112"/>
      <c r="E337" s="417"/>
      <c r="F337" s="418"/>
    </row>
    <row r="338" spans="2:6" x14ac:dyDescent="0.25">
      <c r="B338" s="112"/>
      <c r="D338" s="112"/>
      <c r="E338" s="417"/>
      <c r="F338" s="418"/>
    </row>
    <row r="339" spans="2:6" x14ac:dyDescent="0.25">
      <c r="B339" s="112"/>
      <c r="D339" s="112"/>
      <c r="E339" s="417"/>
      <c r="F339" s="418"/>
    </row>
    <row r="340" spans="2:6" x14ac:dyDescent="0.25">
      <c r="B340" s="112"/>
      <c r="D340" s="112"/>
      <c r="E340" s="417"/>
      <c r="F340" s="418"/>
    </row>
    <row r="341" spans="2:6" x14ac:dyDescent="0.25">
      <c r="B341" s="112"/>
      <c r="D341" s="112"/>
      <c r="E341" s="417"/>
      <c r="F341" s="418"/>
    </row>
    <row r="342" spans="2:6" x14ac:dyDescent="0.25">
      <c r="B342" s="112"/>
      <c r="D342" s="112"/>
      <c r="E342" s="417"/>
      <c r="F342" s="418"/>
    </row>
    <row r="343" spans="2:6" x14ac:dyDescent="0.25">
      <c r="B343" s="112"/>
      <c r="D343" s="112"/>
      <c r="E343" s="417"/>
      <c r="F343" s="418"/>
    </row>
    <row r="344" spans="2:6" x14ac:dyDescent="0.25">
      <c r="B344" s="112"/>
      <c r="D344" s="112"/>
      <c r="E344" s="417"/>
      <c r="F344" s="418"/>
    </row>
    <row r="345" spans="2:6" x14ac:dyDescent="0.25">
      <c r="B345" s="112"/>
      <c r="D345" s="112"/>
      <c r="E345" s="417"/>
      <c r="F345" s="418"/>
    </row>
    <row r="346" spans="2:6" x14ac:dyDescent="0.25">
      <c r="B346" s="112"/>
      <c r="D346" s="112"/>
      <c r="E346" s="417"/>
      <c r="F346" s="418"/>
    </row>
    <row r="347" spans="2:6" x14ac:dyDescent="0.25">
      <c r="B347" s="112"/>
      <c r="D347" s="112"/>
      <c r="E347" s="417"/>
      <c r="F347" s="418"/>
    </row>
    <row r="348" spans="2:6" x14ac:dyDescent="0.25">
      <c r="B348" s="112"/>
      <c r="D348" s="112"/>
      <c r="E348" s="417"/>
      <c r="F348" s="418"/>
    </row>
    <row r="349" spans="2:6" x14ac:dyDescent="0.25">
      <c r="B349" s="112"/>
      <c r="D349" s="112"/>
      <c r="E349" s="417"/>
      <c r="F349" s="418"/>
    </row>
    <row r="350" spans="2:6" x14ac:dyDescent="0.25">
      <c r="B350" s="112"/>
      <c r="D350" s="112"/>
      <c r="E350" s="417"/>
      <c r="F350" s="418"/>
    </row>
    <row r="351" spans="2:6" x14ac:dyDescent="0.25">
      <c r="B351" s="112"/>
      <c r="D351" s="112"/>
      <c r="E351" s="417"/>
      <c r="F351" s="418"/>
    </row>
    <row r="352" spans="2:6" x14ac:dyDescent="0.25">
      <c r="B352" s="112"/>
      <c r="D352" s="112"/>
      <c r="E352" s="417"/>
      <c r="F352" s="418"/>
    </row>
    <row r="353" spans="2:6" x14ac:dyDescent="0.25">
      <c r="B353" s="112"/>
      <c r="D353" s="112"/>
      <c r="E353" s="417"/>
      <c r="F353" s="418"/>
    </row>
    <row r="354" spans="2:6" x14ac:dyDescent="0.25">
      <c r="B354" s="112"/>
      <c r="D354" s="112"/>
      <c r="E354" s="417"/>
      <c r="F354" s="418"/>
    </row>
    <row r="355" spans="2:6" x14ac:dyDescent="0.25">
      <c r="B355" s="112"/>
      <c r="D355" s="112"/>
      <c r="E355" s="417"/>
      <c r="F355" s="418"/>
    </row>
    <row r="356" spans="2:6" x14ac:dyDescent="0.25">
      <c r="B356" s="112"/>
      <c r="D356" s="112"/>
      <c r="E356" s="417"/>
      <c r="F356" s="418"/>
    </row>
    <row r="357" spans="2:6" x14ac:dyDescent="0.25">
      <c r="B357" s="112"/>
      <c r="D357" s="112"/>
      <c r="E357" s="417"/>
      <c r="F357" s="418"/>
    </row>
    <row r="358" spans="2:6" x14ac:dyDescent="0.25">
      <c r="B358" s="112"/>
      <c r="D358" s="112"/>
      <c r="E358" s="417"/>
      <c r="F358" s="418"/>
    </row>
    <row r="359" spans="2:6" x14ac:dyDescent="0.25">
      <c r="B359" s="112"/>
      <c r="D359" s="112"/>
      <c r="E359" s="417"/>
      <c r="F359" s="418"/>
    </row>
    <row r="360" spans="2:6" x14ac:dyDescent="0.25">
      <c r="B360" s="112"/>
      <c r="D360" s="112"/>
      <c r="E360" s="417"/>
      <c r="F360" s="418"/>
    </row>
    <row r="361" spans="2:6" x14ac:dyDescent="0.25">
      <c r="B361" s="112"/>
      <c r="D361" s="112"/>
      <c r="E361" s="417"/>
      <c r="F361" s="418"/>
    </row>
    <row r="362" spans="2:6" x14ac:dyDescent="0.25">
      <c r="B362" s="112"/>
      <c r="D362" s="112"/>
      <c r="E362" s="417"/>
      <c r="F362" s="418"/>
    </row>
    <row r="363" spans="2:6" x14ac:dyDescent="0.25">
      <c r="B363" s="112"/>
      <c r="D363" s="112"/>
      <c r="E363" s="417"/>
      <c r="F363" s="418"/>
    </row>
    <row r="364" spans="2:6" x14ac:dyDescent="0.25">
      <c r="B364" s="112"/>
      <c r="D364" s="112"/>
      <c r="E364" s="417"/>
      <c r="F364" s="418"/>
    </row>
    <row r="365" spans="2:6" x14ac:dyDescent="0.25">
      <c r="B365" s="112"/>
      <c r="D365" s="112"/>
      <c r="E365" s="417"/>
      <c r="F365" s="418"/>
    </row>
    <row r="366" spans="2:6" x14ac:dyDescent="0.25">
      <c r="B366" s="112"/>
      <c r="D366" s="112"/>
      <c r="E366" s="417"/>
      <c r="F366" s="418"/>
    </row>
    <row r="367" spans="2:6" x14ac:dyDescent="0.25">
      <c r="B367" s="112"/>
      <c r="D367" s="112"/>
      <c r="E367" s="417"/>
      <c r="F367" s="418"/>
    </row>
    <row r="368" spans="2:6" x14ac:dyDescent="0.25">
      <c r="B368" s="112"/>
      <c r="D368" s="112"/>
      <c r="E368" s="417"/>
      <c r="F368" s="418"/>
    </row>
    <row r="369" spans="2:6" x14ac:dyDescent="0.25">
      <c r="B369" s="112"/>
      <c r="D369" s="112"/>
      <c r="E369" s="417"/>
      <c r="F369" s="418"/>
    </row>
    <row r="370" spans="2:6" x14ac:dyDescent="0.25">
      <c r="B370" s="112"/>
      <c r="D370" s="112"/>
      <c r="E370" s="417"/>
      <c r="F370" s="418"/>
    </row>
    <row r="371" spans="2:6" x14ac:dyDescent="0.25">
      <c r="B371" s="112"/>
      <c r="D371" s="112"/>
      <c r="E371" s="417"/>
      <c r="F371" s="418"/>
    </row>
    <row r="372" spans="2:6" x14ac:dyDescent="0.25">
      <c r="B372" s="112"/>
      <c r="D372" s="112"/>
      <c r="E372" s="417"/>
      <c r="F372" s="418"/>
    </row>
    <row r="373" spans="2:6" x14ac:dyDescent="0.25">
      <c r="B373" s="112"/>
      <c r="D373" s="112"/>
      <c r="E373" s="417"/>
      <c r="F373" s="418"/>
    </row>
    <row r="374" spans="2:6" x14ac:dyDescent="0.25">
      <c r="B374" s="112"/>
      <c r="D374" s="112"/>
      <c r="E374" s="417"/>
      <c r="F374" s="418"/>
    </row>
    <row r="375" spans="2:6" x14ac:dyDescent="0.25">
      <c r="B375" s="112"/>
      <c r="D375" s="112"/>
      <c r="E375" s="417"/>
      <c r="F375" s="418"/>
    </row>
    <row r="376" spans="2:6" x14ac:dyDescent="0.25">
      <c r="B376" s="112"/>
      <c r="D376" s="112"/>
      <c r="E376" s="417"/>
      <c r="F376" s="418"/>
    </row>
    <row r="377" spans="2:6" x14ac:dyDescent="0.25">
      <c r="B377" s="112"/>
      <c r="D377" s="112"/>
      <c r="E377" s="417"/>
      <c r="F377" s="418"/>
    </row>
    <row r="378" spans="2:6" x14ac:dyDescent="0.25">
      <c r="B378" s="112"/>
      <c r="D378" s="112"/>
      <c r="E378" s="417"/>
      <c r="F378" s="418"/>
    </row>
    <row r="379" spans="2:6" x14ac:dyDescent="0.25">
      <c r="B379" s="112"/>
      <c r="D379" s="112"/>
      <c r="E379" s="417"/>
      <c r="F379" s="418"/>
    </row>
    <row r="380" spans="2:6" x14ac:dyDescent="0.25">
      <c r="B380" s="112"/>
      <c r="D380" s="112"/>
      <c r="E380" s="417"/>
      <c r="F380" s="418"/>
    </row>
    <row r="381" spans="2:6" x14ac:dyDescent="0.25">
      <c r="B381" s="112"/>
      <c r="D381" s="112"/>
      <c r="E381" s="417"/>
      <c r="F381" s="418"/>
    </row>
    <row r="382" spans="2:6" x14ac:dyDescent="0.25">
      <c r="B382" s="112"/>
      <c r="D382" s="112"/>
      <c r="E382" s="417"/>
      <c r="F382" s="418"/>
    </row>
    <row r="383" spans="2:6" x14ac:dyDescent="0.25">
      <c r="B383" s="112"/>
      <c r="D383" s="112"/>
      <c r="E383" s="417"/>
      <c r="F383" s="418"/>
    </row>
    <row r="384" spans="2:6" x14ac:dyDescent="0.25">
      <c r="B384" s="112"/>
      <c r="D384" s="112"/>
      <c r="E384" s="417"/>
      <c r="F384" s="418"/>
    </row>
    <row r="385" spans="2:6" x14ac:dyDescent="0.25">
      <c r="B385" s="112"/>
      <c r="D385" s="112"/>
      <c r="E385" s="417"/>
      <c r="F385" s="418"/>
    </row>
    <row r="386" spans="2:6" x14ac:dyDescent="0.25">
      <c r="B386" s="112"/>
      <c r="D386" s="112"/>
      <c r="E386" s="417"/>
      <c r="F386" s="418"/>
    </row>
    <row r="387" spans="2:6" x14ac:dyDescent="0.25">
      <c r="B387" s="112"/>
      <c r="D387" s="112"/>
      <c r="E387" s="417"/>
      <c r="F387" s="418"/>
    </row>
    <row r="388" spans="2:6" x14ac:dyDescent="0.25">
      <c r="B388" s="112"/>
      <c r="D388" s="112"/>
      <c r="E388" s="417"/>
      <c r="F388" s="418"/>
    </row>
    <row r="389" spans="2:6" x14ac:dyDescent="0.25">
      <c r="B389" s="112"/>
      <c r="D389" s="112"/>
      <c r="E389" s="417"/>
      <c r="F389" s="418"/>
    </row>
    <row r="390" spans="2:6" x14ac:dyDescent="0.25">
      <c r="B390" s="112"/>
      <c r="D390" s="112"/>
      <c r="E390" s="417"/>
      <c r="F390" s="418"/>
    </row>
    <row r="391" spans="2:6" x14ac:dyDescent="0.25">
      <c r="B391" s="112"/>
      <c r="D391" s="112"/>
      <c r="E391" s="417"/>
      <c r="F391" s="418"/>
    </row>
    <row r="392" spans="2:6" x14ac:dyDescent="0.25">
      <c r="B392" s="112"/>
      <c r="D392" s="112"/>
      <c r="E392" s="417"/>
      <c r="F392" s="418"/>
    </row>
    <row r="393" spans="2:6" x14ac:dyDescent="0.25">
      <c r="B393" s="112"/>
      <c r="D393" s="112"/>
      <c r="E393" s="417"/>
      <c r="F393" s="418"/>
    </row>
    <row r="394" spans="2:6" x14ac:dyDescent="0.25">
      <c r="B394" s="112"/>
      <c r="D394" s="112"/>
      <c r="E394" s="417"/>
      <c r="F394" s="418"/>
    </row>
    <row r="395" spans="2:6" x14ac:dyDescent="0.25">
      <c r="B395" s="112"/>
      <c r="D395" s="112"/>
      <c r="E395" s="417"/>
      <c r="F395" s="418"/>
    </row>
    <row r="396" spans="2:6" x14ac:dyDescent="0.25">
      <c r="B396" s="112"/>
      <c r="D396" s="112"/>
      <c r="E396" s="417"/>
      <c r="F396" s="418"/>
    </row>
    <row r="397" spans="2:6" x14ac:dyDescent="0.25">
      <c r="B397" s="112"/>
      <c r="D397" s="112"/>
      <c r="E397" s="417"/>
      <c r="F397" s="418"/>
    </row>
    <row r="398" spans="2:6" x14ac:dyDescent="0.25">
      <c r="B398" s="112"/>
      <c r="D398" s="112"/>
      <c r="E398" s="417"/>
      <c r="F398" s="418"/>
    </row>
    <row r="399" spans="2:6" x14ac:dyDescent="0.25">
      <c r="B399" s="112"/>
      <c r="D399" s="112"/>
      <c r="E399" s="417"/>
      <c r="F399" s="418"/>
    </row>
    <row r="400" spans="2:6" x14ac:dyDescent="0.25">
      <c r="B400" s="112"/>
      <c r="D400" s="112"/>
      <c r="E400" s="417"/>
      <c r="F400" s="418"/>
    </row>
    <row r="401" spans="2:6" x14ac:dyDescent="0.25">
      <c r="B401" s="112"/>
      <c r="D401" s="112"/>
      <c r="E401" s="417"/>
      <c r="F401" s="418"/>
    </row>
    <row r="402" spans="2:6" x14ac:dyDescent="0.25">
      <c r="B402" s="112"/>
      <c r="D402" s="112"/>
      <c r="E402" s="417"/>
      <c r="F402" s="418"/>
    </row>
    <row r="403" spans="2:6" x14ac:dyDescent="0.25">
      <c r="B403" s="112"/>
      <c r="D403" s="112"/>
      <c r="E403" s="417"/>
      <c r="F403" s="418"/>
    </row>
    <row r="404" spans="2:6" x14ac:dyDescent="0.25">
      <c r="B404" s="112"/>
      <c r="D404" s="112"/>
      <c r="E404" s="417"/>
      <c r="F404" s="418"/>
    </row>
    <row r="405" spans="2:6" x14ac:dyDescent="0.25">
      <c r="B405" s="112"/>
      <c r="D405" s="112"/>
      <c r="E405" s="417"/>
      <c r="F405" s="418"/>
    </row>
    <row r="406" spans="2:6" x14ac:dyDescent="0.25">
      <c r="B406" s="112"/>
      <c r="D406" s="112"/>
      <c r="E406" s="417"/>
      <c r="F406" s="418"/>
    </row>
    <row r="407" spans="2:6" x14ac:dyDescent="0.25">
      <c r="B407" s="112"/>
      <c r="D407" s="112"/>
      <c r="E407" s="417"/>
      <c r="F407" s="418"/>
    </row>
    <row r="408" spans="2:6" x14ac:dyDescent="0.25">
      <c r="B408" s="112"/>
      <c r="D408" s="112"/>
      <c r="E408" s="417"/>
      <c r="F408" s="418"/>
    </row>
    <row r="409" spans="2:6" x14ac:dyDescent="0.25">
      <c r="B409" s="112"/>
      <c r="D409" s="112"/>
      <c r="E409" s="417"/>
      <c r="F409" s="418"/>
    </row>
    <row r="410" spans="2:6" x14ac:dyDescent="0.25">
      <c r="B410" s="112"/>
      <c r="D410" s="112"/>
      <c r="E410" s="417"/>
      <c r="F410" s="418"/>
    </row>
    <row r="411" spans="2:6" x14ac:dyDescent="0.25">
      <c r="B411" s="112"/>
      <c r="D411" s="112"/>
      <c r="E411" s="417"/>
      <c r="F411" s="418"/>
    </row>
    <row r="412" spans="2:6" x14ac:dyDescent="0.25">
      <c r="B412" s="112"/>
      <c r="D412" s="112"/>
      <c r="E412" s="417"/>
      <c r="F412" s="418"/>
    </row>
    <row r="413" spans="2:6" x14ac:dyDescent="0.25">
      <c r="B413" s="112"/>
      <c r="D413" s="112"/>
      <c r="E413" s="417"/>
      <c r="F413" s="418"/>
    </row>
    <row r="414" spans="2:6" x14ac:dyDescent="0.25">
      <c r="B414" s="112"/>
      <c r="D414" s="112"/>
      <c r="E414" s="417"/>
      <c r="F414" s="418"/>
    </row>
    <row r="415" spans="2:6" x14ac:dyDescent="0.25">
      <c r="B415" s="112"/>
      <c r="D415" s="112"/>
      <c r="E415" s="417"/>
      <c r="F415" s="418"/>
    </row>
    <row r="416" spans="2:6" x14ac:dyDescent="0.25">
      <c r="B416" s="112"/>
      <c r="D416" s="112"/>
      <c r="E416" s="417"/>
      <c r="F416" s="418"/>
    </row>
    <row r="417" spans="2:6" x14ac:dyDescent="0.25">
      <c r="B417" s="112"/>
      <c r="D417" s="112"/>
      <c r="E417" s="417"/>
      <c r="F417" s="418"/>
    </row>
    <row r="418" spans="2:6" x14ac:dyDescent="0.25">
      <c r="B418" s="112"/>
      <c r="D418" s="112"/>
      <c r="E418" s="417"/>
      <c r="F418" s="418"/>
    </row>
    <row r="419" spans="2:6" x14ac:dyDescent="0.25">
      <c r="B419" s="112"/>
      <c r="D419" s="112"/>
      <c r="E419" s="417"/>
      <c r="F419" s="418"/>
    </row>
    <row r="420" spans="2:6" x14ac:dyDescent="0.25">
      <c r="B420" s="112"/>
      <c r="D420" s="112"/>
      <c r="E420" s="417"/>
      <c r="F420" s="418"/>
    </row>
    <row r="421" spans="2:6" x14ac:dyDescent="0.25">
      <c r="B421" s="112"/>
      <c r="D421" s="112"/>
      <c r="E421" s="417"/>
      <c r="F421" s="418"/>
    </row>
    <row r="422" spans="2:6" x14ac:dyDescent="0.25">
      <c r="B422" s="112"/>
      <c r="D422" s="112"/>
      <c r="E422" s="417"/>
      <c r="F422" s="418"/>
    </row>
    <row r="423" spans="2:6" x14ac:dyDescent="0.25">
      <c r="B423" s="112"/>
      <c r="D423" s="112"/>
      <c r="E423" s="417"/>
      <c r="F423" s="418"/>
    </row>
    <row r="424" spans="2:6" x14ac:dyDescent="0.25">
      <c r="B424" s="112"/>
      <c r="D424" s="112"/>
      <c r="E424" s="417"/>
      <c r="F424" s="418"/>
    </row>
    <row r="425" spans="2:6" x14ac:dyDescent="0.25">
      <c r="B425" s="112"/>
      <c r="D425" s="112"/>
      <c r="E425" s="417"/>
      <c r="F425" s="418"/>
    </row>
    <row r="426" spans="2:6" x14ac:dyDescent="0.25">
      <c r="B426" s="112"/>
      <c r="D426" s="112"/>
      <c r="E426" s="417"/>
      <c r="F426" s="418"/>
    </row>
    <row r="427" spans="2:6" x14ac:dyDescent="0.25">
      <c r="B427" s="112"/>
      <c r="D427" s="112"/>
      <c r="E427" s="417"/>
      <c r="F427" s="418"/>
    </row>
    <row r="428" spans="2:6" x14ac:dyDescent="0.25">
      <c r="B428" s="112"/>
      <c r="D428" s="112"/>
      <c r="E428" s="417"/>
      <c r="F428" s="418"/>
    </row>
    <row r="429" spans="2:6" x14ac:dyDescent="0.25">
      <c r="B429" s="112"/>
      <c r="D429" s="112"/>
      <c r="E429" s="417"/>
      <c r="F429" s="418"/>
    </row>
    <row r="430" spans="2:6" x14ac:dyDescent="0.25">
      <c r="B430" s="112"/>
      <c r="D430" s="112"/>
      <c r="E430" s="417"/>
      <c r="F430" s="418"/>
    </row>
    <row r="431" spans="2:6" x14ac:dyDescent="0.25">
      <c r="B431" s="112"/>
      <c r="D431" s="112"/>
      <c r="E431" s="417"/>
      <c r="F431" s="418"/>
    </row>
    <row r="432" spans="2:6" x14ac:dyDescent="0.25">
      <c r="B432" s="112"/>
      <c r="D432" s="112"/>
      <c r="E432" s="417"/>
      <c r="F432" s="418"/>
    </row>
    <row r="433" spans="2:6" x14ac:dyDescent="0.25">
      <c r="B433" s="112"/>
      <c r="D433" s="112"/>
      <c r="E433" s="417"/>
      <c r="F433" s="418"/>
    </row>
    <row r="434" spans="2:6" x14ac:dyDescent="0.25">
      <c r="B434" s="112"/>
      <c r="D434" s="112"/>
      <c r="E434" s="417"/>
      <c r="F434" s="418"/>
    </row>
    <row r="435" spans="2:6" x14ac:dyDescent="0.25">
      <c r="B435" s="112"/>
      <c r="D435" s="112"/>
      <c r="E435" s="417"/>
      <c r="F435" s="418"/>
    </row>
    <row r="436" spans="2:6" x14ac:dyDescent="0.25">
      <c r="B436" s="112"/>
      <c r="D436" s="112"/>
      <c r="E436" s="417"/>
      <c r="F436" s="418"/>
    </row>
    <row r="437" spans="2:6" x14ac:dyDescent="0.25">
      <c r="B437" s="112"/>
      <c r="D437" s="112"/>
      <c r="E437" s="417"/>
      <c r="F437" s="418"/>
    </row>
    <row r="438" spans="2:6" x14ac:dyDescent="0.25">
      <c r="B438" s="112"/>
      <c r="D438" s="112"/>
      <c r="E438" s="417"/>
      <c r="F438" s="418"/>
    </row>
    <row r="439" spans="2:6" x14ac:dyDescent="0.25">
      <c r="B439" s="112"/>
      <c r="D439" s="112"/>
      <c r="E439" s="417"/>
      <c r="F439" s="418"/>
    </row>
    <row r="440" spans="2:6" x14ac:dyDescent="0.25">
      <c r="B440" s="112"/>
      <c r="D440" s="112"/>
      <c r="E440" s="417"/>
      <c r="F440" s="418"/>
    </row>
    <row r="441" spans="2:6" x14ac:dyDescent="0.25">
      <c r="B441" s="112"/>
      <c r="D441" s="112"/>
      <c r="E441" s="417"/>
      <c r="F441" s="418"/>
    </row>
    <row r="442" spans="2:6" x14ac:dyDescent="0.25">
      <c r="B442" s="112"/>
      <c r="D442" s="112"/>
      <c r="E442" s="417"/>
      <c r="F442" s="418"/>
    </row>
    <row r="443" spans="2:6" x14ac:dyDescent="0.25">
      <c r="B443" s="112"/>
      <c r="D443" s="112"/>
      <c r="E443" s="417"/>
      <c r="F443" s="418"/>
    </row>
    <row r="444" spans="2:6" x14ac:dyDescent="0.25">
      <c r="B444" s="112"/>
      <c r="D444" s="112"/>
      <c r="E444" s="417"/>
      <c r="F444" s="418"/>
    </row>
    <row r="445" spans="2:6" x14ac:dyDescent="0.25">
      <c r="B445" s="112"/>
      <c r="D445" s="112"/>
      <c r="E445" s="417"/>
      <c r="F445" s="418"/>
    </row>
    <row r="446" spans="2:6" x14ac:dyDescent="0.25">
      <c r="B446" s="112"/>
      <c r="D446" s="112"/>
      <c r="E446" s="417"/>
      <c r="F446" s="418"/>
    </row>
    <row r="447" spans="2:6" x14ac:dyDescent="0.25">
      <c r="B447" s="112"/>
      <c r="D447" s="112"/>
      <c r="E447" s="417"/>
      <c r="F447" s="418"/>
    </row>
    <row r="448" spans="2:6" x14ac:dyDescent="0.25">
      <c r="B448" s="112"/>
      <c r="D448" s="112"/>
      <c r="E448" s="417"/>
      <c r="F448" s="418"/>
    </row>
    <row r="449" spans="2:6" x14ac:dyDescent="0.25">
      <c r="B449" s="112"/>
      <c r="D449" s="112"/>
      <c r="E449" s="417"/>
      <c r="F449" s="418"/>
    </row>
    <row r="450" spans="2:6" x14ac:dyDescent="0.25">
      <c r="B450" s="112"/>
      <c r="D450" s="112"/>
      <c r="E450" s="417"/>
      <c r="F450" s="418"/>
    </row>
    <row r="451" spans="2:6" x14ac:dyDescent="0.25">
      <c r="B451" s="112"/>
      <c r="D451" s="112"/>
      <c r="E451" s="417"/>
      <c r="F451" s="418"/>
    </row>
    <row r="452" spans="2:6" x14ac:dyDescent="0.25">
      <c r="B452" s="112"/>
      <c r="D452" s="112"/>
      <c r="E452" s="417"/>
      <c r="F452" s="418"/>
    </row>
    <row r="453" spans="2:6" x14ac:dyDescent="0.25">
      <c r="B453" s="112"/>
      <c r="D453" s="112"/>
      <c r="E453" s="417"/>
      <c r="F453" s="418"/>
    </row>
    <row r="454" spans="2:6" x14ac:dyDescent="0.25">
      <c r="B454" s="112"/>
      <c r="D454" s="112"/>
      <c r="E454" s="417"/>
      <c r="F454" s="418"/>
    </row>
    <row r="455" spans="2:6" x14ac:dyDescent="0.25">
      <c r="B455" s="112"/>
      <c r="D455" s="112"/>
      <c r="E455" s="417"/>
      <c r="F455" s="418"/>
    </row>
    <row r="456" spans="2:6" x14ac:dyDescent="0.25">
      <c r="B456" s="112"/>
      <c r="D456" s="112"/>
      <c r="E456" s="417"/>
      <c r="F456" s="418"/>
    </row>
    <row r="457" spans="2:6" x14ac:dyDescent="0.25">
      <c r="B457" s="112"/>
      <c r="D457" s="112"/>
      <c r="E457" s="417"/>
      <c r="F457" s="418"/>
    </row>
    <row r="458" spans="2:6" x14ac:dyDescent="0.25">
      <c r="B458" s="112"/>
      <c r="D458" s="112"/>
      <c r="E458" s="417"/>
      <c r="F458" s="418"/>
    </row>
    <row r="459" spans="2:6" x14ac:dyDescent="0.25">
      <c r="B459" s="112"/>
      <c r="D459" s="112"/>
      <c r="E459" s="417"/>
      <c r="F459" s="418"/>
    </row>
    <row r="460" spans="2:6" x14ac:dyDescent="0.25">
      <c r="B460" s="112"/>
      <c r="D460" s="112"/>
      <c r="E460" s="417"/>
      <c r="F460" s="418"/>
    </row>
    <row r="461" spans="2:6" x14ac:dyDescent="0.25">
      <c r="B461" s="112"/>
      <c r="D461" s="112"/>
      <c r="E461" s="417"/>
      <c r="F461" s="418"/>
    </row>
    <row r="462" spans="2:6" x14ac:dyDescent="0.25">
      <c r="B462" s="112"/>
      <c r="D462" s="112"/>
      <c r="E462" s="417"/>
      <c r="F462" s="418"/>
    </row>
    <row r="463" spans="2:6" x14ac:dyDescent="0.25">
      <c r="B463" s="112"/>
      <c r="D463" s="112"/>
      <c r="E463" s="417"/>
      <c r="F463" s="418"/>
    </row>
    <row r="464" spans="2:6" x14ac:dyDescent="0.25">
      <c r="B464" s="112"/>
      <c r="D464" s="112"/>
      <c r="E464" s="417"/>
      <c r="F464" s="418"/>
    </row>
    <row r="465" spans="2:6" x14ac:dyDescent="0.25">
      <c r="B465" s="112"/>
      <c r="D465" s="112"/>
      <c r="E465" s="417"/>
      <c r="F465" s="418"/>
    </row>
    <row r="466" spans="2:6" x14ac:dyDescent="0.25">
      <c r="B466" s="112"/>
      <c r="D466" s="112"/>
      <c r="E466" s="417"/>
      <c r="F466" s="418"/>
    </row>
    <row r="467" spans="2:6" x14ac:dyDescent="0.25">
      <c r="B467" s="112"/>
      <c r="D467" s="112"/>
      <c r="E467" s="417"/>
      <c r="F467" s="418"/>
    </row>
    <row r="468" spans="2:6" x14ac:dyDescent="0.25">
      <c r="B468" s="112"/>
      <c r="D468" s="112"/>
      <c r="E468" s="417"/>
      <c r="F468" s="418"/>
    </row>
    <row r="469" spans="2:6" x14ac:dyDescent="0.25">
      <c r="B469" s="112"/>
      <c r="D469" s="112"/>
      <c r="E469" s="417"/>
      <c r="F469" s="418"/>
    </row>
    <row r="470" spans="2:6" x14ac:dyDescent="0.25">
      <c r="B470" s="112"/>
      <c r="D470" s="112"/>
      <c r="E470" s="417"/>
      <c r="F470" s="418"/>
    </row>
    <row r="471" spans="2:6" x14ac:dyDescent="0.25">
      <c r="B471" s="112"/>
      <c r="D471" s="112"/>
      <c r="E471" s="417"/>
      <c r="F471" s="418"/>
    </row>
    <row r="472" spans="2:6" x14ac:dyDescent="0.25">
      <c r="B472" s="112"/>
      <c r="D472" s="112"/>
      <c r="E472" s="417"/>
      <c r="F472" s="418"/>
    </row>
    <row r="473" spans="2:6" x14ac:dyDescent="0.25">
      <c r="B473" s="112"/>
      <c r="D473" s="112"/>
      <c r="E473" s="417"/>
      <c r="F473" s="418"/>
    </row>
    <row r="474" spans="2:6" x14ac:dyDescent="0.25">
      <c r="B474" s="112"/>
      <c r="D474" s="112"/>
      <c r="E474" s="417"/>
      <c r="F474" s="418"/>
    </row>
    <row r="475" spans="2:6" x14ac:dyDescent="0.25">
      <c r="B475" s="112"/>
      <c r="D475" s="112"/>
      <c r="E475" s="417"/>
      <c r="F475" s="418"/>
    </row>
    <row r="476" spans="2:6" x14ac:dyDescent="0.25">
      <c r="B476" s="112"/>
      <c r="D476" s="112"/>
      <c r="E476" s="417"/>
      <c r="F476" s="418"/>
    </row>
    <row r="477" spans="2:6" x14ac:dyDescent="0.25">
      <c r="B477" s="112"/>
      <c r="D477" s="112"/>
      <c r="E477" s="417"/>
      <c r="F477" s="418"/>
    </row>
    <row r="478" spans="2:6" x14ac:dyDescent="0.25">
      <c r="B478" s="112"/>
      <c r="D478" s="112"/>
      <c r="E478" s="417"/>
      <c r="F478" s="418"/>
    </row>
    <row r="479" spans="2:6" x14ac:dyDescent="0.25">
      <c r="B479" s="112"/>
      <c r="D479" s="112"/>
      <c r="E479" s="417"/>
      <c r="F479" s="418"/>
    </row>
    <row r="480" spans="2:6" x14ac:dyDescent="0.25">
      <c r="B480" s="112"/>
      <c r="D480" s="112"/>
      <c r="E480" s="417"/>
      <c r="F480" s="418"/>
    </row>
    <row r="481" spans="2:6" x14ac:dyDescent="0.25">
      <c r="B481" s="112"/>
      <c r="D481" s="112"/>
      <c r="E481" s="417"/>
      <c r="F481" s="418"/>
    </row>
    <row r="482" spans="2:6" x14ac:dyDescent="0.25">
      <c r="B482" s="112"/>
      <c r="D482" s="112"/>
      <c r="E482" s="417"/>
      <c r="F482" s="418"/>
    </row>
    <row r="483" spans="2:6" x14ac:dyDescent="0.25">
      <c r="B483" s="112"/>
      <c r="D483" s="112"/>
      <c r="E483" s="417"/>
      <c r="F483" s="418"/>
    </row>
    <row r="484" spans="2:6" x14ac:dyDescent="0.25">
      <c r="B484" s="112"/>
      <c r="D484" s="112"/>
      <c r="E484" s="417"/>
      <c r="F484" s="418"/>
    </row>
    <row r="485" spans="2:6" x14ac:dyDescent="0.25">
      <c r="B485" s="112"/>
      <c r="D485" s="112"/>
      <c r="E485" s="417"/>
      <c r="F485" s="418"/>
    </row>
    <row r="486" spans="2:6" x14ac:dyDescent="0.25">
      <c r="B486" s="112"/>
      <c r="D486" s="112"/>
      <c r="E486" s="417"/>
      <c r="F486" s="418"/>
    </row>
    <row r="487" spans="2:6" x14ac:dyDescent="0.25">
      <c r="B487" s="112"/>
      <c r="D487" s="112"/>
      <c r="E487" s="417"/>
      <c r="F487" s="418"/>
    </row>
    <row r="488" spans="2:6" x14ac:dyDescent="0.25">
      <c r="B488" s="112"/>
      <c r="D488" s="112"/>
      <c r="E488" s="417"/>
      <c r="F488" s="418"/>
    </row>
    <row r="489" spans="2:6" x14ac:dyDescent="0.25">
      <c r="B489" s="112"/>
      <c r="D489" s="112"/>
      <c r="E489" s="417"/>
      <c r="F489" s="418"/>
    </row>
    <row r="490" spans="2:6" x14ac:dyDescent="0.25">
      <c r="B490" s="112"/>
      <c r="D490" s="112"/>
      <c r="E490" s="417"/>
      <c r="F490" s="418"/>
    </row>
    <row r="491" spans="2:6" x14ac:dyDescent="0.25">
      <c r="B491" s="112"/>
      <c r="D491" s="112"/>
      <c r="E491" s="417"/>
      <c r="F491" s="418"/>
    </row>
    <row r="492" spans="2:6" x14ac:dyDescent="0.25">
      <c r="B492" s="112"/>
      <c r="D492" s="112"/>
      <c r="E492" s="417"/>
      <c r="F492" s="418"/>
    </row>
    <row r="493" spans="2:6" x14ac:dyDescent="0.25">
      <c r="B493" s="112"/>
      <c r="D493" s="112"/>
      <c r="E493" s="417"/>
      <c r="F493" s="418"/>
    </row>
    <row r="494" spans="2:6" x14ac:dyDescent="0.25">
      <c r="B494" s="112"/>
      <c r="D494" s="112"/>
      <c r="E494" s="417"/>
      <c r="F494" s="418"/>
    </row>
    <row r="495" spans="2:6" x14ac:dyDescent="0.25">
      <c r="B495" s="112"/>
      <c r="D495" s="112"/>
      <c r="E495" s="417"/>
      <c r="F495" s="418"/>
    </row>
    <row r="496" spans="2:6" x14ac:dyDescent="0.25">
      <c r="B496" s="112"/>
      <c r="D496" s="112"/>
      <c r="E496" s="417"/>
      <c r="F496" s="418"/>
    </row>
    <row r="497" spans="2:6" x14ac:dyDescent="0.25">
      <c r="B497" s="112"/>
      <c r="D497" s="112"/>
      <c r="E497" s="417"/>
      <c r="F497" s="418"/>
    </row>
    <row r="498" spans="2:6" x14ac:dyDescent="0.25">
      <c r="B498" s="112"/>
      <c r="D498" s="112"/>
      <c r="E498" s="417"/>
      <c r="F498" s="418"/>
    </row>
    <row r="499" spans="2:6" x14ac:dyDescent="0.25">
      <c r="B499" s="112"/>
      <c r="D499" s="112"/>
      <c r="E499" s="417"/>
      <c r="F499" s="418"/>
    </row>
    <row r="500" spans="2:6" x14ac:dyDescent="0.25">
      <c r="B500" s="112"/>
      <c r="D500" s="112"/>
      <c r="E500" s="417"/>
      <c r="F500" s="418"/>
    </row>
    <row r="501" spans="2:6" x14ac:dyDescent="0.25">
      <c r="B501" s="112"/>
      <c r="D501" s="112"/>
      <c r="E501" s="417"/>
      <c r="F501" s="418"/>
    </row>
    <row r="502" spans="2:6" x14ac:dyDescent="0.25">
      <c r="B502" s="112"/>
      <c r="D502" s="112"/>
      <c r="E502" s="417"/>
      <c r="F502" s="418"/>
    </row>
    <row r="503" spans="2:6" x14ac:dyDescent="0.25">
      <c r="B503" s="112"/>
      <c r="D503" s="112"/>
      <c r="E503" s="417"/>
      <c r="F503" s="418"/>
    </row>
    <row r="504" spans="2:6" x14ac:dyDescent="0.25">
      <c r="B504" s="112"/>
      <c r="D504" s="112"/>
      <c r="E504" s="417"/>
      <c r="F504" s="418"/>
    </row>
    <row r="505" spans="2:6" x14ac:dyDescent="0.25">
      <c r="B505" s="112"/>
      <c r="D505" s="112"/>
      <c r="E505" s="417"/>
      <c r="F505" s="418"/>
    </row>
    <row r="506" spans="2:6" x14ac:dyDescent="0.25">
      <c r="B506" s="112"/>
      <c r="D506" s="112"/>
      <c r="E506" s="417"/>
      <c r="F506" s="418"/>
    </row>
    <row r="507" spans="2:6" x14ac:dyDescent="0.25">
      <c r="B507" s="112"/>
      <c r="D507" s="112"/>
      <c r="E507" s="417"/>
      <c r="F507" s="418"/>
    </row>
    <row r="508" spans="2:6" x14ac:dyDescent="0.25">
      <c r="B508" s="112"/>
      <c r="D508" s="112"/>
      <c r="E508" s="417"/>
      <c r="F508" s="418"/>
    </row>
    <row r="509" spans="2:6" x14ac:dyDescent="0.25">
      <c r="B509" s="112"/>
      <c r="D509" s="112"/>
      <c r="E509" s="417"/>
      <c r="F509" s="418"/>
    </row>
    <row r="510" spans="2:6" x14ac:dyDescent="0.25">
      <c r="B510" s="112"/>
      <c r="D510" s="112"/>
      <c r="E510" s="417"/>
      <c r="F510" s="418"/>
    </row>
    <row r="511" spans="2:6" x14ac:dyDescent="0.25">
      <c r="B511" s="112"/>
      <c r="D511" s="112"/>
      <c r="E511" s="417"/>
      <c r="F511" s="418"/>
    </row>
    <row r="512" spans="2:6" x14ac:dyDescent="0.25">
      <c r="B512" s="112"/>
      <c r="D512" s="112"/>
      <c r="E512" s="417"/>
      <c r="F512" s="418"/>
    </row>
    <row r="513" spans="2:6" x14ac:dyDescent="0.25">
      <c r="B513" s="112"/>
      <c r="D513" s="112"/>
      <c r="E513" s="417"/>
      <c r="F513" s="418"/>
    </row>
    <row r="514" spans="2:6" x14ac:dyDescent="0.25">
      <c r="B514" s="112"/>
      <c r="D514" s="112"/>
      <c r="E514" s="417"/>
      <c r="F514" s="418"/>
    </row>
    <row r="515" spans="2:6" x14ac:dyDescent="0.25">
      <c r="B515" s="112"/>
      <c r="D515" s="112"/>
      <c r="E515" s="417"/>
      <c r="F515" s="418"/>
    </row>
    <row r="516" spans="2:6" x14ac:dyDescent="0.25">
      <c r="B516" s="112"/>
      <c r="D516" s="112"/>
      <c r="E516" s="417"/>
      <c r="F516" s="418"/>
    </row>
    <row r="517" spans="2:6" x14ac:dyDescent="0.25">
      <c r="B517" s="112"/>
      <c r="D517" s="112"/>
      <c r="E517" s="417"/>
      <c r="F517" s="418"/>
    </row>
    <row r="518" spans="2:6" x14ac:dyDescent="0.25">
      <c r="B518" s="112"/>
      <c r="D518" s="112"/>
      <c r="E518" s="417"/>
      <c r="F518" s="418"/>
    </row>
    <row r="519" spans="2:6" x14ac:dyDescent="0.25">
      <c r="B519" s="112"/>
      <c r="D519" s="112"/>
      <c r="E519" s="417"/>
      <c r="F519" s="418"/>
    </row>
    <row r="520" spans="2:6" x14ac:dyDescent="0.25">
      <c r="B520" s="112"/>
      <c r="D520" s="112"/>
      <c r="E520" s="417"/>
      <c r="F520" s="418"/>
    </row>
    <row r="521" spans="2:6" x14ac:dyDescent="0.25">
      <c r="B521" s="112"/>
      <c r="D521" s="112"/>
      <c r="E521" s="417"/>
      <c r="F521" s="418"/>
    </row>
    <row r="522" spans="2:6" x14ac:dyDescent="0.25">
      <c r="B522" s="112"/>
      <c r="D522" s="112"/>
      <c r="E522" s="417"/>
      <c r="F522" s="418"/>
    </row>
    <row r="523" spans="2:6" x14ac:dyDescent="0.25">
      <c r="B523" s="112"/>
      <c r="D523" s="112"/>
      <c r="E523" s="417"/>
      <c r="F523" s="418"/>
    </row>
    <row r="524" spans="2:6" x14ac:dyDescent="0.25">
      <c r="B524" s="112"/>
      <c r="D524" s="112"/>
      <c r="E524" s="417"/>
      <c r="F524" s="418"/>
    </row>
    <row r="525" spans="2:6" x14ac:dyDescent="0.25">
      <c r="B525" s="112"/>
      <c r="D525" s="112"/>
      <c r="E525" s="417"/>
      <c r="F525" s="418"/>
    </row>
    <row r="526" spans="2:6" x14ac:dyDescent="0.25">
      <c r="B526" s="112"/>
      <c r="D526" s="112"/>
      <c r="E526" s="417"/>
      <c r="F526" s="418"/>
    </row>
    <row r="527" spans="2:6" x14ac:dyDescent="0.25">
      <c r="B527" s="112"/>
      <c r="D527" s="112"/>
      <c r="E527" s="417"/>
      <c r="F527" s="418"/>
    </row>
    <row r="528" spans="2:6" x14ac:dyDescent="0.25">
      <c r="B528" s="112"/>
      <c r="D528" s="112"/>
      <c r="E528" s="417"/>
      <c r="F528" s="418"/>
    </row>
    <row r="529" spans="2:6" x14ac:dyDescent="0.25">
      <c r="B529" s="112"/>
      <c r="D529" s="112"/>
      <c r="E529" s="417"/>
      <c r="F529" s="418"/>
    </row>
    <row r="530" spans="2:6" x14ac:dyDescent="0.25">
      <c r="B530" s="112"/>
      <c r="D530" s="112"/>
      <c r="E530" s="417"/>
      <c r="F530" s="418"/>
    </row>
    <row r="531" spans="2:6" x14ac:dyDescent="0.25">
      <c r="B531" s="112"/>
      <c r="D531" s="112"/>
      <c r="E531" s="417"/>
      <c r="F531" s="418"/>
    </row>
    <row r="532" spans="2:6" x14ac:dyDescent="0.25">
      <c r="B532" s="112"/>
      <c r="D532" s="112"/>
      <c r="E532" s="417"/>
      <c r="F532" s="418"/>
    </row>
    <row r="533" spans="2:6" x14ac:dyDescent="0.25">
      <c r="B533" s="112"/>
      <c r="D533" s="112"/>
      <c r="E533" s="417"/>
      <c r="F533" s="418"/>
    </row>
    <row r="534" spans="2:6" x14ac:dyDescent="0.25">
      <c r="B534" s="112"/>
      <c r="D534" s="112"/>
      <c r="E534" s="417"/>
      <c r="F534" s="418"/>
    </row>
    <row r="535" spans="2:6" x14ac:dyDescent="0.25">
      <c r="B535" s="112"/>
      <c r="D535" s="112"/>
      <c r="E535" s="417"/>
      <c r="F535" s="418"/>
    </row>
    <row r="536" spans="2:6" x14ac:dyDescent="0.25">
      <c r="B536" s="112"/>
      <c r="D536" s="112"/>
      <c r="E536" s="417"/>
      <c r="F536" s="418"/>
    </row>
    <row r="537" spans="2:6" x14ac:dyDescent="0.25">
      <c r="B537" s="112"/>
      <c r="D537" s="112"/>
      <c r="E537" s="417"/>
      <c r="F537" s="418"/>
    </row>
    <row r="538" spans="2:6" x14ac:dyDescent="0.25">
      <c r="B538" s="112"/>
      <c r="D538" s="112"/>
      <c r="E538" s="417"/>
      <c r="F538" s="418"/>
    </row>
    <row r="539" spans="2:6" x14ac:dyDescent="0.25">
      <c r="B539" s="112"/>
      <c r="D539" s="112"/>
      <c r="E539" s="417"/>
      <c r="F539" s="418"/>
    </row>
    <row r="540" spans="2:6" x14ac:dyDescent="0.25">
      <c r="B540" s="112"/>
      <c r="D540" s="112"/>
      <c r="E540" s="417"/>
      <c r="F540" s="418"/>
    </row>
    <row r="541" spans="2:6" x14ac:dyDescent="0.25">
      <c r="B541" s="112"/>
      <c r="D541" s="112"/>
      <c r="E541" s="417"/>
      <c r="F541" s="418"/>
    </row>
    <row r="542" spans="2:6" x14ac:dyDescent="0.25">
      <c r="B542" s="112"/>
      <c r="D542" s="112"/>
      <c r="E542" s="417"/>
      <c r="F542" s="418"/>
    </row>
    <row r="543" spans="2:6" x14ac:dyDescent="0.25">
      <c r="B543" s="112"/>
      <c r="D543" s="112"/>
      <c r="E543" s="417"/>
      <c r="F543" s="418"/>
    </row>
    <row r="544" spans="2:6" x14ac:dyDescent="0.25">
      <c r="B544" s="112"/>
      <c r="D544" s="112"/>
      <c r="E544" s="417"/>
      <c r="F544" s="418"/>
    </row>
    <row r="545" spans="2:6" x14ac:dyDescent="0.25">
      <c r="B545" s="112"/>
      <c r="D545" s="112"/>
      <c r="E545" s="417"/>
      <c r="F545" s="418"/>
    </row>
    <row r="546" spans="2:6" x14ac:dyDescent="0.25">
      <c r="B546" s="112"/>
      <c r="D546" s="112"/>
      <c r="E546" s="417"/>
      <c r="F546" s="418"/>
    </row>
    <row r="547" spans="2:6" x14ac:dyDescent="0.25">
      <c r="B547" s="112"/>
      <c r="D547" s="112"/>
      <c r="E547" s="417"/>
      <c r="F547" s="418"/>
    </row>
    <row r="548" spans="2:6" x14ac:dyDescent="0.25">
      <c r="B548" s="112"/>
      <c r="D548" s="112"/>
      <c r="E548" s="417"/>
      <c r="F548" s="418"/>
    </row>
    <row r="549" spans="2:6" x14ac:dyDescent="0.25">
      <c r="B549" s="112"/>
      <c r="D549" s="112"/>
      <c r="E549" s="417"/>
      <c r="F549" s="418"/>
    </row>
    <row r="550" spans="2:6" x14ac:dyDescent="0.25">
      <c r="B550" s="112"/>
      <c r="D550" s="112"/>
      <c r="E550" s="417"/>
      <c r="F550" s="418"/>
    </row>
    <row r="551" spans="2:6" x14ac:dyDescent="0.25">
      <c r="B551" s="112"/>
      <c r="D551" s="112"/>
      <c r="E551" s="417"/>
      <c r="F551" s="418"/>
    </row>
    <row r="552" spans="2:6" x14ac:dyDescent="0.25">
      <c r="B552" s="112"/>
      <c r="D552" s="112"/>
      <c r="E552" s="417"/>
      <c r="F552" s="418"/>
    </row>
    <row r="553" spans="2:6" x14ac:dyDescent="0.25">
      <c r="B553" s="112"/>
      <c r="D553" s="112"/>
      <c r="E553" s="417"/>
      <c r="F553" s="418"/>
    </row>
    <row r="554" spans="2:6" x14ac:dyDescent="0.25">
      <c r="B554" s="112"/>
      <c r="D554" s="112"/>
      <c r="E554" s="417"/>
      <c r="F554" s="418"/>
    </row>
    <row r="555" spans="2:6" x14ac:dyDescent="0.25">
      <c r="B555" s="112"/>
      <c r="D555" s="112"/>
      <c r="E555" s="417"/>
      <c r="F555" s="418"/>
    </row>
    <row r="556" spans="2:6" x14ac:dyDescent="0.25">
      <c r="B556" s="112"/>
      <c r="D556" s="112"/>
      <c r="E556" s="417"/>
      <c r="F556" s="418"/>
    </row>
    <row r="557" spans="2:6" x14ac:dyDescent="0.25">
      <c r="B557" s="112"/>
      <c r="D557" s="112"/>
      <c r="E557" s="417"/>
      <c r="F557" s="418"/>
    </row>
    <row r="558" spans="2:6" x14ac:dyDescent="0.25">
      <c r="B558" s="112"/>
      <c r="D558" s="112"/>
      <c r="E558" s="417"/>
      <c r="F558" s="418"/>
    </row>
    <row r="559" spans="2:6" x14ac:dyDescent="0.25">
      <c r="B559" s="112"/>
      <c r="D559" s="112"/>
      <c r="E559" s="417"/>
      <c r="F559" s="418"/>
    </row>
    <row r="560" spans="2:6" x14ac:dyDescent="0.25">
      <c r="B560" s="112"/>
      <c r="D560" s="112"/>
      <c r="E560" s="417"/>
      <c r="F560" s="418"/>
    </row>
    <row r="561" spans="2:6" x14ac:dyDescent="0.25">
      <c r="B561" s="112"/>
      <c r="D561" s="112"/>
      <c r="E561" s="417"/>
      <c r="F561" s="418"/>
    </row>
    <row r="562" spans="2:6" x14ac:dyDescent="0.25">
      <c r="B562" s="112"/>
      <c r="D562" s="112"/>
      <c r="E562" s="417"/>
      <c r="F562" s="418"/>
    </row>
    <row r="563" spans="2:6" x14ac:dyDescent="0.25">
      <c r="B563" s="112"/>
      <c r="D563" s="112"/>
      <c r="E563" s="417"/>
      <c r="F563" s="418"/>
    </row>
    <row r="564" spans="2:6" x14ac:dyDescent="0.25">
      <c r="B564" s="112"/>
      <c r="D564" s="112"/>
      <c r="E564" s="417"/>
      <c r="F564" s="418"/>
    </row>
    <row r="565" spans="2:6" x14ac:dyDescent="0.25">
      <c r="B565" s="112"/>
      <c r="D565" s="112"/>
      <c r="E565" s="417"/>
      <c r="F565" s="418"/>
    </row>
    <row r="566" spans="2:6" x14ac:dyDescent="0.25">
      <c r="B566" s="112"/>
      <c r="D566" s="112"/>
      <c r="E566" s="417"/>
      <c r="F566" s="418"/>
    </row>
    <row r="567" spans="2:6" x14ac:dyDescent="0.25">
      <c r="B567" s="112"/>
      <c r="D567" s="112"/>
      <c r="E567" s="417"/>
      <c r="F567" s="418"/>
    </row>
    <row r="568" spans="2:6" x14ac:dyDescent="0.25">
      <c r="B568" s="112"/>
      <c r="D568" s="112"/>
      <c r="E568" s="417"/>
      <c r="F568" s="418"/>
    </row>
    <row r="569" spans="2:6" x14ac:dyDescent="0.25">
      <c r="B569" s="112"/>
      <c r="D569" s="112"/>
      <c r="E569" s="417"/>
      <c r="F569" s="418"/>
    </row>
    <row r="570" spans="2:6" x14ac:dyDescent="0.25">
      <c r="B570" s="112"/>
      <c r="D570" s="112"/>
      <c r="E570" s="417"/>
      <c r="F570" s="418"/>
    </row>
    <row r="571" spans="2:6" x14ac:dyDescent="0.25">
      <c r="B571" s="112"/>
      <c r="D571" s="112"/>
      <c r="E571" s="417"/>
      <c r="F571" s="418"/>
    </row>
    <row r="572" spans="2:6" x14ac:dyDescent="0.25">
      <c r="B572" s="112"/>
      <c r="D572" s="112"/>
      <c r="E572" s="417"/>
      <c r="F572" s="418"/>
    </row>
    <row r="573" spans="2:6" x14ac:dyDescent="0.25">
      <c r="B573" s="112"/>
      <c r="D573" s="112"/>
      <c r="E573" s="417"/>
      <c r="F573" s="418"/>
    </row>
    <row r="574" spans="2:6" x14ac:dyDescent="0.25">
      <c r="B574" s="112"/>
      <c r="D574" s="112"/>
      <c r="E574" s="417"/>
      <c r="F574" s="418"/>
    </row>
    <row r="575" spans="2:6" x14ac:dyDescent="0.25">
      <c r="B575" s="112"/>
      <c r="D575" s="112"/>
      <c r="E575" s="417"/>
      <c r="F575" s="418"/>
    </row>
    <row r="576" spans="2:6" x14ac:dyDescent="0.25">
      <c r="B576" s="112"/>
      <c r="D576" s="112"/>
      <c r="E576" s="417"/>
      <c r="F576" s="418"/>
    </row>
    <row r="577" spans="2:6" x14ac:dyDescent="0.25">
      <c r="B577" s="112"/>
      <c r="D577" s="112"/>
      <c r="E577" s="417"/>
      <c r="F577" s="418"/>
    </row>
    <row r="578" spans="2:6" x14ac:dyDescent="0.25">
      <c r="B578" s="112"/>
      <c r="D578" s="112"/>
      <c r="E578" s="417"/>
      <c r="F578" s="418"/>
    </row>
    <row r="579" spans="2:6" x14ac:dyDescent="0.25">
      <c r="B579" s="112"/>
      <c r="D579" s="112"/>
      <c r="E579" s="417"/>
      <c r="F579" s="418"/>
    </row>
    <row r="580" spans="2:6" x14ac:dyDescent="0.25">
      <c r="B580" s="112"/>
      <c r="D580" s="112"/>
      <c r="E580" s="417"/>
      <c r="F580" s="418"/>
    </row>
    <row r="581" spans="2:6" x14ac:dyDescent="0.25">
      <c r="B581" s="112"/>
      <c r="D581" s="112"/>
      <c r="E581" s="417"/>
      <c r="F581" s="418"/>
    </row>
    <row r="582" spans="2:6" x14ac:dyDescent="0.25">
      <c r="B582" s="112"/>
      <c r="D582" s="112"/>
      <c r="E582" s="417"/>
      <c r="F582" s="418"/>
    </row>
    <row r="583" spans="2:6" x14ac:dyDescent="0.25">
      <c r="B583" s="112"/>
      <c r="D583" s="112"/>
      <c r="E583" s="417"/>
      <c r="F583" s="418"/>
    </row>
    <row r="584" spans="2:6" x14ac:dyDescent="0.25">
      <c r="B584" s="112"/>
      <c r="D584" s="112"/>
      <c r="E584" s="417"/>
      <c r="F584" s="418"/>
    </row>
    <row r="585" spans="2:6" x14ac:dyDescent="0.25">
      <c r="B585" s="112"/>
      <c r="D585" s="112"/>
      <c r="E585" s="417"/>
      <c r="F585" s="418"/>
    </row>
    <row r="586" spans="2:6" x14ac:dyDescent="0.25">
      <c r="B586" s="112"/>
      <c r="D586" s="112"/>
      <c r="E586" s="417"/>
      <c r="F586" s="418"/>
    </row>
    <row r="587" spans="2:6" x14ac:dyDescent="0.25">
      <c r="B587" s="112"/>
      <c r="D587" s="112"/>
      <c r="E587" s="417"/>
      <c r="F587" s="418"/>
    </row>
    <row r="588" spans="2:6" x14ac:dyDescent="0.25">
      <c r="B588" s="112"/>
      <c r="D588" s="112"/>
      <c r="E588" s="417"/>
      <c r="F588" s="418"/>
    </row>
    <row r="589" spans="2:6" x14ac:dyDescent="0.25">
      <c r="B589" s="112"/>
      <c r="D589" s="112"/>
      <c r="E589" s="417"/>
      <c r="F589" s="418"/>
    </row>
    <row r="590" spans="2:6" x14ac:dyDescent="0.25">
      <c r="B590" s="112"/>
      <c r="D590" s="112"/>
      <c r="E590" s="417"/>
      <c r="F590" s="418"/>
    </row>
    <row r="591" spans="2:6" x14ac:dyDescent="0.25">
      <c r="B591" s="112"/>
      <c r="D591" s="112"/>
      <c r="E591" s="417"/>
      <c r="F591" s="418"/>
    </row>
    <row r="592" spans="2:6" x14ac:dyDescent="0.25">
      <c r="B592" s="112"/>
      <c r="D592" s="112"/>
      <c r="E592" s="417"/>
      <c r="F592" s="418"/>
    </row>
    <row r="593" spans="2:6" x14ac:dyDescent="0.25">
      <c r="B593" s="112"/>
      <c r="D593" s="112"/>
      <c r="E593" s="417"/>
      <c r="F593" s="418"/>
    </row>
    <row r="594" spans="2:6" x14ac:dyDescent="0.25">
      <c r="B594" s="112"/>
      <c r="D594" s="112"/>
      <c r="E594" s="417"/>
      <c r="F594" s="418"/>
    </row>
    <row r="595" spans="2:6" x14ac:dyDescent="0.25">
      <c r="B595" s="112"/>
      <c r="D595" s="112"/>
      <c r="E595" s="417"/>
      <c r="F595" s="418"/>
    </row>
    <row r="596" spans="2:6" x14ac:dyDescent="0.25">
      <c r="B596" s="112"/>
      <c r="D596" s="112"/>
      <c r="E596" s="417"/>
      <c r="F596" s="418"/>
    </row>
    <row r="597" spans="2:6" x14ac:dyDescent="0.25">
      <c r="B597" s="112"/>
      <c r="D597" s="112"/>
      <c r="E597" s="417"/>
      <c r="F597" s="418"/>
    </row>
    <row r="598" spans="2:6" x14ac:dyDescent="0.25">
      <c r="B598" s="112"/>
      <c r="D598" s="112"/>
      <c r="E598" s="417"/>
      <c r="F598" s="418"/>
    </row>
    <row r="599" spans="2:6" x14ac:dyDescent="0.25">
      <c r="B599" s="112"/>
      <c r="D599" s="112"/>
      <c r="E599" s="417"/>
      <c r="F599" s="418"/>
    </row>
    <row r="600" spans="2:6" x14ac:dyDescent="0.25">
      <c r="B600" s="112"/>
      <c r="D600" s="112"/>
      <c r="E600" s="417"/>
      <c r="F600" s="418"/>
    </row>
    <row r="601" spans="2:6" x14ac:dyDescent="0.25">
      <c r="B601" s="112"/>
      <c r="D601" s="112"/>
      <c r="E601" s="417"/>
      <c r="F601" s="418"/>
    </row>
    <row r="602" spans="2:6" x14ac:dyDescent="0.25">
      <c r="B602" s="112"/>
      <c r="D602" s="112"/>
      <c r="E602" s="417"/>
      <c r="F602" s="418"/>
    </row>
    <row r="603" spans="2:6" x14ac:dyDescent="0.25">
      <c r="B603" s="112"/>
      <c r="D603" s="112"/>
      <c r="E603" s="417"/>
      <c r="F603" s="418"/>
    </row>
    <row r="604" spans="2:6" x14ac:dyDescent="0.25">
      <c r="B604" s="112"/>
      <c r="D604" s="112"/>
      <c r="E604" s="417"/>
      <c r="F604" s="418"/>
    </row>
    <row r="605" spans="2:6" x14ac:dyDescent="0.25">
      <c r="B605" s="112"/>
      <c r="D605" s="112"/>
      <c r="E605" s="417"/>
      <c r="F605" s="418"/>
    </row>
    <row r="606" spans="2:6" x14ac:dyDescent="0.25">
      <c r="B606" s="112"/>
      <c r="D606" s="112"/>
      <c r="E606" s="417"/>
      <c r="F606" s="418"/>
    </row>
    <row r="607" spans="2:6" x14ac:dyDescent="0.25">
      <c r="B607" s="112"/>
      <c r="D607" s="112"/>
      <c r="E607" s="417"/>
      <c r="F607" s="418"/>
    </row>
    <row r="608" spans="2:6" x14ac:dyDescent="0.25">
      <c r="B608" s="112"/>
      <c r="D608" s="112"/>
      <c r="E608" s="417"/>
      <c r="F608" s="418"/>
    </row>
    <row r="609" spans="2:6" x14ac:dyDescent="0.25">
      <c r="B609" s="112"/>
      <c r="D609" s="112"/>
      <c r="E609" s="417"/>
      <c r="F609" s="418"/>
    </row>
    <row r="610" spans="2:6" x14ac:dyDescent="0.25">
      <c r="B610" s="112"/>
      <c r="D610" s="112"/>
      <c r="E610" s="417"/>
      <c r="F610" s="418"/>
    </row>
    <row r="611" spans="2:6" x14ac:dyDescent="0.25">
      <c r="B611" s="112"/>
      <c r="D611" s="112"/>
      <c r="E611" s="417"/>
      <c r="F611" s="418"/>
    </row>
    <row r="612" spans="2:6" x14ac:dyDescent="0.25">
      <c r="B612" s="112"/>
      <c r="D612" s="112"/>
      <c r="E612" s="417"/>
      <c r="F612" s="418"/>
    </row>
    <row r="613" spans="2:6" x14ac:dyDescent="0.25">
      <c r="B613" s="112"/>
      <c r="D613" s="112"/>
      <c r="E613" s="417"/>
      <c r="F613" s="418"/>
    </row>
    <row r="614" spans="2:6" x14ac:dyDescent="0.25">
      <c r="B614" s="112"/>
      <c r="D614" s="112"/>
      <c r="E614" s="417"/>
      <c r="F614" s="418"/>
    </row>
    <row r="615" spans="2:6" x14ac:dyDescent="0.25">
      <c r="B615" s="112"/>
      <c r="D615" s="112"/>
      <c r="E615" s="417"/>
      <c r="F615" s="418"/>
    </row>
    <row r="616" spans="2:6" x14ac:dyDescent="0.25">
      <c r="B616" s="112"/>
      <c r="D616" s="112"/>
      <c r="E616" s="417"/>
      <c r="F616" s="418"/>
    </row>
    <row r="617" spans="2:6" x14ac:dyDescent="0.25">
      <c r="B617" s="112"/>
      <c r="D617" s="112"/>
      <c r="E617" s="417"/>
      <c r="F617" s="418"/>
    </row>
    <row r="618" spans="2:6" x14ac:dyDescent="0.25">
      <c r="B618" s="112"/>
      <c r="D618" s="112"/>
      <c r="E618" s="417"/>
      <c r="F618" s="418"/>
    </row>
    <row r="619" spans="2:6" x14ac:dyDescent="0.25">
      <c r="B619" s="112"/>
      <c r="D619" s="112"/>
      <c r="E619" s="417"/>
      <c r="F619" s="418"/>
    </row>
    <row r="620" spans="2:6" x14ac:dyDescent="0.25">
      <c r="B620" s="112"/>
      <c r="D620" s="112"/>
      <c r="E620" s="417"/>
      <c r="F620" s="418"/>
    </row>
    <row r="621" spans="2:6" x14ac:dyDescent="0.25">
      <c r="B621" s="112"/>
      <c r="D621" s="112"/>
      <c r="E621" s="417"/>
      <c r="F621" s="418"/>
    </row>
    <row r="622" spans="2:6" x14ac:dyDescent="0.25">
      <c r="B622" s="112"/>
      <c r="D622" s="112"/>
      <c r="E622" s="417"/>
      <c r="F622" s="418"/>
    </row>
    <row r="623" spans="2:6" x14ac:dyDescent="0.25">
      <c r="B623" s="112"/>
      <c r="D623" s="112"/>
      <c r="E623" s="417"/>
      <c r="F623" s="418"/>
    </row>
    <row r="624" spans="2:6" x14ac:dyDescent="0.25">
      <c r="B624" s="112"/>
      <c r="D624" s="112"/>
      <c r="E624" s="417"/>
      <c r="F624" s="418"/>
    </row>
    <row r="625" spans="2:6" x14ac:dyDescent="0.25">
      <c r="B625" s="112"/>
      <c r="D625" s="112"/>
      <c r="E625" s="417"/>
      <c r="F625" s="418"/>
    </row>
    <row r="626" spans="2:6" x14ac:dyDescent="0.25">
      <c r="B626" s="112"/>
      <c r="D626" s="112"/>
      <c r="E626" s="417"/>
      <c r="F626" s="418"/>
    </row>
    <row r="627" spans="2:6" x14ac:dyDescent="0.25">
      <c r="B627" s="112"/>
      <c r="D627" s="112"/>
      <c r="E627" s="417"/>
      <c r="F627" s="418"/>
    </row>
    <row r="628" spans="2:6" x14ac:dyDescent="0.25">
      <c r="B628" s="112"/>
      <c r="D628" s="112"/>
      <c r="E628" s="417"/>
      <c r="F628" s="418"/>
    </row>
    <row r="629" spans="2:6" x14ac:dyDescent="0.25">
      <c r="B629" s="112"/>
      <c r="D629" s="112"/>
      <c r="E629" s="417"/>
      <c r="F629" s="418"/>
    </row>
    <row r="630" spans="2:6" x14ac:dyDescent="0.25">
      <c r="B630" s="112"/>
      <c r="D630" s="112"/>
      <c r="E630" s="417"/>
      <c r="F630" s="418"/>
    </row>
    <row r="631" spans="2:6" x14ac:dyDescent="0.25">
      <c r="B631" s="112"/>
      <c r="D631" s="112"/>
      <c r="E631" s="417"/>
      <c r="F631" s="418"/>
    </row>
    <row r="632" spans="2:6" x14ac:dyDescent="0.25">
      <c r="B632" s="112"/>
      <c r="D632" s="112"/>
      <c r="E632" s="417"/>
      <c r="F632" s="418"/>
    </row>
    <row r="633" spans="2:6" x14ac:dyDescent="0.25">
      <c r="B633" s="112"/>
      <c r="D633" s="112"/>
      <c r="E633" s="417"/>
      <c r="F633" s="418"/>
    </row>
    <row r="634" spans="2:6" x14ac:dyDescent="0.25">
      <c r="B634" s="112"/>
      <c r="D634" s="112"/>
      <c r="E634" s="417"/>
      <c r="F634" s="418"/>
    </row>
    <row r="635" spans="2:6" x14ac:dyDescent="0.25">
      <c r="B635" s="112"/>
      <c r="D635" s="112"/>
      <c r="E635" s="417"/>
      <c r="F635" s="418"/>
    </row>
    <row r="636" spans="2:6" x14ac:dyDescent="0.25">
      <c r="B636" s="112"/>
      <c r="D636" s="112"/>
      <c r="E636" s="417"/>
      <c r="F636" s="418"/>
    </row>
    <row r="637" spans="2:6" x14ac:dyDescent="0.25">
      <c r="B637" s="112"/>
      <c r="D637" s="112"/>
      <c r="E637" s="417"/>
      <c r="F637" s="418"/>
    </row>
    <row r="638" spans="2:6" x14ac:dyDescent="0.25">
      <c r="B638" s="112"/>
      <c r="D638" s="112"/>
      <c r="E638" s="417"/>
      <c r="F638" s="418"/>
    </row>
    <row r="639" spans="2:6" x14ac:dyDescent="0.25">
      <c r="B639" s="112"/>
      <c r="D639" s="112"/>
      <c r="E639" s="417"/>
      <c r="F639" s="418"/>
    </row>
    <row r="640" spans="2:6" x14ac:dyDescent="0.25">
      <c r="B640" s="112"/>
      <c r="D640" s="112"/>
      <c r="E640" s="417"/>
      <c r="F640" s="418"/>
    </row>
    <row r="641" spans="2:6" x14ac:dyDescent="0.25">
      <c r="B641" s="112"/>
      <c r="D641" s="112"/>
      <c r="E641" s="417"/>
      <c r="F641" s="418"/>
    </row>
    <row r="642" spans="2:6" x14ac:dyDescent="0.25">
      <c r="B642" s="112"/>
      <c r="D642" s="112"/>
      <c r="E642" s="417"/>
      <c r="F642" s="418"/>
    </row>
    <row r="643" spans="2:6" x14ac:dyDescent="0.25">
      <c r="B643" s="112"/>
      <c r="D643" s="112"/>
      <c r="E643" s="417"/>
      <c r="F643" s="418"/>
    </row>
    <row r="644" spans="2:6" x14ac:dyDescent="0.25">
      <c r="B644" s="112"/>
      <c r="D644" s="112"/>
      <c r="E644" s="417"/>
      <c r="F644" s="418"/>
    </row>
    <row r="645" spans="2:6" x14ac:dyDescent="0.25">
      <c r="B645" s="112"/>
      <c r="D645" s="112"/>
      <c r="E645" s="417"/>
      <c r="F645" s="418"/>
    </row>
    <row r="646" spans="2:6" x14ac:dyDescent="0.25">
      <c r="B646" s="112"/>
      <c r="D646" s="112"/>
      <c r="E646" s="417"/>
      <c r="F646" s="418"/>
    </row>
    <row r="647" spans="2:6" x14ac:dyDescent="0.25">
      <c r="B647" s="112"/>
      <c r="D647" s="112"/>
      <c r="E647" s="417"/>
      <c r="F647" s="418"/>
    </row>
    <row r="648" spans="2:6" x14ac:dyDescent="0.25">
      <c r="B648" s="112"/>
      <c r="D648" s="112"/>
      <c r="E648" s="417"/>
      <c r="F648" s="418"/>
    </row>
    <row r="649" spans="2:6" x14ac:dyDescent="0.25">
      <c r="B649" s="112"/>
      <c r="D649" s="112"/>
      <c r="E649" s="417"/>
      <c r="F649" s="418"/>
    </row>
    <row r="650" spans="2:6" x14ac:dyDescent="0.25">
      <c r="B650" s="112"/>
      <c r="D650" s="112"/>
      <c r="E650" s="417"/>
      <c r="F650" s="418"/>
    </row>
    <row r="651" spans="2:6" x14ac:dyDescent="0.25">
      <c r="B651" s="112"/>
      <c r="D651" s="112"/>
      <c r="E651" s="417"/>
      <c r="F651" s="418"/>
    </row>
    <row r="652" spans="2:6" x14ac:dyDescent="0.25">
      <c r="B652" s="112"/>
      <c r="D652" s="112"/>
      <c r="E652" s="417"/>
      <c r="F652" s="418"/>
    </row>
    <row r="653" spans="2:6" x14ac:dyDescent="0.25">
      <c r="B653" s="112"/>
      <c r="D653" s="112"/>
      <c r="E653" s="417"/>
      <c r="F653" s="418"/>
    </row>
    <row r="654" spans="2:6" x14ac:dyDescent="0.25">
      <c r="B654" s="112"/>
      <c r="D654" s="112"/>
      <c r="E654" s="417"/>
      <c r="F654" s="418"/>
    </row>
    <row r="655" spans="2:6" x14ac:dyDescent="0.25">
      <c r="B655" s="112"/>
      <c r="D655" s="112"/>
      <c r="E655" s="417"/>
      <c r="F655" s="418"/>
    </row>
    <row r="656" spans="2:6" x14ac:dyDescent="0.25">
      <c r="B656" s="112"/>
      <c r="D656" s="112"/>
      <c r="E656" s="417"/>
      <c r="F656" s="418"/>
    </row>
    <row r="657" spans="2:6" x14ac:dyDescent="0.25">
      <c r="B657" s="112"/>
      <c r="D657" s="112"/>
      <c r="E657" s="417"/>
      <c r="F657" s="418"/>
    </row>
    <row r="658" spans="2:6" x14ac:dyDescent="0.25">
      <c r="B658" s="112"/>
      <c r="D658" s="112"/>
      <c r="E658" s="417"/>
      <c r="F658" s="418"/>
    </row>
    <row r="659" spans="2:6" x14ac:dyDescent="0.25">
      <c r="B659" s="112"/>
      <c r="D659" s="112"/>
      <c r="E659" s="417"/>
      <c r="F659" s="418"/>
    </row>
    <row r="660" spans="2:6" x14ac:dyDescent="0.25">
      <c r="B660" s="112"/>
      <c r="D660" s="112"/>
      <c r="E660" s="417"/>
      <c r="F660" s="418"/>
    </row>
    <row r="661" spans="2:6" x14ac:dyDescent="0.25">
      <c r="B661" s="112"/>
      <c r="D661" s="112"/>
      <c r="E661" s="417"/>
      <c r="F661" s="418"/>
    </row>
    <row r="662" spans="2:6" x14ac:dyDescent="0.25">
      <c r="B662" s="112"/>
      <c r="D662" s="112"/>
      <c r="E662" s="417"/>
      <c r="F662" s="418"/>
    </row>
    <row r="663" spans="2:6" x14ac:dyDescent="0.25">
      <c r="B663" s="112"/>
      <c r="D663" s="112"/>
      <c r="E663" s="417"/>
      <c r="F663" s="418"/>
    </row>
    <row r="664" spans="2:6" x14ac:dyDescent="0.25">
      <c r="B664" s="112"/>
      <c r="D664" s="112"/>
      <c r="E664" s="417"/>
      <c r="F664" s="418"/>
    </row>
    <row r="665" spans="2:6" x14ac:dyDescent="0.25">
      <c r="B665" s="112"/>
      <c r="D665" s="112"/>
      <c r="E665" s="417"/>
      <c r="F665" s="418"/>
    </row>
    <row r="666" spans="2:6" x14ac:dyDescent="0.25">
      <c r="B666" s="112"/>
      <c r="D666" s="112"/>
      <c r="E666" s="417"/>
      <c r="F666" s="418"/>
    </row>
    <row r="667" spans="2:6" x14ac:dyDescent="0.25">
      <c r="B667" s="112"/>
      <c r="D667" s="112"/>
      <c r="E667" s="417"/>
      <c r="F667" s="418"/>
    </row>
    <row r="668" spans="2:6" x14ac:dyDescent="0.25">
      <c r="B668" s="112"/>
      <c r="D668" s="112"/>
      <c r="E668" s="417"/>
      <c r="F668" s="418"/>
    </row>
    <row r="669" spans="2:6" x14ac:dyDescent="0.25">
      <c r="B669" s="112"/>
      <c r="D669" s="112"/>
      <c r="E669" s="417"/>
      <c r="F669" s="418"/>
    </row>
    <row r="670" spans="2:6" x14ac:dyDescent="0.25">
      <c r="B670" s="112"/>
      <c r="D670" s="112"/>
      <c r="E670" s="417"/>
      <c r="F670" s="418"/>
    </row>
    <row r="671" spans="2:6" x14ac:dyDescent="0.25">
      <c r="B671" s="112"/>
      <c r="D671" s="112"/>
      <c r="E671" s="417"/>
      <c r="F671" s="418"/>
    </row>
    <row r="672" spans="2:6" x14ac:dyDescent="0.25">
      <c r="B672" s="112"/>
      <c r="D672" s="112"/>
      <c r="E672" s="417"/>
      <c r="F672" s="418"/>
    </row>
    <row r="673" spans="2:6" x14ac:dyDescent="0.25">
      <c r="B673" s="112"/>
      <c r="D673" s="112"/>
      <c r="E673" s="417"/>
      <c r="F673" s="418"/>
    </row>
    <row r="674" spans="2:6" x14ac:dyDescent="0.25">
      <c r="B674" s="112"/>
      <c r="D674" s="112"/>
      <c r="E674" s="417"/>
      <c r="F674" s="418"/>
    </row>
    <row r="675" spans="2:6" x14ac:dyDescent="0.25">
      <c r="B675" s="112"/>
      <c r="D675" s="112"/>
      <c r="E675" s="417"/>
      <c r="F675" s="418"/>
    </row>
    <row r="676" spans="2:6" x14ac:dyDescent="0.25">
      <c r="B676" s="112"/>
      <c r="D676" s="112"/>
      <c r="E676" s="417"/>
      <c r="F676" s="418"/>
    </row>
    <row r="677" spans="2:6" x14ac:dyDescent="0.25">
      <c r="B677" s="112"/>
      <c r="D677" s="112"/>
      <c r="E677" s="417"/>
      <c r="F677" s="418"/>
    </row>
    <row r="678" spans="2:6" x14ac:dyDescent="0.25">
      <c r="B678" s="112"/>
      <c r="D678" s="112"/>
      <c r="E678" s="417"/>
      <c r="F678" s="418"/>
    </row>
    <row r="679" spans="2:6" x14ac:dyDescent="0.25">
      <c r="B679" s="112"/>
      <c r="D679" s="112"/>
      <c r="E679" s="417"/>
      <c r="F679" s="418"/>
    </row>
    <row r="680" spans="2:6" x14ac:dyDescent="0.25">
      <c r="B680" s="112"/>
      <c r="D680" s="112"/>
      <c r="E680" s="417"/>
      <c r="F680" s="418"/>
    </row>
    <row r="681" spans="2:6" x14ac:dyDescent="0.25">
      <c r="B681" s="112"/>
      <c r="D681" s="112"/>
      <c r="E681" s="417"/>
      <c r="F681" s="418"/>
    </row>
    <row r="682" spans="2:6" x14ac:dyDescent="0.25">
      <c r="B682" s="112"/>
      <c r="D682" s="112"/>
      <c r="E682" s="417"/>
      <c r="F682" s="418"/>
    </row>
    <row r="683" spans="2:6" x14ac:dyDescent="0.25">
      <c r="B683" s="112"/>
      <c r="D683" s="112"/>
      <c r="E683" s="417"/>
      <c r="F683" s="418"/>
    </row>
    <row r="684" spans="2:6" x14ac:dyDescent="0.25">
      <c r="B684" s="112"/>
      <c r="D684" s="112"/>
      <c r="E684" s="417"/>
      <c r="F684" s="418"/>
    </row>
    <row r="685" spans="2:6" x14ac:dyDescent="0.25">
      <c r="B685" s="112"/>
      <c r="D685" s="112"/>
      <c r="E685" s="417"/>
      <c r="F685" s="418"/>
    </row>
    <row r="686" spans="2:6" x14ac:dyDescent="0.25">
      <c r="B686" s="112"/>
      <c r="D686" s="112"/>
      <c r="E686" s="417"/>
      <c r="F686" s="418"/>
    </row>
    <row r="687" spans="2:6" x14ac:dyDescent="0.25">
      <c r="B687" s="112"/>
      <c r="D687" s="112"/>
      <c r="E687" s="417"/>
      <c r="F687" s="418"/>
    </row>
    <row r="688" spans="2:6" x14ac:dyDescent="0.25">
      <c r="B688" s="112"/>
      <c r="D688" s="112"/>
      <c r="E688" s="417"/>
      <c r="F688" s="418"/>
    </row>
    <row r="689" spans="2:6" x14ac:dyDescent="0.25">
      <c r="B689" s="112"/>
      <c r="D689" s="112"/>
      <c r="E689" s="417"/>
      <c r="F689" s="418"/>
    </row>
    <row r="690" spans="2:6" x14ac:dyDescent="0.25">
      <c r="B690" s="112"/>
      <c r="D690" s="112"/>
      <c r="E690" s="417"/>
      <c r="F690" s="418"/>
    </row>
    <row r="691" spans="2:6" x14ac:dyDescent="0.25">
      <c r="B691" s="112"/>
      <c r="D691" s="112"/>
      <c r="E691" s="417"/>
      <c r="F691" s="418"/>
    </row>
    <row r="692" spans="2:6" x14ac:dyDescent="0.25">
      <c r="B692" s="112"/>
      <c r="D692" s="112"/>
      <c r="E692" s="417"/>
      <c r="F692" s="418"/>
    </row>
    <row r="693" spans="2:6" x14ac:dyDescent="0.25">
      <c r="B693" s="112"/>
      <c r="D693" s="112"/>
      <c r="E693" s="417"/>
      <c r="F693" s="418"/>
    </row>
    <row r="694" spans="2:6" x14ac:dyDescent="0.25">
      <c r="B694" s="112"/>
      <c r="D694" s="112"/>
      <c r="E694" s="417"/>
      <c r="F694" s="418"/>
    </row>
    <row r="695" spans="2:6" x14ac:dyDescent="0.25">
      <c r="B695" s="112"/>
      <c r="D695" s="112"/>
      <c r="E695" s="417"/>
      <c r="F695" s="418"/>
    </row>
    <row r="696" spans="2:6" x14ac:dyDescent="0.25">
      <c r="B696" s="112"/>
      <c r="D696" s="112"/>
      <c r="E696" s="417"/>
      <c r="F696" s="418"/>
    </row>
    <row r="697" spans="2:6" x14ac:dyDescent="0.25">
      <c r="B697" s="112"/>
      <c r="D697" s="112"/>
      <c r="E697" s="417"/>
      <c r="F697" s="418"/>
    </row>
    <row r="698" spans="2:6" x14ac:dyDescent="0.25">
      <c r="B698" s="112"/>
      <c r="D698" s="112"/>
      <c r="E698" s="417"/>
      <c r="F698" s="418"/>
    </row>
    <row r="699" spans="2:6" x14ac:dyDescent="0.25">
      <c r="B699" s="112"/>
      <c r="D699" s="112"/>
      <c r="E699" s="417"/>
      <c r="F699" s="418"/>
    </row>
    <row r="700" spans="2:6" x14ac:dyDescent="0.25">
      <c r="B700" s="112"/>
      <c r="D700" s="112"/>
      <c r="E700" s="417"/>
      <c r="F700" s="418"/>
    </row>
    <row r="701" spans="2:6" x14ac:dyDescent="0.25">
      <c r="B701" s="112"/>
      <c r="D701" s="112"/>
      <c r="E701" s="417"/>
      <c r="F701" s="418"/>
    </row>
    <row r="702" spans="2:6" x14ac:dyDescent="0.25">
      <c r="B702" s="112"/>
      <c r="D702" s="112"/>
      <c r="E702" s="417"/>
      <c r="F702" s="418"/>
    </row>
    <row r="703" spans="2:6" x14ac:dyDescent="0.25">
      <c r="B703" s="112"/>
      <c r="D703" s="112"/>
      <c r="E703" s="417"/>
      <c r="F703" s="418"/>
    </row>
    <row r="704" spans="2:6" x14ac:dyDescent="0.25">
      <c r="B704" s="112"/>
      <c r="D704" s="112"/>
      <c r="E704" s="417"/>
      <c r="F704" s="418"/>
    </row>
    <row r="705" spans="2:6" x14ac:dyDescent="0.25">
      <c r="B705" s="112"/>
      <c r="D705" s="112"/>
      <c r="E705" s="417"/>
      <c r="F705" s="418"/>
    </row>
    <row r="706" spans="2:6" x14ac:dyDescent="0.25">
      <c r="B706" s="112"/>
      <c r="D706" s="112"/>
      <c r="E706" s="417"/>
      <c r="F706" s="418"/>
    </row>
    <row r="707" spans="2:6" x14ac:dyDescent="0.25">
      <c r="B707" s="112"/>
      <c r="D707" s="112"/>
      <c r="E707" s="417"/>
      <c r="F707" s="418"/>
    </row>
    <row r="708" spans="2:6" x14ac:dyDescent="0.25">
      <c r="B708" s="112"/>
      <c r="D708" s="112"/>
      <c r="E708" s="417"/>
      <c r="F708" s="418"/>
    </row>
    <row r="709" spans="2:6" x14ac:dyDescent="0.25">
      <c r="B709" s="112"/>
      <c r="D709" s="112"/>
      <c r="E709" s="417"/>
      <c r="F709" s="418"/>
    </row>
    <row r="710" spans="2:6" x14ac:dyDescent="0.25">
      <c r="B710" s="112"/>
      <c r="D710" s="112"/>
      <c r="E710" s="417"/>
      <c r="F710" s="418"/>
    </row>
    <row r="711" spans="2:6" x14ac:dyDescent="0.25">
      <c r="B711" s="112"/>
      <c r="D711" s="112"/>
      <c r="E711" s="417"/>
      <c r="F711" s="418"/>
    </row>
    <row r="712" spans="2:6" x14ac:dyDescent="0.25">
      <c r="B712" s="112"/>
      <c r="D712" s="112"/>
      <c r="E712" s="417"/>
      <c r="F712" s="418"/>
    </row>
    <row r="713" spans="2:6" x14ac:dyDescent="0.25">
      <c r="B713" s="112"/>
      <c r="D713" s="112"/>
      <c r="E713" s="417"/>
      <c r="F713" s="418"/>
    </row>
    <row r="714" spans="2:6" x14ac:dyDescent="0.25">
      <c r="B714" s="112"/>
      <c r="D714" s="112"/>
      <c r="E714" s="417"/>
      <c r="F714" s="418"/>
    </row>
    <row r="715" spans="2:6" x14ac:dyDescent="0.25">
      <c r="B715" s="112"/>
      <c r="D715" s="112"/>
      <c r="E715" s="417"/>
      <c r="F715" s="418"/>
    </row>
    <row r="716" spans="2:6" x14ac:dyDescent="0.25">
      <c r="B716" s="112"/>
      <c r="D716" s="112"/>
      <c r="E716" s="417"/>
      <c r="F716" s="418"/>
    </row>
    <row r="717" spans="2:6" x14ac:dyDescent="0.25">
      <c r="B717" s="112"/>
      <c r="D717" s="112"/>
      <c r="E717" s="417"/>
      <c r="F717" s="418"/>
    </row>
    <row r="718" spans="2:6" x14ac:dyDescent="0.25">
      <c r="B718" s="112"/>
      <c r="D718" s="112"/>
      <c r="E718" s="417"/>
      <c r="F718" s="418"/>
    </row>
    <row r="719" spans="2:6" x14ac:dyDescent="0.25">
      <c r="B719" s="112"/>
      <c r="D719" s="112"/>
      <c r="E719" s="417"/>
      <c r="F719" s="418"/>
    </row>
    <row r="720" spans="2:6" x14ac:dyDescent="0.25">
      <c r="B720" s="112"/>
      <c r="D720" s="112"/>
      <c r="E720" s="417"/>
      <c r="F720" s="418"/>
    </row>
    <row r="721" spans="2:6" x14ac:dyDescent="0.25">
      <c r="B721" s="112"/>
      <c r="D721" s="112"/>
      <c r="E721" s="417"/>
      <c r="F721" s="418"/>
    </row>
    <row r="722" spans="2:6" x14ac:dyDescent="0.25">
      <c r="B722" s="112"/>
      <c r="D722" s="112"/>
      <c r="E722" s="417"/>
      <c r="F722" s="418"/>
    </row>
    <row r="723" spans="2:6" x14ac:dyDescent="0.25">
      <c r="B723" s="112"/>
      <c r="D723" s="112"/>
      <c r="E723" s="417"/>
      <c r="F723" s="418"/>
    </row>
    <row r="724" spans="2:6" x14ac:dyDescent="0.25">
      <c r="B724" s="112"/>
      <c r="D724" s="112"/>
      <c r="E724" s="417"/>
      <c r="F724" s="418"/>
    </row>
    <row r="725" spans="2:6" x14ac:dyDescent="0.25">
      <c r="B725" s="112"/>
      <c r="D725" s="112"/>
      <c r="E725" s="417"/>
      <c r="F725" s="418"/>
    </row>
    <row r="726" spans="2:6" x14ac:dyDescent="0.25">
      <c r="B726" s="112"/>
      <c r="D726" s="112"/>
      <c r="E726" s="417"/>
      <c r="F726" s="418"/>
    </row>
    <row r="727" spans="2:6" x14ac:dyDescent="0.25">
      <c r="B727" s="112"/>
      <c r="D727" s="112"/>
      <c r="E727" s="417"/>
      <c r="F727" s="418"/>
    </row>
    <row r="728" spans="2:6" x14ac:dyDescent="0.25">
      <c r="B728" s="112"/>
      <c r="D728" s="112"/>
      <c r="E728" s="417"/>
      <c r="F728" s="418"/>
    </row>
    <row r="729" spans="2:6" x14ac:dyDescent="0.25">
      <c r="B729" s="112"/>
      <c r="D729" s="112"/>
      <c r="E729" s="417"/>
      <c r="F729" s="418"/>
    </row>
    <row r="730" spans="2:6" x14ac:dyDescent="0.25">
      <c r="B730" s="112"/>
      <c r="D730" s="112"/>
      <c r="E730" s="417"/>
      <c r="F730" s="418"/>
    </row>
    <row r="731" spans="2:6" x14ac:dyDescent="0.25">
      <c r="B731" s="112"/>
      <c r="D731" s="112"/>
      <c r="E731" s="417"/>
      <c r="F731" s="418"/>
    </row>
    <row r="732" spans="2:6" x14ac:dyDescent="0.25">
      <c r="B732" s="112"/>
      <c r="D732" s="112"/>
      <c r="E732" s="417"/>
      <c r="F732" s="418"/>
    </row>
    <row r="733" spans="2:6" x14ac:dyDescent="0.25">
      <c r="B733" s="112"/>
      <c r="D733" s="112"/>
      <c r="E733" s="417"/>
      <c r="F733" s="418"/>
    </row>
    <row r="734" spans="2:6" x14ac:dyDescent="0.25">
      <c r="B734" s="112"/>
      <c r="D734" s="112"/>
      <c r="E734" s="417"/>
      <c r="F734" s="418"/>
    </row>
    <row r="735" spans="2:6" x14ac:dyDescent="0.25">
      <c r="B735" s="112"/>
      <c r="D735" s="112"/>
      <c r="E735" s="417"/>
      <c r="F735" s="418"/>
    </row>
    <row r="736" spans="2:6" x14ac:dyDescent="0.25">
      <c r="B736" s="112"/>
      <c r="D736" s="112"/>
      <c r="E736" s="417"/>
      <c r="F736" s="418"/>
    </row>
    <row r="737" spans="2:6" x14ac:dyDescent="0.25">
      <c r="B737" s="112"/>
      <c r="D737" s="112"/>
      <c r="E737" s="417"/>
      <c r="F737" s="418"/>
    </row>
    <row r="738" spans="2:6" x14ac:dyDescent="0.25">
      <c r="B738" s="112"/>
      <c r="D738" s="112"/>
      <c r="E738" s="417"/>
      <c r="F738" s="418"/>
    </row>
    <row r="739" spans="2:6" x14ac:dyDescent="0.25">
      <c r="B739" s="112"/>
      <c r="D739" s="112"/>
      <c r="E739" s="417"/>
      <c r="F739" s="418"/>
    </row>
    <row r="740" spans="2:6" x14ac:dyDescent="0.25">
      <c r="B740" s="112"/>
      <c r="D740" s="112"/>
      <c r="E740" s="417"/>
      <c r="F740" s="418"/>
    </row>
    <row r="741" spans="2:6" x14ac:dyDescent="0.25">
      <c r="B741" s="112"/>
      <c r="D741" s="112"/>
      <c r="E741" s="417"/>
      <c r="F741" s="418"/>
    </row>
    <row r="742" spans="2:6" x14ac:dyDescent="0.25">
      <c r="B742" s="112"/>
      <c r="D742" s="112"/>
      <c r="E742" s="417"/>
      <c r="F742" s="418"/>
    </row>
    <row r="743" spans="2:6" x14ac:dyDescent="0.25">
      <c r="B743" s="112"/>
      <c r="D743" s="112"/>
      <c r="E743" s="417"/>
      <c r="F743" s="418"/>
    </row>
    <row r="744" spans="2:6" x14ac:dyDescent="0.25">
      <c r="B744" s="112"/>
      <c r="D744" s="112"/>
      <c r="E744" s="417"/>
      <c r="F744" s="418"/>
    </row>
    <row r="745" spans="2:6" x14ac:dyDescent="0.25">
      <c r="B745" s="112"/>
      <c r="D745" s="112"/>
      <c r="E745" s="417"/>
      <c r="F745" s="418"/>
    </row>
    <row r="746" spans="2:6" x14ac:dyDescent="0.25">
      <c r="B746" s="112"/>
      <c r="D746" s="112"/>
      <c r="E746" s="417"/>
      <c r="F746" s="418"/>
    </row>
    <row r="747" spans="2:6" x14ac:dyDescent="0.25">
      <c r="B747" s="112"/>
      <c r="D747" s="112"/>
      <c r="E747" s="417"/>
      <c r="F747" s="418"/>
    </row>
    <row r="748" spans="2:6" x14ac:dyDescent="0.25">
      <c r="B748" s="112"/>
      <c r="D748" s="112"/>
      <c r="E748" s="417"/>
      <c r="F748" s="418"/>
    </row>
    <row r="749" spans="2:6" x14ac:dyDescent="0.25">
      <c r="B749" s="112"/>
      <c r="D749" s="112"/>
      <c r="E749" s="417"/>
      <c r="F749" s="418"/>
    </row>
    <row r="750" spans="2:6" x14ac:dyDescent="0.25">
      <c r="B750" s="112"/>
      <c r="D750" s="112"/>
      <c r="E750" s="417"/>
      <c r="F750" s="418"/>
    </row>
    <row r="751" spans="2:6" x14ac:dyDescent="0.25">
      <c r="B751" s="112"/>
      <c r="D751" s="112"/>
      <c r="E751" s="417"/>
      <c r="F751" s="418"/>
    </row>
    <row r="752" spans="2:6" x14ac:dyDescent="0.25">
      <c r="B752" s="112"/>
      <c r="D752" s="112"/>
      <c r="E752" s="417"/>
      <c r="F752" s="418"/>
    </row>
    <row r="753" spans="2:6" x14ac:dyDescent="0.25">
      <c r="B753" s="112"/>
      <c r="D753" s="112"/>
      <c r="E753" s="417"/>
      <c r="F753" s="418"/>
    </row>
    <row r="754" spans="2:6" x14ac:dyDescent="0.25">
      <c r="B754" s="112"/>
      <c r="D754" s="112"/>
      <c r="E754" s="417"/>
      <c r="F754" s="418"/>
    </row>
    <row r="755" spans="2:6" x14ac:dyDescent="0.25">
      <c r="B755" s="112"/>
      <c r="D755" s="112"/>
      <c r="E755" s="417"/>
      <c r="F755" s="418"/>
    </row>
    <row r="756" spans="2:6" x14ac:dyDescent="0.25">
      <c r="B756" s="112"/>
      <c r="D756" s="112"/>
      <c r="E756" s="417"/>
      <c r="F756" s="418"/>
    </row>
    <row r="757" spans="2:6" x14ac:dyDescent="0.25">
      <c r="B757" s="112"/>
      <c r="D757" s="112"/>
      <c r="E757" s="417"/>
      <c r="F757" s="418"/>
    </row>
    <row r="758" spans="2:6" x14ac:dyDescent="0.25">
      <c r="B758" s="112"/>
      <c r="D758" s="112"/>
      <c r="E758" s="417"/>
      <c r="F758" s="418"/>
    </row>
    <row r="759" spans="2:6" x14ac:dyDescent="0.25">
      <c r="B759" s="112"/>
      <c r="D759" s="112"/>
      <c r="E759" s="417"/>
      <c r="F759" s="418"/>
    </row>
    <row r="760" spans="2:6" x14ac:dyDescent="0.25">
      <c r="B760" s="112"/>
      <c r="D760" s="112"/>
      <c r="E760" s="417"/>
      <c r="F760" s="418"/>
    </row>
    <row r="761" spans="2:6" x14ac:dyDescent="0.25">
      <c r="B761" s="112"/>
      <c r="D761" s="112"/>
      <c r="E761" s="417"/>
      <c r="F761" s="418"/>
    </row>
    <row r="762" spans="2:6" x14ac:dyDescent="0.25">
      <c r="B762" s="112"/>
      <c r="D762" s="112"/>
      <c r="E762" s="417"/>
      <c r="F762" s="418"/>
    </row>
    <row r="763" spans="2:6" x14ac:dyDescent="0.25">
      <c r="B763" s="112"/>
      <c r="D763" s="112"/>
      <c r="E763" s="417"/>
      <c r="F763" s="418"/>
    </row>
    <row r="764" spans="2:6" x14ac:dyDescent="0.25">
      <c r="B764" s="112"/>
      <c r="D764" s="112"/>
      <c r="E764" s="417"/>
      <c r="F764" s="418"/>
    </row>
    <row r="765" spans="2:6" x14ac:dyDescent="0.25">
      <c r="B765" s="112"/>
      <c r="D765" s="112"/>
      <c r="E765" s="417"/>
      <c r="F765" s="418"/>
    </row>
    <row r="766" spans="2:6" x14ac:dyDescent="0.25">
      <c r="B766" s="112"/>
      <c r="D766" s="112"/>
      <c r="E766" s="417"/>
      <c r="F766" s="418"/>
    </row>
    <row r="767" spans="2:6" x14ac:dyDescent="0.25">
      <c r="B767" s="112"/>
      <c r="D767" s="112"/>
      <c r="E767" s="417"/>
      <c r="F767" s="418"/>
    </row>
    <row r="768" spans="2:6" x14ac:dyDescent="0.25">
      <c r="B768" s="112"/>
      <c r="D768" s="112"/>
      <c r="E768" s="417"/>
      <c r="F768" s="418"/>
    </row>
    <row r="769" spans="2:6" x14ac:dyDescent="0.25">
      <c r="B769" s="112"/>
      <c r="D769" s="112"/>
      <c r="E769" s="417"/>
      <c r="F769" s="418"/>
    </row>
    <row r="770" spans="2:6" x14ac:dyDescent="0.25">
      <c r="B770" s="112"/>
      <c r="D770" s="112"/>
      <c r="E770" s="417"/>
      <c r="F770" s="418"/>
    </row>
    <row r="771" spans="2:6" x14ac:dyDescent="0.25">
      <c r="B771" s="112"/>
      <c r="D771" s="112"/>
      <c r="E771" s="417"/>
      <c r="F771" s="418"/>
    </row>
    <row r="772" spans="2:6" x14ac:dyDescent="0.25">
      <c r="B772" s="112"/>
      <c r="D772" s="112"/>
      <c r="E772" s="417"/>
      <c r="F772" s="418"/>
    </row>
    <row r="773" spans="2:6" x14ac:dyDescent="0.25">
      <c r="B773" s="112"/>
      <c r="D773" s="112"/>
      <c r="E773" s="417"/>
      <c r="F773" s="418"/>
    </row>
    <row r="774" spans="2:6" x14ac:dyDescent="0.25">
      <c r="B774" s="112"/>
      <c r="D774" s="112"/>
      <c r="E774" s="417"/>
      <c r="F774" s="418"/>
    </row>
    <row r="775" spans="2:6" x14ac:dyDescent="0.25">
      <c r="B775" s="112"/>
      <c r="D775" s="112"/>
      <c r="E775" s="417"/>
      <c r="F775" s="418"/>
    </row>
    <row r="776" spans="2:6" x14ac:dyDescent="0.25">
      <c r="B776" s="112"/>
      <c r="D776" s="112"/>
      <c r="E776" s="417"/>
      <c r="F776" s="418"/>
    </row>
    <row r="777" spans="2:6" x14ac:dyDescent="0.25">
      <c r="B777" s="112"/>
      <c r="D777" s="112"/>
      <c r="E777" s="417"/>
      <c r="F777" s="418"/>
    </row>
    <row r="778" spans="2:6" x14ac:dyDescent="0.25">
      <c r="B778" s="112"/>
      <c r="D778" s="112"/>
      <c r="E778" s="417"/>
      <c r="F778" s="418"/>
    </row>
    <row r="779" spans="2:6" x14ac:dyDescent="0.25">
      <c r="B779" s="112"/>
      <c r="D779" s="112"/>
      <c r="E779" s="417"/>
      <c r="F779" s="418"/>
    </row>
    <row r="780" spans="2:6" x14ac:dyDescent="0.25">
      <c r="B780" s="112"/>
      <c r="D780" s="112"/>
      <c r="E780" s="417"/>
      <c r="F780" s="418"/>
    </row>
    <row r="781" spans="2:6" x14ac:dyDescent="0.25">
      <c r="B781" s="112"/>
      <c r="D781" s="112"/>
      <c r="E781" s="417"/>
      <c r="F781" s="418"/>
    </row>
    <row r="782" spans="2:6" x14ac:dyDescent="0.25">
      <c r="B782" s="112"/>
      <c r="D782" s="112"/>
      <c r="E782" s="417"/>
      <c r="F782" s="418"/>
    </row>
    <row r="783" spans="2:6" x14ac:dyDescent="0.25">
      <c r="B783" s="112"/>
      <c r="D783" s="112"/>
      <c r="E783" s="417"/>
      <c r="F783" s="418"/>
    </row>
    <row r="784" spans="2:6" x14ac:dyDescent="0.25">
      <c r="B784" s="112"/>
      <c r="D784" s="112"/>
      <c r="E784" s="417"/>
      <c r="F784" s="418"/>
    </row>
    <row r="785" spans="2:6" x14ac:dyDescent="0.25">
      <c r="B785" s="112"/>
      <c r="D785" s="112"/>
      <c r="E785" s="417"/>
      <c r="F785" s="418"/>
    </row>
    <row r="786" spans="2:6" x14ac:dyDescent="0.25">
      <c r="B786" s="112"/>
      <c r="D786" s="112"/>
      <c r="E786" s="417"/>
      <c r="F786" s="418"/>
    </row>
    <row r="787" spans="2:6" x14ac:dyDescent="0.25">
      <c r="B787" s="112"/>
      <c r="D787" s="112"/>
      <c r="E787" s="417"/>
      <c r="F787" s="418"/>
    </row>
    <row r="788" spans="2:6" x14ac:dyDescent="0.25">
      <c r="B788" s="112"/>
      <c r="D788" s="112"/>
      <c r="E788" s="417"/>
      <c r="F788" s="418"/>
    </row>
    <row r="789" spans="2:6" x14ac:dyDescent="0.25">
      <c r="B789" s="112"/>
      <c r="D789" s="112"/>
      <c r="E789" s="417"/>
      <c r="F789" s="418"/>
    </row>
    <row r="790" spans="2:6" x14ac:dyDescent="0.25">
      <c r="B790" s="112"/>
      <c r="D790" s="112"/>
      <c r="E790" s="417"/>
      <c r="F790" s="418"/>
    </row>
    <row r="791" spans="2:6" x14ac:dyDescent="0.25">
      <c r="B791" s="112"/>
      <c r="D791" s="112"/>
      <c r="E791" s="417"/>
      <c r="F791" s="418"/>
    </row>
    <row r="792" spans="2:6" x14ac:dyDescent="0.25">
      <c r="B792" s="112"/>
      <c r="D792" s="112"/>
      <c r="E792" s="417"/>
      <c r="F792" s="418"/>
    </row>
    <row r="793" spans="2:6" x14ac:dyDescent="0.25">
      <c r="B793" s="112"/>
      <c r="D793" s="112"/>
      <c r="E793" s="417"/>
      <c r="F793" s="418"/>
    </row>
    <row r="794" spans="2:6" x14ac:dyDescent="0.25">
      <c r="B794" s="112"/>
      <c r="D794" s="112"/>
      <c r="E794" s="417"/>
      <c r="F794" s="418"/>
    </row>
    <row r="795" spans="2:6" x14ac:dyDescent="0.25">
      <c r="B795" s="112"/>
      <c r="D795" s="112"/>
      <c r="E795" s="417"/>
      <c r="F795" s="418"/>
    </row>
    <row r="796" spans="2:6" x14ac:dyDescent="0.25">
      <c r="B796" s="112"/>
      <c r="D796" s="112"/>
      <c r="E796" s="417"/>
      <c r="F796" s="418"/>
    </row>
    <row r="797" spans="2:6" x14ac:dyDescent="0.25">
      <c r="B797" s="112"/>
      <c r="D797" s="112"/>
      <c r="E797" s="417"/>
      <c r="F797" s="418"/>
    </row>
    <row r="798" spans="2:6" x14ac:dyDescent="0.25">
      <c r="B798" s="112"/>
      <c r="D798" s="112"/>
      <c r="E798" s="417"/>
      <c r="F798" s="418"/>
    </row>
    <row r="799" spans="2:6" x14ac:dyDescent="0.25">
      <c r="B799" s="112"/>
      <c r="D799" s="112"/>
      <c r="E799" s="417"/>
      <c r="F799" s="418"/>
    </row>
    <row r="800" spans="2:6" x14ac:dyDescent="0.25">
      <c r="B800" s="112"/>
      <c r="D800" s="112"/>
      <c r="E800" s="417"/>
      <c r="F800" s="418"/>
    </row>
    <row r="801" spans="2:6" x14ac:dyDescent="0.25">
      <c r="B801" s="112"/>
      <c r="D801" s="112"/>
      <c r="E801" s="417"/>
      <c r="F801" s="418"/>
    </row>
    <row r="802" spans="2:6" x14ac:dyDescent="0.25">
      <c r="B802" s="112"/>
      <c r="D802" s="112"/>
      <c r="E802" s="417"/>
      <c r="F802" s="418"/>
    </row>
    <row r="803" spans="2:6" x14ac:dyDescent="0.25">
      <c r="B803" s="112"/>
      <c r="D803" s="112"/>
      <c r="E803" s="417"/>
      <c r="F803" s="418"/>
    </row>
    <row r="804" spans="2:6" x14ac:dyDescent="0.25">
      <c r="B804" s="112"/>
      <c r="D804" s="112"/>
      <c r="E804" s="417"/>
      <c r="F804" s="418"/>
    </row>
    <row r="805" spans="2:6" x14ac:dyDescent="0.25">
      <c r="B805" s="112"/>
      <c r="D805" s="112"/>
      <c r="E805" s="417"/>
      <c r="F805" s="418"/>
    </row>
    <row r="806" spans="2:6" x14ac:dyDescent="0.25">
      <c r="B806" s="112"/>
      <c r="D806" s="112"/>
      <c r="E806" s="417"/>
      <c r="F806" s="418"/>
    </row>
    <row r="807" spans="2:6" x14ac:dyDescent="0.25">
      <c r="B807" s="112"/>
      <c r="D807" s="112"/>
      <c r="E807" s="417"/>
      <c r="F807" s="418"/>
    </row>
    <row r="808" spans="2:6" x14ac:dyDescent="0.25">
      <c r="B808" s="112"/>
      <c r="D808" s="112"/>
      <c r="E808" s="417"/>
      <c r="F808" s="418"/>
    </row>
    <row r="809" spans="2:6" x14ac:dyDescent="0.25">
      <c r="B809" s="112"/>
      <c r="D809" s="112"/>
      <c r="E809" s="417"/>
      <c r="F809" s="418"/>
    </row>
    <row r="810" spans="2:6" x14ac:dyDescent="0.25">
      <c r="B810" s="112"/>
      <c r="D810" s="112"/>
      <c r="E810" s="417"/>
      <c r="F810" s="418"/>
    </row>
    <row r="811" spans="2:6" x14ac:dyDescent="0.25">
      <c r="B811" s="112"/>
      <c r="D811" s="112"/>
      <c r="E811" s="417"/>
      <c r="F811" s="418"/>
    </row>
    <row r="812" spans="2:6" x14ac:dyDescent="0.25">
      <c r="B812" s="112"/>
      <c r="D812" s="112"/>
      <c r="E812" s="417"/>
      <c r="F812" s="418"/>
    </row>
    <row r="813" spans="2:6" x14ac:dyDescent="0.25">
      <c r="B813" s="112"/>
      <c r="D813" s="112"/>
      <c r="E813" s="417"/>
      <c r="F813" s="418"/>
    </row>
    <row r="814" spans="2:6" x14ac:dyDescent="0.25">
      <c r="B814" s="112"/>
      <c r="D814" s="112"/>
      <c r="E814" s="417"/>
      <c r="F814" s="418"/>
    </row>
    <row r="815" spans="2:6" x14ac:dyDescent="0.25">
      <c r="B815" s="112"/>
      <c r="D815" s="112"/>
      <c r="E815" s="417"/>
      <c r="F815" s="418"/>
    </row>
    <row r="816" spans="2:6" x14ac:dyDescent="0.25">
      <c r="B816" s="112"/>
      <c r="D816" s="112"/>
      <c r="E816" s="417"/>
      <c r="F816" s="418"/>
    </row>
    <row r="817" spans="2:6" x14ac:dyDescent="0.25">
      <c r="B817" s="112"/>
      <c r="D817" s="112"/>
      <c r="E817" s="417"/>
      <c r="F817" s="418"/>
    </row>
    <row r="818" spans="2:6" x14ac:dyDescent="0.25">
      <c r="B818" s="112"/>
      <c r="D818" s="112"/>
      <c r="E818" s="417"/>
      <c r="F818" s="418"/>
    </row>
    <row r="819" spans="2:6" x14ac:dyDescent="0.25">
      <c r="B819" s="112"/>
      <c r="D819" s="112"/>
      <c r="E819" s="417"/>
      <c r="F819" s="418"/>
    </row>
    <row r="820" spans="2:6" x14ac:dyDescent="0.25">
      <c r="B820" s="112"/>
      <c r="D820" s="112"/>
      <c r="E820" s="417"/>
      <c r="F820" s="418"/>
    </row>
    <row r="821" spans="2:6" x14ac:dyDescent="0.25">
      <c r="B821" s="112"/>
      <c r="D821" s="112"/>
      <c r="E821" s="417"/>
      <c r="F821" s="418"/>
    </row>
    <row r="822" spans="2:6" x14ac:dyDescent="0.25">
      <c r="B822" s="112"/>
      <c r="D822" s="112"/>
      <c r="E822" s="417"/>
      <c r="F822" s="418"/>
    </row>
    <row r="823" spans="2:6" x14ac:dyDescent="0.25">
      <c r="B823" s="112"/>
      <c r="D823" s="112"/>
      <c r="E823" s="417"/>
      <c r="F823" s="418"/>
    </row>
    <row r="824" spans="2:6" x14ac:dyDescent="0.25">
      <c r="B824" s="112"/>
      <c r="D824" s="112"/>
      <c r="E824" s="417"/>
      <c r="F824" s="418"/>
    </row>
    <row r="825" spans="2:6" x14ac:dyDescent="0.25">
      <c r="B825" s="112"/>
      <c r="D825" s="112"/>
      <c r="E825" s="417"/>
      <c r="F825" s="418"/>
    </row>
    <row r="826" spans="2:6" x14ac:dyDescent="0.25">
      <c r="B826" s="112"/>
      <c r="D826" s="112"/>
      <c r="E826" s="417"/>
      <c r="F826" s="418"/>
    </row>
    <row r="827" spans="2:6" x14ac:dyDescent="0.25">
      <c r="B827" s="112"/>
      <c r="D827" s="112"/>
      <c r="E827" s="417"/>
      <c r="F827" s="418"/>
    </row>
    <row r="828" spans="2:6" x14ac:dyDescent="0.25">
      <c r="B828" s="112"/>
      <c r="D828" s="112"/>
      <c r="E828" s="417"/>
      <c r="F828" s="418"/>
    </row>
    <row r="829" spans="2:6" x14ac:dyDescent="0.25">
      <c r="B829" s="112"/>
      <c r="D829" s="112"/>
      <c r="E829" s="417"/>
      <c r="F829" s="418"/>
    </row>
    <row r="830" spans="2:6" x14ac:dyDescent="0.25">
      <c r="B830" s="112"/>
      <c r="D830" s="112"/>
      <c r="E830" s="417"/>
      <c r="F830" s="418"/>
    </row>
    <row r="831" spans="2:6" x14ac:dyDescent="0.25">
      <c r="B831" s="112"/>
      <c r="D831" s="112"/>
      <c r="E831" s="417"/>
      <c r="F831" s="418"/>
    </row>
    <row r="832" spans="2:6" x14ac:dyDescent="0.25">
      <c r="B832" s="112"/>
      <c r="D832" s="112"/>
      <c r="E832" s="417"/>
      <c r="F832" s="418"/>
    </row>
    <row r="833" spans="2:6" x14ac:dyDescent="0.25">
      <c r="B833" s="112"/>
      <c r="D833" s="112"/>
      <c r="E833" s="417"/>
      <c r="F833" s="418"/>
    </row>
    <row r="834" spans="2:6" x14ac:dyDescent="0.25">
      <c r="B834" s="112"/>
      <c r="D834" s="112"/>
      <c r="E834" s="417"/>
      <c r="F834" s="418"/>
    </row>
    <row r="835" spans="2:6" x14ac:dyDescent="0.25">
      <c r="B835" s="112"/>
      <c r="D835" s="112"/>
      <c r="E835" s="417"/>
      <c r="F835" s="418"/>
    </row>
    <row r="836" spans="2:6" x14ac:dyDescent="0.25">
      <c r="B836" s="112"/>
      <c r="D836" s="112"/>
      <c r="E836" s="417"/>
      <c r="F836" s="418"/>
    </row>
    <row r="837" spans="2:6" x14ac:dyDescent="0.25">
      <c r="B837" s="112"/>
      <c r="D837" s="112"/>
      <c r="E837" s="417"/>
      <c r="F837" s="418"/>
    </row>
    <row r="838" spans="2:6" x14ac:dyDescent="0.25">
      <c r="B838" s="112"/>
      <c r="D838" s="112"/>
      <c r="E838" s="417"/>
      <c r="F838" s="418"/>
    </row>
    <row r="839" spans="2:6" x14ac:dyDescent="0.25">
      <c r="B839" s="112"/>
      <c r="D839" s="112"/>
      <c r="E839" s="417"/>
      <c r="F839" s="418"/>
    </row>
    <row r="840" spans="2:6" x14ac:dyDescent="0.25">
      <c r="B840" s="112"/>
      <c r="D840" s="112"/>
      <c r="E840" s="417"/>
      <c r="F840" s="418"/>
    </row>
    <row r="841" spans="2:6" x14ac:dyDescent="0.25">
      <c r="B841" s="112"/>
      <c r="D841" s="112"/>
      <c r="E841" s="417"/>
      <c r="F841" s="418"/>
    </row>
    <row r="842" spans="2:6" x14ac:dyDescent="0.25">
      <c r="B842" s="112"/>
      <c r="D842" s="112"/>
      <c r="E842" s="417"/>
      <c r="F842" s="418"/>
    </row>
    <row r="843" spans="2:6" x14ac:dyDescent="0.25">
      <c r="B843" s="112"/>
      <c r="D843" s="112"/>
      <c r="E843" s="417"/>
      <c r="F843" s="418"/>
    </row>
    <row r="844" spans="2:6" x14ac:dyDescent="0.25">
      <c r="B844" s="112"/>
      <c r="D844" s="112"/>
      <c r="E844" s="417"/>
      <c r="F844" s="418"/>
    </row>
    <row r="845" spans="2:6" x14ac:dyDescent="0.25">
      <c r="B845" s="112"/>
      <c r="D845" s="112"/>
      <c r="E845" s="417"/>
      <c r="F845" s="418"/>
    </row>
    <row r="846" spans="2:6" x14ac:dyDescent="0.25">
      <c r="B846" s="112"/>
      <c r="D846" s="112"/>
      <c r="E846" s="417"/>
      <c r="F846" s="418"/>
    </row>
    <row r="847" spans="2:6" x14ac:dyDescent="0.25">
      <c r="B847" s="112"/>
      <c r="D847" s="112"/>
      <c r="E847" s="417"/>
      <c r="F847" s="418"/>
    </row>
    <row r="848" spans="2:6" x14ac:dyDescent="0.25">
      <c r="B848" s="112"/>
      <c r="D848" s="112"/>
      <c r="E848" s="417"/>
      <c r="F848" s="418"/>
    </row>
    <row r="849" spans="2:6" x14ac:dyDescent="0.25">
      <c r="B849" s="112"/>
      <c r="D849" s="112"/>
      <c r="E849" s="417"/>
      <c r="F849" s="418"/>
    </row>
    <row r="850" spans="2:6" x14ac:dyDescent="0.25">
      <c r="B850" s="112"/>
      <c r="D850" s="112"/>
      <c r="E850" s="417"/>
      <c r="F850" s="418"/>
    </row>
    <row r="851" spans="2:6" x14ac:dyDescent="0.25">
      <c r="B851" s="112"/>
      <c r="D851" s="112"/>
      <c r="E851" s="417"/>
      <c r="F851" s="418"/>
    </row>
    <row r="852" spans="2:6" x14ac:dyDescent="0.25">
      <c r="B852" s="112"/>
      <c r="D852" s="112"/>
      <c r="E852" s="417"/>
      <c r="F852" s="418"/>
    </row>
    <row r="853" spans="2:6" x14ac:dyDescent="0.25">
      <c r="B853" s="112"/>
      <c r="D853" s="112"/>
      <c r="E853" s="417"/>
      <c r="F853" s="418"/>
    </row>
    <row r="854" spans="2:6" x14ac:dyDescent="0.25">
      <c r="B854" s="112"/>
      <c r="D854" s="112"/>
      <c r="E854" s="417"/>
      <c r="F854" s="418"/>
    </row>
    <row r="855" spans="2:6" x14ac:dyDescent="0.25">
      <c r="B855" s="112"/>
      <c r="D855" s="112"/>
      <c r="E855" s="417"/>
      <c r="F855" s="418"/>
    </row>
    <row r="856" spans="2:6" x14ac:dyDescent="0.25">
      <c r="B856" s="112"/>
      <c r="D856" s="112"/>
      <c r="E856" s="417"/>
      <c r="F856" s="418"/>
    </row>
    <row r="857" spans="2:6" x14ac:dyDescent="0.25">
      <c r="B857" s="112"/>
      <c r="D857" s="112"/>
      <c r="E857" s="417"/>
      <c r="F857" s="418"/>
    </row>
    <row r="858" spans="2:6" x14ac:dyDescent="0.25">
      <c r="B858" s="112"/>
      <c r="D858" s="112"/>
      <c r="E858" s="417"/>
      <c r="F858" s="418"/>
    </row>
    <row r="859" spans="2:6" x14ac:dyDescent="0.25">
      <c r="B859" s="112"/>
      <c r="D859" s="112"/>
      <c r="E859" s="417"/>
      <c r="F859" s="418"/>
    </row>
    <row r="860" spans="2:6" x14ac:dyDescent="0.25">
      <c r="B860" s="112"/>
      <c r="D860" s="112"/>
      <c r="E860" s="417"/>
      <c r="F860" s="418"/>
    </row>
    <row r="861" spans="2:6" x14ac:dyDescent="0.25">
      <c r="B861" s="112"/>
      <c r="D861" s="112"/>
      <c r="E861" s="417"/>
      <c r="F861" s="418"/>
    </row>
    <row r="862" spans="2:6" x14ac:dyDescent="0.25">
      <c r="B862" s="112"/>
      <c r="D862" s="112"/>
      <c r="E862" s="417"/>
      <c r="F862" s="418"/>
    </row>
    <row r="863" spans="2:6" x14ac:dyDescent="0.25">
      <c r="B863" s="112"/>
      <c r="D863" s="112"/>
      <c r="E863" s="417"/>
      <c r="F863" s="418"/>
    </row>
    <row r="864" spans="2:6" x14ac:dyDescent="0.25">
      <c r="B864" s="112"/>
      <c r="D864" s="112"/>
      <c r="E864" s="417"/>
      <c r="F864" s="418"/>
    </row>
    <row r="865" spans="2:6" x14ac:dyDescent="0.25">
      <c r="B865" s="112"/>
      <c r="D865" s="112"/>
      <c r="E865" s="417"/>
      <c r="F865" s="418"/>
    </row>
    <row r="866" spans="2:6" x14ac:dyDescent="0.25">
      <c r="B866" s="112"/>
      <c r="D866" s="112"/>
      <c r="E866" s="417"/>
      <c r="F866" s="418"/>
    </row>
    <row r="867" spans="2:6" x14ac:dyDescent="0.25">
      <c r="B867" s="112"/>
      <c r="D867" s="112"/>
      <c r="E867" s="417"/>
      <c r="F867" s="418"/>
    </row>
    <row r="868" spans="2:6" x14ac:dyDescent="0.25">
      <c r="B868" s="112"/>
      <c r="D868" s="112"/>
      <c r="E868" s="417"/>
      <c r="F868" s="418"/>
    </row>
    <row r="869" spans="2:6" x14ac:dyDescent="0.25">
      <c r="B869" s="112"/>
      <c r="D869" s="112"/>
      <c r="E869" s="417"/>
      <c r="F869" s="418"/>
    </row>
    <row r="870" spans="2:6" x14ac:dyDescent="0.25">
      <c r="B870" s="112"/>
      <c r="D870" s="112"/>
      <c r="E870" s="417"/>
      <c r="F870" s="418"/>
    </row>
    <row r="871" spans="2:6" x14ac:dyDescent="0.25">
      <c r="B871" s="112"/>
      <c r="D871" s="112"/>
      <c r="E871" s="417"/>
      <c r="F871" s="418"/>
    </row>
    <row r="872" spans="2:6" x14ac:dyDescent="0.25">
      <c r="B872" s="112"/>
      <c r="D872" s="112"/>
      <c r="E872" s="417"/>
      <c r="F872" s="418"/>
    </row>
    <row r="873" spans="2:6" x14ac:dyDescent="0.25">
      <c r="B873" s="112"/>
      <c r="D873" s="112"/>
      <c r="E873" s="417"/>
      <c r="F873" s="418"/>
    </row>
    <row r="874" spans="2:6" x14ac:dyDescent="0.25">
      <c r="B874" s="112"/>
      <c r="D874" s="112"/>
      <c r="E874" s="417"/>
      <c r="F874" s="418"/>
    </row>
    <row r="875" spans="2:6" x14ac:dyDescent="0.25">
      <c r="B875" s="112"/>
      <c r="D875" s="112"/>
      <c r="E875" s="417"/>
      <c r="F875" s="418"/>
    </row>
    <row r="876" spans="2:6" x14ac:dyDescent="0.25">
      <c r="B876" s="112"/>
      <c r="D876" s="112"/>
      <c r="E876" s="417"/>
      <c r="F876" s="418"/>
    </row>
    <row r="877" spans="2:6" x14ac:dyDescent="0.25">
      <c r="B877" s="112"/>
      <c r="D877" s="112"/>
      <c r="E877" s="417"/>
      <c r="F877" s="418"/>
    </row>
    <row r="878" spans="2:6" x14ac:dyDescent="0.25">
      <c r="B878" s="112"/>
      <c r="D878" s="112"/>
      <c r="E878" s="417"/>
      <c r="F878" s="418"/>
    </row>
    <row r="879" spans="2:6" x14ac:dyDescent="0.25">
      <c r="B879" s="112"/>
      <c r="D879" s="112"/>
      <c r="E879" s="417"/>
      <c r="F879" s="418"/>
    </row>
    <row r="880" spans="2:6" x14ac:dyDescent="0.25">
      <c r="B880" s="112"/>
      <c r="D880" s="112"/>
      <c r="E880" s="417"/>
      <c r="F880" s="418"/>
    </row>
    <row r="881" spans="2:6" x14ac:dyDescent="0.25">
      <c r="B881" s="112"/>
      <c r="D881" s="112"/>
      <c r="E881" s="417"/>
      <c r="F881" s="418"/>
    </row>
    <row r="882" spans="2:6" x14ac:dyDescent="0.25">
      <c r="B882" s="112"/>
      <c r="D882" s="112"/>
      <c r="E882" s="417"/>
      <c r="F882" s="418"/>
    </row>
    <row r="883" spans="2:6" x14ac:dyDescent="0.25">
      <c r="B883" s="112"/>
      <c r="D883" s="112"/>
      <c r="E883" s="417"/>
      <c r="F883" s="418"/>
    </row>
    <row r="884" spans="2:6" x14ac:dyDescent="0.25">
      <c r="B884" s="112"/>
      <c r="D884" s="112"/>
      <c r="E884" s="417"/>
      <c r="F884" s="418"/>
    </row>
    <row r="885" spans="2:6" x14ac:dyDescent="0.25">
      <c r="B885" s="112"/>
      <c r="D885" s="112"/>
      <c r="E885" s="417"/>
      <c r="F885" s="418"/>
    </row>
    <row r="886" spans="2:6" x14ac:dyDescent="0.25">
      <c r="B886" s="112"/>
      <c r="D886" s="112"/>
      <c r="E886" s="417"/>
      <c r="F886" s="418"/>
    </row>
    <row r="887" spans="2:6" x14ac:dyDescent="0.25">
      <c r="B887" s="112"/>
      <c r="D887" s="112"/>
      <c r="E887" s="417"/>
      <c r="F887" s="418"/>
    </row>
    <row r="888" spans="2:6" x14ac:dyDescent="0.25">
      <c r="B888" s="112"/>
      <c r="D888" s="112"/>
      <c r="E888" s="417"/>
      <c r="F888" s="418"/>
    </row>
    <row r="889" spans="2:6" x14ac:dyDescent="0.25">
      <c r="B889" s="112"/>
      <c r="D889" s="112"/>
      <c r="E889" s="417"/>
      <c r="F889" s="418"/>
    </row>
    <row r="890" spans="2:6" x14ac:dyDescent="0.25">
      <c r="B890" s="112"/>
      <c r="D890" s="112"/>
      <c r="E890" s="417"/>
      <c r="F890" s="418"/>
    </row>
    <row r="891" spans="2:6" x14ac:dyDescent="0.25">
      <c r="B891" s="112"/>
      <c r="D891" s="112"/>
      <c r="E891" s="417"/>
      <c r="F891" s="418"/>
    </row>
    <row r="892" spans="2:6" x14ac:dyDescent="0.25">
      <c r="B892" s="112"/>
      <c r="D892" s="112"/>
      <c r="E892" s="417"/>
      <c r="F892" s="418"/>
    </row>
    <row r="893" spans="2:6" x14ac:dyDescent="0.25">
      <c r="B893" s="112"/>
      <c r="D893" s="112"/>
      <c r="E893" s="417"/>
      <c r="F893" s="418"/>
    </row>
    <row r="894" spans="2:6" x14ac:dyDescent="0.25">
      <c r="B894" s="112"/>
      <c r="D894" s="112"/>
      <c r="E894" s="417"/>
      <c r="F894" s="418"/>
    </row>
    <row r="895" spans="2:6" x14ac:dyDescent="0.25">
      <c r="B895" s="112"/>
      <c r="D895" s="112"/>
      <c r="E895" s="417"/>
      <c r="F895" s="418"/>
    </row>
    <row r="896" spans="2:6" x14ac:dyDescent="0.25">
      <c r="B896" s="112"/>
      <c r="D896" s="112"/>
      <c r="E896" s="417"/>
      <c r="F896" s="418"/>
    </row>
    <row r="897" spans="2:6" x14ac:dyDescent="0.25">
      <c r="B897" s="112"/>
      <c r="D897" s="112"/>
      <c r="E897" s="417"/>
      <c r="F897" s="418"/>
    </row>
    <row r="898" spans="2:6" x14ac:dyDescent="0.25">
      <c r="B898" s="112"/>
      <c r="D898" s="112"/>
      <c r="E898" s="417"/>
      <c r="F898" s="418"/>
    </row>
    <row r="899" spans="2:6" x14ac:dyDescent="0.25">
      <c r="B899" s="112"/>
      <c r="D899" s="112"/>
      <c r="E899" s="417"/>
      <c r="F899" s="418"/>
    </row>
    <row r="900" spans="2:6" x14ac:dyDescent="0.25">
      <c r="B900" s="112"/>
      <c r="D900" s="112"/>
      <c r="E900" s="417"/>
      <c r="F900" s="418"/>
    </row>
    <row r="901" spans="2:6" x14ac:dyDescent="0.25">
      <c r="B901" s="112"/>
      <c r="D901" s="112"/>
      <c r="E901" s="417"/>
      <c r="F901" s="418"/>
    </row>
    <row r="902" spans="2:6" x14ac:dyDescent="0.25">
      <c r="B902" s="112"/>
      <c r="D902" s="112"/>
      <c r="E902" s="417"/>
      <c r="F902" s="418"/>
    </row>
    <row r="903" spans="2:6" x14ac:dyDescent="0.25">
      <c r="B903" s="112"/>
      <c r="D903" s="112"/>
      <c r="E903" s="417"/>
      <c r="F903" s="418"/>
    </row>
    <row r="904" spans="2:6" x14ac:dyDescent="0.25">
      <c r="B904" s="112"/>
      <c r="D904" s="112"/>
      <c r="E904" s="417"/>
      <c r="F904" s="418"/>
    </row>
    <row r="905" spans="2:6" x14ac:dyDescent="0.25">
      <c r="B905" s="112"/>
      <c r="D905" s="112"/>
      <c r="E905" s="417"/>
      <c r="F905" s="418"/>
    </row>
    <row r="906" spans="2:6" x14ac:dyDescent="0.25">
      <c r="B906" s="112"/>
      <c r="D906" s="112"/>
      <c r="E906" s="417"/>
      <c r="F906" s="418"/>
    </row>
    <row r="907" spans="2:6" x14ac:dyDescent="0.25">
      <c r="B907" s="112"/>
      <c r="D907" s="112"/>
      <c r="E907" s="417"/>
      <c r="F907" s="418"/>
    </row>
    <row r="908" spans="2:6" x14ac:dyDescent="0.25">
      <c r="B908" s="112"/>
      <c r="D908" s="112"/>
      <c r="E908" s="417"/>
      <c r="F908" s="418"/>
    </row>
    <row r="909" spans="2:6" x14ac:dyDescent="0.25">
      <c r="B909" s="112"/>
      <c r="D909" s="112"/>
      <c r="E909" s="417"/>
      <c r="F909" s="418"/>
    </row>
    <row r="910" spans="2:6" x14ac:dyDescent="0.25">
      <c r="B910" s="112"/>
      <c r="D910" s="112"/>
      <c r="E910" s="417"/>
      <c r="F910" s="418"/>
    </row>
    <row r="911" spans="2:6" x14ac:dyDescent="0.25">
      <c r="B911" s="112"/>
      <c r="D911" s="112"/>
      <c r="E911" s="417"/>
      <c r="F911" s="418"/>
    </row>
    <row r="912" spans="2:6" x14ac:dyDescent="0.25">
      <c r="B912" s="112"/>
      <c r="D912" s="112"/>
      <c r="E912" s="417"/>
      <c r="F912" s="418"/>
    </row>
    <row r="913" spans="2:6" x14ac:dyDescent="0.25">
      <c r="B913" s="112"/>
      <c r="D913" s="112"/>
      <c r="E913" s="417"/>
      <c r="F913" s="418"/>
    </row>
    <row r="914" spans="2:6" x14ac:dyDescent="0.25">
      <c r="B914" s="112"/>
      <c r="D914" s="112"/>
      <c r="E914" s="417"/>
      <c r="F914" s="418"/>
    </row>
    <row r="915" spans="2:6" x14ac:dyDescent="0.25">
      <c r="B915" s="112"/>
      <c r="D915" s="112"/>
      <c r="E915" s="417"/>
      <c r="F915" s="418"/>
    </row>
    <row r="916" spans="2:6" x14ac:dyDescent="0.25">
      <c r="B916" s="112"/>
      <c r="D916" s="112"/>
      <c r="E916" s="417"/>
      <c r="F916" s="418"/>
    </row>
    <row r="917" spans="2:6" x14ac:dyDescent="0.25">
      <c r="B917" s="112"/>
      <c r="D917" s="112"/>
      <c r="E917" s="417"/>
      <c r="F917" s="418"/>
    </row>
    <row r="918" spans="2:6" x14ac:dyDescent="0.25">
      <c r="B918" s="112"/>
      <c r="D918" s="112"/>
      <c r="E918" s="417"/>
      <c r="F918" s="418"/>
    </row>
    <row r="919" spans="2:6" x14ac:dyDescent="0.25">
      <c r="B919" s="112"/>
      <c r="D919" s="112"/>
      <c r="E919" s="417"/>
      <c r="F919" s="418"/>
    </row>
    <row r="920" spans="2:6" x14ac:dyDescent="0.25">
      <c r="B920" s="112"/>
      <c r="D920" s="112"/>
      <c r="E920" s="417"/>
      <c r="F920" s="418"/>
    </row>
    <row r="921" spans="2:6" x14ac:dyDescent="0.25">
      <c r="B921" s="112"/>
      <c r="D921" s="112"/>
      <c r="E921" s="417"/>
      <c r="F921" s="418"/>
    </row>
    <row r="922" spans="2:6" x14ac:dyDescent="0.25">
      <c r="B922" s="112"/>
      <c r="D922" s="112"/>
      <c r="E922" s="417"/>
      <c r="F922" s="418"/>
    </row>
    <row r="923" spans="2:6" x14ac:dyDescent="0.25">
      <c r="B923" s="112"/>
      <c r="D923" s="112"/>
      <c r="E923" s="417"/>
      <c r="F923" s="418"/>
    </row>
    <row r="924" spans="2:6" x14ac:dyDescent="0.25">
      <c r="B924" s="112"/>
      <c r="D924" s="112"/>
      <c r="E924" s="417"/>
      <c r="F924" s="418"/>
    </row>
    <row r="925" spans="2:6" x14ac:dyDescent="0.25">
      <c r="B925" s="112"/>
      <c r="D925" s="112"/>
      <c r="E925" s="417"/>
      <c r="F925" s="418"/>
    </row>
    <row r="926" spans="2:6" x14ac:dyDescent="0.25">
      <c r="B926" s="112"/>
      <c r="D926" s="112"/>
      <c r="E926" s="417"/>
      <c r="F926" s="418"/>
    </row>
    <row r="927" spans="2:6" x14ac:dyDescent="0.25">
      <c r="B927" s="112"/>
      <c r="D927" s="112"/>
      <c r="E927" s="417"/>
      <c r="F927" s="418"/>
    </row>
    <row r="928" spans="2:6" x14ac:dyDescent="0.25">
      <c r="B928" s="112"/>
      <c r="D928" s="112"/>
      <c r="E928" s="417"/>
      <c r="F928" s="418"/>
    </row>
    <row r="929" spans="2:6" x14ac:dyDescent="0.25">
      <c r="B929" s="112"/>
      <c r="D929" s="112"/>
      <c r="E929" s="417"/>
      <c r="F929" s="418"/>
    </row>
    <row r="930" spans="2:6" x14ac:dyDescent="0.25">
      <c r="B930" s="112"/>
      <c r="D930" s="112"/>
      <c r="E930" s="417"/>
      <c r="F930" s="418"/>
    </row>
    <row r="931" spans="2:6" x14ac:dyDescent="0.25">
      <c r="B931" s="112"/>
      <c r="D931" s="112"/>
      <c r="E931" s="417"/>
      <c r="F931" s="418"/>
    </row>
    <row r="932" spans="2:6" x14ac:dyDescent="0.25">
      <c r="B932" s="112"/>
      <c r="D932" s="112"/>
      <c r="E932" s="417"/>
      <c r="F932" s="418"/>
    </row>
    <row r="933" spans="2:6" x14ac:dyDescent="0.25">
      <c r="B933" s="112"/>
      <c r="D933" s="112"/>
      <c r="E933" s="417"/>
      <c r="F933" s="418"/>
    </row>
    <row r="934" spans="2:6" x14ac:dyDescent="0.25">
      <c r="B934" s="112"/>
      <c r="D934" s="112"/>
      <c r="E934" s="417"/>
      <c r="F934" s="418"/>
    </row>
    <row r="935" spans="2:6" x14ac:dyDescent="0.25">
      <c r="B935" s="112"/>
      <c r="D935" s="112"/>
      <c r="E935" s="417"/>
      <c r="F935" s="418"/>
    </row>
    <row r="936" spans="2:6" x14ac:dyDescent="0.25">
      <c r="B936" s="112"/>
      <c r="D936" s="112"/>
      <c r="E936" s="417"/>
      <c r="F936" s="418"/>
    </row>
    <row r="937" spans="2:6" x14ac:dyDescent="0.25">
      <c r="B937" s="112"/>
      <c r="D937" s="112"/>
      <c r="E937" s="417"/>
      <c r="F937" s="418"/>
    </row>
    <row r="938" spans="2:6" x14ac:dyDescent="0.25">
      <c r="B938" s="112"/>
      <c r="D938" s="112"/>
      <c r="E938" s="417"/>
      <c r="F938" s="418"/>
    </row>
    <row r="939" spans="2:6" x14ac:dyDescent="0.25">
      <c r="B939" s="112"/>
      <c r="D939" s="112"/>
      <c r="E939" s="417"/>
      <c r="F939" s="418"/>
    </row>
    <row r="940" spans="2:6" x14ac:dyDescent="0.25">
      <c r="B940" s="112"/>
      <c r="D940" s="112"/>
      <c r="E940" s="417"/>
      <c r="F940" s="418"/>
    </row>
    <row r="941" spans="2:6" x14ac:dyDescent="0.25">
      <c r="B941" s="112"/>
      <c r="D941" s="112"/>
      <c r="E941" s="417"/>
      <c r="F941" s="418"/>
    </row>
    <row r="942" spans="2:6" x14ac:dyDescent="0.25">
      <c r="B942" s="112"/>
      <c r="D942" s="112"/>
      <c r="E942" s="417"/>
      <c r="F942" s="418"/>
    </row>
    <row r="943" spans="2:6" x14ac:dyDescent="0.25">
      <c r="B943" s="112"/>
      <c r="D943" s="112"/>
      <c r="E943" s="417"/>
      <c r="F943" s="418"/>
    </row>
    <row r="944" spans="2:6" x14ac:dyDescent="0.25">
      <c r="B944" s="112"/>
      <c r="D944" s="112"/>
      <c r="E944" s="417"/>
      <c r="F944" s="418"/>
    </row>
    <row r="945" spans="2:6" x14ac:dyDescent="0.25">
      <c r="B945" s="112"/>
      <c r="D945" s="112"/>
      <c r="E945" s="417"/>
      <c r="F945" s="418"/>
    </row>
    <row r="946" spans="2:6" x14ac:dyDescent="0.25">
      <c r="B946" s="112"/>
      <c r="D946" s="112"/>
      <c r="E946" s="417"/>
      <c r="F946" s="418"/>
    </row>
    <row r="947" spans="2:6" x14ac:dyDescent="0.25">
      <c r="B947" s="112"/>
      <c r="D947" s="112"/>
      <c r="E947" s="417"/>
      <c r="F947" s="418"/>
    </row>
    <row r="948" spans="2:6" x14ac:dyDescent="0.25">
      <c r="B948" s="112"/>
      <c r="D948" s="112"/>
      <c r="E948" s="417"/>
      <c r="F948" s="418"/>
    </row>
    <row r="949" spans="2:6" x14ac:dyDescent="0.25">
      <c r="B949" s="112"/>
      <c r="D949" s="112"/>
      <c r="E949" s="417"/>
      <c r="F949" s="418"/>
    </row>
    <row r="950" spans="2:6" x14ac:dyDescent="0.25">
      <c r="B950" s="112"/>
      <c r="D950" s="112"/>
      <c r="E950" s="417"/>
      <c r="F950" s="418"/>
    </row>
    <row r="951" spans="2:6" x14ac:dyDescent="0.25">
      <c r="B951" s="112"/>
      <c r="D951" s="112"/>
      <c r="E951" s="417"/>
      <c r="F951" s="418"/>
    </row>
    <row r="952" spans="2:6" x14ac:dyDescent="0.25">
      <c r="B952" s="112"/>
      <c r="D952" s="112"/>
      <c r="E952" s="417"/>
      <c r="F952" s="418"/>
    </row>
    <row r="953" spans="2:6" x14ac:dyDescent="0.25">
      <c r="B953" s="112"/>
      <c r="D953" s="112"/>
      <c r="E953" s="417"/>
      <c r="F953" s="418"/>
    </row>
    <row r="954" spans="2:6" x14ac:dyDescent="0.25">
      <c r="B954" s="112"/>
      <c r="D954" s="112"/>
      <c r="E954" s="417"/>
      <c r="F954" s="418"/>
    </row>
    <row r="955" spans="2:6" x14ac:dyDescent="0.25">
      <c r="B955" s="112"/>
      <c r="D955" s="112"/>
      <c r="E955" s="417"/>
      <c r="F955" s="418"/>
    </row>
    <row r="956" spans="2:6" x14ac:dyDescent="0.25">
      <c r="B956" s="112"/>
      <c r="D956" s="112"/>
      <c r="E956" s="417"/>
      <c r="F956" s="418"/>
    </row>
    <row r="957" spans="2:6" x14ac:dyDescent="0.25">
      <c r="B957" s="112"/>
      <c r="D957" s="112"/>
      <c r="E957" s="417"/>
      <c r="F957" s="418"/>
    </row>
    <row r="958" spans="2:6" x14ac:dyDescent="0.25">
      <c r="B958" s="112"/>
      <c r="D958" s="112"/>
      <c r="E958" s="417"/>
      <c r="F958" s="418"/>
    </row>
    <row r="959" spans="2:6" x14ac:dyDescent="0.25">
      <c r="B959" s="112"/>
      <c r="D959" s="112"/>
      <c r="E959" s="417"/>
      <c r="F959" s="418"/>
    </row>
    <row r="960" spans="2:6" x14ac:dyDescent="0.25">
      <c r="B960" s="112"/>
      <c r="D960" s="112"/>
      <c r="E960" s="417"/>
      <c r="F960" s="418"/>
    </row>
    <row r="961" spans="2:6" x14ac:dyDescent="0.25">
      <c r="B961" s="112"/>
      <c r="D961" s="112"/>
      <c r="E961" s="417"/>
      <c r="F961" s="418"/>
    </row>
    <row r="962" spans="2:6" x14ac:dyDescent="0.25">
      <c r="B962" s="112"/>
      <c r="D962" s="112"/>
      <c r="E962" s="417"/>
      <c r="F962" s="418"/>
    </row>
    <row r="963" spans="2:6" x14ac:dyDescent="0.25">
      <c r="B963" s="112"/>
      <c r="D963" s="112"/>
      <c r="E963" s="417"/>
      <c r="F963" s="418"/>
    </row>
    <row r="964" spans="2:6" x14ac:dyDescent="0.25">
      <c r="B964" s="112"/>
      <c r="D964" s="112"/>
      <c r="E964" s="417"/>
      <c r="F964" s="418"/>
    </row>
    <row r="965" spans="2:6" x14ac:dyDescent="0.25">
      <c r="B965" s="112"/>
      <c r="D965" s="112"/>
      <c r="E965" s="417"/>
      <c r="F965" s="418"/>
    </row>
    <row r="966" spans="2:6" x14ac:dyDescent="0.25">
      <c r="B966" s="112"/>
      <c r="D966" s="112"/>
      <c r="E966" s="417"/>
      <c r="F966" s="418"/>
    </row>
    <row r="967" spans="2:6" x14ac:dyDescent="0.25">
      <c r="B967" s="112"/>
      <c r="D967" s="112"/>
      <c r="E967" s="417"/>
      <c r="F967" s="418"/>
    </row>
    <row r="968" spans="2:6" x14ac:dyDescent="0.25">
      <c r="B968" s="112"/>
      <c r="D968" s="112"/>
      <c r="E968" s="417"/>
      <c r="F968" s="418"/>
    </row>
    <row r="969" spans="2:6" x14ac:dyDescent="0.25">
      <c r="B969" s="112"/>
      <c r="D969" s="112"/>
      <c r="E969" s="417"/>
      <c r="F969" s="418"/>
    </row>
    <row r="970" spans="2:6" x14ac:dyDescent="0.25">
      <c r="B970" s="112"/>
      <c r="D970" s="112"/>
      <c r="E970" s="417"/>
      <c r="F970" s="418"/>
    </row>
    <row r="971" spans="2:6" x14ac:dyDescent="0.25">
      <c r="B971" s="112"/>
      <c r="D971" s="112"/>
      <c r="E971" s="417"/>
      <c r="F971" s="418"/>
    </row>
    <row r="972" spans="2:6" x14ac:dyDescent="0.25">
      <c r="B972" s="112"/>
      <c r="D972" s="112"/>
      <c r="E972" s="417"/>
      <c r="F972" s="418"/>
    </row>
    <row r="973" spans="2:6" x14ac:dyDescent="0.25">
      <c r="B973" s="112"/>
      <c r="D973" s="112"/>
      <c r="E973" s="417"/>
      <c r="F973" s="418"/>
    </row>
    <row r="974" spans="2:6" x14ac:dyDescent="0.25">
      <c r="B974" s="112"/>
      <c r="D974" s="112"/>
      <c r="E974" s="417"/>
      <c r="F974" s="418"/>
    </row>
    <row r="975" spans="2:6" x14ac:dyDescent="0.25">
      <c r="B975" s="112"/>
      <c r="D975" s="112"/>
      <c r="E975" s="417"/>
      <c r="F975" s="418"/>
    </row>
    <row r="976" spans="2:6" x14ac:dyDescent="0.25">
      <c r="B976" s="112"/>
      <c r="D976" s="112"/>
      <c r="E976" s="417"/>
      <c r="F976" s="418"/>
    </row>
    <row r="977" spans="2:6" x14ac:dyDescent="0.25">
      <c r="B977" s="112"/>
      <c r="D977" s="112"/>
      <c r="E977" s="417"/>
      <c r="F977" s="418"/>
    </row>
    <row r="978" spans="2:6" x14ac:dyDescent="0.25">
      <c r="B978" s="112"/>
      <c r="D978" s="112"/>
      <c r="E978" s="417"/>
      <c r="F978" s="418"/>
    </row>
    <row r="979" spans="2:6" x14ac:dyDescent="0.25">
      <c r="B979" s="112"/>
      <c r="D979" s="112"/>
      <c r="E979" s="417"/>
      <c r="F979" s="418"/>
    </row>
    <row r="980" spans="2:6" x14ac:dyDescent="0.25">
      <c r="B980" s="112"/>
      <c r="D980" s="112"/>
      <c r="E980" s="417"/>
      <c r="F980" s="418"/>
    </row>
    <row r="981" spans="2:6" x14ac:dyDescent="0.25">
      <c r="B981" s="112"/>
      <c r="D981" s="112"/>
      <c r="E981" s="417"/>
      <c r="F981" s="418"/>
    </row>
    <row r="982" spans="2:6" x14ac:dyDescent="0.25">
      <c r="B982" s="112"/>
      <c r="D982" s="112"/>
      <c r="E982" s="417"/>
      <c r="F982" s="418"/>
    </row>
    <row r="983" spans="2:6" x14ac:dyDescent="0.25">
      <c r="B983" s="112"/>
      <c r="D983" s="112"/>
      <c r="E983" s="417"/>
      <c r="F983" s="418"/>
    </row>
    <row r="984" spans="2:6" x14ac:dyDescent="0.25">
      <c r="B984" s="112"/>
      <c r="D984" s="112"/>
      <c r="E984" s="417"/>
      <c r="F984" s="418"/>
    </row>
    <row r="985" spans="2:6" x14ac:dyDescent="0.25">
      <c r="B985" s="112"/>
      <c r="D985" s="112"/>
      <c r="E985" s="417"/>
      <c r="F985" s="418"/>
    </row>
    <row r="986" spans="2:6" x14ac:dyDescent="0.25">
      <c r="B986" s="112"/>
      <c r="D986" s="112"/>
      <c r="E986" s="417"/>
      <c r="F986" s="418"/>
    </row>
    <row r="987" spans="2:6" x14ac:dyDescent="0.25">
      <c r="B987" s="112"/>
      <c r="D987" s="112"/>
      <c r="E987" s="417"/>
      <c r="F987" s="418"/>
    </row>
    <row r="988" spans="2:6" x14ac:dyDescent="0.25">
      <c r="B988" s="112"/>
      <c r="D988" s="112"/>
      <c r="E988" s="417"/>
      <c r="F988" s="418"/>
    </row>
    <row r="989" spans="2:6" x14ac:dyDescent="0.25">
      <c r="B989" s="112"/>
      <c r="D989" s="112"/>
      <c r="E989" s="417"/>
      <c r="F989" s="418"/>
    </row>
    <row r="990" spans="2:6" x14ac:dyDescent="0.25">
      <c r="B990" s="112"/>
      <c r="D990" s="112"/>
      <c r="E990" s="417"/>
      <c r="F990" s="418"/>
    </row>
    <row r="991" spans="2:6" x14ac:dyDescent="0.25">
      <c r="B991" s="112"/>
      <c r="D991" s="112"/>
      <c r="E991" s="417"/>
      <c r="F991" s="418"/>
    </row>
    <row r="992" spans="2:6" x14ac:dyDescent="0.25">
      <c r="B992" s="112"/>
      <c r="D992" s="112"/>
      <c r="E992" s="417"/>
      <c r="F992" s="418"/>
    </row>
    <row r="993" spans="2:6" x14ac:dyDescent="0.25">
      <c r="B993" s="112"/>
      <c r="D993" s="112"/>
      <c r="E993" s="417"/>
      <c r="F993" s="418"/>
    </row>
    <row r="994" spans="2:6" x14ac:dyDescent="0.25">
      <c r="B994" s="112"/>
      <c r="D994" s="112"/>
      <c r="E994" s="417"/>
      <c r="F994" s="418"/>
    </row>
    <row r="995" spans="2:6" x14ac:dyDescent="0.25">
      <c r="B995" s="112"/>
      <c r="D995" s="112"/>
      <c r="E995" s="417"/>
      <c r="F995" s="418"/>
    </row>
    <row r="996" spans="2:6" x14ac:dyDescent="0.25">
      <c r="B996" s="112"/>
      <c r="D996" s="112"/>
      <c r="E996" s="417"/>
      <c r="F996" s="418"/>
    </row>
    <row r="997" spans="2:6" x14ac:dyDescent="0.25">
      <c r="B997" s="112"/>
      <c r="D997" s="112"/>
      <c r="E997" s="417"/>
      <c r="F997" s="418"/>
    </row>
    <row r="998" spans="2:6" x14ac:dyDescent="0.25">
      <c r="B998" s="112"/>
      <c r="D998" s="112"/>
      <c r="E998" s="417"/>
      <c r="F998" s="418"/>
    </row>
    <row r="999" spans="2:6" x14ac:dyDescent="0.25">
      <c r="B999" s="112"/>
      <c r="D999" s="112"/>
      <c r="E999" s="417"/>
      <c r="F999" s="418"/>
    </row>
    <row r="1000" spans="2:6" x14ac:dyDescent="0.25">
      <c r="B1000" s="112"/>
      <c r="D1000" s="112"/>
      <c r="E1000" s="417"/>
      <c r="F1000" s="418"/>
    </row>
    <row r="1001" spans="2:6" x14ac:dyDescent="0.25">
      <c r="B1001" s="112"/>
      <c r="D1001" s="112"/>
      <c r="E1001" s="417"/>
      <c r="F1001" s="418"/>
    </row>
    <row r="1002" spans="2:6" x14ac:dyDescent="0.25">
      <c r="B1002" s="112"/>
      <c r="D1002" s="112"/>
      <c r="E1002" s="417"/>
      <c r="F1002" s="418"/>
    </row>
    <row r="1003" spans="2:6" x14ac:dyDescent="0.25">
      <c r="B1003" s="112"/>
      <c r="D1003" s="112"/>
      <c r="E1003" s="417"/>
      <c r="F1003" s="418"/>
    </row>
    <row r="1004" spans="2:6" x14ac:dyDescent="0.25">
      <c r="B1004" s="112"/>
      <c r="D1004" s="112"/>
      <c r="E1004" s="417"/>
      <c r="F1004" s="418"/>
    </row>
    <row r="1005" spans="2:6" x14ac:dyDescent="0.25">
      <c r="B1005" s="112"/>
      <c r="D1005" s="112"/>
      <c r="E1005" s="417"/>
      <c r="F1005" s="418"/>
    </row>
    <row r="1006" spans="2:6" x14ac:dyDescent="0.25">
      <c r="B1006" s="112"/>
      <c r="D1006" s="112"/>
      <c r="E1006" s="417"/>
      <c r="F1006" s="418"/>
    </row>
    <row r="1007" spans="2:6" x14ac:dyDescent="0.25">
      <c r="B1007" s="112"/>
      <c r="D1007" s="112"/>
      <c r="E1007" s="417"/>
      <c r="F1007" s="418"/>
    </row>
    <row r="1008" spans="2:6" x14ac:dyDescent="0.25">
      <c r="B1008" s="112"/>
      <c r="D1008" s="112"/>
      <c r="E1008" s="417"/>
      <c r="F1008" s="418"/>
    </row>
    <row r="1009" spans="2:6" x14ac:dyDescent="0.25">
      <c r="B1009" s="112"/>
      <c r="D1009" s="112"/>
      <c r="E1009" s="417"/>
      <c r="F1009" s="418"/>
    </row>
    <row r="1010" spans="2:6" x14ac:dyDescent="0.25">
      <c r="B1010" s="112"/>
      <c r="D1010" s="112"/>
      <c r="E1010" s="417"/>
      <c r="F1010" s="418"/>
    </row>
    <row r="1011" spans="2:6" x14ac:dyDescent="0.25">
      <c r="B1011" s="112"/>
      <c r="D1011" s="112"/>
      <c r="E1011" s="417"/>
      <c r="F1011" s="418"/>
    </row>
    <row r="1012" spans="2:6" x14ac:dyDescent="0.25">
      <c r="B1012" s="112"/>
      <c r="D1012" s="112"/>
      <c r="E1012" s="417"/>
      <c r="F1012" s="418"/>
    </row>
    <row r="1013" spans="2:6" x14ac:dyDescent="0.25">
      <c r="B1013" s="112"/>
      <c r="D1013" s="112"/>
      <c r="E1013" s="417"/>
      <c r="F1013" s="418"/>
    </row>
    <row r="1014" spans="2:6" x14ac:dyDescent="0.25">
      <c r="B1014" s="112"/>
      <c r="D1014" s="112"/>
      <c r="E1014" s="417"/>
      <c r="F1014" s="418"/>
    </row>
    <row r="1015" spans="2:6" x14ac:dyDescent="0.25">
      <c r="B1015" s="112"/>
      <c r="D1015" s="112"/>
      <c r="E1015" s="417"/>
      <c r="F1015" s="418"/>
    </row>
    <row r="1016" spans="2:6" x14ac:dyDescent="0.25">
      <c r="B1016" s="112"/>
      <c r="D1016" s="112"/>
      <c r="E1016" s="417"/>
      <c r="F1016" s="418"/>
    </row>
    <row r="1017" spans="2:6" x14ac:dyDescent="0.25">
      <c r="B1017" s="112"/>
      <c r="D1017" s="112"/>
      <c r="E1017" s="417"/>
      <c r="F1017" s="418"/>
    </row>
    <row r="1018" spans="2:6" x14ac:dyDescent="0.25">
      <c r="B1018" s="112"/>
      <c r="D1018" s="112"/>
      <c r="E1018" s="417"/>
      <c r="F1018" s="418"/>
    </row>
    <row r="1019" spans="2:6" x14ac:dyDescent="0.25">
      <c r="B1019" s="112"/>
      <c r="D1019" s="112"/>
      <c r="E1019" s="417"/>
      <c r="F1019" s="418"/>
    </row>
    <row r="1020" spans="2:6" x14ac:dyDescent="0.25">
      <c r="B1020" s="112"/>
      <c r="D1020" s="112"/>
      <c r="E1020" s="417"/>
      <c r="F1020" s="418"/>
    </row>
    <row r="1021" spans="2:6" x14ac:dyDescent="0.25">
      <c r="B1021" s="112"/>
      <c r="D1021" s="112"/>
      <c r="E1021" s="417"/>
      <c r="F1021" s="418"/>
    </row>
    <row r="1022" spans="2:6" x14ac:dyDescent="0.25">
      <c r="B1022" s="112"/>
      <c r="D1022" s="112"/>
      <c r="E1022" s="417"/>
      <c r="F1022" s="418"/>
    </row>
    <row r="1023" spans="2:6" x14ac:dyDescent="0.25">
      <c r="B1023" s="112"/>
      <c r="D1023" s="112"/>
      <c r="E1023" s="417"/>
      <c r="F1023" s="418"/>
    </row>
    <row r="1024" spans="2:6" x14ac:dyDescent="0.25">
      <c r="B1024" s="112"/>
      <c r="D1024" s="112"/>
      <c r="E1024" s="417"/>
      <c r="F1024" s="418"/>
    </row>
    <row r="1025" spans="2:6" x14ac:dyDescent="0.25">
      <c r="B1025" s="112"/>
      <c r="D1025" s="112"/>
      <c r="E1025" s="417"/>
      <c r="F1025" s="418"/>
    </row>
    <row r="1026" spans="2:6" x14ac:dyDescent="0.25">
      <c r="B1026" s="112"/>
      <c r="D1026" s="112"/>
      <c r="E1026" s="417"/>
      <c r="F1026" s="418"/>
    </row>
    <row r="1027" spans="2:6" x14ac:dyDescent="0.25">
      <c r="B1027" s="112"/>
      <c r="D1027" s="112"/>
      <c r="E1027" s="417"/>
      <c r="F1027" s="418"/>
    </row>
    <row r="1028" spans="2:6" x14ac:dyDescent="0.25">
      <c r="B1028" s="112"/>
      <c r="D1028" s="112"/>
      <c r="E1028" s="417"/>
      <c r="F1028" s="418"/>
    </row>
    <row r="1029" spans="2:6" x14ac:dyDescent="0.25">
      <c r="B1029" s="112"/>
      <c r="D1029" s="112"/>
      <c r="E1029" s="417"/>
      <c r="F1029" s="418"/>
    </row>
    <row r="1030" spans="2:6" x14ac:dyDescent="0.25">
      <c r="B1030" s="112"/>
      <c r="D1030" s="112"/>
      <c r="E1030" s="417"/>
      <c r="F1030" s="418"/>
    </row>
    <row r="1031" spans="2:6" x14ac:dyDescent="0.25">
      <c r="B1031" s="112"/>
      <c r="D1031" s="112"/>
      <c r="E1031" s="417"/>
      <c r="F1031" s="418"/>
    </row>
    <row r="1032" spans="2:6" x14ac:dyDescent="0.25">
      <c r="B1032" s="112"/>
      <c r="D1032" s="112"/>
      <c r="E1032" s="417"/>
      <c r="F1032" s="418"/>
    </row>
    <row r="1033" spans="2:6" x14ac:dyDescent="0.25">
      <c r="B1033" s="112"/>
      <c r="D1033" s="112"/>
      <c r="E1033" s="417"/>
      <c r="F1033" s="418"/>
    </row>
    <row r="1034" spans="2:6" x14ac:dyDescent="0.25">
      <c r="B1034" s="112"/>
      <c r="D1034" s="112"/>
      <c r="E1034" s="417"/>
      <c r="F1034" s="418"/>
    </row>
    <row r="1035" spans="2:6" x14ac:dyDescent="0.25">
      <c r="B1035" s="112"/>
      <c r="D1035" s="112"/>
      <c r="E1035" s="417"/>
      <c r="F1035" s="418"/>
    </row>
    <row r="1036" spans="2:6" x14ac:dyDescent="0.25">
      <c r="B1036" s="112"/>
      <c r="D1036" s="112"/>
      <c r="E1036" s="417"/>
      <c r="F1036" s="418"/>
    </row>
    <row r="1037" spans="2:6" x14ac:dyDescent="0.25">
      <c r="B1037" s="112"/>
      <c r="D1037" s="112"/>
      <c r="E1037" s="417"/>
      <c r="F1037" s="418"/>
    </row>
    <row r="1038" spans="2:6" x14ac:dyDescent="0.25">
      <c r="B1038" s="112"/>
      <c r="D1038" s="112"/>
      <c r="E1038" s="417"/>
      <c r="F1038" s="418"/>
    </row>
    <row r="1039" spans="2:6" x14ac:dyDescent="0.25">
      <c r="B1039" s="112"/>
      <c r="D1039" s="112"/>
      <c r="E1039" s="417"/>
      <c r="F1039" s="418"/>
    </row>
    <row r="1040" spans="2:6" x14ac:dyDescent="0.25">
      <c r="B1040" s="112"/>
      <c r="D1040" s="112"/>
      <c r="E1040" s="417"/>
      <c r="F1040" s="418"/>
    </row>
    <row r="1041" spans="2:6" x14ac:dyDescent="0.25">
      <c r="B1041" s="112"/>
      <c r="D1041" s="112"/>
      <c r="E1041" s="417"/>
      <c r="F1041" s="418"/>
    </row>
    <row r="1042" spans="2:6" x14ac:dyDescent="0.25">
      <c r="B1042" s="112"/>
      <c r="D1042" s="112"/>
      <c r="E1042" s="417"/>
      <c r="F1042" s="418"/>
    </row>
    <row r="1043" spans="2:6" x14ac:dyDescent="0.25">
      <c r="B1043" s="112"/>
      <c r="D1043" s="112"/>
      <c r="E1043" s="417"/>
      <c r="F1043" s="418"/>
    </row>
    <row r="1044" spans="2:6" x14ac:dyDescent="0.25">
      <c r="B1044" s="112"/>
      <c r="D1044" s="112"/>
      <c r="E1044" s="417"/>
      <c r="F1044" s="418"/>
    </row>
    <row r="1045" spans="2:6" x14ac:dyDescent="0.25">
      <c r="B1045" s="112"/>
      <c r="D1045" s="112"/>
      <c r="E1045" s="417"/>
      <c r="F1045" s="418"/>
    </row>
    <row r="1046" spans="2:6" x14ac:dyDescent="0.25">
      <c r="B1046" s="112"/>
      <c r="D1046" s="112"/>
      <c r="E1046" s="417"/>
      <c r="F1046" s="418"/>
    </row>
    <row r="1047" spans="2:6" x14ac:dyDescent="0.25">
      <c r="B1047" s="112"/>
      <c r="D1047" s="112"/>
      <c r="E1047" s="417"/>
      <c r="F1047" s="418"/>
    </row>
    <row r="1048" spans="2:6" x14ac:dyDescent="0.25">
      <c r="B1048" s="112"/>
      <c r="D1048" s="112"/>
      <c r="E1048" s="417"/>
      <c r="F1048" s="418"/>
    </row>
    <row r="1049" spans="2:6" x14ac:dyDescent="0.25">
      <c r="B1049" s="112"/>
      <c r="D1049" s="112"/>
      <c r="E1049" s="417"/>
      <c r="F1049" s="418"/>
    </row>
    <row r="1050" spans="2:6" x14ac:dyDescent="0.25">
      <c r="B1050" s="112"/>
      <c r="D1050" s="112"/>
      <c r="E1050" s="417"/>
      <c r="F1050" s="418"/>
    </row>
    <row r="1051" spans="2:6" x14ac:dyDescent="0.25">
      <c r="B1051" s="112"/>
      <c r="D1051" s="112"/>
      <c r="E1051" s="417"/>
      <c r="F1051" s="418"/>
    </row>
    <row r="1052" spans="2:6" x14ac:dyDescent="0.25">
      <c r="B1052" s="112"/>
      <c r="D1052" s="112"/>
      <c r="E1052" s="417"/>
      <c r="F1052" s="418"/>
    </row>
    <row r="1053" spans="2:6" x14ac:dyDescent="0.25">
      <c r="B1053" s="112"/>
      <c r="D1053" s="112"/>
      <c r="E1053" s="417"/>
      <c r="F1053" s="418"/>
    </row>
    <row r="1054" spans="2:6" x14ac:dyDescent="0.25">
      <c r="B1054" s="112"/>
      <c r="D1054" s="112"/>
      <c r="E1054" s="417"/>
      <c r="F1054" s="418"/>
    </row>
    <row r="1055" spans="2:6" x14ac:dyDescent="0.25">
      <c r="B1055" s="112"/>
      <c r="D1055" s="112"/>
      <c r="E1055" s="417"/>
      <c r="F1055" s="418"/>
    </row>
    <row r="1056" spans="2:6" x14ac:dyDescent="0.25">
      <c r="B1056" s="112"/>
      <c r="D1056" s="112"/>
      <c r="E1056" s="417"/>
      <c r="F1056" s="418"/>
    </row>
    <row r="1057" spans="2:6" x14ac:dyDescent="0.25">
      <c r="B1057" s="112"/>
      <c r="D1057" s="112"/>
      <c r="E1057" s="417"/>
      <c r="F1057" s="418"/>
    </row>
    <row r="1058" spans="2:6" x14ac:dyDescent="0.25">
      <c r="B1058" s="112"/>
      <c r="D1058" s="112"/>
      <c r="E1058" s="417"/>
      <c r="F1058" s="418"/>
    </row>
    <row r="1059" spans="2:6" x14ac:dyDescent="0.25">
      <c r="B1059" s="112"/>
      <c r="D1059" s="112"/>
      <c r="E1059" s="417"/>
      <c r="F1059" s="418"/>
    </row>
    <row r="1060" spans="2:6" x14ac:dyDescent="0.25">
      <c r="B1060" s="112"/>
      <c r="D1060" s="112"/>
      <c r="E1060" s="417"/>
      <c r="F1060" s="418"/>
    </row>
    <row r="1061" spans="2:6" x14ac:dyDescent="0.25">
      <c r="B1061" s="112"/>
      <c r="D1061" s="112"/>
      <c r="E1061" s="417"/>
      <c r="F1061" s="418"/>
    </row>
    <row r="1062" spans="2:6" x14ac:dyDescent="0.25">
      <c r="B1062" s="112"/>
      <c r="D1062" s="112"/>
      <c r="E1062" s="417"/>
      <c r="F1062" s="418"/>
    </row>
    <row r="1063" spans="2:6" x14ac:dyDescent="0.25">
      <c r="B1063" s="112"/>
      <c r="D1063" s="112"/>
      <c r="E1063" s="417"/>
      <c r="F1063" s="418"/>
    </row>
    <row r="1064" spans="2:6" x14ac:dyDescent="0.25">
      <c r="B1064" s="112"/>
      <c r="D1064" s="112"/>
      <c r="E1064" s="417"/>
      <c r="F1064" s="418"/>
    </row>
    <row r="1065" spans="2:6" x14ac:dyDescent="0.25">
      <c r="B1065" s="112"/>
      <c r="D1065" s="112"/>
      <c r="E1065" s="417"/>
      <c r="F1065" s="418"/>
    </row>
    <row r="1066" spans="2:6" x14ac:dyDescent="0.25">
      <c r="B1066" s="112"/>
      <c r="D1066" s="112"/>
      <c r="E1066" s="417"/>
      <c r="F1066" s="418"/>
    </row>
    <row r="1067" spans="2:6" x14ac:dyDescent="0.25">
      <c r="B1067" s="112"/>
      <c r="D1067" s="112"/>
      <c r="E1067" s="417"/>
      <c r="F1067" s="418"/>
    </row>
    <row r="1068" spans="2:6" x14ac:dyDescent="0.25">
      <c r="B1068" s="112"/>
      <c r="D1068" s="112"/>
      <c r="E1068" s="417"/>
      <c r="F1068" s="418"/>
    </row>
    <row r="1069" spans="2:6" x14ac:dyDescent="0.25">
      <c r="B1069" s="112"/>
      <c r="D1069" s="112"/>
      <c r="E1069" s="417"/>
      <c r="F1069" s="418"/>
    </row>
    <row r="1070" spans="2:6" x14ac:dyDescent="0.25">
      <c r="B1070" s="112"/>
      <c r="D1070" s="112"/>
      <c r="E1070" s="417"/>
      <c r="F1070" s="418"/>
    </row>
    <row r="1071" spans="2:6" x14ac:dyDescent="0.25">
      <c r="B1071" s="112"/>
      <c r="D1071" s="112"/>
      <c r="E1071" s="417"/>
      <c r="F1071" s="418"/>
    </row>
    <row r="1072" spans="2:6" x14ac:dyDescent="0.25">
      <c r="B1072" s="112"/>
      <c r="D1072" s="112"/>
      <c r="E1072" s="417"/>
      <c r="F1072" s="418"/>
    </row>
    <row r="1073" spans="2:6" x14ac:dyDescent="0.25">
      <c r="B1073" s="112"/>
      <c r="D1073" s="112"/>
      <c r="E1073" s="417"/>
      <c r="F1073" s="418"/>
    </row>
    <row r="1074" spans="2:6" x14ac:dyDescent="0.25">
      <c r="B1074" s="112"/>
      <c r="D1074" s="112"/>
      <c r="E1074" s="417"/>
      <c r="F1074" s="418"/>
    </row>
    <row r="1075" spans="2:6" x14ac:dyDescent="0.25">
      <c r="B1075" s="112"/>
      <c r="D1075" s="112"/>
      <c r="E1075" s="417"/>
      <c r="F1075" s="418"/>
    </row>
    <row r="1076" spans="2:6" x14ac:dyDescent="0.25">
      <c r="B1076" s="112"/>
      <c r="D1076" s="112"/>
      <c r="E1076" s="417"/>
      <c r="F1076" s="418"/>
    </row>
    <row r="1077" spans="2:6" x14ac:dyDescent="0.25">
      <c r="B1077" s="112"/>
      <c r="D1077" s="112"/>
      <c r="E1077" s="417"/>
      <c r="F1077" s="418"/>
    </row>
    <row r="1078" spans="2:6" x14ac:dyDescent="0.25">
      <c r="B1078" s="112"/>
      <c r="D1078" s="112"/>
      <c r="E1078" s="417"/>
      <c r="F1078" s="418"/>
    </row>
    <row r="1079" spans="2:6" x14ac:dyDescent="0.25">
      <c r="B1079" s="112"/>
      <c r="D1079" s="112"/>
      <c r="E1079" s="417"/>
      <c r="F1079" s="418"/>
    </row>
    <row r="1080" spans="2:6" x14ac:dyDescent="0.25">
      <c r="B1080" s="112"/>
      <c r="D1080" s="112"/>
      <c r="E1080" s="417"/>
      <c r="F1080" s="418"/>
    </row>
    <row r="1081" spans="2:6" x14ac:dyDescent="0.25">
      <c r="B1081" s="112"/>
      <c r="D1081" s="112"/>
      <c r="E1081" s="417"/>
      <c r="F1081" s="418"/>
    </row>
    <row r="1082" spans="2:6" x14ac:dyDescent="0.25">
      <c r="B1082" s="112"/>
      <c r="D1082" s="112"/>
      <c r="E1082" s="417"/>
      <c r="F1082" s="418"/>
    </row>
    <row r="1083" spans="2:6" x14ac:dyDescent="0.25">
      <c r="B1083" s="112"/>
      <c r="D1083" s="112"/>
      <c r="E1083" s="417"/>
      <c r="F1083" s="418"/>
    </row>
    <row r="1084" spans="2:6" x14ac:dyDescent="0.25">
      <c r="B1084" s="112"/>
      <c r="D1084" s="112"/>
      <c r="E1084" s="417"/>
      <c r="F1084" s="418"/>
    </row>
    <row r="1085" spans="2:6" x14ac:dyDescent="0.25">
      <c r="B1085" s="112"/>
      <c r="D1085" s="112"/>
      <c r="E1085" s="417"/>
      <c r="F1085" s="418"/>
    </row>
    <row r="1086" spans="2:6" x14ac:dyDescent="0.25">
      <c r="B1086" s="112"/>
      <c r="D1086" s="112"/>
      <c r="E1086" s="417"/>
      <c r="F1086" s="418"/>
    </row>
    <row r="1087" spans="2:6" x14ac:dyDescent="0.25">
      <c r="B1087" s="112"/>
      <c r="D1087" s="112"/>
      <c r="E1087" s="417"/>
      <c r="F1087" s="418"/>
    </row>
    <row r="1088" spans="2:6" x14ac:dyDescent="0.25">
      <c r="B1088" s="112"/>
      <c r="D1088" s="112"/>
      <c r="E1088" s="417"/>
      <c r="F1088" s="418"/>
    </row>
    <row r="1089" spans="2:6" x14ac:dyDescent="0.25">
      <c r="B1089" s="112"/>
      <c r="D1089" s="112"/>
      <c r="E1089" s="417"/>
      <c r="F1089" s="418"/>
    </row>
    <row r="1090" spans="2:6" x14ac:dyDescent="0.25">
      <c r="B1090" s="112"/>
      <c r="D1090" s="112"/>
      <c r="E1090" s="417"/>
      <c r="F1090" s="418"/>
    </row>
    <row r="1091" spans="2:6" x14ac:dyDescent="0.25">
      <c r="B1091" s="112"/>
      <c r="D1091" s="112"/>
      <c r="E1091" s="417"/>
      <c r="F1091" s="418"/>
    </row>
    <row r="1092" spans="2:6" x14ac:dyDescent="0.25">
      <c r="B1092" s="112"/>
      <c r="D1092" s="112"/>
      <c r="E1092" s="417"/>
      <c r="F1092" s="418"/>
    </row>
    <row r="1093" spans="2:6" x14ac:dyDescent="0.25">
      <c r="B1093" s="112"/>
      <c r="D1093" s="112"/>
      <c r="E1093" s="417"/>
      <c r="F1093" s="418"/>
    </row>
    <row r="1094" spans="2:6" x14ac:dyDescent="0.25">
      <c r="B1094" s="112"/>
      <c r="D1094" s="112"/>
      <c r="E1094" s="417"/>
      <c r="F1094" s="418"/>
    </row>
    <row r="1095" spans="2:6" x14ac:dyDescent="0.25">
      <c r="B1095" s="112"/>
      <c r="D1095" s="112"/>
      <c r="E1095" s="417"/>
      <c r="F1095" s="418"/>
    </row>
    <row r="1096" spans="2:6" x14ac:dyDescent="0.25">
      <c r="B1096" s="112"/>
      <c r="D1096" s="112"/>
      <c r="E1096" s="417"/>
      <c r="F1096" s="418"/>
    </row>
    <row r="1097" spans="2:6" x14ac:dyDescent="0.25">
      <c r="B1097" s="112"/>
      <c r="D1097" s="112"/>
      <c r="E1097" s="417"/>
      <c r="F1097" s="418"/>
    </row>
    <row r="1098" spans="2:6" x14ac:dyDescent="0.25">
      <c r="B1098" s="112"/>
      <c r="D1098" s="112"/>
      <c r="E1098" s="417"/>
      <c r="F1098" s="418"/>
    </row>
    <row r="1099" spans="2:6" x14ac:dyDescent="0.25">
      <c r="B1099" s="112"/>
      <c r="D1099" s="112"/>
      <c r="E1099" s="417"/>
      <c r="F1099" s="418"/>
    </row>
    <row r="1100" spans="2:6" x14ac:dyDescent="0.25">
      <c r="B1100" s="112"/>
      <c r="D1100" s="112"/>
      <c r="E1100" s="417"/>
      <c r="F1100" s="418"/>
    </row>
    <row r="1101" spans="2:6" x14ac:dyDescent="0.25">
      <c r="B1101" s="112"/>
      <c r="D1101" s="112"/>
      <c r="E1101" s="417"/>
      <c r="F1101" s="418"/>
    </row>
    <row r="1102" spans="2:6" x14ac:dyDescent="0.25">
      <c r="B1102" s="112"/>
      <c r="D1102" s="112"/>
      <c r="E1102" s="417"/>
      <c r="F1102" s="418"/>
    </row>
    <row r="1103" spans="2:6" x14ac:dyDescent="0.25">
      <c r="B1103" s="112"/>
      <c r="D1103" s="112"/>
      <c r="E1103" s="417"/>
      <c r="F1103" s="418"/>
    </row>
    <row r="1104" spans="2:6" x14ac:dyDescent="0.25">
      <c r="B1104" s="112"/>
      <c r="D1104" s="112"/>
      <c r="E1104" s="417"/>
      <c r="F1104" s="418"/>
    </row>
    <row r="1105" spans="2:6" x14ac:dyDescent="0.25">
      <c r="B1105" s="112"/>
      <c r="D1105" s="112"/>
      <c r="E1105" s="417"/>
      <c r="F1105" s="418"/>
    </row>
    <row r="1106" spans="2:6" x14ac:dyDescent="0.25">
      <c r="B1106" s="112"/>
      <c r="D1106" s="112"/>
      <c r="E1106" s="417"/>
      <c r="F1106" s="418"/>
    </row>
    <row r="1107" spans="2:6" x14ac:dyDescent="0.25">
      <c r="B1107" s="112"/>
      <c r="D1107" s="112"/>
      <c r="E1107" s="417"/>
      <c r="F1107" s="418"/>
    </row>
    <row r="1108" spans="2:6" x14ac:dyDescent="0.25">
      <c r="B1108" s="112"/>
      <c r="D1108" s="112"/>
      <c r="E1108" s="417"/>
      <c r="F1108" s="418"/>
    </row>
    <row r="1109" spans="2:6" x14ac:dyDescent="0.25">
      <c r="B1109" s="112"/>
      <c r="D1109" s="112"/>
      <c r="E1109" s="417"/>
      <c r="F1109" s="418"/>
    </row>
    <row r="1110" spans="2:6" x14ac:dyDescent="0.25">
      <c r="B1110" s="112"/>
      <c r="D1110" s="112"/>
      <c r="E1110" s="417"/>
      <c r="F1110" s="418"/>
    </row>
    <row r="1111" spans="2:6" x14ac:dyDescent="0.25">
      <c r="B1111" s="112"/>
      <c r="D1111" s="112"/>
      <c r="E1111" s="417"/>
      <c r="F1111" s="418"/>
    </row>
    <row r="1112" spans="2:6" x14ac:dyDescent="0.25">
      <c r="B1112" s="112"/>
      <c r="D1112" s="112"/>
      <c r="E1112" s="417"/>
      <c r="F1112" s="418"/>
    </row>
    <row r="1113" spans="2:6" x14ac:dyDescent="0.25">
      <c r="B1113" s="112"/>
      <c r="D1113" s="112"/>
      <c r="E1113" s="417"/>
      <c r="F1113" s="418"/>
    </row>
    <row r="1114" spans="2:6" x14ac:dyDescent="0.25">
      <c r="B1114" s="112"/>
      <c r="D1114" s="112"/>
      <c r="E1114" s="417"/>
      <c r="F1114" s="418"/>
    </row>
    <row r="1115" spans="2:6" x14ac:dyDescent="0.25">
      <c r="B1115" s="112"/>
      <c r="D1115" s="112"/>
      <c r="E1115" s="417"/>
      <c r="F1115" s="418"/>
    </row>
    <row r="1116" spans="2:6" x14ac:dyDescent="0.25">
      <c r="B1116" s="112"/>
      <c r="D1116" s="112"/>
      <c r="E1116" s="417"/>
      <c r="F1116" s="418"/>
    </row>
    <row r="1117" spans="2:6" x14ac:dyDescent="0.25">
      <c r="B1117" s="112"/>
      <c r="D1117" s="112"/>
      <c r="E1117" s="417"/>
      <c r="F1117" s="418"/>
    </row>
    <row r="1118" spans="2:6" x14ac:dyDescent="0.25">
      <c r="B1118" s="112"/>
      <c r="D1118" s="112"/>
      <c r="E1118" s="417"/>
      <c r="F1118" s="418"/>
    </row>
    <row r="1119" spans="2:6" x14ac:dyDescent="0.25">
      <c r="B1119" s="112"/>
      <c r="D1119" s="112"/>
      <c r="E1119" s="417"/>
      <c r="F1119" s="418"/>
    </row>
    <row r="1120" spans="2:6" x14ac:dyDescent="0.25">
      <c r="B1120" s="112"/>
      <c r="D1120" s="112"/>
      <c r="E1120" s="417"/>
      <c r="F1120" s="418"/>
    </row>
    <row r="1121" spans="2:6" x14ac:dyDescent="0.25">
      <c r="B1121" s="112"/>
      <c r="D1121" s="112"/>
      <c r="E1121" s="417"/>
      <c r="F1121" s="418"/>
    </row>
    <row r="1122" spans="2:6" x14ac:dyDescent="0.25">
      <c r="B1122" s="112"/>
      <c r="D1122" s="112"/>
      <c r="E1122" s="417"/>
      <c r="F1122" s="418"/>
    </row>
    <row r="1123" spans="2:6" x14ac:dyDescent="0.25">
      <c r="B1123" s="112"/>
      <c r="D1123" s="112"/>
      <c r="E1123" s="417"/>
      <c r="F1123" s="418"/>
    </row>
    <row r="1124" spans="2:6" x14ac:dyDescent="0.25">
      <c r="B1124" s="112"/>
      <c r="D1124" s="112"/>
      <c r="E1124" s="417"/>
      <c r="F1124" s="418"/>
    </row>
    <row r="1125" spans="2:6" x14ac:dyDescent="0.25">
      <c r="B1125" s="112"/>
      <c r="D1125" s="112"/>
      <c r="E1125" s="417"/>
      <c r="F1125" s="418"/>
    </row>
    <row r="1126" spans="2:6" x14ac:dyDescent="0.25">
      <c r="B1126" s="112"/>
      <c r="D1126" s="112"/>
      <c r="E1126" s="417"/>
      <c r="F1126" s="418"/>
    </row>
    <row r="1127" spans="2:6" x14ac:dyDescent="0.25">
      <c r="B1127" s="112"/>
      <c r="D1127" s="112"/>
      <c r="E1127" s="417"/>
      <c r="F1127" s="418"/>
    </row>
    <row r="1128" spans="2:6" x14ac:dyDescent="0.25">
      <c r="B1128" s="112"/>
      <c r="D1128" s="112"/>
      <c r="E1128" s="417"/>
      <c r="F1128" s="418"/>
    </row>
    <row r="1129" spans="2:6" x14ac:dyDescent="0.25">
      <c r="B1129" s="112"/>
      <c r="D1129" s="112"/>
      <c r="E1129" s="417"/>
      <c r="F1129" s="418"/>
    </row>
    <row r="1130" spans="2:6" x14ac:dyDescent="0.25">
      <c r="B1130" s="112"/>
      <c r="D1130" s="112"/>
      <c r="E1130" s="417"/>
      <c r="F1130" s="418"/>
    </row>
    <row r="1131" spans="2:6" x14ac:dyDescent="0.25">
      <c r="B1131" s="112"/>
      <c r="D1131" s="112"/>
      <c r="E1131" s="417"/>
      <c r="F1131" s="418"/>
    </row>
    <row r="1132" spans="2:6" x14ac:dyDescent="0.25">
      <c r="B1132" s="112"/>
      <c r="D1132" s="112"/>
      <c r="E1132" s="417"/>
      <c r="F1132" s="418"/>
    </row>
    <row r="1133" spans="2:6" x14ac:dyDescent="0.25">
      <c r="B1133" s="112"/>
      <c r="D1133" s="112"/>
      <c r="E1133" s="417"/>
      <c r="F1133" s="418"/>
    </row>
    <row r="1134" spans="2:6" x14ac:dyDescent="0.25">
      <c r="B1134" s="112"/>
      <c r="D1134" s="112"/>
      <c r="E1134" s="417"/>
      <c r="F1134" s="418"/>
    </row>
    <row r="1135" spans="2:6" x14ac:dyDescent="0.25">
      <c r="B1135" s="112"/>
      <c r="D1135" s="112"/>
      <c r="E1135" s="417"/>
      <c r="F1135" s="418"/>
    </row>
    <row r="1136" spans="2:6" x14ac:dyDescent="0.25">
      <c r="B1136" s="112"/>
      <c r="D1136" s="112"/>
      <c r="E1136" s="417"/>
      <c r="F1136" s="418"/>
    </row>
    <row r="1137" spans="2:6" x14ac:dyDescent="0.25">
      <c r="B1137" s="112"/>
      <c r="D1137" s="112"/>
      <c r="E1137" s="417"/>
      <c r="F1137" s="418"/>
    </row>
    <row r="1138" spans="2:6" x14ac:dyDescent="0.25">
      <c r="B1138" s="112"/>
      <c r="D1138" s="112"/>
      <c r="E1138" s="417"/>
      <c r="F1138" s="418"/>
    </row>
    <row r="1139" spans="2:6" x14ac:dyDescent="0.25">
      <c r="B1139" s="112"/>
      <c r="D1139" s="112"/>
      <c r="E1139" s="417"/>
      <c r="F1139" s="418"/>
    </row>
    <row r="1140" spans="2:6" x14ac:dyDescent="0.25">
      <c r="B1140" s="112"/>
      <c r="D1140" s="112"/>
      <c r="E1140" s="417"/>
      <c r="F1140" s="418"/>
    </row>
    <row r="1141" spans="2:6" x14ac:dyDescent="0.25">
      <c r="B1141" s="112"/>
      <c r="D1141" s="112"/>
      <c r="E1141" s="417"/>
      <c r="F1141" s="418"/>
    </row>
    <row r="1142" spans="2:6" x14ac:dyDescent="0.25">
      <c r="B1142" s="112"/>
      <c r="D1142" s="112"/>
      <c r="E1142" s="417"/>
      <c r="F1142" s="418"/>
    </row>
    <row r="1143" spans="2:6" x14ac:dyDescent="0.25">
      <c r="B1143" s="112"/>
      <c r="D1143" s="112"/>
      <c r="E1143" s="417"/>
      <c r="F1143" s="418"/>
    </row>
    <row r="1144" spans="2:6" x14ac:dyDescent="0.25">
      <c r="B1144" s="112"/>
      <c r="D1144" s="112"/>
      <c r="E1144" s="417"/>
      <c r="F1144" s="418"/>
    </row>
    <row r="1145" spans="2:6" x14ac:dyDescent="0.25">
      <c r="B1145" s="112"/>
      <c r="D1145" s="112"/>
      <c r="E1145" s="417"/>
      <c r="F1145" s="418"/>
    </row>
    <row r="1146" spans="2:6" x14ac:dyDescent="0.25">
      <c r="B1146" s="112"/>
      <c r="D1146" s="112"/>
      <c r="E1146" s="417"/>
      <c r="F1146" s="418"/>
    </row>
    <row r="1147" spans="2:6" x14ac:dyDescent="0.25">
      <c r="B1147" s="112"/>
      <c r="D1147" s="112"/>
      <c r="E1147" s="417"/>
      <c r="F1147" s="418"/>
    </row>
    <row r="1148" spans="2:6" x14ac:dyDescent="0.25">
      <c r="B1148" s="112"/>
      <c r="D1148" s="112"/>
      <c r="E1148" s="417"/>
      <c r="F1148" s="418"/>
    </row>
    <row r="1149" spans="2:6" x14ac:dyDescent="0.25">
      <c r="B1149" s="112"/>
      <c r="D1149" s="112"/>
      <c r="E1149" s="417"/>
      <c r="F1149" s="418"/>
    </row>
    <row r="1150" spans="2:6" x14ac:dyDescent="0.25">
      <c r="B1150" s="112"/>
      <c r="D1150" s="112"/>
      <c r="E1150" s="417"/>
      <c r="F1150" s="418"/>
    </row>
    <row r="1151" spans="2:6" x14ac:dyDescent="0.25">
      <c r="B1151" s="112"/>
      <c r="D1151" s="112"/>
      <c r="E1151" s="417"/>
      <c r="F1151" s="418"/>
    </row>
    <row r="1152" spans="2:6" x14ac:dyDescent="0.25">
      <c r="B1152" s="112"/>
      <c r="D1152" s="112"/>
      <c r="E1152" s="417"/>
      <c r="F1152" s="418"/>
    </row>
    <row r="1153" spans="2:6" x14ac:dyDescent="0.25">
      <c r="B1153" s="112"/>
      <c r="D1153" s="112"/>
      <c r="E1153" s="417"/>
      <c r="F1153" s="418"/>
    </row>
    <row r="1154" spans="2:6" x14ac:dyDescent="0.25">
      <c r="B1154" s="112"/>
      <c r="D1154" s="112"/>
      <c r="E1154" s="417"/>
      <c r="F1154" s="418"/>
    </row>
    <row r="1155" spans="2:6" x14ac:dyDescent="0.25">
      <c r="B1155" s="112"/>
      <c r="D1155" s="112"/>
      <c r="E1155" s="417"/>
      <c r="F1155" s="418"/>
    </row>
    <row r="1156" spans="2:6" x14ac:dyDescent="0.25">
      <c r="B1156" s="112"/>
      <c r="D1156" s="112"/>
      <c r="E1156" s="417"/>
      <c r="F1156" s="418"/>
    </row>
    <row r="1157" spans="2:6" x14ac:dyDescent="0.25">
      <c r="B1157" s="112"/>
      <c r="D1157" s="112"/>
      <c r="E1157" s="417"/>
      <c r="F1157" s="418"/>
    </row>
    <row r="1158" spans="2:6" x14ac:dyDescent="0.25">
      <c r="B1158" s="112"/>
      <c r="D1158" s="112"/>
      <c r="E1158" s="417"/>
      <c r="F1158" s="418"/>
    </row>
    <row r="1159" spans="2:6" x14ac:dyDescent="0.25">
      <c r="B1159" s="112"/>
      <c r="D1159" s="112"/>
      <c r="E1159" s="417"/>
      <c r="F1159" s="418"/>
    </row>
    <row r="1160" spans="2:6" x14ac:dyDescent="0.25">
      <c r="B1160" s="112"/>
      <c r="D1160" s="112"/>
      <c r="E1160" s="417"/>
      <c r="F1160" s="418"/>
    </row>
    <row r="1161" spans="2:6" x14ac:dyDescent="0.25">
      <c r="B1161" s="112"/>
      <c r="D1161" s="112"/>
      <c r="E1161" s="417"/>
      <c r="F1161" s="418"/>
    </row>
    <row r="1162" spans="2:6" x14ac:dyDescent="0.25">
      <c r="B1162" s="112"/>
      <c r="D1162" s="112"/>
      <c r="E1162" s="417"/>
      <c r="F1162" s="418"/>
    </row>
    <row r="1163" spans="2:6" x14ac:dyDescent="0.25">
      <c r="B1163" s="112"/>
      <c r="D1163" s="112"/>
      <c r="E1163" s="417"/>
      <c r="F1163" s="418"/>
    </row>
    <row r="1164" spans="2:6" x14ac:dyDescent="0.25">
      <c r="B1164" s="112"/>
      <c r="D1164" s="112"/>
      <c r="E1164" s="417"/>
      <c r="F1164" s="418"/>
    </row>
    <row r="1165" spans="2:6" x14ac:dyDescent="0.25">
      <c r="B1165" s="112"/>
      <c r="D1165" s="112"/>
      <c r="E1165" s="417"/>
      <c r="F1165" s="418"/>
    </row>
    <row r="1166" spans="2:6" x14ac:dyDescent="0.25">
      <c r="B1166" s="112"/>
      <c r="D1166" s="112"/>
      <c r="E1166" s="417"/>
      <c r="F1166" s="418"/>
    </row>
    <row r="1167" spans="2:6" x14ac:dyDescent="0.25">
      <c r="B1167" s="112"/>
      <c r="D1167" s="112"/>
      <c r="E1167" s="417"/>
      <c r="F1167" s="418"/>
    </row>
    <row r="1168" spans="2:6" x14ac:dyDescent="0.25">
      <c r="B1168" s="112"/>
      <c r="D1168" s="112"/>
      <c r="E1168" s="417"/>
      <c r="F1168" s="418"/>
    </row>
    <row r="1169" spans="2:6" x14ac:dyDescent="0.25">
      <c r="B1169" s="112"/>
      <c r="D1169" s="112"/>
      <c r="E1169" s="417"/>
      <c r="F1169" s="418"/>
    </row>
    <row r="1170" spans="2:6" x14ac:dyDescent="0.25">
      <c r="B1170" s="112"/>
      <c r="D1170" s="112"/>
      <c r="E1170" s="417"/>
      <c r="F1170" s="418"/>
    </row>
    <row r="1171" spans="2:6" x14ac:dyDescent="0.25">
      <c r="B1171" s="112"/>
      <c r="D1171" s="112"/>
      <c r="E1171" s="417"/>
      <c r="F1171" s="418"/>
    </row>
    <row r="1172" spans="2:6" x14ac:dyDescent="0.25">
      <c r="B1172" s="112"/>
      <c r="D1172" s="112"/>
      <c r="E1172" s="417"/>
      <c r="F1172" s="418"/>
    </row>
    <row r="1173" spans="2:6" x14ac:dyDescent="0.25">
      <c r="B1173" s="112"/>
      <c r="D1173" s="112"/>
      <c r="E1173" s="417"/>
      <c r="F1173" s="418"/>
    </row>
    <row r="1174" spans="2:6" x14ac:dyDescent="0.25">
      <c r="B1174" s="112"/>
      <c r="D1174" s="112"/>
      <c r="E1174" s="417"/>
      <c r="F1174" s="418"/>
    </row>
    <row r="1175" spans="2:6" x14ac:dyDescent="0.25">
      <c r="B1175" s="112"/>
      <c r="D1175" s="112"/>
      <c r="E1175" s="417"/>
      <c r="F1175" s="418"/>
    </row>
    <row r="1176" spans="2:6" x14ac:dyDescent="0.25">
      <c r="B1176" s="112"/>
      <c r="D1176" s="112"/>
      <c r="E1176" s="417"/>
      <c r="F1176" s="418"/>
    </row>
    <row r="1177" spans="2:6" x14ac:dyDescent="0.25">
      <c r="B1177" s="112"/>
      <c r="D1177" s="112"/>
      <c r="E1177" s="417"/>
      <c r="F1177" s="418"/>
    </row>
    <row r="1178" spans="2:6" x14ac:dyDescent="0.25">
      <c r="B1178" s="112"/>
      <c r="D1178" s="112"/>
      <c r="E1178" s="417"/>
      <c r="F1178" s="418"/>
    </row>
    <row r="1179" spans="2:6" x14ac:dyDescent="0.25">
      <c r="B1179" s="112"/>
      <c r="D1179" s="112"/>
      <c r="E1179" s="417"/>
      <c r="F1179" s="418"/>
    </row>
    <row r="1180" spans="2:6" x14ac:dyDescent="0.25">
      <c r="B1180" s="112"/>
      <c r="D1180" s="112"/>
      <c r="E1180" s="417"/>
      <c r="F1180" s="418"/>
    </row>
    <row r="1181" spans="2:6" x14ac:dyDescent="0.25">
      <c r="B1181" s="112"/>
      <c r="D1181" s="112"/>
      <c r="E1181" s="417"/>
      <c r="F1181" s="418"/>
    </row>
    <row r="1182" spans="2:6" x14ac:dyDescent="0.25">
      <c r="B1182" s="112"/>
      <c r="D1182" s="112"/>
      <c r="E1182" s="417"/>
      <c r="F1182" s="418"/>
    </row>
    <row r="1183" spans="2:6" x14ac:dyDescent="0.25">
      <c r="B1183" s="112"/>
      <c r="D1183" s="112"/>
      <c r="E1183" s="417"/>
      <c r="F1183" s="418"/>
    </row>
    <row r="1184" spans="2:6" x14ac:dyDescent="0.25">
      <c r="B1184" s="112"/>
      <c r="D1184" s="112"/>
      <c r="E1184" s="417"/>
      <c r="F1184" s="418"/>
    </row>
    <row r="1185" spans="2:6" x14ac:dyDescent="0.25">
      <c r="B1185" s="112"/>
      <c r="D1185" s="112"/>
      <c r="E1185" s="417"/>
      <c r="F1185" s="418"/>
    </row>
    <row r="1186" spans="2:6" x14ac:dyDescent="0.25">
      <c r="B1186" s="112"/>
      <c r="D1186" s="112"/>
      <c r="E1186" s="417"/>
      <c r="F1186" s="418"/>
    </row>
    <row r="1187" spans="2:6" x14ac:dyDescent="0.25">
      <c r="B1187" s="112"/>
      <c r="D1187" s="112"/>
      <c r="E1187" s="417"/>
      <c r="F1187" s="418"/>
    </row>
    <row r="1188" spans="2:6" x14ac:dyDescent="0.25">
      <c r="B1188" s="112"/>
      <c r="D1188" s="112"/>
      <c r="E1188" s="417"/>
      <c r="F1188" s="418"/>
    </row>
    <row r="1189" spans="2:6" x14ac:dyDescent="0.25">
      <c r="B1189" s="112"/>
      <c r="D1189" s="112"/>
      <c r="E1189" s="417"/>
      <c r="F1189" s="418"/>
    </row>
    <row r="1190" spans="2:6" x14ac:dyDescent="0.25">
      <c r="B1190" s="112"/>
      <c r="D1190" s="112"/>
      <c r="E1190" s="417"/>
      <c r="F1190" s="418"/>
    </row>
    <row r="1191" spans="2:6" x14ac:dyDescent="0.25">
      <c r="B1191" s="112"/>
      <c r="D1191" s="112"/>
      <c r="E1191" s="417"/>
      <c r="F1191" s="418"/>
    </row>
    <row r="1192" spans="2:6" x14ac:dyDescent="0.25">
      <c r="B1192" s="112"/>
      <c r="D1192" s="112"/>
      <c r="E1192" s="417"/>
      <c r="F1192" s="418"/>
    </row>
    <row r="1193" spans="2:6" x14ac:dyDescent="0.25">
      <c r="B1193" s="112"/>
      <c r="D1193" s="112"/>
      <c r="E1193" s="417"/>
      <c r="F1193" s="418"/>
    </row>
    <row r="1194" spans="2:6" x14ac:dyDescent="0.25">
      <c r="B1194" s="112"/>
      <c r="D1194" s="112"/>
      <c r="E1194" s="417"/>
      <c r="F1194" s="418"/>
    </row>
    <row r="1195" spans="2:6" x14ac:dyDescent="0.25">
      <c r="B1195" s="112"/>
      <c r="D1195" s="112"/>
      <c r="E1195" s="417"/>
      <c r="F1195" s="418"/>
    </row>
    <row r="1196" spans="2:6" x14ac:dyDescent="0.25">
      <c r="B1196" s="112"/>
      <c r="D1196" s="112"/>
      <c r="E1196" s="417"/>
      <c r="F1196" s="418"/>
    </row>
    <row r="1197" spans="2:6" x14ac:dyDescent="0.25">
      <c r="B1197" s="112"/>
      <c r="D1197" s="112"/>
      <c r="E1197" s="417"/>
      <c r="F1197" s="418"/>
    </row>
    <row r="1198" spans="2:6" x14ac:dyDescent="0.25">
      <c r="B1198" s="112"/>
      <c r="D1198" s="112"/>
      <c r="E1198" s="417"/>
      <c r="F1198" s="418"/>
    </row>
    <row r="1199" spans="2:6" x14ac:dyDescent="0.25">
      <c r="B1199" s="112"/>
      <c r="D1199" s="112"/>
      <c r="E1199" s="417"/>
      <c r="F1199" s="418"/>
    </row>
    <row r="1200" spans="2:6" x14ac:dyDescent="0.25">
      <c r="B1200" s="112"/>
      <c r="D1200" s="112"/>
      <c r="E1200" s="417"/>
      <c r="F1200" s="418"/>
    </row>
    <row r="1201" spans="2:6" x14ac:dyDescent="0.25">
      <c r="B1201" s="112"/>
      <c r="D1201" s="112"/>
      <c r="E1201" s="417"/>
      <c r="F1201" s="418"/>
    </row>
    <row r="1202" spans="2:6" x14ac:dyDescent="0.25">
      <c r="B1202" s="112"/>
      <c r="D1202" s="112"/>
      <c r="E1202" s="417"/>
      <c r="F1202" s="418"/>
    </row>
    <row r="1203" spans="2:6" x14ac:dyDescent="0.25">
      <c r="B1203" s="112"/>
      <c r="D1203" s="112"/>
      <c r="E1203" s="417"/>
      <c r="F1203" s="418"/>
    </row>
    <row r="1204" spans="2:6" x14ac:dyDescent="0.25">
      <c r="B1204" s="112"/>
      <c r="D1204" s="112"/>
      <c r="E1204" s="417"/>
      <c r="F1204" s="418"/>
    </row>
    <row r="1205" spans="2:6" x14ac:dyDescent="0.25">
      <c r="B1205" s="112"/>
      <c r="D1205" s="112"/>
      <c r="E1205" s="417"/>
      <c r="F1205" s="418"/>
    </row>
    <row r="1206" spans="2:6" x14ac:dyDescent="0.25">
      <c r="B1206" s="112"/>
      <c r="D1206" s="112"/>
      <c r="E1206" s="417"/>
      <c r="F1206" s="418"/>
    </row>
    <row r="1207" spans="2:6" x14ac:dyDescent="0.25">
      <c r="B1207" s="112"/>
      <c r="D1207" s="112"/>
      <c r="E1207" s="417"/>
      <c r="F1207" s="418"/>
    </row>
    <row r="1208" spans="2:6" x14ac:dyDescent="0.25">
      <c r="B1208" s="112"/>
      <c r="D1208" s="112"/>
      <c r="E1208" s="417"/>
      <c r="F1208" s="418"/>
    </row>
    <row r="1209" spans="2:6" x14ac:dyDescent="0.25">
      <c r="B1209" s="112"/>
      <c r="D1209" s="112"/>
      <c r="E1209" s="417"/>
      <c r="F1209" s="418"/>
    </row>
    <row r="1210" spans="2:6" x14ac:dyDescent="0.25">
      <c r="B1210" s="112"/>
      <c r="D1210" s="112"/>
      <c r="E1210" s="417"/>
      <c r="F1210" s="418"/>
    </row>
    <row r="1211" spans="2:6" x14ac:dyDescent="0.25">
      <c r="B1211" s="112"/>
      <c r="D1211" s="112"/>
      <c r="E1211" s="417"/>
      <c r="F1211" s="418"/>
    </row>
    <row r="1212" spans="2:6" x14ac:dyDescent="0.25">
      <c r="B1212" s="112"/>
      <c r="D1212" s="112"/>
      <c r="E1212" s="417"/>
      <c r="F1212" s="418"/>
    </row>
    <row r="1213" spans="2:6" x14ac:dyDescent="0.25">
      <c r="B1213" s="112"/>
      <c r="D1213" s="112"/>
      <c r="E1213" s="417"/>
      <c r="F1213" s="418"/>
    </row>
    <row r="1214" spans="2:6" x14ac:dyDescent="0.25">
      <c r="B1214" s="112"/>
      <c r="D1214" s="112"/>
      <c r="E1214" s="417"/>
      <c r="F1214" s="418"/>
    </row>
    <row r="1215" spans="2:6" x14ac:dyDescent="0.25">
      <c r="B1215" s="112"/>
      <c r="D1215" s="112"/>
      <c r="E1215" s="417"/>
      <c r="F1215" s="418"/>
    </row>
    <row r="1216" spans="2:6" x14ac:dyDescent="0.25">
      <c r="B1216" s="112"/>
      <c r="D1216" s="112"/>
      <c r="E1216" s="417"/>
      <c r="F1216" s="418"/>
    </row>
    <row r="1217" spans="2:6" x14ac:dyDescent="0.25">
      <c r="B1217" s="112"/>
      <c r="D1217" s="112"/>
      <c r="E1217" s="417"/>
      <c r="F1217" s="418"/>
    </row>
    <row r="1218" spans="2:6" x14ac:dyDescent="0.25">
      <c r="B1218" s="112"/>
      <c r="D1218" s="112"/>
      <c r="E1218" s="417"/>
      <c r="F1218" s="418"/>
    </row>
    <row r="1219" spans="2:6" x14ac:dyDescent="0.25">
      <c r="B1219" s="112"/>
      <c r="D1219" s="112"/>
      <c r="E1219" s="417"/>
      <c r="F1219" s="418"/>
    </row>
    <row r="1220" spans="2:6" x14ac:dyDescent="0.25">
      <c r="B1220" s="112"/>
      <c r="D1220" s="112"/>
      <c r="E1220" s="417"/>
      <c r="F1220" s="418"/>
    </row>
    <row r="1221" spans="2:6" x14ac:dyDescent="0.25">
      <c r="B1221" s="112"/>
      <c r="D1221" s="112"/>
      <c r="E1221" s="417"/>
      <c r="F1221" s="418"/>
    </row>
    <row r="1222" spans="2:6" x14ac:dyDescent="0.25">
      <c r="B1222" s="112"/>
      <c r="D1222" s="112"/>
      <c r="E1222" s="417"/>
      <c r="F1222" s="418"/>
    </row>
    <row r="1223" spans="2:6" x14ac:dyDescent="0.25">
      <c r="B1223" s="112"/>
      <c r="D1223" s="112"/>
      <c r="E1223" s="417"/>
      <c r="F1223" s="418"/>
    </row>
    <row r="1224" spans="2:6" x14ac:dyDescent="0.25">
      <c r="B1224" s="112"/>
      <c r="D1224" s="112"/>
      <c r="E1224" s="417"/>
      <c r="F1224" s="418"/>
    </row>
    <row r="1225" spans="2:6" x14ac:dyDescent="0.25">
      <c r="B1225" s="112"/>
      <c r="D1225" s="112"/>
      <c r="E1225" s="417"/>
      <c r="F1225" s="418"/>
    </row>
    <row r="1226" spans="2:6" x14ac:dyDescent="0.25">
      <c r="B1226" s="112"/>
      <c r="D1226" s="112"/>
      <c r="E1226" s="417"/>
      <c r="F1226" s="418"/>
    </row>
    <row r="1227" spans="2:6" x14ac:dyDescent="0.25">
      <c r="B1227" s="112"/>
      <c r="D1227" s="112"/>
      <c r="E1227" s="417"/>
      <c r="F1227" s="418"/>
    </row>
    <row r="1228" spans="2:6" x14ac:dyDescent="0.25">
      <c r="B1228" s="112"/>
      <c r="D1228" s="112"/>
      <c r="E1228" s="417"/>
      <c r="F1228" s="418"/>
    </row>
    <row r="1229" spans="2:6" x14ac:dyDescent="0.25">
      <c r="B1229" s="112"/>
      <c r="D1229" s="112"/>
      <c r="E1229" s="417"/>
      <c r="F1229" s="418"/>
    </row>
    <row r="1230" spans="2:6" x14ac:dyDescent="0.25">
      <c r="B1230" s="112"/>
      <c r="D1230" s="112"/>
      <c r="E1230" s="417"/>
      <c r="F1230" s="418"/>
    </row>
    <row r="1231" spans="2:6" x14ac:dyDescent="0.25">
      <c r="B1231" s="112"/>
      <c r="D1231" s="112"/>
      <c r="E1231" s="417"/>
      <c r="F1231" s="418"/>
    </row>
    <row r="1232" spans="2:6" x14ac:dyDescent="0.25">
      <c r="B1232" s="112"/>
      <c r="D1232" s="112"/>
      <c r="E1232" s="417"/>
      <c r="F1232" s="418"/>
    </row>
    <row r="1233" spans="2:6" x14ac:dyDescent="0.25">
      <c r="B1233" s="112"/>
      <c r="D1233" s="112"/>
      <c r="E1233" s="417"/>
      <c r="F1233" s="418"/>
    </row>
    <row r="1234" spans="2:6" x14ac:dyDescent="0.25">
      <c r="B1234" s="112"/>
      <c r="D1234" s="112"/>
      <c r="E1234" s="417"/>
      <c r="F1234" s="418"/>
    </row>
    <row r="1235" spans="2:6" x14ac:dyDescent="0.25">
      <c r="B1235" s="112"/>
      <c r="D1235" s="112"/>
      <c r="E1235" s="417"/>
      <c r="F1235" s="418"/>
    </row>
    <row r="1236" spans="2:6" x14ac:dyDescent="0.25">
      <c r="B1236" s="112"/>
      <c r="D1236" s="112"/>
      <c r="E1236" s="417"/>
      <c r="F1236" s="418"/>
    </row>
    <row r="1237" spans="2:6" x14ac:dyDescent="0.25">
      <c r="B1237" s="112"/>
      <c r="D1237" s="112"/>
      <c r="E1237" s="417"/>
      <c r="F1237" s="418"/>
    </row>
    <row r="1238" spans="2:6" x14ac:dyDescent="0.25">
      <c r="B1238" s="112"/>
      <c r="D1238" s="112"/>
      <c r="E1238" s="417"/>
      <c r="F1238" s="418"/>
    </row>
    <row r="1239" spans="2:6" x14ac:dyDescent="0.25">
      <c r="B1239" s="112"/>
      <c r="D1239" s="112"/>
      <c r="E1239" s="417"/>
      <c r="F1239" s="418"/>
    </row>
    <row r="1240" spans="2:6" x14ac:dyDescent="0.25">
      <c r="B1240" s="112"/>
      <c r="D1240" s="112"/>
      <c r="E1240" s="417"/>
      <c r="F1240" s="418"/>
    </row>
    <row r="1241" spans="2:6" x14ac:dyDescent="0.25">
      <c r="B1241" s="112"/>
      <c r="D1241" s="112"/>
      <c r="E1241" s="417"/>
      <c r="F1241" s="418"/>
    </row>
    <row r="1242" spans="2:6" x14ac:dyDescent="0.25">
      <c r="B1242" s="112"/>
      <c r="D1242" s="112"/>
      <c r="E1242" s="417"/>
      <c r="F1242" s="418"/>
    </row>
    <row r="1243" spans="2:6" x14ac:dyDescent="0.25">
      <c r="B1243" s="112"/>
      <c r="D1243" s="112"/>
      <c r="E1243" s="417"/>
      <c r="F1243" s="418"/>
    </row>
    <row r="1244" spans="2:6" x14ac:dyDescent="0.25">
      <c r="B1244" s="112"/>
      <c r="D1244" s="112"/>
      <c r="E1244" s="417"/>
      <c r="F1244" s="418"/>
    </row>
    <row r="1245" spans="2:6" x14ac:dyDescent="0.25">
      <c r="B1245" s="112"/>
      <c r="D1245" s="112"/>
      <c r="E1245" s="417"/>
      <c r="F1245" s="418"/>
    </row>
    <row r="1246" spans="2:6" x14ac:dyDescent="0.25">
      <c r="B1246" s="112"/>
      <c r="D1246" s="112"/>
      <c r="E1246" s="417"/>
      <c r="F1246" s="418"/>
    </row>
    <row r="1247" spans="2:6" x14ac:dyDescent="0.25">
      <c r="B1247" s="112"/>
      <c r="D1247" s="112"/>
      <c r="E1247" s="417"/>
      <c r="F1247" s="418"/>
    </row>
    <row r="1248" spans="2:6" x14ac:dyDescent="0.25">
      <c r="B1248" s="112"/>
      <c r="D1248" s="112"/>
      <c r="E1248" s="417"/>
      <c r="F1248" s="418"/>
    </row>
    <row r="1249" spans="2:6" x14ac:dyDescent="0.25">
      <c r="B1249" s="112"/>
      <c r="D1249" s="112"/>
      <c r="E1249" s="417"/>
      <c r="F1249" s="418"/>
    </row>
    <row r="1250" spans="2:6" x14ac:dyDescent="0.25">
      <c r="B1250" s="112"/>
      <c r="D1250" s="112"/>
      <c r="E1250" s="417"/>
      <c r="F1250" s="418"/>
    </row>
    <row r="1251" spans="2:6" x14ac:dyDescent="0.25">
      <c r="B1251" s="112"/>
      <c r="D1251" s="112"/>
      <c r="E1251" s="417"/>
      <c r="F1251" s="418"/>
    </row>
    <row r="1252" spans="2:6" x14ac:dyDescent="0.25">
      <c r="B1252" s="112"/>
      <c r="D1252" s="112"/>
      <c r="E1252" s="417"/>
      <c r="F1252" s="418"/>
    </row>
    <row r="1253" spans="2:6" x14ac:dyDescent="0.25">
      <c r="B1253" s="112"/>
      <c r="D1253" s="112"/>
      <c r="E1253" s="417"/>
      <c r="F1253" s="418"/>
    </row>
    <row r="1254" spans="2:6" x14ac:dyDescent="0.25">
      <c r="B1254" s="112"/>
      <c r="D1254" s="112"/>
      <c r="E1254" s="417"/>
      <c r="F1254" s="418"/>
    </row>
    <row r="1255" spans="2:6" x14ac:dyDescent="0.25">
      <c r="B1255" s="112"/>
      <c r="D1255" s="112"/>
      <c r="E1255" s="417"/>
      <c r="F1255" s="418"/>
    </row>
    <row r="1256" spans="2:6" x14ac:dyDescent="0.25">
      <c r="B1256" s="112"/>
      <c r="D1256" s="112"/>
      <c r="E1256" s="417"/>
      <c r="F1256" s="418"/>
    </row>
    <row r="1257" spans="2:6" x14ac:dyDescent="0.25">
      <c r="B1257" s="112"/>
      <c r="D1257" s="112"/>
      <c r="E1257" s="417"/>
      <c r="F1257" s="418"/>
    </row>
    <row r="1258" spans="2:6" x14ac:dyDescent="0.25">
      <c r="B1258" s="112"/>
      <c r="D1258" s="112"/>
      <c r="E1258" s="417"/>
      <c r="F1258" s="418"/>
    </row>
    <row r="1259" spans="2:6" x14ac:dyDescent="0.25">
      <c r="B1259" s="112"/>
      <c r="D1259" s="112"/>
      <c r="E1259" s="417"/>
      <c r="F1259" s="418"/>
    </row>
    <row r="1260" spans="2:6" x14ac:dyDescent="0.25">
      <c r="B1260" s="112"/>
      <c r="D1260" s="112"/>
      <c r="E1260" s="417"/>
      <c r="F1260" s="418"/>
    </row>
    <row r="1261" spans="2:6" x14ac:dyDescent="0.25">
      <c r="B1261" s="112"/>
      <c r="D1261" s="112"/>
      <c r="E1261" s="417"/>
      <c r="F1261" s="418"/>
    </row>
    <row r="1262" spans="2:6" x14ac:dyDescent="0.25">
      <c r="B1262" s="112"/>
      <c r="D1262" s="112"/>
      <c r="E1262" s="417"/>
      <c r="F1262" s="418"/>
    </row>
    <row r="1263" spans="2:6" x14ac:dyDescent="0.25">
      <c r="B1263" s="112"/>
      <c r="D1263" s="112"/>
      <c r="E1263" s="417"/>
      <c r="F1263" s="418"/>
    </row>
    <row r="1264" spans="2:6" x14ac:dyDescent="0.25">
      <c r="B1264" s="112"/>
      <c r="D1264" s="112"/>
      <c r="E1264" s="417"/>
      <c r="F1264" s="418"/>
    </row>
    <row r="1265" spans="2:6" x14ac:dyDescent="0.25">
      <c r="B1265" s="112"/>
      <c r="D1265" s="112"/>
      <c r="E1265" s="417"/>
      <c r="F1265" s="418"/>
    </row>
    <row r="1266" spans="2:6" x14ac:dyDescent="0.25">
      <c r="B1266" s="112"/>
      <c r="D1266" s="112"/>
      <c r="E1266" s="417"/>
      <c r="F1266" s="418"/>
    </row>
    <row r="1267" spans="2:6" x14ac:dyDescent="0.25">
      <c r="B1267" s="112"/>
      <c r="D1267" s="112"/>
      <c r="E1267" s="417"/>
      <c r="F1267" s="418"/>
    </row>
    <row r="1268" spans="2:6" x14ac:dyDescent="0.25">
      <c r="B1268" s="112"/>
      <c r="D1268" s="112"/>
      <c r="E1268" s="417"/>
      <c r="F1268" s="418"/>
    </row>
    <row r="1269" spans="2:6" x14ac:dyDescent="0.25">
      <c r="B1269" s="112"/>
      <c r="D1269" s="112"/>
      <c r="E1269" s="417"/>
      <c r="F1269" s="418"/>
    </row>
    <row r="1270" spans="2:6" x14ac:dyDescent="0.25">
      <c r="B1270" s="112"/>
      <c r="D1270" s="112"/>
      <c r="E1270" s="417"/>
      <c r="F1270" s="418"/>
    </row>
    <row r="1271" spans="2:6" x14ac:dyDescent="0.25">
      <c r="B1271" s="112"/>
      <c r="D1271" s="112"/>
      <c r="E1271" s="417"/>
      <c r="F1271" s="418"/>
    </row>
    <row r="1272" spans="2:6" x14ac:dyDescent="0.25">
      <c r="B1272" s="112"/>
      <c r="D1272" s="112"/>
      <c r="E1272" s="417"/>
      <c r="F1272" s="418"/>
    </row>
    <row r="1273" spans="2:6" x14ac:dyDescent="0.25">
      <c r="B1273" s="112"/>
      <c r="D1273" s="112"/>
      <c r="E1273" s="417"/>
      <c r="F1273" s="418"/>
    </row>
    <row r="1274" spans="2:6" x14ac:dyDescent="0.25">
      <c r="B1274" s="112"/>
      <c r="D1274" s="112"/>
      <c r="E1274" s="417"/>
      <c r="F1274" s="418"/>
    </row>
    <row r="1275" spans="2:6" x14ac:dyDescent="0.25">
      <c r="B1275" s="112"/>
      <c r="D1275" s="112"/>
      <c r="E1275" s="417"/>
      <c r="F1275" s="418"/>
    </row>
    <row r="1276" spans="2:6" x14ac:dyDescent="0.25">
      <c r="B1276" s="112"/>
      <c r="D1276" s="112"/>
      <c r="E1276" s="417"/>
      <c r="F1276" s="418"/>
    </row>
    <row r="1277" spans="2:6" x14ac:dyDescent="0.25">
      <c r="B1277" s="112"/>
      <c r="D1277" s="112"/>
      <c r="E1277" s="417"/>
      <c r="F1277" s="418"/>
    </row>
    <row r="1278" spans="2:6" x14ac:dyDescent="0.25">
      <c r="B1278" s="112"/>
      <c r="D1278" s="112"/>
      <c r="E1278" s="417"/>
      <c r="F1278" s="418"/>
    </row>
    <row r="1279" spans="2:6" x14ac:dyDescent="0.25">
      <c r="B1279" s="112"/>
      <c r="D1279" s="112"/>
      <c r="E1279" s="417"/>
      <c r="F1279" s="418"/>
    </row>
    <row r="1280" spans="2:6" x14ac:dyDescent="0.25">
      <c r="B1280" s="112"/>
      <c r="D1280" s="112"/>
      <c r="E1280" s="417"/>
      <c r="F1280" s="418"/>
    </row>
    <row r="1281" spans="2:6" x14ac:dyDescent="0.25">
      <c r="B1281" s="112"/>
      <c r="D1281" s="112"/>
      <c r="E1281" s="417"/>
      <c r="F1281" s="418"/>
    </row>
    <row r="1282" spans="2:6" x14ac:dyDescent="0.25">
      <c r="B1282" s="112"/>
      <c r="D1282" s="112"/>
      <c r="E1282" s="417"/>
      <c r="F1282" s="418"/>
    </row>
    <row r="1283" spans="2:6" x14ac:dyDescent="0.25">
      <c r="B1283" s="112"/>
      <c r="D1283" s="112"/>
      <c r="E1283" s="417"/>
      <c r="F1283" s="418"/>
    </row>
    <row r="1284" spans="2:6" x14ac:dyDescent="0.25">
      <c r="B1284" s="112"/>
      <c r="D1284" s="112"/>
      <c r="E1284" s="417"/>
      <c r="F1284" s="418"/>
    </row>
    <row r="1285" spans="2:6" x14ac:dyDescent="0.25">
      <c r="B1285" s="112"/>
      <c r="D1285" s="112"/>
      <c r="E1285" s="417"/>
      <c r="F1285" s="418"/>
    </row>
    <row r="1286" spans="2:6" x14ac:dyDescent="0.25">
      <c r="B1286" s="112"/>
      <c r="D1286" s="112"/>
      <c r="E1286" s="417"/>
      <c r="F1286" s="418"/>
    </row>
    <row r="1287" spans="2:6" x14ac:dyDescent="0.25">
      <c r="B1287" s="112"/>
      <c r="D1287" s="112"/>
      <c r="E1287" s="417"/>
      <c r="F1287" s="418"/>
    </row>
    <row r="1288" spans="2:6" x14ac:dyDescent="0.25">
      <c r="B1288" s="112"/>
      <c r="D1288" s="112"/>
      <c r="E1288" s="417"/>
      <c r="F1288" s="418"/>
    </row>
    <row r="1289" spans="2:6" x14ac:dyDescent="0.25">
      <c r="B1289" s="112"/>
      <c r="D1289" s="112"/>
      <c r="E1289" s="417"/>
      <c r="F1289" s="418"/>
    </row>
    <row r="1290" spans="2:6" x14ac:dyDescent="0.25">
      <c r="B1290" s="112"/>
      <c r="D1290" s="112"/>
      <c r="E1290" s="417"/>
      <c r="F1290" s="418"/>
    </row>
    <row r="1291" spans="2:6" x14ac:dyDescent="0.25">
      <c r="B1291" s="112"/>
      <c r="D1291" s="112"/>
      <c r="E1291" s="417"/>
      <c r="F1291" s="418"/>
    </row>
    <row r="1292" spans="2:6" x14ac:dyDescent="0.25">
      <c r="B1292" s="112"/>
      <c r="D1292" s="112"/>
      <c r="E1292" s="417"/>
      <c r="F1292" s="418"/>
    </row>
    <row r="1293" spans="2:6" x14ac:dyDescent="0.25">
      <c r="B1293" s="112"/>
      <c r="D1293" s="112"/>
      <c r="E1293" s="417"/>
      <c r="F1293" s="418"/>
    </row>
    <row r="1294" spans="2:6" x14ac:dyDescent="0.25">
      <c r="B1294" s="112"/>
      <c r="D1294" s="112"/>
      <c r="E1294" s="417"/>
      <c r="F1294" s="418"/>
    </row>
    <row r="1295" spans="2:6" x14ac:dyDescent="0.25">
      <c r="B1295" s="112"/>
      <c r="D1295" s="112"/>
      <c r="E1295" s="417"/>
      <c r="F1295" s="418"/>
    </row>
    <row r="1296" spans="2:6" x14ac:dyDescent="0.25">
      <c r="B1296" s="112"/>
      <c r="D1296" s="112"/>
      <c r="E1296" s="417"/>
      <c r="F1296" s="418"/>
    </row>
    <row r="1297" spans="2:6" x14ac:dyDescent="0.25">
      <c r="B1297" s="112"/>
      <c r="D1297" s="112"/>
      <c r="E1297" s="417"/>
      <c r="F1297" s="418"/>
    </row>
    <row r="1298" spans="2:6" x14ac:dyDescent="0.25">
      <c r="B1298" s="112"/>
      <c r="D1298" s="112"/>
      <c r="E1298" s="417"/>
      <c r="F1298" s="418"/>
    </row>
    <row r="1299" spans="2:6" x14ac:dyDescent="0.25">
      <c r="B1299" s="112"/>
      <c r="D1299" s="112"/>
      <c r="E1299" s="417"/>
      <c r="F1299" s="418"/>
    </row>
    <row r="1300" spans="2:6" x14ac:dyDescent="0.25">
      <c r="B1300" s="112"/>
      <c r="D1300" s="112"/>
      <c r="E1300" s="417"/>
      <c r="F1300" s="418"/>
    </row>
    <row r="1301" spans="2:6" x14ac:dyDescent="0.25">
      <c r="B1301" s="112"/>
      <c r="D1301" s="112"/>
      <c r="E1301" s="417"/>
      <c r="F1301" s="418"/>
    </row>
    <row r="1302" spans="2:6" x14ac:dyDescent="0.25">
      <c r="B1302" s="112"/>
      <c r="D1302" s="112"/>
      <c r="E1302" s="417"/>
      <c r="F1302" s="418"/>
    </row>
    <row r="1303" spans="2:6" x14ac:dyDescent="0.25">
      <c r="B1303" s="112"/>
      <c r="D1303" s="112"/>
      <c r="E1303" s="417"/>
      <c r="F1303" s="418"/>
    </row>
    <row r="1304" spans="2:6" x14ac:dyDescent="0.25">
      <c r="B1304" s="112"/>
      <c r="D1304" s="112"/>
      <c r="E1304" s="417"/>
      <c r="F1304" s="418"/>
    </row>
    <row r="1305" spans="2:6" x14ac:dyDescent="0.25">
      <c r="B1305" s="112"/>
      <c r="D1305" s="112"/>
      <c r="E1305" s="417"/>
      <c r="F1305" s="418"/>
    </row>
    <row r="1306" spans="2:6" x14ac:dyDescent="0.25">
      <c r="B1306" s="112"/>
      <c r="D1306" s="112"/>
      <c r="E1306" s="417"/>
      <c r="F1306" s="418"/>
    </row>
    <row r="1307" spans="2:6" x14ac:dyDescent="0.25">
      <c r="B1307" s="112"/>
      <c r="D1307" s="112"/>
      <c r="E1307" s="417"/>
      <c r="F1307" s="418"/>
    </row>
    <row r="1308" spans="2:6" x14ac:dyDescent="0.25">
      <c r="B1308" s="112"/>
      <c r="D1308" s="112"/>
      <c r="E1308" s="417"/>
      <c r="F1308" s="418"/>
    </row>
    <row r="1309" spans="2:6" x14ac:dyDescent="0.25">
      <c r="B1309" s="112"/>
      <c r="D1309" s="112"/>
      <c r="E1309" s="417"/>
      <c r="F1309" s="418"/>
    </row>
    <row r="1310" spans="2:6" x14ac:dyDescent="0.25">
      <c r="B1310" s="112"/>
      <c r="D1310" s="112"/>
      <c r="E1310" s="417"/>
      <c r="F1310" s="418"/>
    </row>
    <row r="1311" spans="2:6" x14ac:dyDescent="0.25">
      <c r="B1311" s="112"/>
      <c r="D1311" s="112"/>
      <c r="E1311" s="417"/>
      <c r="F1311" s="418"/>
    </row>
    <row r="1312" spans="2:6" x14ac:dyDescent="0.25">
      <c r="B1312" s="112"/>
      <c r="D1312" s="112"/>
      <c r="E1312" s="417"/>
      <c r="F1312" s="418"/>
    </row>
    <row r="1313" spans="2:6" x14ac:dyDescent="0.25">
      <c r="B1313" s="112"/>
      <c r="D1313" s="112"/>
      <c r="E1313" s="417"/>
      <c r="F1313" s="418"/>
    </row>
    <row r="1314" spans="2:6" x14ac:dyDescent="0.25">
      <c r="B1314" s="112"/>
      <c r="D1314" s="112"/>
      <c r="E1314" s="417"/>
      <c r="F1314" s="418"/>
    </row>
    <row r="1315" spans="2:6" x14ac:dyDescent="0.25">
      <c r="B1315" s="112"/>
      <c r="D1315" s="112"/>
      <c r="E1315" s="417"/>
      <c r="F1315" s="418"/>
    </row>
    <row r="1316" spans="2:6" x14ac:dyDescent="0.25">
      <c r="B1316" s="112"/>
      <c r="D1316" s="112"/>
      <c r="E1316" s="417"/>
      <c r="F1316" s="418"/>
    </row>
    <row r="1317" spans="2:6" x14ac:dyDescent="0.25">
      <c r="B1317" s="112"/>
      <c r="D1317" s="112"/>
      <c r="E1317" s="417"/>
      <c r="F1317" s="418"/>
    </row>
    <row r="1318" spans="2:6" x14ac:dyDescent="0.25">
      <c r="B1318" s="112"/>
      <c r="D1318" s="112"/>
      <c r="E1318" s="417"/>
      <c r="F1318" s="418"/>
    </row>
    <row r="1319" spans="2:6" x14ac:dyDescent="0.25">
      <c r="B1319" s="112"/>
      <c r="D1319" s="112"/>
      <c r="E1319" s="417"/>
      <c r="F1319" s="418"/>
    </row>
    <row r="1320" spans="2:6" x14ac:dyDescent="0.25">
      <c r="B1320" s="112"/>
      <c r="D1320" s="112"/>
      <c r="E1320" s="417"/>
      <c r="F1320" s="418"/>
    </row>
    <row r="1321" spans="2:6" x14ac:dyDescent="0.25">
      <c r="B1321" s="112"/>
      <c r="D1321" s="112"/>
      <c r="E1321" s="417"/>
      <c r="F1321" s="418"/>
    </row>
    <row r="1322" spans="2:6" x14ac:dyDescent="0.25">
      <c r="B1322" s="112"/>
      <c r="D1322" s="112"/>
      <c r="E1322" s="417"/>
      <c r="F1322" s="418"/>
    </row>
    <row r="1323" spans="2:6" x14ac:dyDescent="0.25">
      <c r="B1323" s="112"/>
      <c r="D1323" s="112"/>
      <c r="E1323" s="417"/>
      <c r="F1323" s="418"/>
    </row>
    <row r="1324" spans="2:6" x14ac:dyDescent="0.25">
      <c r="B1324" s="112"/>
      <c r="D1324" s="112"/>
      <c r="E1324" s="417"/>
      <c r="F1324" s="418"/>
    </row>
    <row r="1325" spans="2:6" x14ac:dyDescent="0.25">
      <c r="B1325" s="112"/>
      <c r="D1325" s="112"/>
      <c r="E1325" s="417"/>
      <c r="F1325" s="418"/>
    </row>
    <row r="1326" spans="2:6" x14ac:dyDescent="0.25">
      <c r="B1326" s="112"/>
      <c r="D1326" s="112"/>
      <c r="E1326" s="417"/>
      <c r="F1326" s="418"/>
    </row>
    <row r="1327" spans="2:6" x14ac:dyDescent="0.25">
      <c r="B1327" s="112"/>
      <c r="D1327" s="112"/>
      <c r="E1327" s="417"/>
      <c r="F1327" s="418"/>
    </row>
    <row r="1328" spans="2:6" x14ac:dyDescent="0.25">
      <c r="B1328" s="112"/>
      <c r="D1328" s="112"/>
      <c r="E1328" s="417"/>
      <c r="F1328" s="418"/>
    </row>
    <row r="1329" spans="2:6" x14ac:dyDescent="0.25">
      <c r="B1329" s="112"/>
      <c r="D1329" s="112"/>
      <c r="E1329" s="417"/>
      <c r="F1329" s="418"/>
    </row>
    <row r="1330" spans="2:6" x14ac:dyDescent="0.25">
      <c r="B1330" s="112"/>
      <c r="D1330" s="112"/>
      <c r="E1330" s="417"/>
      <c r="F1330" s="418"/>
    </row>
    <row r="1331" spans="2:6" x14ac:dyDescent="0.25">
      <c r="B1331" s="112"/>
      <c r="D1331" s="112"/>
      <c r="E1331" s="417"/>
      <c r="F1331" s="418"/>
    </row>
    <row r="1332" spans="2:6" x14ac:dyDescent="0.25">
      <c r="B1332" s="112"/>
      <c r="D1332" s="112"/>
      <c r="E1332" s="417"/>
      <c r="F1332" s="418"/>
    </row>
    <row r="1333" spans="2:6" x14ac:dyDescent="0.25">
      <c r="B1333" s="112"/>
      <c r="D1333" s="112"/>
      <c r="E1333" s="417"/>
      <c r="F1333" s="418"/>
    </row>
    <row r="1334" spans="2:6" x14ac:dyDescent="0.25">
      <c r="B1334" s="112"/>
      <c r="D1334" s="112"/>
      <c r="E1334" s="417"/>
      <c r="F1334" s="418"/>
    </row>
    <row r="1335" spans="2:6" x14ac:dyDescent="0.25">
      <c r="B1335" s="112"/>
      <c r="D1335" s="112"/>
      <c r="E1335" s="417"/>
      <c r="F1335" s="418"/>
    </row>
    <row r="1336" spans="2:6" x14ac:dyDescent="0.25">
      <c r="B1336" s="112"/>
      <c r="D1336" s="112"/>
      <c r="E1336" s="417"/>
      <c r="F1336" s="418"/>
    </row>
    <row r="1337" spans="2:6" x14ac:dyDescent="0.25">
      <c r="B1337" s="112"/>
      <c r="D1337" s="112"/>
      <c r="E1337" s="417"/>
      <c r="F1337" s="418"/>
    </row>
    <row r="1338" spans="2:6" x14ac:dyDescent="0.25">
      <c r="B1338" s="112"/>
      <c r="D1338" s="112"/>
      <c r="E1338" s="417"/>
      <c r="F1338" s="418"/>
    </row>
    <row r="1339" spans="2:6" x14ac:dyDescent="0.25">
      <c r="B1339" s="112"/>
      <c r="D1339" s="112"/>
      <c r="E1339" s="417"/>
      <c r="F1339" s="418"/>
    </row>
    <row r="1340" spans="2:6" x14ac:dyDescent="0.25">
      <c r="B1340" s="112"/>
      <c r="D1340" s="112"/>
      <c r="E1340" s="417"/>
      <c r="F1340" s="418"/>
    </row>
    <row r="1341" spans="2:6" x14ac:dyDescent="0.25">
      <c r="B1341" s="112"/>
      <c r="D1341" s="112"/>
      <c r="E1341" s="417"/>
      <c r="F1341" s="418"/>
    </row>
    <row r="1342" spans="2:6" x14ac:dyDescent="0.25">
      <c r="B1342" s="112"/>
      <c r="D1342" s="112"/>
      <c r="E1342" s="417"/>
      <c r="F1342" s="418"/>
    </row>
    <row r="1343" spans="2:6" x14ac:dyDescent="0.25">
      <c r="B1343" s="112"/>
      <c r="D1343" s="112"/>
      <c r="E1343" s="417"/>
      <c r="F1343" s="418"/>
    </row>
    <row r="1344" spans="2:6" x14ac:dyDescent="0.25">
      <c r="B1344" s="112"/>
      <c r="D1344" s="112"/>
      <c r="E1344" s="417"/>
      <c r="F1344" s="418"/>
    </row>
    <row r="1345" spans="2:6" x14ac:dyDescent="0.25">
      <c r="B1345" s="112"/>
      <c r="D1345" s="112"/>
      <c r="E1345" s="417"/>
      <c r="F1345" s="418"/>
    </row>
    <row r="1346" spans="2:6" x14ac:dyDescent="0.25">
      <c r="B1346" s="112"/>
      <c r="D1346" s="112"/>
      <c r="E1346" s="417"/>
      <c r="F1346" s="418"/>
    </row>
    <row r="1347" spans="2:6" x14ac:dyDescent="0.25">
      <c r="B1347" s="112"/>
      <c r="D1347" s="112"/>
      <c r="E1347" s="417"/>
      <c r="F1347" s="418"/>
    </row>
    <row r="1348" spans="2:6" x14ac:dyDescent="0.25">
      <c r="B1348" s="112"/>
      <c r="D1348" s="112"/>
      <c r="E1348" s="417"/>
      <c r="F1348" s="418"/>
    </row>
    <row r="1349" spans="2:6" x14ac:dyDescent="0.25">
      <c r="B1349" s="112"/>
      <c r="D1349" s="112"/>
      <c r="E1349" s="417"/>
      <c r="F1349" s="418"/>
    </row>
    <row r="1350" spans="2:6" x14ac:dyDescent="0.25">
      <c r="B1350" s="112"/>
      <c r="D1350" s="112"/>
      <c r="E1350" s="417"/>
      <c r="F1350" s="418"/>
    </row>
    <row r="1351" spans="2:6" x14ac:dyDescent="0.25">
      <c r="B1351" s="112"/>
      <c r="D1351" s="112"/>
      <c r="E1351" s="417"/>
      <c r="F1351" s="418"/>
    </row>
    <row r="1352" spans="2:6" x14ac:dyDescent="0.25">
      <c r="B1352" s="112"/>
      <c r="D1352" s="112"/>
      <c r="E1352" s="417"/>
      <c r="F1352" s="418"/>
    </row>
    <row r="1353" spans="2:6" x14ac:dyDescent="0.25">
      <c r="B1353" s="112"/>
      <c r="D1353" s="112"/>
      <c r="E1353" s="417"/>
      <c r="F1353" s="418"/>
    </row>
    <row r="1354" spans="2:6" x14ac:dyDescent="0.25">
      <c r="B1354" s="112"/>
      <c r="D1354" s="112"/>
      <c r="E1354" s="417"/>
      <c r="F1354" s="418"/>
    </row>
    <row r="1355" spans="2:6" x14ac:dyDescent="0.25">
      <c r="B1355" s="112"/>
      <c r="D1355" s="112"/>
      <c r="E1355" s="417"/>
      <c r="F1355" s="418"/>
    </row>
    <row r="1356" spans="2:6" x14ac:dyDescent="0.25">
      <c r="B1356" s="112"/>
      <c r="D1356" s="112"/>
      <c r="E1356" s="417"/>
      <c r="F1356" s="418"/>
    </row>
    <row r="1357" spans="2:6" x14ac:dyDescent="0.25">
      <c r="B1357" s="112"/>
      <c r="D1357" s="112"/>
      <c r="E1357" s="417"/>
      <c r="F1357" s="418"/>
    </row>
    <row r="1358" spans="2:6" x14ac:dyDescent="0.25">
      <c r="B1358" s="112"/>
      <c r="D1358" s="112"/>
      <c r="E1358" s="417"/>
      <c r="F1358" s="418"/>
    </row>
    <row r="1359" spans="2:6" x14ac:dyDescent="0.25">
      <c r="B1359" s="112"/>
      <c r="D1359" s="112"/>
      <c r="E1359" s="417"/>
      <c r="F1359" s="418"/>
    </row>
    <row r="1360" spans="2:6" x14ac:dyDescent="0.25">
      <c r="B1360" s="112"/>
      <c r="D1360" s="112"/>
      <c r="E1360" s="417"/>
      <c r="F1360" s="418"/>
    </row>
    <row r="1361" spans="2:6" x14ac:dyDescent="0.25">
      <c r="B1361" s="112"/>
      <c r="D1361" s="112"/>
      <c r="E1361" s="417"/>
      <c r="F1361" s="418"/>
    </row>
    <row r="1362" spans="2:6" x14ac:dyDescent="0.25">
      <c r="B1362" s="112"/>
      <c r="D1362" s="112"/>
      <c r="E1362" s="417"/>
      <c r="F1362" s="418"/>
    </row>
    <row r="1363" spans="2:6" x14ac:dyDescent="0.25">
      <c r="B1363" s="112"/>
      <c r="D1363" s="112"/>
      <c r="E1363" s="417"/>
      <c r="F1363" s="418"/>
    </row>
    <row r="1364" spans="2:6" x14ac:dyDescent="0.25">
      <c r="B1364" s="112"/>
      <c r="D1364" s="112"/>
      <c r="E1364" s="417"/>
      <c r="F1364" s="418"/>
    </row>
    <row r="1365" spans="2:6" x14ac:dyDescent="0.25">
      <c r="B1365" s="112"/>
      <c r="D1365" s="112"/>
      <c r="E1365" s="417"/>
      <c r="F1365" s="418"/>
    </row>
    <row r="1366" spans="2:6" x14ac:dyDescent="0.25">
      <c r="B1366" s="112"/>
      <c r="D1366" s="112"/>
      <c r="E1366" s="417"/>
      <c r="F1366" s="418"/>
    </row>
    <row r="1367" spans="2:6" x14ac:dyDescent="0.25">
      <c r="B1367" s="112"/>
      <c r="D1367" s="112"/>
      <c r="E1367" s="417"/>
      <c r="F1367" s="418"/>
    </row>
    <row r="1368" spans="2:6" x14ac:dyDescent="0.25">
      <c r="B1368" s="112"/>
      <c r="D1368" s="112"/>
      <c r="E1368" s="417"/>
      <c r="F1368" s="418"/>
    </row>
    <row r="1369" spans="2:6" x14ac:dyDescent="0.25">
      <c r="B1369" s="112"/>
      <c r="D1369" s="112"/>
      <c r="E1369" s="417"/>
      <c r="F1369" s="418"/>
    </row>
    <row r="1370" spans="2:6" x14ac:dyDescent="0.25">
      <c r="B1370" s="112"/>
      <c r="D1370" s="112"/>
      <c r="E1370" s="417"/>
      <c r="F1370" s="418"/>
    </row>
    <row r="1371" spans="2:6" x14ac:dyDescent="0.25">
      <c r="B1371" s="112"/>
      <c r="D1371" s="112"/>
      <c r="E1371" s="417"/>
      <c r="F1371" s="418"/>
    </row>
    <row r="1372" spans="2:6" x14ac:dyDescent="0.25">
      <c r="B1372" s="112"/>
      <c r="D1372" s="112"/>
      <c r="E1372" s="417"/>
      <c r="F1372" s="418"/>
    </row>
    <row r="1373" spans="2:6" x14ac:dyDescent="0.25">
      <c r="B1373" s="112"/>
      <c r="D1373" s="112"/>
      <c r="E1373" s="417"/>
      <c r="F1373" s="418"/>
    </row>
    <row r="1374" spans="2:6" x14ac:dyDescent="0.25">
      <c r="B1374" s="112"/>
      <c r="D1374" s="112"/>
      <c r="E1374" s="417"/>
      <c r="F1374" s="418"/>
    </row>
    <row r="1375" spans="2:6" x14ac:dyDescent="0.25">
      <c r="B1375" s="112"/>
      <c r="D1375" s="112"/>
      <c r="E1375" s="417"/>
      <c r="F1375" s="418"/>
    </row>
    <row r="1376" spans="2:6" x14ac:dyDescent="0.25">
      <c r="B1376" s="112"/>
      <c r="D1376" s="112"/>
      <c r="E1376" s="417"/>
      <c r="F1376" s="418"/>
    </row>
    <row r="1377" spans="2:6" x14ac:dyDescent="0.25">
      <c r="B1377" s="112"/>
      <c r="D1377" s="112"/>
      <c r="E1377" s="417"/>
      <c r="F1377" s="418"/>
    </row>
    <row r="1378" spans="2:6" x14ac:dyDescent="0.25">
      <c r="B1378" s="112"/>
      <c r="D1378" s="112"/>
      <c r="E1378" s="417"/>
      <c r="F1378" s="418"/>
    </row>
    <row r="1379" spans="2:6" x14ac:dyDescent="0.25">
      <c r="B1379" s="112"/>
      <c r="D1379" s="112"/>
      <c r="E1379" s="417"/>
      <c r="F1379" s="418"/>
    </row>
    <row r="1380" spans="2:6" x14ac:dyDescent="0.25">
      <c r="B1380" s="112"/>
      <c r="D1380" s="112"/>
      <c r="E1380" s="417"/>
      <c r="F1380" s="418"/>
    </row>
    <row r="1381" spans="2:6" x14ac:dyDescent="0.25">
      <c r="B1381" s="112"/>
      <c r="D1381" s="112"/>
      <c r="E1381" s="417"/>
      <c r="F1381" s="418"/>
    </row>
    <row r="1382" spans="2:6" x14ac:dyDescent="0.25">
      <c r="B1382" s="112"/>
      <c r="D1382" s="112"/>
      <c r="E1382" s="417"/>
      <c r="F1382" s="418"/>
    </row>
    <row r="1383" spans="2:6" x14ac:dyDescent="0.25">
      <c r="B1383" s="112"/>
      <c r="D1383" s="112"/>
      <c r="E1383" s="417"/>
      <c r="F1383" s="418"/>
    </row>
    <row r="1384" spans="2:6" x14ac:dyDescent="0.25">
      <c r="B1384" s="112"/>
      <c r="D1384" s="112"/>
      <c r="E1384" s="417"/>
      <c r="F1384" s="418"/>
    </row>
    <row r="1385" spans="2:6" x14ac:dyDescent="0.25">
      <c r="B1385" s="112"/>
      <c r="D1385" s="112"/>
      <c r="E1385" s="417"/>
      <c r="F1385" s="418"/>
    </row>
    <row r="1386" spans="2:6" x14ac:dyDescent="0.25">
      <c r="B1386" s="112"/>
      <c r="D1386" s="112"/>
      <c r="E1386" s="417"/>
      <c r="F1386" s="418"/>
    </row>
    <row r="1387" spans="2:6" x14ac:dyDescent="0.25">
      <c r="B1387" s="112"/>
      <c r="D1387" s="112"/>
      <c r="E1387" s="417"/>
      <c r="F1387" s="418"/>
    </row>
    <row r="1388" spans="2:6" x14ac:dyDescent="0.25">
      <c r="B1388" s="112"/>
      <c r="D1388" s="112"/>
      <c r="E1388" s="417"/>
      <c r="F1388" s="418"/>
    </row>
    <row r="1389" spans="2:6" x14ac:dyDescent="0.25">
      <c r="B1389" s="112"/>
      <c r="D1389" s="112"/>
      <c r="E1389" s="417"/>
      <c r="F1389" s="418"/>
    </row>
    <row r="1390" spans="2:6" x14ac:dyDescent="0.25">
      <c r="B1390" s="112"/>
      <c r="D1390" s="112"/>
      <c r="E1390" s="417"/>
      <c r="F1390" s="418"/>
    </row>
    <row r="1391" spans="2:6" x14ac:dyDescent="0.25">
      <c r="B1391" s="112"/>
      <c r="D1391" s="112"/>
      <c r="E1391" s="417"/>
      <c r="F1391" s="418"/>
    </row>
    <row r="1392" spans="2:6" x14ac:dyDescent="0.25">
      <c r="B1392" s="112"/>
      <c r="D1392" s="112"/>
      <c r="E1392" s="417"/>
      <c r="F1392" s="418"/>
    </row>
    <row r="1393" spans="2:6" x14ac:dyDescent="0.25">
      <c r="B1393" s="112"/>
      <c r="D1393" s="112"/>
      <c r="E1393" s="417"/>
      <c r="F1393" s="418"/>
    </row>
    <row r="1394" spans="2:6" x14ac:dyDescent="0.25">
      <c r="B1394" s="112"/>
      <c r="D1394" s="112"/>
      <c r="E1394" s="417"/>
      <c r="F1394" s="418"/>
    </row>
    <row r="1395" spans="2:6" x14ac:dyDescent="0.25">
      <c r="B1395" s="112"/>
      <c r="D1395" s="112"/>
      <c r="E1395" s="417"/>
      <c r="F1395" s="418"/>
    </row>
    <row r="1396" spans="2:6" x14ac:dyDescent="0.25">
      <c r="B1396" s="112"/>
      <c r="D1396" s="112"/>
      <c r="E1396" s="417"/>
      <c r="F1396" s="418"/>
    </row>
    <row r="1397" spans="2:6" x14ac:dyDescent="0.25">
      <c r="B1397" s="112"/>
      <c r="D1397" s="112"/>
      <c r="E1397" s="417"/>
      <c r="F1397" s="418"/>
    </row>
    <row r="1398" spans="2:6" x14ac:dyDescent="0.25">
      <c r="B1398" s="112"/>
      <c r="D1398" s="112"/>
      <c r="E1398" s="417"/>
      <c r="F1398" s="418"/>
    </row>
    <row r="1399" spans="2:6" x14ac:dyDescent="0.25">
      <c r="B1399" s="112"/>
      <c r="D1399" s="112"/>
      <c r="E1399" s="417"/>
      <c r="F1399" s="418"/>
    </row>
    <row r="1400" spans="2:6" x14ac:dyDescent="0.25">
      <c r="B1400" s="112"/>
      <c r="D1400" s="112"/>
      <c r="E1400" s="417"/>
      <c r="F1400" s="418"/>
    </row>
    <row r="1401" spans="2:6" x14ac:dyDescent="0.25">
      <c r="B1401" s="112"/>
      <c r="D1401" s="112"/>
      <c r="E1401" s="417"/>
      <c r="F1401" s="418"/>
    </row>
    <row r="1402" spans="2:6" x14ac:dyDescent="0.25">
      <c r="B1402" s="112"/>
      <c r="D1402" s="112"/>
      <c r="E1402" s="417"/>
      <c r="F1402" s="418"/>
    </row>
    <row r="1403" spans="2:6" x14ac:dyDescent="0.25">
      <c r="B1403" s="112"/>
      <c r="D1403" s="112"/>
      <c r="E1403" s="417"/>
      <c r="F1403" s="418"/>
    </row>
    <row r="1404" spans="2:6" x14ac:dyDescent="0.25">
      <c r="B1404" s="112"/>
      <c r="D1404" s="112"/>
      <c r="E1404" s="417"/>
      <c r="F1404" s="418"/>
    </row>
    <row r="1405" spans="2:6" x14ac:dyDescent="0.25">
      <c r="B1405" s="112"/>
      <c r="D1405" s="112"/>
      <c r="E1405" s="417"/>
      <c r="F1405" s="418"/>
    </row>
    <row r="1406" spans="2:6" x14ac:dyDescent="0.25">
      <c r="B1406" s="112"/>
      <c r="D1406" s="112"/>
      <c r="E1406" s="417"/>
      <c r="F1406" s="418"/>
    </row>
    <row r="1407" spans="2:6" x14ac:dyDescent="0.25">
      <c r="B1407" s="112"/>
      <c r="D1407" s="112"/>
      <c r="E1407" s="417"/>
      <c r="F1407" s="418"/>
    </row>
    <row r="1408" spans="2:6" x14ac:dyDescent="0.25">
      <c r="B1408" s="112"/>
      <c r="D1408" s="112"/>
      <c r="E1408" s="417"/>
      <c r="F1408" s="418"/>
    </row>
    <row r="1409" spans="2:6" x14ac:dyDescent="0.25">
      <c r="B1409" s="112"/>
      <c r="D1409" s="112"/>
      <c r="E1409" s="417"/>
      <c r="F1409" s="418"/>
    </row>
    <row r="1410" spans="2:6" x14ac:dyDescent="0.25">
      <c r="B1410" s="112"/>
      <c r="D1410" s="112"/>
      <c r="E1410" s="417"/>
      <c r="F1410" s="418"/>
    </row>
    <row r="1411" spans="2:6" x14ac:dyDescent="0.25">
      <c r="B1411" s="112"/>
      <c r="D1411" s="112"/>
      <c r="E1411" s="417"/>
      <c r="F1411" s="418"/>
    </row>
    <row r="1412" spans="2:6" x14ac:dyDescent="0.25">
      <c r="B1412" s="112"/>
      <c r="D1412" s="112"/>
      <c r="E1412" s="417"/>
      <c r="F1412" s="418"/>
    </row>
    <row r="1413" spans="2:6" x14ac:dyDescent="0.25">
      <c r="B1413" s="112"/>
      <c r="D1413" s="112"/>
      <c r="E1413" s="417"/>
      <c r="F1413" s="418"/>
    </row>
    <row r="1414" spans="2:6" x14ac:dyDescent="0.25">
      <c r="B1414" s="112"/>
      <c r="D1414" s="112"/>
      <c r="E1414" s="417"/>
      <c r="F1414" s="418"/>
    </row>
    <row r="1415" spans="2:6" x14ac:dyDescent="0.25">
      <c r="B1415" s="112"/>
      <c r="D1415" s="112"/>
      <c r="E1415" s="417"/>
      <c r="F1415" s="418"/>
    </row>
    <row r="1416" spans="2:6" x14ac:dyDescent="0.25">
      <c r="B1416" s="112"/>
      <c r="D1416" s="112"/>
      <c r="E1416" s="417"/>
      <c r="F1416" s="418"/>
    </row>
    <row r="1417" spans="2:6" x14ac:dyDescent="0.25">
      <c r="B1417" s="112"/>
      <c r="D1417" s="112"/>
      <c r="E1417" s="417"/>
      <c r="F1417" s="418"/>
    </row>
    <row r="1418" spans="2:6" x14ac:dyDescent="0.25">
      <c r="B1418" s="112"/>
      <c r="D1418" s="112"/>
      <c r="E1418" s="417"/>
      <c r="F1418" s="418"/>
    </row>
    <row r="1419" spans="2:6" x14ac:dyDescent="0.25">
      <c r="B1419" s="112"/>
      <c r="D1419" s="112"/>
      <c r="E1419" s="417"/>
      <c r="F1419" s="418"/>
    </row>
    <row r="1420" spans="2:6" x14ac:dyDescent="0.25">
      <c r="B1420" s="112"/>
      <c r="D1420" s="112"/>
      <c r="E1420" s="417"/>
      <c r="F1420" s="418"/>
    </row>
    <row r="1421" spans="2:6" x14ac:dyDescent="0.25">
      <c r="B1421" s="112"/>
      <c r="D1421" s="112"/>
      <c r="E1421" s="417"/>
      <c r="F1421" s="418"/>
    </row>
    <row r="1422" spans="2:6" x14ac:dyDescent="0.25">
      <c r="B1422" s="112"/>
      <c r="D1422" s="112"/>
      <c r="E1422" s="417"/>
      <c r="F1422" s="418"/>
    </row>
    <row r="1423" spans="2:6" x14ac:dyDescent="0.25">
      <c r="B1423" s="112"/>
      <c r="D1423" s="112"/>
      <c r="E1423" s="417"/>
      <c r="F1423" s="418"/>
    </row>
    <row r="1424" spans="2:6" x14ac:dyDescent="0.25">
      <c r="B1424" s="112"/>
      <c r="D1424" s="112"/>
      <c r="E1424" s="417"/>
      <c r="F1424" s="418"/>
    </row>
    <row r="1425" spans="2:6" x14ac:dyDescent="0.25">
      <c r="B1425" s="112"/>
      <c r="D1425" s="112"/>
      <c r="E1425" s="417"/>
      <c r="F1425" s="418"/>
    </row>
    <row r="1426" spans="2:6" x14ac:dyDescent="0.25">
      <c r="B1426" s="112"/>
      <c r="D1426" s="112"/>
      <c r="E1426" s="417"/>
      <c r="F1426" s="418"/>
    </row>
    <row r="1427" spans="2:6" x14ac:dyDescent="0.25">
      <c r="B1427" s="112"/>
      <c r="D1427" s="112"/>
      <c r="E1427" s="417"/>
      <c r="F1427" s="418"/>
    </row>
    <row r="1428" spans="2:6" x14ac:dyDescent="0.25">
      <c r="B1428" s="112"/>
      <c r="D1428" s="112"/>
      <c r="E1428" s="417"/>
      <c r="F1428" s="418"/>
    </row>
    <row r="1429" spans="2:6" x14ac:dyDescent="0.25">
      <c r="B1429" s="112"/>
      <c r="D1429" s="112"/>
      <c r="E1429" s="417"/>
      <c r="F1429" s="418"/>
    </row>
    <row r="1430" spans="2:6" x14ac:dyDescent="0.25">
      <c r="B1430" s="112"/>
      <c r="D1430" s="112"/>
      <c r="E1430" s="417"/>
      <c r="F1430" s="418"/>
    </row>
    <row r="1431" spans="2:6" x14ac:dyDescent="0.25">
      <c r="B1431" s="112"/>
      <c r="D1431" s="112"/>
      <c r="E1431" s="417"/>
      <c r="F1431" s="418"/>
    </row>
    <row r="1432" spans="2:6" x14ac:dyDescent="0.25">
      <c r="B1432" s="112"/>
      <c r="D1432" s="112"/>
      <c r="E1432" s="417"/>
      <c r="F1432" s="418"/>
    </row>
    <row r="1433" spans="2:6" x14ac:dyDescent="0.25">
      <c r="B1433" s="112"/>
      <c r="D1433" s="112"/>
      <c r="E1433" s="417"/>
      <c r="F1433" s="418"/>
    </row>
    <row r="1434" spans="2:6" x14ac:dyDescent="0.25">
      <c r="B1434" s="112"/>
      <c r="D1434" s="112"/>
      <c r="E1434" s="417"/>
      <c r="F1434" s="418"/>
    </row>
    <row r="1435" spans="2:6" x14ac:dyDescent="0.25">
      <c r="B1435" s="112"/>
      <c r="D1435" s="112"/>
      <c r="E1435" s="417"/>
      <c r="F1435" s="418"/>
    </row>
    <row r="1436" spans="2:6" x14ac:dyDescent="0.25">
      <c r="B1436" s="112"/>
      <c r="D1436" s="112"/>
      <c r="E1436" s="417"/>
      <c r="F1436" s="418"/>
    </row>
    <row r="1437" spans="2:6" x14ac:dyDescent="0.25">
      <c r="B1437" s="112"/>
      <c r="D1437" s="112"/>
      <c r="E1437" s="417"/>
      <c r="F1437" s="418"/>
    </row>
    <row r="1438" spans="2:6" x14ac:dyDescent="0.25">
      <c r="B1438" s="112"/>
      <c r="D1438" s="112"/>
      <c r="E1438" s="417"/>
      <c r="F1438" s="418"/>
    </row>
    <row r="1439" spans="2:6" x14ac:dyDescent="0.25">
      <c r="B1439" s="112"/>
      <c r="D1439" s="112"/>
      <c r="E1439" s="417"/>
      <c r="F1439" s="418"/>
    </row>
    <row r="1440" spans="2:6" x14ac:dyDescent="0.25">
      <c r="B1440" s="112"/>
      <c r="D1440" s="112"/>
      <c r="E1440" s="417"/>
      <c r="F1440" s="418"/>
    </row>
    <row r="1441" spans="2:6" x14ac:dyDescent="0.25">
      <c r="B1441" s="112"/>
      <c r="D1441" s="112"/>
      <c r="E1441" s="417"/>
      <c r="F1441" s="418"/>
    </row>
    <row r="1442" spans="2:6" x14ac:dyDescent="0.25">
      <c r="B1442" s="112"/>
      <c r="D1442" s="112"/>
      <c r="E1442" s="417"/>
      <c r="F1442" s="418"/>
    </row>
    <row r="1443" spans="2:6" x14ac:dyDescent="0.25">
      <c r="B1443" s="112"/>
      <c r="D1443" s="112"/>
      <c r="E1443" s="417"/>
      <c r="F1443" s="418"/>
    </row>
    <row r="1444" spans="2:6" x14ac:dyDescent="0.25">
      <c r="B1444" s="112"/>
      <c r="D1444" s="112"/>
      <c r="E1444" s="417"/>
      <c r="F1444" s="418"/>
    </row>
    <row r="1445" spans="2:6" x14ac:dyDescent="0.25">
      <c r="B1445" s="112"/>
      <c r="D1445" s="112"/>
      <c r="E1445" s="417"/>
      <c r="F1445" s="418"/>
    </row>
    <row r="1446" spans="2:6" x14ac:dyDescent="0.25">
      <c r="B1446" s="112"/>
      <c r="D1446" s="112"/>
      <c r="E1446" s="417"/>
      <c r="F1446" s="418"/>
    </row>
    <row r="1447" spans="2:6" x14ac:dyDescent="0.25">
      <c r="B1447" s="112"/>
      <c r="D1447" s="112"/>
      <c r="E1447" s="417"/>
      <c r="F1447" s="418"/>
    </row>
    <row r="1448" spans="2:6" x14ac:dyDescent="0.25">
      <c r="B1448" s="112"/>
      <c r="D1448" s="112"/>
      <c r="E1448" s="417"/>
      <c r="F1448" s="418"/>
    </row>
    <row r="1449" spans="2:6" x14ac:dyDescent="0.25">
      <c r="B1449" s="112"/>
      <c r="D1449" s="112"/>
      <c r="E1449" s="417"/>
      <c r="F1449" s="418"/>
    </row>
    <row r="1450" spans="2:6" x14ac:dyDescent="0.25">
      <c r="B1450" s="112"/>
      <c r="D1450" s="112"/>
      <c r="E1450" s="417"/>
      <c r="F1450" s="418"/>
    </row>
    <row r="1451" spans="2:6" x14ac:dyDescent="0.25">
      <c r="B1451" s="112"/>
      <c r="D1451" s="112"/>
      <c r="E1451" s="417"/>
      <c r="F1451" s="418"/>
    </row>
    <row r="1452" spans="2:6" x14ac:dyDescent="0.25">
      <c r="B1452" s="112"/>
      <c r="D1452" s="112"/>
      <c r="E1452" s="417"/>
      <c r="F1452" s="418"/>
    </row>
    <row r="1453" spans="2:6" x14ac:dyDescent="0.25">
      <c r="B1453" s="112"/>
      <c r="D1453" s="112"/>
      <c r="E1453" s="417"/>
      <c r="F1453" s="418"/>
    </row>
    <row r="1454" spans="2:6" x14ac:dyDescent="0.25">
      <c r="B1454" s="112"/>
      <c r="D1454" s="112"/>
      <c r="E1454" s="417"/>
      <c r="F1454" s="418"/>
    </row>
    <row r="1455" spans="2:6" x14ac:dyDescent="0.25">
      <c r="B1455" s="112"/>
      <c r="D1455" s="112"/>
      <c r="E1455" s="417"/>
      <c r="F1455" s="418"/>
    </row>
    <row r="1456" spans="2:6" x14ac:dyDescent="0.25">
      <c r="B1456" s="112"/>
      <c r="D1456" s="112"/>
      <c r="E1456" s="417"/>
      <c r="F1456" s="418"/>
    </row>
    <row r="1457" spans="2:6" x14ac:dyDescent="0.25">
      <c r="B1457" s="112"/>
      <c r="D1457" s="112"/>
      <c r="E1457" s="417"/>
      <c r="F1457" s="418"/>
    </row>
    <row r="1458" spans="2:6" x14ac:dyDescent="0.25">
      <c r="B1458" s="112"/>
      <c r="D1458" s="112"/>
      <c r="E1458" s="417"/>
      <c r="F1458" s="418"/>
    </row>
    <row r="1459" spans="2:6" x14ac:dyDescent="0.25">
      <c r="B1459" s="112"/>
      <c r="D1459" s="112"/>
      <c r="E1459" s="417"/>
      <c r="F1459" s="418"/>
    </row>
    <row r="1460" spans="2:6" x14ac:dyDescent="0.25">
      <c r="B1460" s="112"/>
      <c r="D1460" s="112"/>
      <c r="E1460" s="417"/>
      <c r="F1460" s="418"/>
    </row>
    <row r="1461" spans="2:6" x14ac:dyDescent="0.25">
      <c r="B1461" s="112"/>
      <c r="D1461" s="112"/>
      <c r="E1461" s="417"/>
      <c r="F1461" s="418"/>
    </row>
    <row r="1462" spans="2:6" x14ac:dyDescent="0.25">
      <c r="B1462" s="112"/>
      <c r="D1462" s="112"/>
      <c r="E1462" s="417"/>
      <c r="F1462" s="418"/>
    </row>
    <row r="1463" spans="2:6" x14ac:dyDescent="0.25">
      <c r="B1463" s="112"/>
      <c r="D1463" s="112"/>
      <c r="E1463" s="417"/>
      <c r="F1463" s="418"/>
    </row>
    <row r="1464" spans="2:6" x14ac:dyDescent="0.25">
      <c r="B1464" s="112"/>
      <c r="D1464" s="112"/>
      <c r="E1464" s="417"/>
      <c r="F1464" s="418"/>
    </row>
    <row r="1465" spans="2:6" x14ac:dyDescent="0.25">
      <c r="B1465" s="112"/>
      <c r="D1465" s="112"/>
      <c r="E1465" s="417"/>
      <c r="F1465" s="418"/>
    </row>
    <row r="1466" spans="2:6" x14ac:dyDescent="0.25">
      <c r="B1466" s="112"/>
      <c r="D1466" s="112"/>
      <c r="E1466" s="417"/>
      <c r="F1466" s="418"/>
    </row>
    <row r="1467" spans="2:6" x14ac:dyDescent="0.25">
      <c r="B1467" s="112"/>
      <c r="D1467" s="112"/>
      <c r="E1467" s="417"/>
      <c r="F1467" s="418"/>
    </row>
    <row r="1468" spans="2:6" x14ac:dyDescent="0.25">
      <c r="B1468" s="112"/>
      <c r="D1468" s="112"/>
      <c r="E1468" s="417"/>
      <c r="F1468" s="418"/>
    </row>
    <row r="1469" spans="2:6" x14ac:dyDescent="0.25">
      <c r="B1469" s="112"/>
      <c r="D1469" s="112"/>
      <c r="E1469" s="417"/>
      <c r="F1469" s="418"/>
    </row>
    <row r="1470" spans="2:6" x14ac:dyDescent="0.25">
      <c r="B1470" s="112"/>
      <c r="D1470" s="112"/>
      <c r="E1470" s="417"/>
      <c r="F1470" s="418"/>
    </row>
    <row r="1471" spans="2:6" x14ac:dyDescent="0.25">
      <c r="B1471" s="112"/>
      <c r="D1471" s="112"/>
      <c r="E1471" s="417"/>
      <c r="F1471" s="418"/>
    </row>
    <row r="1472" spans="2:6" x14ac:dyDescent="0.25">
      <c r="B1472" s="112"/>
      <c r="D1472" s="112"/>
      <c r="E1472" s="417"/>
      <c r="F1472" s="418"/>
    </row>
    <row r="1473" spans="2:6" x14ac:dyDescent="0.25">
      <c r="B1473" s="112"/>
      <c r="D1473" s="112"/>
      <c r="E1473" s="417"/>
      <c r="F1473" s="418"/>
    </row>
    <row r="1474" spans="2:6" x14ac:dyDescent="0.25">
      <c r="B1474" s="112"/>
      <c r="D1474" s="112"/>
      <c r="E1474" s="417"/>
      <c r="F1474" s="418"/>
    </row>
    <row r="1475" spans="2:6" x14ac:dyDescent="0.25">
      <c r="B1475" s="112"/>
      <c r="D1475" s="112"/>
      <c r="E1475" s="417"/>
      <c r="F1475" s="418"/>
    </row>
    <row r="1476" spans="2:6" x14ac:dyDescent="0.25">
      <c r="B1476" s="112"/>
      <c r="D1476" s="112"/>
      <c r="E1476" s="417"/>
      <c r="F1476" s="418"/>
    </row>
    <row r="1477" spans="2:6" x14ac:dyDescent="0.25">
      <c r="B1477" s="112"/>
      <c r="D1477" s="112"/>
      <c r="E1477" s="417"/>
      <c r="F1477" s="418"/>
    </row>
    <row r="1478" spans="2:6" x14ac:dyDescent="0.25">
      <c r="B1478" s="112"/>
      <c r="D1478" s="112"/>
      <c r="E1478" s="417"/>
      <c r="F1478" s="418"/>
    </row>
    <row r="1479" spans="2:6" x14ac:dyDescent="0.25">
      <c r="B1479" s="112"/>
      <c r="D1479" s="112"/>
      <c r="E1479" s="417"/>
      <c r="F1479" s="418"/>
    </row>
    <row r="1480" spans="2:6" x14ac:dyDescent="0.25">
      <c r="B1480" s="112"/>
      <c r="D1480" s="112"/>
      <c r="E1480" s="417"/>
      <c r="F1480" s="418"/>
    </row>
    <row r="1481" spans="2:6" x14ac:dyDescent="0.25">
      <c r="B1481" s="112"/>
      <c r="D1481" s="112"/>
      <c r="E1481" s="417"/>
      <c r="F1481" s="418"/>
    </row>
    <row r="1482" spans="2:6" x14ac:dyDescent="0.25">
      <c r="B1482" s="112"/>
      <c r="D1482" s="112"/>
      <c r="E1482" s="417"/>
      <c r="F1482" s="418"/>
    </row>
    <row r="1483" spans="2:6" x14ac:dyDescent="0.25">
      <c r="B1483" s="112"/>
      <c r="D1483" s="112"/>
      <c r="E1483" s="417"/>
      <c r="F1483" s="418"/>
    </row>
    <row r="1484" spans="2:6" x14ac:dyDescent="0.25">
      <c r="B1484" s="112"/>
      <c r="D1484" s="112"/>
      <c r="E1484" s="417"/>
      <c r="F1484" s="418"/>
    </row>
    <row r="1485" spans="2:6" x14ac:dyDescent="0.25">
      <c r="B1485" s="112"/>
      <c r="D1485" s="112"/>
      <c r="E1485" s="417"/>
      <c r="F1485" s="418"/>
    </row>
    <row r="1486" spans="2:6" x14ac:dyDescent="0.25">
      <c r="B1486" s="112"/>
      <c r="D1486" s="112"/>
      <c r="E1486" s="417"/>
      <c r="F1486" s="418"/>
    </row>
    <row r="1487" spans="2:6" x14ac:dyDescent="0.25">
      <c r="B1487" s="112"/>
      <c r="D1487" s="112"/>
      <c r="E1487" s="417"/>
      <c r="F1487" s="418"/>
    </row>
    <row r="1488" spans="2:6" x14ac:dyDescent="0.25">
      <c r="B1488" s="112"/>
      <c r="D1488" s="112"/>
      <c r="E1488" s="417"/>
      <c r="F1488" s="418"/>
    </row>
    <row r="1489" spans="2:6" x14ac:dyDescent="0.25">
      <c r="B1489" s="112"/>
      <c r="D1489" s="112"/>
      <c r="E1489" s="417"/>
      <c r="F1489" s="418"/>
    </row>
    <row r="1490" spans="2:6" x14ac:dyDescent="0.25">
      <c r="B1490" s="112"/>
      <c r="D1490" s="112"/>
      <c r="E1490" s="417"/>
      <c r="F1490" s="418"/>
    </row>
    <row r="1491" spans="2:6" x14ac:dyDescent="0.25">
      <c r="B1491" s="112"/>
      <c r="D1491" s="112"/>
      <c r="E1491" s="417"/>
      <c r="F1491" s="418"/>
    </row>
    <row r="1492" spans="2:6" x14ac:dyDescent="0.25">
      <c r="B1492" s="112"/>
      <c r="D1492" s="112"/>
      <c r="E1492" s="417"/>
      <c r="F1492" s="418"/>
    </row>
    <row r="1493" spans="2:6" x14ac:dyDescent="0.25">
      <c r="B1493" s="112"/>
      <c r="D1493" s="112"/>
      <c r="E1493" s="417"/>
      <c r="F1493" s="418"/>
    </row>
    <row r="1494" spans="2:6" x14ac:dyDescent="0.25">
      <c r="B1494" s="112"/>
      <c r="D1494" s="112"/>
      <c r="E1494" s="417"/>
      <c r="F1494" s="418"/>
    </row>
    <row r="1495" spans="2:6" x14ac:dyDescent="0.25">
      <c r="B1495" s="112"/>
      <c r="D1495" s="112"/>
      <c r="E1495" s="417"/>
      <c r="F1495" s="418"/>
    </row>
    <row r="1496" spans="2:6" x14ac:dyDescent="0.25">
      <c r="B1496" s="112"/>
      <c r="D1496" s="112"/>
      <c r="E1496" s="417"/>
      <c r="F1496" s="418"/>
    </row>
    <row r="1497" spans="2:6" x14ac:dyDescent="0.25">
      <c r="B1497" s="112"/>
      <c r="D1497" s="112"/>
      <c r="E1497" s="417"/>
      <c r="F1497" s="418"/>
    </row>
    <row r="1498" spans="2:6" x14ac:dyDescent="0.25">
      <c r="B1498" s="112"/>
      <c r="D1498" s="112"/>
      <c r="E1498" s="417"/>
      <c r="F1498" s="418"/>
    </row>
    <row r="1499" spans="2:6" x14ac:dyDescent="0.25">
      <c r="B1499" s="112"/>
      <c r="D1499" s="112"/>
      <c r="E1499" s="417"/>
      <c r="F1499" s="418"/>
    </row>
    <row r="1500" spans="2:6" x14ac:dyDescent="0.25">
      <c r="B1500" s="112"/>
      <c r="D1500" s="112"/>
      <c r="E1500" s="417"/>
      <c r="F1500" s="418"/>
    </row>
    <row r="1501" spans="2:6" x14ac:dyDescent="0.25">
      <c r="B1501" s="112"/>
      <c r="D1501" s="112"/>
      <c r="E1501" s="417"/>
      <c r="F1501" s="418"/>
    </row>
    <row r="1502" spans="2:6" x14ac:dyDescent="0.25">
      <c r="B1502" s="112"/>
      <c r="D1502" s="112"/>
      <c r="E1502" s="417"/>
      <c r="F1502" s="418"/>
    </row>
    <row r="1503" spans="2:6" x14ac:dyDescent="0.25">
      <c r="B1503" s="112"/>
      <c r="D1503" s="112"/>
      <c r="E1503" s="417"/>
      <c r="F1503" s="418"/>
    </row>
    <row r="1504" spans="2:6" x14ac:dyDescent="0.25">
      <c r="B1504" s="112"/>
      <c r="D1504" s="112"/>
      <c r="E1504" s="417"/>
      <c r="F1504" s="418"/>
    </row>
    <row r="1505" spans="2:6" x14ac:dyDescent="0.25">
      <c r="B1505" s="112"/>
      <c r="D1505" s="112"/>
      <c r="E1505" s="417"/>
      <c r="F1505" s="418"/>
    </row>
    <row r="1506" spans="2:6" x14ac:dyDescent="0.25">
      <c r="B1506" s="112"/>
      <c r="D1506" s="112"/>
      <c r="E1506" s="417"/>
      <c r="F1506" s="418"/>
    </row>
    <row r="1507" spans="2:6" x14ac:dyDescent="0.25">
      <c r="B1507" s="112"/>
      <c r="D1507" s="112"/>
      <c r="E1507" s="417"/>
      <c r="F1507" s="418"/>
    </row>
    <row r="1508" spans="2:6" x14ac:dyDescent="0.25">
      <c r="B1508" s="112"/>
      <c r="D1508" s="112"/>
      <c r="E1508" s="417"/>
      <c r="F1508" s="418"/>
    </row>
    <row r="1509" spans="2:6" x14ac:dyDescent="0.25">
      <c r="B1509" s="112"/>
      <c r="D1509" s="112"/>
      <c r="E1509" s="417"/>
      <c r="F1509" s="418"/>
    </row>
    <row r="1510" spans="2:6" x14ac:dyDescent="0.25">
      <c r="B1510" s="112"/>
      <c r="D1510" s="112"/>
      <c r="E1510" s="417"/>
      <c r="F1510" s="418"/>
    </row>
    <row r="1511" spans="2:6" x14ac:dyDescent="0.25">
      <c r="B1511" s="112"/>
      <c r="D1511" s="112"/>
      <c r="E1511" s="417"/>
      <c r="F1511" s="418"/>
    </row>
    <row r="1512" spans="2:6" x14ac:dyDescent="0.25">
      <c r="B1512" s="112"/>
      <c r="D1512" s="112"/>
      <c r="E1512" s="417"/>
      <c r="F1512" s="418"/>
    </row>
    <row r="1513" spans="2:6" x14ac:dyDescent="0.25">
      <c r="B1513" s="112"/>
      <c r="D1513" s="112"/>
      <c r="E1513" s="417"/>
      <c r="F1513" s="418"/>
    </row>
    <row r="1514" spans="2:6" x14ac:dyDescent="0.25">
      <c r="B1514" s="112"/>
      <c r="D1514" s="112"/>
      <c r="E1514" s="417"/>
      <c r="F1514" s="418"/>
    </row>
    <row r="1515" spans="2:6" x14ac:dyDescent="0.25">
      <c r="B1515" s="112"/>
      <c r="D1515" s="112"/>
      <c r="E1515" s="417"/>
      <c r="F1515" s="418"/>
    </row>
    <row r="1516" spans="2:6" x14ac:dyDescent="0.25">
      <c r="B1516" s="112"/>
      <c r="D1516" s="112"/>
      <c r="E1516" s="417"/>
      <c r="F1516" s="418"/>
    </row>
    <row r="1517" spans="2:6" x14ac:dyDescent="0.25">
      <c r="B1517" s="112"/>
      <c r="D1517" s="112"/>
      <c r="E1517" s="417"/>
      <c r="F1517" s="418"/>
    </row>
    <row r="1518" spans="2:6" x14ac:dyDescent="0.25">
      <c r="B1518" s="112"/>
      <c r="D1518" s="112"/>
      <c r="E1518" s="417"/>
      <c r="F1518" s="418"/>
    </row>
    <row r="1519" spans="2:6" x14ac:dyDescent="0.25">
      <c r="B1519" s="112"/>
      <c r="D1519" s="112"/>
      <c r="E1519" s="417"/>
      <c r="F1519" s="418"/>
    </row>
    <row r="1520" spans="2:6" x14ac:dyDescent="0.25">
      <c r="B1520" s="112"/>
      <c r="D1520" s="112"/>
      <c r="E1520" s="417"/>
      <c r="F1520" s="418"/>
    </row>
    <row r="1521" spans="2:6" x14ac:dyDescent="0.25">
      <c r="B1521" s="112"/>
      <c r="D1521" s="112"/>
      <c r="E1521" s="417"/>
      <c r="F1521" s="418"/>
    </row>
    <row r="1522" spans="2:6" x14ac:dyDescent="0.25">
      <c r="B1522" s="112"/>
      <c r="D1522" s="112"/>
      <c r="E1522" s="417"/>
      <c r="F1522" s="418"/>
    </row>
    <row r="1523" spans="2:6" x14ac:dyDescent="0.25">
      <c r="B1523" s="112"/>
      <c r="D1523" s="112"/>
      <c r="E1523" s="417"/>
      <c r="F1523" s="418"/>
    </row>
    <row r="1524" spans="2:6" x14ac:dyDescent="0.25">
      <c r="B1524" s="112"/>
      <c r="D1524" s="112"/>
      <c r="E1524" s="417"/>
      <c r="F1524" s="418"/>
    </row>
    <row r="1525" spans="2:6" x14ac:dyDescent="0.25">
      <c r="B1525" s="112"/>
      <c r="D1525" s="112"/>
      <c r="E1525" s="417"/>
      <c r="F1525" s="418"/>
    </row>
    <row r="1526" spans="2:6" x14ac:dyDescent="0.25">
      <c r="B1526" s="112"/>
      <c r="D1526" s="112"/>
      <c r="E1526" s="417"/>
      <c r="F1526" s="418"/>
    </row>
    <row r="1527" spans="2:6" x14ac:dyDescent="0.25">
      <c r="B1527" s="112"/>
      <c r="D1527" s="112"/>
      <c r="E1527" s="417"/>
      <c r="F1527" s="418"/>
    </row>
    <row r="1528" spans="2:6" x14ac:dyDescent="0.25">
      <c r="B1528" s="112"/>
      <c r="D1528" s="112"/>
      <c r="E1528" s="417"/>
      <c r="F1528" s="418"/>
    </row>
    <row r="1529" spans="2:6" x14ac:dyDescent="0.25">
      <c r="B1529" s="112"/>
      <c r="D1529" s="112"/>
      <c r="E1529" s="417"/>
      <c r="F1529" s="418"/>
    </row>
    <row r="1530" spans="2:6" x14ac:dyDescent="0.25">
      <c r="B1530" s="112"/>
      <c r="D1530" s="112"/>
      <c r="E1530" s="417"/>
      <c r="F1530" s="418"/>
    </row>
    <row r="1531" spans="2:6" x14ac:dyDescent="0.25">
      <c r="B1531" s="112"/>
      <c r="D1531" s="112"/>
      <c r="E1531" s="417"/>
      <c r="F1531" s="418"/>
    </row>
    <row r="1532" spans="2:6" x14ac:dyDescent="0.25">
      <c r="B1532" s="112"/>
      <c r="D1532" s="112"/>
      <c r="E1532" s="417"/>
      <c r="F1532" s="418"/>
    </row>
    <row r="1533" spans="2:6" x14ac:dyDescent="0.25">
      <c r="B1533" s="112"/>
      <c r="D1533" s="112"/>
      <c r="E1533" s="417"/>
      <c r="F1533" s="418"/>
    </row>
    <row r="1534" spans="2:6" x14ac:dyDescent="0.25">
      <c r="B1534" s="112"/>
      <c r="D1534" s="112"/>
      <c r="E1534" s="417"/>
      <c r="F1534" s="418"/>
    </row>
    <row r="1535" spans="2:6" x14ac:dyDescent="0.25">
      <c r="B1535" s="112"/>
      <c r="D1535" s="112"/>
      <c r="E1535" s="417"/>
      <c r="F1535" s="418"/>
    </row>
    <row r="1536" spans="2:6" x14ac:dyDescent="0.25">
      <c r="B1536" s="112"/>
      <c r="D1536" s="112"/>
      <c r="E1536" s="417"/>
      <c r="F1536" s="418"/>
    </row>
    <row r="1537" spans="2:6" x14ac:dyDescent="0.25">
      <c r="B1537" s="112"/>
      <c r="D1537" s="112"/>
      <c r="E1537" s="417"/>
      <c r="F1537" s="418"/>
    </row>
    <row r="1538" spans="2:6" x14ac:dyDescent="0.25">
      <c r="B1538" s="112"/>
      <c r="D1538" s="112"/>
      <c r="E1538" s="417"/>
      <c r="F1538" s="418"/>
    </row>
    <row r="1539" spans="2:6" x14ac:dyDescent="0.25">
      <c r="B1539" s="112"/>
      <c r="D1539" s="112"/>
      <c r="E1539" s="417"/>
      <c r="F1539" s="418"/>
    </row>
    <row r="1540" spans="2:6" x14ac:dyDescent="0.25">
      <c r="B1540" s="112"/>
      <c r="D1540" s="112"/>
      <c r="E1540" s="417"/>
      <c r="F1540" s="418"/>
    </row>
    <row r="1541" spans="2:6" x14ac:dyDescent="0.25">
      <c r="B1541" s="112"/>
      <c r="D1541" s="112"/>
      <c r="E1541" s="417"/>
      <c r="F1541" s="418"/>
    </row>
    <row r="1542" spans="2:6" x14ac:dyDescent="0.25">
      <c r="B1542" s="112"/>
      <c r="D1542" s="112"/>
      <c r="E1542" s="417"/>
      <c r="F1542" s="418"/>
    </row>
    <row r="1543" spans="2:6" x14ac:dyDescent="0.25">
      <c r="B1543" s="112"/>
      <c r="D1543" s="112"/>
      <c r="E1543" s="417"/>
      <c r="F1543" s="418"/>
    </row>
    <row r="1544" spans="2:6" x14ac:dyDescent="0.25">
      <c r="B1544" s="112"/>
      <c r="D1544" s="112"/>
      <c r="E1544" s="417"/>
      <c r="F1544" s="418"/>
    </row>
    <row r="1545" spans="2:6" x14ac:dyDescent="0.25">
      <c r="B1545" s="112"/>
      <c r="D1545" s="112"/>
      <c r="E1545" s="417"/>
      <c r="F1545" s="418"/>
    </row>
    <row r="1546" spans="2:6" x14ac:dyDescent="0.25">
      <c r="B1546" s="112"/>
      <c r="D1546" s="112"/>
      <c r="E1546" s="417"/>
      <c r="F1546" s="418"/>
    </row>
    <row r="1547" spans="2:6" x14ac:dyDescent="0.25">
      <c r="B1547" s="112"/>
      <c r="D1547" s="112"/>
      <c r="E1547" s="417"/>
      <c r="F1547" s="418"/>
    </row>
    <row r="1548" spans="2:6" x14ac:dyDescent="0.25">
      <c r="B1548" s="112"/>
      <c r="D1548" s="112"/>
      <c r="E1548" s="417"/>
      <c r="F1548" s="418"/>
    </row>
    <row r="1549" spans="2:6" x14ac:dyDescent="0.25">
      <c r="B1549" s="112"/>
      <c r="D1549" s="112"/>
      <c r="E1549" s="417"/>
      <c r="F1549" s="418"/>
    </row>
    <row r="1550" spans="2:6" x14ac:dyDescent="0.25">
      <c r="B1550" s="112"/>
      <c r="D1550" s="112"/>
      <c r="E1550" s="417"/>
      <c r="F1550" s="418"/>
    </row>
    <row r="1551" spans="2:6" x14ac:dyDescent="0.25">
      <c r="B1551" s="112"/>
      <c r="D1551" s="112"/>
      <c r="E1551" s="417"/>
      <c r="F1551" s="418"/>
    </row>
    <row r="1552" spans="2:6" x14ac:dyDescent="0.25">
      <c r="B1552" s="112"/>
      <c r="D1552" s="112"/>
      <c r="E1552" s="417"/>
      <c r="F1552" s="418"/>
    </row>
    <row r="1553" spans="2:6" x14ac:dyDescent="0.25">
      <c r="B1553" s="112"/>
      <c r="D1553" s="112"/>
      <c r="E1553" s="417"/>
      <c r="F1553" s="418"/>
    </row>
    <row r="1554" spans="2:6" x14ac:dyDescent="0.25">
      <c r="B1554" s="112"/>
      <c r="D1554" s="112"/>
      <c r="E1554" s="417"/>
      <c r="F1554" s="418"/>
    </row>
    <row r="1555" spans="2:6" x14ac:dyDescent="0.25">
      <c r="B1555" s="112"/>
      <c r="D1555" s="112"/>
      <c r="E1555" s="417"/>
      <c r="F1555" s="418"/>
    </row>
    <row r="1556" spans="2:6" x14ac:dyDescent="0.25">
      <c r="B1556" s="112"/>
      <c r="D1556" s="112"/>
      <c r="E1556" s="417"/>
      <c r="F1556" s="418"/>
    </row>
    <row r="1557" spans="2:6" x14ac:dyDescent="0.25">
      <c r="B1557" s="112"/>
      <c r="D1557" s="112"/>
      <c r="E1557" s="417"/>
      <c r="F1557" s="418"/>
    </row>
    <row r="1558" spans="2:6" x14ac:dyDescent="0.25">
      <c r="B1558" s="112"/>
      <c r="D1558" s="112"/>
      <c r="E1558" s="417"/>
      <c r="F1558" s="418"/>
    </row>
    <row r="1559" spans="2:6" x14ac:dyDescent="0.25">
      <c r="B1559" s="112"/>
      <c r="D1559" s="112"/>
      <c r="E1559" s="417"/>
      <c r="F1559" s="418"/>
    </row>
    <row r="1560" spans="2:6" x14ac:dyDescent="0.25">
      <c r="B1560" s="112"/>
      <c r="D1560" s="112"/>
      <c r="E1560" s="417"/>
      <c r="F1560" s="418"/>
    </row>
    <row r="1561" spans="2:6" x14ac:dyDescent="0.25">
      <c r="B1561" s="112"/>
      <c r="D1561" s="112"/>
      <c r="E1561" s="417"/>
      <c r="F1561" s="418"/>
    </row>
    <row r="1562" spans="2:6" x14ac:dyDescent="0.25">
      <c r="B1562" s="112"/>
      <c r="D1562" s="112"/>
      <c r="E1562" s="417"/>
      <c r="F1562" s="418"/>
    </row>
    <row r="1563" spans="2:6" x14ac:dyDescent="0.25">
      <c r="B1563" s="112"/>
      <c r="D1563" s="112"/>
      <c r="E1563" s="417"/>
      <c r="F1563" s="418"/>
    </row>
    <row r="1564" spans="2:6" x14ac:dyDescent="0.25">
      <c r="B1564" s="112"/>
      <c r="D1564" s="112"/>
      <c r="E1564" s="417"/>
      <c r="F1564" s="418"/>
    </row>
    <row r="1565" spans="2:6" x14ac:dyDescent="0.25">
      <c r="B1565" s="112"/>
      <c r="D1565" s="112"/>
      <c r="E1565" s="417"/>
      <c r="F1565" s="418"/>
    </row>
    <row r="1566" spans="2:6" x14ac:dyDescent="0.25">
      <c r="B1566" s="112"/>
      <c r="D1566" s="112"/>
      <c r="E1566" s="417"/>
      <c r="F1566" s="418"/>
    </row>
    <row r="1567" spans="2:6" x14ac:dyDescent="0.25">
      <c r="B1567" s="112"/>
      <c r="D1567" s="112"/>
      <c r="E1567" s="417"/>
      <c r="F1567" s="418"/>
    </row>
    <row r="1568" spans="2:6" x14ac:dyDescent="0.25">
      <c r="B1568" s="112"/>
      <c r="D1568" s="112"/>
      <c r="E1568" s="417"/>
      <c r="F1568" s="418"/>
    </row>
    <row r="1569" spans="2:6" x14ac:dyDescent="0.25">
      <c r="B1569" s="112"/>
      <c r="D1569" s="112"/>
      <c r="E1569" s="417"/>
      <c r="F1569" s="418"/>
    </row>
    <row r="1570" spans="2:6" x14ac:dyDescent="0.25">
      <c r="B1570" s="112"/>
      <c r="D1570" s="112"/>
      <c r="E1570" s="417"/>
      <c r="F1570" s="418"/>
    </row>
    <row r="1571" spans="2:6" x14ac:dyDescent="0.25">
      <c r="B1571" s="112"/>
      <c r="D1571" s="112"/>
      <c r="E1571" s="417"/>
      <c r="F1571" s="418"/>
    </row>
    <row r="1572" spans="2:6" x14ac:dyDescent="0.25">
      <c r="B1572" s="112"/>
      <c r="D1572" s="112"/>
      <c r="E1572" s="417"/>
      <c r="F1572" s="418"/>
    </row>
    <row r="1573" spans="2:6" x14ac:dyDescent="0.25">
      <c r="B1573" s="112"/>
      <c r="D1573" s="112"/>
      <c r="E1573" s="417"/>
      <c r="F1573" s="418"/>
    </row>
    <row r="1574" spans="2:6" x14ac:dyDescent="0.25">
      <c r="B1574" s="112"/>
      <c r="D1574" s="112"/>
      <c r="E1574" s="417"/>
      <c r="F1574" s="418"/>
    </row>
    <row r="1575" spans="2:6" x14ac:dyDescent="0.25">
      <c r="B1575" s="112"/>
      <c r="D1575" s="112"/>
      <c r="E1575" s="417"/>
      <c r="F1575" s="418"/>
    </row>
    <row r="1576" spans="2:6" x14ac:dyDescent="0.25">
      <c r="B1576" s="112"/>
      <c r="D1576" s="112"/>
      <c r="E1576" s="417"/>
      <c r="F1576" s="418"/>
    </row>
    <row r="1577" spans="2:6" x14ac:dyDescent="0.25">
      <c r="B1577" s="112"/>
      <c r="D1577" s="112"/>
      <c r="E1577" s="417"/>
      <c r="F1577" s="418"/>
    </row>
    <row r="1578" spans="2:6" x14ac:dyDescent="0.25">
      <c r="B1578" s="112"/>
      <c r="D1578" s="112"/>
      <c r="E1578" s="417"/>
      <c r="F1578" s="418"/>
    </row>
    <row r="1579" spans="2:6" x14ac:dyDescent="0.25">
      <c r="B1579" s="112"/>
      <c r="D1579" s="112"/>
      <c r="E1579" s="417"/>
      <c r="F1579" s="418"/>
    </row>
    <row r="1580" spans="2:6" x14ac:dyDescent="0.25">
      <c r="B1580" s="112"/>
      <c r="D1580" s="112"/>
      <c r="E1580" s="417"/>
      <c r="F1580" s="418"/>
    </row>
    <row r="1581" spans="2:6" x14ac:dyDescent="0.25">
      <c r="B1581" s="112"/>
      <c r="D1581" s="112"/>
      <c r="E1581" s="417"/>
      <c r="F1581" s="418"/>
    </row>
    <row r="1582" spans="2:6" x14ac:dyDescent="0.25">
      <c r="B1582" s="112"/>
      <c r="D1582" s="112"/>
      <c r="E1582" s="417"/>
      <c r="F1582" s="418"/>
    </row>
    <row r="1583" spans="2:6" x14ac:dyDescent="0.25">
      <c r="B1583" s="112"/>
      <c r="D1583" s="112"/>
      <c r="E1583" s="417"/>
      <c r="F1583" s="418"/>
    </row>
    <row r="1584" spans="2:6" x14ac:dyDescent="0.25">
      <c r="B1584" s="112"/>
      <c r="D1584" s="112"/>
      <c r="E1584" s="417"/>
      <c r="F1584" s="418"/>
    </row>
    <row r="1585" spans="2:6" x14ac:dyDescent="0.25">
      <c r="B1585" s="112"/>
      <c r="D1585" s="112"/>
      <c r="E1585" s="417"/>
      <c r="F1585" s="418"/>
    </row>
    <row r="1586" spans="2:6" x14ac:dyDescent="0.25">
      <c r="B1586" s="112"/>
      <c r="D1586" s="112"/>
      <c r="E1586" s="417"/>
      <c r="F1586" s="418"/>
    </row>
    <row r="1587" spans="2:6" x14ac:dyDescent="0.25">
      <c r="B1587" s="112"/>
      <c r="D1587" s="112"/>
      <c r="E1587" s="417"/>
      <c r="F1587" s="418"/>
    </row>
    <row r="1588" spans="2:6" x14ac:dyDescent="0.25">
      <c r="B1588" s="112"/>
      <c r="D1588" s="112"/>
      <c r="E1588" s="417"/>
      <c r="F1588" s="418"/>
    </row>
    <row r="1589" spans="2:6" x14ac:dyDescent="0.25">
      <c r="B1589" s="112"/>
      <c r="D1589" s="112"/>
      <c r="E1589" s="417"/>
      <c r="F1589" s="418"/>
    </row>
    <row r="1590" spans="2:6" x14ac:dyDescent="0.25">
      <c r="B1590" s="112"/>
      <c r="D1590" s="112"/>
      <c r="E1590" s="417"/>
      <c r="F1590" s="418"/>
    </row>
    <row r="1591" spans="2:6" x14ac:dyDescent="0.25">
      <c r="B1591" s="112"/>
      <c r="D1591" s="112"/>
      <c r="E1591" s="417"/>
      <c r="F1591" s="418"/>
    </row>
    <row r="1592" spans="2:6" x14ac:dyDescent="0.25">
      <c r="B1592" s="112"/>
      <c r="D1592" s="112"/>
      <c r="E1592" s="417"/>
      <c r="F1592" s="418"/>
    </row>
    <row r="1593" spans="2:6" x14ac:dyDescent="0.25">
      <c r="B1593" s="112"/>
      <c r="D1593" s="112"/>
      <c r="E1593" s="417"/>
      <c r="F1593" s="418"/>
    </row>
    <row r="1594" spans="2:6" x14ac:dyDescent="0.25">
      <c r="B1594" s="112"/>
      <c r="D1594" s="112"/>
      <c r="E1594" s="417"/>
      <c r="F1594" s="418"/>
    </row>
    <row r="1595" spans="2:6" x14ac:dyDescent="0.25">
      <c r="B1595" s="112"/>
      <c r="D1595" s="112"/>
      <c r="E1595" s="417"/>
      <c r="F1595" s="418"/>
    </row>
    <row r="1596" spans="2:6" x14ac:dyDescent="0.25">
      <c r="B1596" s="112"/>
      <c r="D1596" s="112"/>
      <c r="E1596" s="417"/>
      <c r="F1596" s="418"/>
    </row>
    <row r="1597" spans="2:6" x14ac:dyDescent="0.25">
      <c r="B1597" s="112"/>
      <c r="D1597" s="112"/>
      <c r="E1597" s="417"/>
      <c r="F1597" s="418"/>
    </row>
    <row r="1598" spans="2:6" x14ac:dyDescent="0.25">
      <c r="B1598" s="112"/>
      <c r="D1598" s="112"/>
      <c r="E1598" s="417"/>
      <c r="F1598" s="418"/>
    </row>
    <row r="1599" spans="2:6" x14ac:dyDescent="0.25">
      <c r="B1599" s="112"/>
      <c r="D1599" s="112"/>
      <c r="E1599" s="417"/>
      <c r="F1599" s="418"/>
    </row>
    <row r="1600" spans="2:6" x14ac:dyDescent="0.25">
      <c r="B1600" s="112"/>
      <c r="D1600" s="112"/>
      <c r="E1600" s="417"/>
      <c r="F1600" s="418"/>
    </row>
    <row r="1601" spans="2:6" x14ac:dyDescent="0.25">
      <c r="B1601" s="112"/>
      <c r="D1601" s="112"/>
      <c r="E1601" s="417"/>
      <c r="F1601" s="418"/>
    </row>
    <row r="1602" spans="2:6" x14ac:dyDescent="0.25">
      <c r="B1602" s="112"/>
      <c r="D1602" s="112"/>
      <c r="E1602" s="417"/>
      <c r="F1602" s="418"/>
    </row>
    <row r="1603" spans="2:6" x14ac:dyDescent="0.25">
      <c r="B1603" s="112"/>
      <c r="D1603" s="112"/>
      <c r="E1603" s="417"/>
      <c r="F1603" s="418"/>
    </row>
    <row r="1604" spans="2:6" x14ac:dyDescent="0.25">
      <c r="B1604" s="112"/>
      <c r="D1604" s="112"/>
      <c r="E1604" s="417"/>
      <c r="F1604" s="418"/>
    </row>
    <row r="1605" spans="2:6" x14ac:dyDescent="0.25">
      <c r="B1605" s="112"/>
      <c r="D1605" s="112"/>
      <c r="E1605" s="417"/>
      <c r="F1605" s="418"/>
    </row>
    <row r="1606" spans="2:6" x14ac:dyDescent="0.25">
      <c r="B1606" s="112"/>
      <c r="D1606" s="112"/>
      <c r="E1606" s="417"/>
      <c r="F1606" s="418"/>
    </row>
    <row r="1607" spans="2:6" x14ac:dyDescent="0.25">
      <c r="B1607" s="112"/>
      <c r="D1607" s="112"/>
      <c r="E1607" s="417"/>
      <c r="F1607" s="418"/>
    </row>
    <row r="1608" spans="2:6" x14ac:dyDescent="0.25">
      <c r="B1608" s="112"/>
      <c r="D1608" s="112"/>
      <c r="E1608" s="417"/>
      <c r="F1608" s="418"/>
    </row>
    <row r="1609" spans="2:6" x14ac:dyDescent="0.25">
      <c r="B1609" s="112"/>
      <c r="D1609" s="112"/>
      <c r="E1609" s="417"/>
      <c r="F1609" s="418"/>
    </row>
    <row r="1610" spans="2:6" x14ac:dyDescent="0.25">
      <c r="B1610" s="112"/>
      <c r="D1610" s="112"/>
      <c r="E1610" s="417"/>
      <c r="F1610" s="418"/>
    </row>
    <row r="1611" spans="2:6" x14ac:dyDescent="0.25">
      <c r="B1611" s="112"/>
      <c r="D1611" s="112"/>
      <c r="E1611" s="417"/>
      <c r="F1611" s="418"/>
    </row>
    <row r="1612" spans="2:6" x14ac:dyDescent="0.25">
      <c r="B1612" s="112"/>
      <c r="D1612" s="112"/>
      <c r="E1612" s="417"/>
      <c r="F1612" s="418"/>
    </row>
    <row r="1613" spans="2:6" x14ac:dyDescent="0.25">
      <c r="B1613" s="112"/>
      <c r="D1613" s="112"/>
      <c r="E1613" s="417"/>
      <c r="F1613" s="418"/>
    </row>
    <row r="1614" spans="2:6" x14ac:dyDescent="0.25">
      <c r="B1614" s="112"/>
      <c r="D1614" s="112"/>
      <c r="E1614" s="417"/>
      <c r="F1614" s="418"/>
    </row>
    <row r="1615" spans="2:6" x14ac:dyDescent="0.25">
      <c r="B1615" s="112"/>
      <c r="D1615" s="112"/>
      <c r="E1615" s="417"/>
      <c r="F1615" s="418"/>
    </row>
    <row r="1616" spans="2:6" x14ac:dyDescent="0.25">
      <c r="B1616" s="112"/>
      <c r="D1616" s="112"/>
      <c r="E1616" s="417"/>
      <c r="F1616" s="418"/>
    </row>
    <row r="1617" spans="2:6" x14ac:dyDescent="0.25">
      <c r="B1617" s="112"/>
      <c r="D1617" s="112"/>
      <c r="E1617" s="417"/>
      <c r="F1617" s="418"/>
    </row>
    <row r="1618" spans="2:6" x14ac:dyDescent="0.25">
      <c r="B1618" s="112"/>
      <c r="D1618" s="112"/>
      <c r="E1618" s="417"/>
      <c r="F1618" s="418"/>
    </row>
    <row r="1619" spans="2:6" x14ac:dyDescent="0.25">
      <c r="B1619" s="112"/>
      <c r="D1619" s="112"/>
      <c r="E1619" s="417"/>
      <c r="F1619" s="418"/>
    </row>
    <row r="1620" spans="2:6" x14ac:dyDescent="0.25">
      <c r="B1620" s="112"/>
      <c r="D1620" s="112"/>
      <c r="E1620" s="417"/>
      <c r="F1620" s="418"/>
    </row>
    <row r="1621" spans="2:6" x14ac:dyDescent="0.25">
      <c r="B1621" s="112"/>
      <c r="D1621" s="112"/>
      <c r="E1621" s="417"/>
      <c r="F1621" s="418"/>
    </row>
    <row r="1622" spans="2:6" x14ac:dyDescent="0.25">
      <c r="B1622" s="112"/>
      <c r="D1622" s="112"/>
      <c r="E1622" s="417"/>
      <c r="F1622" s="418"/>
    </row>
    <row r="1623" spans="2:6" x14ac:dyDescent="0.25">
      <c r="B1623" s="112"/>
      <c r="D1623" s="112"/>
      <c r="E1623" s="417"/>
      <c r="F1623" s="418"/>
    </row>
    <row r="1624" spans="2:6" x14ac:dyDescent="0.25">
      <c r="B1624" s="112"/>
      <c r="D1624" s="112"/>
      <c r="E1624" s="417"/>
      <c r="F1624" s="418"/>
    </row>
    <row r="1625" spans="2:6" x14ac:dyDescent="0.25">
      <c r="B1625" s="112"/>
      <c r="D1625" s="112"/>
      <c r="E1625" s="417"/>
      <c r="F1625" s="418"/>
    </row>
    <row r="1626" spans="2:6" x14ac:dyDescent="0.25">
      <c r="B1626" s="112"/>
      <c r="D1626" s="112"/>
      <c r="E1626" s="417"/>
      <c r="F1626" s="418"/>
    </row>
    <row r="1627" spans="2:6" x14ac:dyDescent="0.25">
      <c r="B1627" s="112"/>
      <c r="D1627" s="112"/>
      <c r="E1627" s="417"/>
      <c r="F1627" s="418"/>
    </row>
    <row r="1628" spans="2:6" x14ac:dyDescent="0.25">
      <c r="B1628" s="112"/>
      <c r="D1628" s="112"/>
      <c r="E1628" s="417"/>
      <c r="F1628" s="418"/>
    </row>
    <row r="1629" spans="2:6" x14ac:dyDescent="0.25">
      <c r="B1629" s="112"/>
      <c r="D1629" s="112"/>
      <c r="E1629" s="417"/>
      <c r="F1629" s="418"/>
    </row>
    <row r="1630" spans="2:6" x14ac:dyDescent="0.25">
      <c r="B1630" s="112"/>
      <c r="D1630" s="112"/>
      <c r="E1630" s="417"/>
      <c r="F1630" s="418"/>
    </row>
    <row r="1631" spans="2:6" x14ac:dyDescent="0.25">
      <c r="B1631" s="112"/>
      <c r="D1631" s="112"/>
      <c r="E1631" s="417"/>
      <c r="F1631" s="418"/>
    </row>
    <row r="1632" spans="2:6" x14ac:dyDescent="0.25">
      <c r="B1632" s="112"/>
      <c r="D1632" s="112"/>
      <c r="E1632" s="417"/>
      <c r="F1632" s="418"/>
    </row>
    <row r="1633" spans="2:6" x14ac:dyDescent="0.25">
      <c r="B1633" s="112"/>
      <c r="D1633" s="112"/>
      <c r="E1633" s="417"/>
      <c r="F1633" s="418"/>
    </row>
    <row r="1634" spans="2:6" x14ac:dyDescent="0.25">
      <c r="B1634" s="112"/>
      <c r="D1634" s="112"/>
      <c r="E1634" s="417"/>
      <c r="F1634" s="418"/>
    </row>
    <row r="1635" spans="2:6" x14ac:dyDescent="0.25">
      <c r="B1635" s="112"/>
      <c r="D1635" s="112"/>
      <c r="E1635" s="417"/>
      <c r="F1635" s="418"/>
    </row>
    <row r="1636" spans="2:6" x14ac:dyDescent="0.25">
      <c r="B1636" s="112"/>
      <c r="D1636" s="112"/>
      <c r="E1636" s="417"/>
      <c r="F1636" s="418"/>
    </row>
    <row r="1637" spans="2:6" x14ac:dyDescent="0.25">
      <c r="B1637" s="112"/>
      <c r="D1637" s="112"/>
      <c r="E1637" s="417"/>
      <c r="F1637" s="418"/>
    </row>
    <row r="1638" spans="2:6" x14ac:dyDescent="0.25">
      <c r="B1638" s="112"/>
      <c r="D1638" s="112"/>
      <c r="E1638" s="417"/>
      <c r="F1638" s="418"/>
    </row>
    <row r="1639" spans="2:6" x14ac:dyDescent="0.25">
      <c r="B1639" s="112"/>
      <c r="D1639" s="112"/>
      <c r="E1639" s="417"/>
      <c r="F1639" s="418"/>
    </row>
    <row r="1640" spans="2:6" x14ac:dyDescent="0.25">
      <c r="B1640" s="112"/>
      <c r="D1640" s="112"/>
      <c r="E1640" s="417"/>
      <c r="F1640" s="418"/>
    </row>
    <row r="1641" spans="2:6" x14ac:dyDescent="0.25">
      <c r="B1641" s="112"/>
      <c r="D1641" s="112"/>
      <c r="E1641" s="417"/>
      <c r="F1641" s="418"/>
    </row>
    <row r="1642" spans="2:6" x14ac:dyDescent="0.25">
      <c r="B1642" s="112"/>
      <c r="D1642" s="112"/>
      <c r="E1642" s="417"/>
      <c r="F1642" s="418"/>
    </row>
    <row r="1643" spans="2:6" x14ac:dyDescent="0.25">
      <c r="B1643" s="112"/>
      <c r="D1643" s="112"/>
      <c r="E1643" s="417"/>
      <c r="F1643" s="418"/>
    </row>
    <row r="1644" spans="2:6" x14ac:dyDescent="0.25">
      <c r="B1644" s="112"/>
      <c r="D1644" s="112"/>
      <c r="E1644" s="417"/>
      <c r="F1644" s="418"/>
    </row>
    <row r="1645" spans="2:6" x14ac:dyDescent="0.25">
      <c r="B1645" s="112"/>
      <c r="D1645" s="112"/>
      <c r="E1645" s="417"/>
      <c r="F1645" s="418"/>
    </row>
    <row r="1646" spans="2:6" x14ac:dyDescent="0.25">
      <c r="B1646" s="112"/>
      <c r="D1646" s="112"/>
      <c r="E1646" s="417"/>
      <c r="F1646" s="418"/>
    </row>
    <row r="1647" spans="2:6" x14ac:dyDescent="0.25">
      <c r="B1647" s="112"/>
      <c r="D1647" s="112"/>
      <c r="E1647" s="417"/>
      <c r="F1647" s="418"/>
    </row>
    <row r="1648" spans="2:6" x14ac:dyDescent="0.25">
      <c r="B1648" s="112"/>
      <c r="D1648" s="112"/>
      <c r="E1648" s="417"/>
      <c r="F1648" s="418"/>
    </row>
    <row r="1649" spans="2:6" x14ac:dyDescent="0.25">
      <c r="B1649" s="112"/>
      <c r="D1649" s="112"/>
      <c r="E1649" s="417"/>
      <c r="F1649" s="418"/>
    </row>
    <row r="1650" spans="2:6" x14ac:dyDescent="0.25">
      <c r="B1650" s="112"/>
      <c r="D1650" s="112"/>
      <c r="E1650" s="417"/>
      <c r="F1650" s="418"/>
    </row>
    <row r="1651" spans="2:6" x14ac:dyDescent="0.25">
      <c r="B1651" s="112"/>
      <c r="D1651" s="112"/>
      <c r="E1651" s="417"/>
      <c r="F1651" s="418"/>
    </row>
    <row r="1652" spans="2:6" x14ac:dyDescent="0.25">
      <c r="B1652" s="112"/>
      <c r="D1652" s="112"/>
      <c r="E1652" s="417"/>
      <c r="F1652" s="418"/>
    </row>
    <row r="1653" spans="2:6" x14ac:dyDescent="0.25">
      <c r="B1653" s="112"/>
      <c r="D1653" s="112"/>
      <c r="E1653" s="417"/>
      <c r="F1653" s="418"/>
    </row>
    <row r="1654" spans="2:6" x14ac:dyDescent="0.25">
      <c r="B1654" s="112"/>
      <c r="D1654" s="112"/>
      <c r="E1654" s="417"/>
      <c r="F1654" s="418"/>
    </row>
    <row r="1655" spans="2:6" x14ac:dyDescent="0.25">
      <c r="B1655" s="112"/>
      <c r="D1655" s="112"/>
      <c r="E1655" s="417"/>
      <c r="F1655" s="418"/>
    </row>
    <row r="1656" spans="2:6" x14ac:dyDescent="0.25">
      <c r="B1656" s="112"/>
      <c r="D1656" s="112"/>
      <c r="E1656" s="417"/>
      <c r="F1656" s="418"/>
    </row>
    <row r="1657" spans="2:6" x14ac:dyDescent="0.25">
      <c r="B1657" s="112"/>
      <c r="D1657" s="112"/>
      <c r="E1657" s="417"/>
      <c r="F1657" s="418"/>
    </row>
    <row r="1658" spans="2:6" x14ac:dyDescent="0.25">
      <c r="B1658" s="112"/>
      <c r="D1658" s="112"/>
      <c r="E1658" s="417"/>
      <c r="F1658" s="418"/>
    </row>
    <row r="1659" spans="2:6" x14ac:dyDescent="0.25">
      <c r="B1659" s="112"/>
      <c r="D1659" s="112"/>
      <c r="E1659" s="417"/>
      <c r="F1659" s="418"/>
    </row>
    <row r="1660" spans="2:6" x14ac:dyDescent="0.25">
      <c r="B1660" s="112"/>
      <c r="D1660" s="112"/>
      <c r="E1660" s="417"/>
      <c r="F1660" s="418"/>
    </row>
    <row r="1661" spans="2:6" x14ac:dyDescent="0.25">
      <c r="B1661" s="112"/>
      <c r="D1661" s="112"/>
      <c r="E1661" s="417"/>
      <c r="F1661" s="418"/>
    </row>
    <row r="1662" spans="2:6" x14ac:dyDescent="0.25">
      <c r="B1662" s="112"/>
      <c r="D1662" s="112"/>
      <c r="E1662" s="417"/>
      <c r="F1662" s="418"/>
    </row>
    <row r="1663" spans="2:6" x14ac:dyDescent="0.25">
      <c r="B1663" s="112"/>
      <c r="D1663" s="112"/>
      <c r="E1663" s="417"/>
      <c r="F1663" s="418"/>
    </row>
    <row r="1664" spans="2:6" x14ac:dyDescent="0.25">
      <c r="B1664" s="112"/>
      <c r="D1664" s="112"/>
      <c r="E1664" s="417"/>
      <c r="F1664" s="418"/>
    </row>
    <row r="1665" spans="2:6" x14ac:dyDescent="0.25">
      <c r="B1665" s="112"/>
      <c r="D1665" s="112"/>
      <c r="E1665" s="417"/>
      <c r="F1665" s="418"/>
    </row>
    <row r="1666" spans="2:6" x14ac:dyDescent="0.25">
      <c r="B1666" s="112"/>
      <c r="D1666" s="112"/>
      <c r="E1666" s="417"/>
      <c r="F1666" s="418"/>
    </row>
    <row r="1667" spans="2:6" x14ac:dyDescent="0.25">
      <c r="B1667" s="112"/>
      <c r="D1667" s="112"/>
      <c r="E1667" s="417"/>
      <c r="F1667" s="418"/>
    </row>
    <row r="1668" spans="2:6" x14ac:dyDescent="0.25">
      <c r="B1668" s="112"/>
      <c r="D1668" s="112"/>
      <c r="E1668" s="417"/>
      <c r="F1668" s="418"/>
    </row>
    <row r="1669" spans="2:6" x14ac:dyDescent="0.25">
      <c r="B1669" s="112"/>
      <c r="D1669" s="112"/>
      <c r="E1669" s="417"/>
      <c r="F1669" s="418"/>
    </row>
    <row r="1670" spans="2:6" x14ac:dyDescent="0.25">
      <c r="B1670" s="112"/>
      <c r="D1670" s="112"/>
      <c r="E1670" s="417"/>
      <c r="F1670" s="418"/>
    </row>
    <row r="1671" spans="2:6" x14ac:dyDescent="0.25">
      <c r="B1671" s="112"/>
      <c r="D1671" s="112"/>
      <c r="E1671" s="417"/>
      <c r="F1671" s="418"/>
    </row>
    <row r="1672" spans="2:6" x14ac:dyDescent="0.25">
      <c r="B1672" s="112"/>
      <c r="D1672" s="112"/>
      <c r="E1672" s="417"/>
      <c r="F1672" s="418"/>
    </row>
    <row r="1673" spans="2:6" x14ac:dyDescent="0.25">
      <c r="B1673" s="112"/>
      <c r="D1673" s="112"/>
      <c r="E1673" s="417"/>
      <c r="F1673" s="418"/>
    </row>
    <row r="1674" spans="2:6" x14ac:dyDescent="0.25">
      <c r="B1674" s="112"/>
      <c r="D1674" s="112"/>
      <c r="E1674" s="417"/>
      <c r="F1674" s="418"/>
    </row>
    <row r="1675" spans="2:6" x14ac:dyDescent="0.25">
      <c r="B1675" s="112"/>
      <c r="D1675" s="112"/>
      <c r="E1675" s="417"/>
      <c r="F1675" s="418"/>
    </row>
    <row r="1676" spans="2:6" x14ac:dyDescent="0.25">
      <c r="B1676" s="112"/>
      <c r="D1676" s="112"/>
      <c r="E1676" s="417"/>
      <c r="F1676" s="418"/>
    </row>
    <row r="1677" spans="2:6" x14ac:dyDescent="0.25">
      <c r="B1677" s="112"/>
      <c r="D1677" s="112"/>
      <c r="E1677" s="417"/>
      <c r="F1677" s="418"/>
    </row>
    <row r="1678" spans="2:6" x14ac:dyDescent="0.25">
      <c r="B1678" s="112"/>
      <c r="D1678" s="112"/>
      <c r="E1678" s="417"/>
      <c r="F1678" s="418"/>
    </row>
    <row r="1679" spans="2:6" x14ac:dyDescent="0.25">
      <c r="B1679" s="112"/>
      <c r="D1679" s="112"/>
      <c r="E1679" s="417"/>
      <c r="F1679" s="418"/>
    </row>
    <row r="1680" spans="2:6" x14ac:dyDescent="0.25">
      <c r="B1680" s="112"/>
      <c r="D1680" s="112"/>
      <c r="E1680" s="417"/>
      <c r="F1680" s="418"/>
    </row>
    <row r="1681" spans="2:6" x14ac:dyDescent="0.25">
      <c r="B1681" s="112"/>
      <c r="D1681" s="112"/>
      <c r="E1681" s="417"/>
      <c r="F1681" s="418"/>
    </row>
    <row r="1682" spans="2:6" x14ac:dyDescent="0.25">
      <c r="B1682" s="112"/>
      <c r="D1682" s="112"/>
      <c r="E1682" s="417"/>
      <c r="F1682" s="418"/>
    </row>
    <row r="1683" spans="2:6" x14ac:dyDescent="0.25">
      <c r="B1683" s="112"/>
      <c r="D1683" s="112"/>
      <c r="E1683" s="417"/>
      <c r="F1683" s="418"/>
    </row>
    <row r="1684" spans="2:6" x14ac:dyDescent="0.25">
      <c r="B1684" s="112"/>
      <c r="D1684" s="112"/>
      <c r="E1684" s="417"/>
      <c r="F1684" s="418"/>
    </row>
    <row r="1685" spans="2:6" x14ac:dyDescent="0.25">
      <c r="B1685" s="112"/>
      <c r="D1685" s="112"/>
      <c r="E1685" s="417"/>
      <c r="F1685" s="418"/>
    </row>
    <row r="1686" spans="2:6" x14ac:dyDescent="0.25">
      <c r="B1686" s="112"/>
      <c r="D1686" s="112"/>
      <c r="E1686" s="417"/>
      <c r="F1686" s="418"/>
    </row>
    <row r="1687" spans="2:6" x14ac:dyDescent="0.25">
      <c r="B1687" s="112"/>
      <c r="D1687" s="112"/>
      <c r="E1687" s="417"/>
      <c r="F1687" s="418"/>
    </row>
    <row r="1688" spans="2:6" x14ac:dyDescent="0.25">
      <c r="B1688" s="112"/>
      <c r="D1688" s="112"/>
      <c r="E1688" s="417"/>
      <c r="F1688" s="418"/>
    </row>
    <row r="1689" spans="2:6" x14ac:dyDescent="0.25">
      <c r="B1689" s="112"/>
      <c r="D1689" s="112"/>
      <c r="E1689" s="417"/>
      <c r="F1689" s="418"/>
    </row>
    <row r="1690" spans="2:6" x14ac:dyDescent="0.25">
      <c r="B1690" s="112"/>
      <c r="D1690" s="112"/>
      <c r="E1690" s="417"/>
      <c r="F1690" s="418"/>
    </row>
    <row r="1691" spans="2:6" x14ac:dyDescent="0.25">
      <c r="B1691" s="112"/>
      <c r="D1691" s="112"/>
      <c r="E1691" s="417"/>
      <c r="F1691" s="418"/>
    </row>
    <row r="1692" spans="2:6" x14ac:dyDescent="0.25">
      <c r="B1692" s="112"/>
      <c r="D1692" s="112"/>
      <c r="E1692" s="417"/>
      <c r="F1692" s="418"/>
    </row>
    <row r="1693" spans="2:6" x14ac:dyDescent="0.25">
      <c r="B1693" s="112"/>
      <c r="D1693" s="112"/>
      <c r="E1693" s="417"/>
      <c r="F1693" s="418"/>
    </row>
    <row r="1694" spans="2:6" x14ac:dyDescent="0.25">
      <c r="B1694" s="112"/>
      <c r="D1694" s="112"/>
      <c r="E1694" s="417"/>
      <c r="F1694" s="418"/>
    </row>
    <row r="1695" spans="2:6" x14ac:dyDescent="0.25">
      <c r="B1695" s="112"/>
      <c r="D1695" s="112"/>
      <c r="E1695" s="417"/>
      <c r="F1695" s="418"/>
    </row>
    <row r="1696" spans="2:6" x14ac:dyDescent="0.25">
      <c r="B1696" s="112"/>
      <c r="D1696" s="112"/>
      <c r="E1696" s="417"/>
      <c r="F1696" s="418"/>
    </row>
    <row r="1697" spans="2:6" x14ac:dyDescent="0.25">
      <c r="B1697" s="112"/>
      <c r="D1697" s="112"/>
      <c r="E1697" s="417"/>
      <c r="F1697" s="418"/>
    </row>
    <row r="1698" spans="2:6" x14ac:dyDescent="0.25">
      <c r="B1698" s="112"/>
      <c r="D1698" s="112"/>
      <c r="E1698" s="417"/>
      <c r="F1698" s="418"/>
    </row>
    <row r="1699" spans="2:6" x14ac:dyDescent="0.25">
      <c r="B1699" s="112"/>
      <c r="D1699" s="112"/>
      <c r="E1699" s="417"/>
      <c r="F1699" s="418"/>
    </row>
    <row r="1700" spans="2:6" x14ac:dyDescent="0.25">
      <c r="B1700" s="112"/>
      <c r="D1700" s="112"/>
      <c r="E1700" s="417"/>
      <c r="F1700" s="418"/>
    </row>
    <row r="1701" spans="2:6" x14ac:dyDescent="0.25">
      <c r="B1701" s="112"/>
      <c r="D1701" s="112"/>
      <c r="E1701" s="417"/>
      <c r="F1701" s="418"/>
    </row>
    <row r="1702" spans="2:6" x14ac:dyDescent="0.25">
      <c r="B1702" s="112"/>
      <c r="D1702" s="112"/>
      <c r="E1702" s="417"/>
      <c r="F1702" s="418"/>
    </row>
    <row r="1703" spans="2:6" x14ac:dyDescent="0.25">
      <c r="B1703" s="112"/>
      <c r="D1703" s="112"/>
      <c r="E1703" s="417"/>
      <c r="F1703" s="418"/>
    </row>
    <row r="1704" spans="2:6" x14ac:dyDescent="0.25">
      <c r="B1704" s="112"/>
      <c r="D1704" s="112"/>
      <c r="E1704" s="417"/>
      <c r="F1704" s="418"/>
    </row>
    <row r="1705" spans="2:6" x14ac:dyDescent="0.25">
      <c r="B1705" s="112"/>
      <c r="D1705" s="112"/>
      <c r="E1705" s="417"/>
      <c r="F1705" s="418"/>
    </row>
    <row r="1706" spans="2:6" x14ac:dyDescent="0.25">
      <c r="B1706" s="112"/>
      <c r="D1706" s="112"/>
      <c r="E1706" s="417"/>
      <c r="F1706" s="418"/>
    </row>
    <row r="1707" spans="2:6" x14ac:dyDescent="0.25">
      <c r="B1707" s="112"/>
      <c r="D1707" s="112"/>
      <c r="E1707" s="417"/>
      <c r="F1707" s="418"/>
    </row>
    <row r="1708" spans="2:6" x14ac:dyDescent="0.25">
      <c r="B1708" s="112"/>
      <c r="D1708" s="112"/>
      <c r="E1708" s="417"/>
      <c r="F1708" s="418"/>
    </row>
    <row r="1709" spans="2:6" x14ac:dyDescent="0.25">
      <c r="B1709" s="112"/>
      <c r="D1709" s="112"/>
      <c r="E1709" s="417"/>
      <c r="F1709" s="418"/>
    </row>
    <row r="1710" spans="2:6" x14ac:dyDescent="0.25">
      <c r="B1710" s="112"/>
      <c r="D1710" s="112"/>
      <c r="E1710" s="417"/>
      <c r="F1710" s="418"/>
    </row>
    <row r="1711" spans="2:6" x14ac:dyDescent="0.25">
      <c r="B1711" s="112"/>
      <c r="D1711" s="112"/>
      <c r="E1711" s="417"/>
      <c r="F1711" s="418"/>
    </row>
    <row r="1712" spans="2:6" x14ac:dyDescent="0.25">
      <c r="B1712" s="112"/>
      <c r="D1712" s="112"/>
      <c r="E1712" s="417"/>
      <c r="F1712" s="418"/>
    </row>
    <row r="1713" spans="2:6" x14ac:dyDescent="0.25">
      <c r="B1713" s="112"/>
      <c r="D1713" s="112"/>
      <c r="E1713" s="417"/>
      <c r="F1713" s="418"/>
    </row>
    <row r="1714" spans="2:6" x14ac:dyDescent="0.25">
      <c r="B1714" s="112"/>
      <c r="D1714" s="112"/>
      <c r="E1714" s="417"/>
      <c r="F1714" s="418"/>
    </row>
    <row r="1715" spans="2:6" x14ac:dyDescent="0.25">
      <c r="B1715" s="112"/>
      <c r="D1715" s="112"/>
      <c r="E1715" s="417"/>
      <c r="F1715" s="418"/>
    </row>
    <row r="1716" spans="2:6" x14ac:dyDescent="0.25">
      <c r="B1716" s="112"/>
      <c r="D1716" s="112"/>
      <c r="E1716" s="417"/>
      <c r="F1716" s="418"/>
    </row>
    <row r="1717" spans="2:6" x14ac:dyDescent="0.25">
      <c r="B1717" s="112"/>
      <c r="D1717" s="112"/>
      <c r="E1717" s="417"/>
      <c r="F1717" s="418"/>
    </row>
    <row r="1718" spans="2:6" x14ac:dyDescent="0.25">
      <c r="B1718" s="112"/>
      <c r="D1718" s="112"/>
      <c r="E1718" s="417"/>
      <c r="F1718" s="418"/>
    </row>
    <row r="1719" spans="2:6" x14ac:dyDescent="0.25">
      <c r="B1719" s="112"/>
      <c r="D1719" s="112"/>
      <c r="E1719" s="417"/>
      <c r="F1719" s="418"/>
    </row>
    <row r="1720" spans="2:6" x14ac:dyDescent="0.25">
      <c r="B1720" s="112"/>
      <c r="D1720" s="112"/>
      <c r="E1720" s="417"/>
      <c r="F1720" s="418"/>
    </row>
    <row r="1721" spans="2:6" x14ac:dyDescent="0.25">
      <c r="B1721" s="112"/>
      <c r="D1721" s="112"/>
      <c r="E1721" s="417"/>
      <c r="F1721" s="418"/>
    </row>
    <row r="1722" spans="2:6" x14ac:dyDescent="0.25">
      <c r="B1722" s="112"/>
      <c r="D1722" s="112"/>
      <c r="E1722" s="417"/>
      <c r="F1722" s="418"/>
    </row>
    <row r="1723" spans="2:6" x14ac:dyDescent="0.25">
      <c r="B1723" s="112"/>
      <c r="D1723" s="112"/>
      <c r="E1723" s="417"/>
      <c r="F1723" s="418"/>
    </row>
    <row r="1724" spans="2:6" x14ac:dyDescent="0.25">
      <c r="B1724" s="112"/>
      <c r="D1724" s="112"/>
      <c r="E1724" s="417"/>
      <c r="F1724" s="418"/>
    </row>
    <row r="1725" spans="2:6" x14ac:dyDescent="0.25">
      <c r="B1725" s="112"/>
      <c r="D1725" s="112"/>
      <c r="E1725" s="417"/>
      <c r="F1725" s="418"/>
    </row>
    <row r="1726" spans="2:6" x14ac:dyDescent="0.25">
      <c r="B1726" s="112"/>
      <c r="D1726" s="112"/>
      <c r="E1726" s="417"/>
      <c r="F1726" s="418"/>
    </row>
    <row r="1727" spans="2:6" x14ac:dyDescent="0.25">
      <c r="B1727" s="112"/>
      <c r="D1727" s="112"/>
      <c r="E1727" s="417"/>
      <c r="F1727" s="418"/>
    </row>
    <row r="1728" spans="2:6" x14ac:dyDescent="0.25">
      <c r="B1728" s="112"/>
      <c r="D1728" s="112"/>
      <c r="E1728" s="417"/>
      <c r="F1728" s="418"/>
    </row>
    <row r="1729" spans="2:6" x14ac:dyDescent="0.25">
      <c r="B1729" s="112"/>
      <c r="D1729" s="112"/>
      <c r="E1729" s="417"/>
      <c r="F1729" s="418"/>
    </row>
    <row r="1730" spans="2:6" x14ac:dyDescent="0.25">
      <c r="B1730" s="112"/>
      <c r="D1730" s="112"/>
      <c r="E1730" s="417"/>
      <c r="F1730" s="418"/>
    </row>
    <row r="1731" spans="2:6" x14ac:dyDescent="0.25">
      <c r="B1731" s="112"/>
      <c r="D1731" s="112"/>
      <c r="E1731" s="417"/>
      <c r="F1731" s="418"/>
    </row>
    <row r="1732" spans="2:6" x14ac:dyDescent="0.25">
      <c r="B1732" s="112"/>
      <c r="D1732" s="112"/>
      <c r="E1732" s="417"/>
      <c r="F1732" s="418"/>
    </row>
    <row r="1733" spans="2:6" x14ac:dyDescent="0.25">
      <c r="B1733" s="112"/>
      <c r="D1733" s="112"/>
      <c r="E1733" s="417"/>
      <c r="F1733" s="418"/>
    </row>
    <row r="1734" spans="2:6" x14ac:dyDescent="0.25">
      <c r="B1734" s="112"/>
      <c r="D1734" s="112"/>
      <c r="E1734" s="417"/>
      <c r="F1734" s="418"/>
    </row>
    <row r="1735" spans="2:6" x14ac:dyDescent="0.25">
      <c r="B1735" s="112"/>
      <c r="D1735" s="112"/>
      <c r="E1735" s="417"/>
      <c r="F1735" s="418"/>
    </row>
    <row r="1736" spans="2:6" x14ac:dyDescent="0.25">
      <c r="B1736" s="112"/>
      <c r="D1736" s="112"/>
      <c r="E1736" s="417"/>
      <c r="F1736" s="418"/>
    </row>
    <row r="1737" spans="2:6" x14ac:dyDescent="0.25">
      <c r="B1737" s="112"/>
      <c r="D1737" s="112"/>
      <c r="E1737" s="417"/>
      <c r="F1737" s="418"/>
    </row>
    <row r="1738" spans="2:6" x14ac:dyDescent="0.25">
      <c r="B1738" s="112"/>
      <c r="D1738" s="112"/>
      <c r="E1738" s="417"/>
      <c r="F1738" s="418"/>
    </row>
    <row r="1739" spans="2:6" x14ac:dyDescent="0.25">
      <c r="B1739" s="112"/>
      <c r="D1739" s="112"/>
      <c r="E1739" s="417"/>
      <c r="F1739" s="418"/>
    </row>
    <row r="1740" spans="2:6" x14ac:dyDescent="0.25">
      <c r="B1740" s="112"/>
      <c r="D1740" s="112"/>
      <c r="E1740" s="417"/>
      <c r="F1740" s="418"/>
    </row>
    <row r="1741" spans="2:6" x14ac:dyDescent="0.25">
      <c r="B1741" s="112"/>
      <c r="D1741" s="112"/>
      <c r="E1741" s="417"/>
      <c r="F1741" s="418"/>
    </row>
    <row r="1742" spans="2:6" x14ac:dyDescent="0.25">
      <c r="B1742" s="112"/>
      <c r="D1742" s="112"/>
      <c r="E1742" s="417"/>
      <c r="F1742" s="418"/>
    </row>
    <row r="1743" spans="2:6" x14ac:dyDescent="0.25">
      <c r="B1743" s="112"/>
      <c r="D1743" s="112"/>
      <c r="E1743" s="417"/>
      <c r="F1743" s="418"/>
    </row>
    <row r="1744" spans="2:6" x14ac:dyDescent="0.25">
      <c r="B1744" s="112"/>
      <c r="D1744" s="112"/>
      <c r="E1744" s="417"/>
      <c r="F1744" s="418"/>
    </row>
    <row r="1745" spans="2:6" x14ac:dyDescent="0.25">
      <c r="B1745" s="112"/>
      <c r="D1745" s="112"/>
      <c r="E1745" s="417"/>
      <c r="F1745" s="418"/>
    </row>
    <row r="1746" spans="2:6" x14ac:dyDescent="0.25">
      <c r="B1746" s="112"/>
      <c r="D1746" s="112"/>
      <c r="E1746" s="417"/>
      <c r="F1746" s="418"/>
    </row>
    <row r="1747" spans="2:6" x14ac:dyDescent="0.25">
      <c r="B1747" s="112"/>
      <c r="D1747" s="112"/>
      <c r="E1747" s="417"/>
      <c r="F1747" s="418"/>
    </row>
    <row r="1748" spans="2:6" x14ac:dyDescent="0.25">
      <c r="B1748" s="112"/>
      <c r="D1748" s="112"/>
      <c r="E1748" s="417"/>
      <c r="F1748" s="418"/>
    </row>
    <row r="1749" spans="2:6" x14ac:dyDescent="0.25">
      <c r="B1749" s="112"/>
      <c r="D1749" s="112"/>
      <c r="E1749" s="417"/>
      <c r="F1749" s="418"/>
    </row>
    <row r="1750" spans="2:6" x14ac:dyDescent="0.25">
      <c r="B1750" s="112"/>
      <c r="D1750" s="112"/>
      <c r="E1750" s="417"/>
      <c r="F1750" s="418"/>
    </row>
    <row r="1751" spans="2:6" x14ac:dyDescent="0.25">
      <c r="B1751" s="112"/>
      <c r="D1751" s="112"/>
      <c r="E1751" s="417"/>
      <c r="F1751" s="418"/>
    </row>
    <row r="1752" spans="2:6" x14ac:dyDescent="0.25">
      <c r="B1752" s="112"/>
      <c r="D1752" s="112"/>
      <c r="E1752" s="417"/>
      <c r="F1752" s="418"/>
    </row>
    <row r="1753" spans="2:6" x14ac:dyDescent="0.25">
      <c r="B1753" s="112"/>
      <c r="D1753" s="112"/>
      <c r="E1753" s="417"/>
      <c r="F1753" s="418"/>
    </row>
    <row r="1754" spans="2:6" x14ac:dyDescent="0.25">
      <c r="B1754" s="112"/>
      <c r="D1754" s="112"/>
      <c r="E1754" s="417"/>
      <c r="F1754" s="418"/>
    </row>
    <row r="1755" spans="2:6" x14ac:dyDescent="0.25">
      <c r="B1755" s="112"/>
      <c r="D1755" s="112"/>
      <c r="E1755" s="417"/>
      <c r="F1755" s="418"/>
    </row>
    <row r="1756" spans="2:6" x14ac:dyDescent="0.25">
      <c r="B1756" s="112"/>
      <c r="D1756" s="112"/>
      <c r="E1756" s="417"/>
      <c r="F1756" s="418"/>
    </row>
    <row r="1757" spans="2:6" x14ac:dyDescent="0.25">
      <c r="B1757" s="112"/>
      <c r="D1757" s="112"/>
      <c r="E1757" s="417"/>
      <c r="F1757" s="418"/>
    </row>
    <row r="1758" spans="2:6" x14ac:dyDescent="0.25">
      <c r="B1758" s="112"/>
      <c r="D1758" s="112"/>
      <c r="E1758" s="417"/>
      <c r="F1758" s="418"/>
    </row>
    <row r="1759" spans="2:6" x14ac:dyDescent="0.25">
      <c r="B1759" s="112"/>
      <c r="D1759" s="112"/>
      <c r="E1759" s="417"/>
      <c r="F1759" s="418"/>
    </row>
    <row r="1760" spans="2:6" x14ac:dyDescent="0.25">
      <c r="B1760" s="112"/>
      <c r="D1760" s="112"/>
      <c r="E1760" s="417"/>
      <c r="F1760" s="418"/>
    </row>
    <row r="1761" spans="2:6" x14ac:dyDescent="0.25">
      <c r="B1761" s="112"/>
      <c r="D1761" s="112"/>
      <c r="E1761" s="417"/>
      <c r="F1761" s="418"/>
    </row>
    <row r="1762" spans="2:6" x14ac:dyDescent="0.25">
      <c r="B1762" s="112"/>
      <c r="D1762" s="112"/>
      <c r="E1762" s="417"/>
      <c r="F1762" s="418"/>
    </row>
    <row r="1763" spans="2:6" x14ac:dyDescent="0.25">
      <c r="B1763" s="112"/>
      <c r="D1763" s="112"/>
      <c r="E1763" s="417"/>
      <c r="F1763" s="418"/>
    </row>
    <row r="1764" spans="2:6" x14ac:dyDescent="0.25">
      <c r="B1764" s="112"/>
      <c r="D1764" s="112"/>
      <c r="E1764" s="417"/>
      <c r="F1764" s="418"/>
    </row>
    <row r="1765" spans="2:6" x14ac:dyDescent="0.25">
      <c r="B1765" s="112"/>
      <c r="D1765" s="112"/>
      <c r="E1765" s="417"/>
      <c r="F1765" s="418"/>
    </row>
    <row r="1766" spans="2:6" x14ac:dyDescent="0.25">
      <c r="B1766" s="112"/>
      <c r="D1766" s="112"/>
      <c r="E1766" s="417"/>
      <c r="F1766" s="418"/>
    </row>
    <row r="1767" spans="2:6" x14ac:dyDescent="0.25">
      <c r="B1767" s="112"/>
      <c r="D1767" s="112"/>
      <c r="E1767" s="417"/>
      <c r="F1767" s="418"/>
    </row>
    <row r="1768" spans="2:6" x14ac:dyDescent="0.25">
      <c r="B1768" s="112"/>
      <c r="D1768" s="112"/>
      <c r="E1768" s="417"/>
      <c r="F1768" s="418"/>
    </row>
    <row r="1769" spans="2:6" x14ac:dyDescent="0.25">
      <c r="B1769" s="112"/>
      <c r="D1769" s="112"/>
      <c r="E1769" s="417"/>
      <c r="F1769" s="418"/>
    </row>
    <row r="1770" spans="2:6" x14ac:dyDescent="0.25">
      <c r="B1770" s="112"/>
      <c r="D1770" s="112"/>
      <c r="E1770" s="417"/>
      <c r="F1770" s="418"/>
    </row>
    <row r="1771" spans="2:6" x14ac:dyDescent="0.25">
      <c r="B1771" s="112"/>
      <c r="D1771" s="112"/>
      <c r="E1771" s="417"/>
      <c r="F1771" s="418"/>
    </row>
    <row r="1772" spans="2:6" x14ac:dyDescent="0.25">
      <c r="B1772" s="112"/>
      <c r="D1772" s="112"/>
      <c r="E1772" s="417"/>
      <c r="F1772" s="418"/>
    </row>
    <row r="1773" spans="2:6" x14ac:dyDescent="0.25">
      <c r="B1773" s="112"/>
      <c r="D1773" s="112"/>
      <c r="E1773" s="417"/>
      <c r="F1773" s="418"/>
    </row>
    <row r="1774" spans="2:6" x14ac:dyDescent="0.25">
      <c r="B1774" s="112"/>
      <c r="D1774" s="112"/>
      <c r="E1774" s="417"/>
      <c r="F1774" s="418"/>
    </row>
    <row r="1775" spans="2:6" x14ac:dyDescent="0.25">
      <c r="B1775" s="112"/>
      <c r="D1775" s="112"/>
      <c r="E1775" s="417"/>
      <c r="F1775" s="418"/>
    </row>
    <row r="1776" spans="2:6" x14ac:dyDescent="0.25">
      <c r="B1776" s="112"/>
      <c r="D1776" s="112"/>
      <c r="E1776" s="417"/>
      <c r="F1776" s="418"/>
    </row>
    <row r="1777" spans="2:6" x14ac:dyDescent="0.25">
      <c r="B1777" s="112"/>
      <c r="D1777" s="112"/>
      <c r="E1777" s="417"/>
      <c r="F1777" s="418"/>
    </row>
    <row r="1778" spans="2:6" x14ac:dyDescent="0.25">
      <c r="B1778" s="112"/>
      <c r="D1778" s="112"/>
      <c r="E1778" s="417"/>
      <c r="F1778" s="418"/>
    </row>
    <row r="1779" spans="2:6" x14ac:dyDescent="0.25">
      <c r="B1779" s="112"/>
      <c r="D1779" s="112"/>
      <c r="E1779" s="417"/>
      <c r="F1779" s="418"/>
    </row>
    <row r="1780" spans="2:6" x14ac:dyDescent="0.25">
      <c r="B1780" s="112"/>
      <c r="D1780" s="112"/>
      <c r="E1780" s="417"/>
      <c r="F1780" s="418"/>
    </row>
    <row r="1781" spans="2:6" x14ac:dyDescent="0.25">
      <c r="B1781" s="112"/>
      <c r="D1781" s="112"/>
      <c r="E1781" s="417"/>
      <c r="F1781" s="418"/>
    </row>
    <row r="1782" spans="2:6" x14ac:dyDescent="0.25">
      <c r="B1782" s="112"/>
      <c r="D1782" s="112"/>
      <c r="E1782" s="417"/>
      <c r="F1782" s="418"/>
    </row>
    <row r="1783" spans="2:6" x14ac:dyDescent="0.25">
      <c r="B1783" s="112"/>
      <c r="D1783" s="112"/>
      <c r="E1783" s="417"/>
      <c r="F1783" s="418"/>
    </row>
    <row r="1784" spans="2:6" x14ac:dyDescent="0.25">
      <c r="B1784" s="112"/>
      <c r="D1784" s="112"/>
      <c r="E1784" s="417"/>
      <c r="F1784" s="418"/>
    </row>
    <row r="1785" spans="2:6" x14ac:dyDescent="0.25">
      <c r="B1785" s="112"/>
      <c r="D1785" s="112"/>
      <c r="E1785" s="417"/>
      <c r="F1785" s="418"/>
    </row>
    <row r="1786" spans="2:6" x14ac:dyDescent="0.25">
      <c r="B1786" s="112"/>
      <c r="D1786" s="112"/>
      <c r="E1786" s="417"/>
      <c r="F1786" s="418"/>
    </row>
    <row r="1787" spans="2:6" x14ac:dyDescent="0.25">
      <c r="B1787" s="112"/>
      <c r="D1787" s="112"/>
      <c r="E1787" s="417"/>
      <c r="F1787" s="418"/>
    </row>
    <row r="1788" spans="2:6" x14ac:dyDescent="0.25">
      <c r="B1788" s="112"/>
      <c r="D1788" s="112"/>
      <c r="E1788" s="417"/>
      <c r="F1788" s="418"/>
    </row>
    <row r="1789" spans="2:6" x14ac:dyDescent="0.25">
      <c r="B1789" s="112"/>
      <c r="D1789" s="112"/>
      <c r="E1789" s="417"/>
      <c r="F1789" s="418"/>
    </row>
    <row r="1790" spans="2:6" x14ac:dyDescent="0.25">
      <c r="B1790" s="112"/>
      <c r="D1790" s="112"/>
      <c r="E1790" s="417"/>
      <c r="F1790" s="418"/>
    </row>
    <row r="1791" spans="2:6" x14ac:dyDescent="0.25">
      <c r="B1791" s="112"/>
      <c r="D1791" s="112"/>
      <c r="E1791" s="417"/>
      <c r="F1791" s="418"/>
    </row>
    <row r="1792" spans="2:6" x14ac:dyDescent="0.25">
      <c r="B1792" s="112"/>
      <c r="D1792" s="112"/>
      <c r="E1792" s="417"/>
      <c r="F1792" s="418"/>
    </row>
    <row r="1793" spans="2:6" x14ac:dyDescent="0.25">
      <c r="B1793" s="112"/>
      <c r="D1793" s="112"/>
      <c r="E1793" s="417"/>
      <c r="F1793" s="418"/>
    </row>
    <row r="1794" spans="2:6" x14ac:dyDescent="0.25">
      <c r="B1794" s="112"/>
      <c r="D1794" s="112"/>
      <c r="E1794" s="417"/>
      <c r="F1794" s="418"/>
    </row>
    <row r="1795" spans="2:6" x14ac:dyDescent="0.25">
      <c r="B1795" s="112"/>
      <c r="D1795" s="112"/>
      <c r="E1795" s="417"/>
      <c r="F1795" s="418"/>
    </row>
    <row r="1796" spans="2:6" x14ac:dyDescent="0.25">
      <c r="B1796" s="112"/>
      <c r="D1796" s="112"/>
      <c r="E1796" s="417"/>
      <c r="F1796" s="418"/>
    </row>
    <row r="1797" spans="2:6" x14ac:dyDescent="0.25">
      <c r="B1797" s="112"/>
      <c r="D1797" s="112"/>
      <c r="E1797" s="417"/>
      <c r="F1797" s="418"/>
    </row>
    <row r="1798" spans="2:6" x14ac:dyDescent="0.25">
      <c r="B1798" s="112"/>
      <c r="D1798" s="112"/>
      <c r="E1798" s="417"/>
      <c r="F1798" s="418"/>
    </row>
    <row r="1799" spans="2:6" x14ac:dyDescent="0.25">
      <c r="B1799" s="112"/>
      <c r="D1799" s="112"/>
      <c r="E1799" s="417"/>
      <c r="F1799" s="418"/>
    </row>
    <row r="1800" spans="2:6" x14ac:dyDescent="0.25">
      <c r="B1800" s="112"/>
      <c r="D1800" s="112"/>
      <c r="E1800" s="417"/>
      <c r="F1800" s="418"/>
    </row>
    <row r="1801" spans="2:6" x14ac:dyDescent="0.25">
      <c r="B1801" s="112"/>
      <c r="D1801" s="112"/>
      <c r="E1801" s="417"/>
      <c r="F1801" s="418"/>
    </row>
    <row r="1802" spans="2:6" x14ac:dyDescent="0.25">
      <c r="B1802" s="112"/>
      <c r="D1802" s="112"/>
      <c r="E1802" s="417"/>
      <c r="F1802" s="418"/>
    </row>
    <row r="1803" spans="2:6" x14ac:dyDescent="0.25">
      <c r="B1803" s="112"/>
      <c r="D1803" s="112"/>
      <c r="E1803" s="417"/>
      <c r="F1803" s="418"/>
    </row>
    <row r="1804" spans="2:6" x14ac:dyDescent="0.25">
      <c r="B1804" s="112"/>
      <c r="D1804" s="112"/>
      <c r="E1804" s="417"/>
      <c r="F1804" s="418"/>
    </row>
    <row r="1805" spans="2:6" x14ac:dyDescent="0.25">
      <c r="B1805" s="112"/>
      <c r="D1805" s="112"/>
      <c r="E1805" s="417"/>
      <c r="F1805" s="418"/>
    </row>
    <row r="1806" spans="2:6" x14ac:dyDescent="0.25">
      <c r="B1806" s="112"/>
      <c r="D1806" s="112"/>
      <c r="E1806" s="417"/>
      <c r="F1806" s="418"/>
    </row>
    <row r="1807" spans="2:6" x14ac:dyDescent="0.25">
      <c r="B1807" s="112"/>
      <c r="D1807" s="112"/>
      <c r="E1807" s="417"/>
      <c r="F1807" s="418"/>
    </row>
    <row r="1808" spans="2:6" x14ac:dyDescent="0.25">
      <c r="B1808" s="112"/>
      <c r="D1808" s="112"/>
      <c r="E1808" s="417"/>
      <c r="F1808" s="418"/>
    </row>
    <row r="1809" spans="2:6" x14ac:dyDescent="0.25">
      <c r="B1809" s="112"/>
      <c r="D1809" s="112"/>
      <c r="E1809" s="417"/>
      <c r="F1809" s="418"/>
    </row>
    <row r="1810" spans="2:6" x14ac:dyDescent="0.25">
      <c r="B1810" s="112"/>
      <c r="D1810" s="112"/>
      <c r="E1810" s="417"/>
      <c r="F1810" s="418"/>
    </row>
    <row r="1811" spans="2:6" x14ac:dyDescent="0.25">
      <c r="B1811" s="112"/>
      <c r="D1811" s="112"/>
      <c r="E1811" s="417"/>
      <c r="F1811" s="418"/>
    </row>
    <row r="1812" spans="2:6" x14ac:dyDescent="0.25">
      <c r="B1812" s="112"/>
      <c r="D1812" s="112"/>
      <c r="E1812" s="417"/>
      <c r="F1812" s="418"/>
    </row>
    <row r="1813" spans="2:6" x14ac:dyDescent="0.25">
      <c r="B1813" s="112"/>
      <c r="D1813" s="112"/>
      <c r="E1813" s="417"/>
      <c r="F1813" s="418"/>
    </row>
    <row r="1814" spans="2:6" x14ac:dyDescent="0.25">
      <c r="B1814" s="112"/>
      <c r="D1814" s="112"/>
      <c r="E1814" s="417"/>
      <c r="F1814" s="418"/>
    </row>
    <row r="1815" spans="2:6" x14ac:dyDescent="0.25">
      <c r="B1815" s="112"/>
      <c r="D1815" s="112"/>
      <c r="E1815" s="417"/>
      <c r="F1815" s="418"/>
    </row>
    <row r="1816" spans="2:6" x14ac:dyDescent="0.25">
      <c r="B1816" s="112"/>
      <c r="D1816" s="112"/>
      <c r="E1816" s="417"/>
      <c r="F1816" s="418"/>
    </row>
    <row r="1817" spans="2:6" x14ac:dyDescent="0.25">
      <c r="B1817" s="112"/>
      <c r="D1817" s="112"/>
      <c r="E1817" s="417"/>
      <c r="F1817" s="418"/>
    </row>
    <row r="1818" spans="2:6" x14ac:dyDescent="0.25">
      <c r="B1818" s="112"/>
      <c r="D1818" s="112"/>
      <c r="E1818" s="417"/>
      <c r="F1818" s="418"/>
    </row>
    <row r="1819" spans="2:6" x14ac:dyDescent="0.25">
      <c r="B1819" s="112"/>
      <c r="D1819" s="112"/>
      <c r="E1819" s="417"/>
      <c r="F1819" s="418"/>
    </row>
    <row r="1820" spans="2:6" x14ac:dyDescent="0.25">
      <c r="B1820" s="112"/>
      <c r="D1820" s="112"/>
      <c r="E1820" s="417"/>
      <c r="F1820" s="418"/>
    </row>
    <row r="1821" spans="2:6" x14ac:dyDescent="0.25">
      <c r="B1821" s="112"/>
      <c r="D1821" s="112"/>
      <c r="E1821" s="417"/>
      <c r="F1821" s="418"/>
    </row>
    <row r="1822" spans="2:6" x14ac:dyDescent="0.25">
      <c r="B1822" s="112"/>
      <c r="D1822" s="112"/>
      <c r="E1822" s="417"/>
      <c r="F1822" s="418"/>
    </row>
    <row r="1823" spans="2:6" x14ac:dyDescent="0.25">
      <c r="B1823" s="112"/>
      <c r="D1823" s="112"/>
      <c r="E1823" s="417"/>
      <c r="F1823" s="418"/>
    </row>
    <row r="1824" spans="2:6" x14ac:dyDescent="0.25">
      <c r="B1824" s="112"/>
      <c r="D1824" s="112"/>
      <c r="E1824" s="417"/>
      <c r="F1824" s="418"/>
    </row>
    <row r="1825" spans="2:6" x14ac:dyDescent="0.25">
      <c r="B1825" s="112"/>
      <c r="D1825" s="112"/>
      <c r="E1825" s="417"/>
      <c r="F1825" s="418"/>
    </row>
    <row r="1826" spans="2:6" x14ac:dyDescent="0.25">
      <c r="B1826" s="112"/>
      <c r="D1826" s="112"/>
      <c r="E1826" s="417"/>
      <c r="F1826" s="418"/>
    </row>
    <row r="1827" spans="2:6" x14ac:dyDescent="0.25">
      <c r="B1827" s="112"/>
      <c r="D1827" s="112"/>
      <c r="E1827" s="417"/>
      <c r="F1827" s="418"/>
    </row>
    <row r="1828" spans="2:6" x14ac:dyDescent="0.25">
      <c r="B1828" s="112"/>
      <c r="D1828" s="112"/>
      <c r="E1828" s="417"/>
      <c r="F1828" s="418"/>
    </row>
    <row r="1829" spans="2:6" x14ac:dyDescent="0.25">
      <c r="B1829" s="112"/>
      <c r="D1829" s="112"/>
      <c r="E1829" s="417"/>
      <c r="F1829" s="418"/>
    </row>
    <row r="1830" spans="2:6" x14ac:dyDescent="0.25">
      <c r="B1830" s="112"/>
      <c r="D1830" s="112"/>
      <c r="E1830" s="417"/>
      <c r="F1830" s="418"/>
    </row>
    <row r="1831" spans="2:6" x14ac:dyDescent="0.25">
      <c r="B1831" s="112"/>
      <c r="D1831" s="112"/>
      <c r="E1831" s="417"/>
      <c r="F1831" s="418"/>
    </row>
    <row r="1832" spans="2:6" x14ac:dyDescent="0.25">
      <c r="B1832" s="112"/>
      <c r="D1832" s="112"/>
      <c r="E1832" s="417"/>
      <c r="F1832" s="418"/>
    </row>
    <row r="1833" spans="2:6" x14ac:dyDescent="0.25">
      <c r="B1833" s="112"/>
      <c r="D1833" s="112"/>
      <c r="E1833" s="417"/>
      <c r="F1833" s="418"/>
    </row>
    <row r="1834" spans="2:6" x14ac:dyDescent="0.25">
      <c r="B1834" s="112"/>
      <c r="D1834" s="112"/>
      <c r="E1834" s="417"/>
      <c r="F1834" s="418"/>
    </row>
    <row r="1835" spans="2:6" x14ac:dyDescent="0.25">
      <c r="B1835" s="112"/>
      <c r="D1835" s="112"/>
      <c r="E1835" s="417"/>
      <c r="F1835" s="418"/>
    </row>
    <row r="1836" spans="2:6" x14ac:dyDescent="0.25">
      <c r="B1836" s="112"/>
      <c r="D1836" s="112"/>
      <c r="E1836" s="417"/>
      <c r="F1836" s="418"/>
    </row>
    <row r="1837" spans="2:6" x14ac:dyDescent="0.25">
      <c r="B1837" s="112"/>
      <c r="D1837" s="112"/>
      <c r="E1837" s="417"/>
      <c r="F1837" s="418"/>
    </row>
    <row r="1838" spans="2:6" x14ac:dyDescent="0.25">
      <c r="B1838" s="112"/>
      <c r="D1838" s="112"/>
      <c r="E1838" s="417"/>
      <c r="F1838" s="418"/>
    </row>
    <row r="1839" spans="2:6" x14ac:dyDescent="0.25">
      <c r="B1839" s="112"/>
      <c r="D1839" s="112"/>
      <c r="E1839" s="417"/>
      <c r="F1839" s="418"/>
    </row>
    <row r="1840" spans="2:6" x14ac:dyDescent="0.25">
      <c r="B1840" s="112"/>
      <c r="D1840" s="112"/>
      <c r="E1840" s="417"/>
      <c r="F1840" s="418"/>
    </row>
    <row r="1841" spans="2:6" x14ac:dyDescent="0.25">
      <c r="B1841" s="112"/>
      <c r="D1841" s="112"/>
      <c r="E1841" s="417"/>
      <c r="F1841" s="418"/>
    </row>
    <row r="1842" spans="2:6" x14ac:dyDescent="0.25">
      <c r="B1842" s="112"/>
      <c r="D1842" s="112"/>
      <c r="E1842" s="417"/>
      <c r="F1842" s="418"/>
    </row>
    <row r="1843" spans="2:6" x14ac:dyDescent="0.25">
      <c r="B1843" s="112"/>
      <c r="D1843" s="112"/>
      <c r="E1843" s="417"/>
      <c r="F1843" s="418"/>
    </row>
    <row r="1844" spans="2:6" x14ac:dyDescent="0.25">
      <c r="B1844" s="112"/>
      <c r="D1844" s="112"/>
      <c r="E1844" s="417"/>
      <c r="F1844" s="418"/>
    </row>
    <row r="1845" spans="2:6" x14ac:dyDescent="0.25">
      <c r="B1845" s="112"/>
      <c r="D1845" s="112"/>
      <c r="E1845" s="417"/>
      <c r="F1845" s="418"/>
    </row>
    <row r="1846" spans="2:6" x14ac:dyDescent="0.25">
      <c r="B1846" s="112"/>
      <c r="D1846" s="112"/>
      <c r="E1846" s="417"/>
      <c r="F1846" s="418"/>
    </row>
    <row r="1847" spans="2:6" x14ac:dyDescent="0.25">
      <c r="B1847" s="112"/>
      <c r="D1847" s="112"/>
      <c r="E1847" s="417"/>
      <c r="F1847" s="418"/>
    </row>
    <row r="1848" spans="2:6" x14ac:dyDescent="0.25">
      <c r="B1848" s="112"/>
      <c r="D1848" s="112"/>
      <c r="E1848" s="417"/>
      <c r="F1848" s="418"/>
    </row>
    <row r="1849" spans="2:6" x14ac:dyDescent="0.25">
      <c r="B1849" s="112"/>
      <c r="D1849" s="112"/>
      <c r="E1849" s="417"/>
      <c r="F1849" s="418"/>
    </row>
    <row r="1850" spans="2:6" x14ac:dyDescent="0.25">
      <c r="B1850" s="112"/>
      <c r="D1850" s="112"/>
      <c r="E1850" s="417"/>
      <c r="F1850" s="418"/>
    </row>
    <row r="1851" spans="2:6" x14ac:dyDescent="0.25">
      <c r="B1851" s="112"/>
      <c r="D1851" s="112"/>
      <c r="E1851" s="417"/>
      <c r="F1851" s="418"/>
    </row>
    <row r="1852" spans="2:6" x14ac:dyDescent="0.25">
      <c r="B1852" s="112"/>
      <c r="D1852" s="112"/>
      <c r="E1852" s="417"/>
      <c r="F1852" s="418"/>
    </row>
    <row r="1853" spans="2:6" x14ac:dyDescent="0.25">
      <c r="B1853" s="112"/>
      <c r="D1853" s="112"/>
      <c r="E1853" s="417"/>
      <c r="F1853" s="418"/>
    </row>
    <row r="1854" spans="2:6" x14ac:dyDescent="0.25">
      <c r="B1854" s="112"/>
      <c r="D1854" s="112"/>
      <c r="E1854" s="417"/>
      <c r="F1854" s="418"/>
    </row>
    <row r="1855" spans="2:6" x14ac:dyDescent="0.25">
      <c r="B1855" s="112"/>
      <c r="D1855" s="112"/>
      <c r="E1855" s="417"/>
      <c r="F1855" s="418"/>
    </row>
    <row r="1856" spans="2:6" x14ac:dyDescent="0.25">
      <c r="B1856" s="112"/>
      <c r="D1856" s="112"/>
      <c r="E1856" s="417"/>
      <c r="F1856" s="418"/>
    </row>
    <row r="1857" spans="2:6" x14ac:dyDescent="0.25">
      <c r="B1857" s="112"/>
      <c r="D1857" s="112"/>
      <c r="E1857" s="417"/>
      <c r="F1857" s="418"/>
    </row>
    <row r="1858" spans="2:6" x14ac:dyDescent="0.25">
      <c r="B1858" s="112"/>
      <c r="D1858" s="112"/>
      <c r="E1858" s="417"/>
      <c r="F1858" s="418"/>
    </row>
    <row r="1859" spans="2:6" x14ac:dyDescent="0.25">
      <c r="B1859" s="112"/>
      <c r="D1859" s="112"/>
      <c r="E1859" s="417"/>
      <c r="F1859" s="418"/>
    </row>
    <row r="1860" spans="2:6" x14ac:dyDescent="0.25">
      <c r="B1860" s="112"/>
      <c r="D1860" s="112"/>
      <c r="E1860" s="417"/>
      <c r="F1860" s="418"/>
    </row>
    <row r="1861" spans="2:6" x14ac:dyDescent="0.25">
      <c r="B1861" s="112"/>
      <c r="D1861" s="112"/>
      <c r="E1861" s="417"/>
      <c r="F1861" s="418"/>
    </row>
    <row r="1862" spans="2:6" x14ac:dyDescent="0.25">
      <c r="B1862" s="112"/>
      <c r="D1862" s="112"/>
      <c r="E1862" s="417"/>
      <c r="F1862" s="418"/>
    </row>
    <row r="1863" spans="2:6" x14ac:dyDescent="0.25">
      <c r="B1863" s="112"/>
      <c r="D1863" s="112"/>
      <c r="E1863" s="417"/>
      <c r="F1863" s="418"/>
    </row>
    <row r="1864" spans="2:6" x14ac:dyDescent="0.25">
      <c r="B1864" s="112"/>
      <c r="D1864" s="112"/>
      <c r="E1864" s="417"/>
      <c r="F1864" s="418"/>
    </row>
    <row r="1865" spans="2:6" x14ac:dyDescent="0.25">
      <c r="B1865" s="112"/>
      <c r="D1865" s="112"/>
      <c r="E1865" s="417"/>
      <c r="F1865" s="418"/>
    </row>
    <row r="1866" spans="2:6" x14ac:dyDescent="0.25">
      <c r="B1866" s="112"/>
      <c r="D1866" s="112"/>
      <c r="E1866" s="417"/>
      <c r="F1866" s="418"/>
    </row>
    <row r="1867" spans="2:6" x14ac:dyDescent="0.25">
      <c r="B1867" s="112"/>
      <c r="D1867" s="112"/>
      <c r="E1867" s="417"/>
      <c r="F1867" s="418"/>
    </row>
    <row r="1868" spans="2:6" x14ac:dyDescent="0.25">
      <c r="B1868" s="112"/>
      <c r="D1868" s="112"/>
      <c r="E1868" s="417"/>
      <c r="F1868" s="418"/>
    </row>
    <row r="1869" spans="2:6" x14ac:dyDescent="0.25">
      <c r="B1869" s="112"/>
      <c r="D1869" s="112"/>
      <c r="E1869" s="417"/>
      <c r="F1869" s="418"/>
    </row>
    <row r="1870" spans="2:6" x14ac:dyDescent="0.25">
      <c r="B1870" s="112"/>
      <c r="D1870" s="112"/>
      <c r="E1870" s="417"/>
      <c r="F1870" s="418"/>
    </row>
    <row r="1871" spans="2:6" x14ac:dyDescent="0.25">
      <c r="B1871" s="112"/>
      <c r="D1871" s="112"/>
      <c r="E1871" s="417"/>
      <c r="F1871" s="418"/>
    </row>
    <row r="1872" spans="2:6" x14ac:dyDescent="0.25">
      <c r="B1872" s="112"/>
      <c r="D1872" s="112"/>
      <c r="E1872" s="417"/>
      <c r="F1872" s="418"/>
    </row>
    <row r="1873" spans="2:6" x14ac:dyDescent="0.25">
      <c r="B1873" s="112"/>
      <c r="D1873" s="112"/>
      <c r="E1873" s="417"/>
      <c r="F1873" s="418"/>
    </row>
    <row r="1874" spans="2:6" x14ac:dyDescent="0.25">
      <c r="B1874" s="112"/>
      <c r="D1874" s="112"/>
      <c r="E1874" s="417"/>
      <c r="F1874" s="418"/>
    </row>
    <row r="1875" spans="2:6" x14ac:dyDescent="0.25">
      <c r="B1875" s="112"/>
      <c r="D1875" s="112"/>
      <c r="E1875" s="417"/>
      <c r="F1875" s="418"/>
    </row>
    <row r="1876" spans="2:6" x14ac:dyDescent="0.25">
      <c r="B1876" s="112"/>
      <c r="D1876" s="112"/>
      <c r="E1876" s="417"/>
      <c r="F1876" s="418"/>
    </row>
    <row r="1877" spans="2:6" x14ac:dyDescent="0.25">
      <c r="B1877" s="112"/>
      <c r="D1877" s="112"/>
      <c r="E1877" s="417"/>
      <c r="F1877" s="418"/>
    </row>
    <row r="1878" spans="2:6" x14ac:dyDescent="0.25">
      <c r="B1878" s="112"/>
      <c r="D1878" s="112"/>
      <c r="E1878" s="417"/>
      <c r="F1878" s="418"/>
    </row>
    <row r="1879" spans="2:6" x14ac:dyDescent="0.25">
      <c r="B1879" s="112"/>
      <c r="D1879" s="112"/>
      <c r="E1879" s="417"/>
      <c r="F1879" s="418"/>
    </row>
    <row r="1880" spans="2:6" x14ac:dyDescent="0.25">
      <c r="B1880" s="112"/>
      <c r="D1880" s="112"/>
      <c r="E1880" s="417"/>
      <c r="F1880" s="418"/>
    </row>
    <row r="1881" spans="2:6" x14ac:dyDescent="0.25">
      <c r="B1881" s="112"/>
      <c r="D1881" s="112"/>
      <c r="E1881" s="417"/>
      <c r="F1881" s="418"/>
    </row>
    <row r="1882" spans="2:6" x14ac:dyDescent="0.25">
      <c r="B1882" s="112"/>
      <c r="D1882" s="112"/>
      <c r="E1882" s="417"/>
      <c r="F1882" s="418"/>
    </row>
    <row r="1883" spans="2:6" x14ac:dyDescent="0.25">
      <c r="B1883" s="112"/>
      <c r="D1883" s="112"/>
      <c r="E1883" s="417"/>
      <c r="F1883" s="418"/>
    </row>
    <row r="1884" spans="2:6" x14ac:dyDescent="0.25">
      <c r="B1884" s="112"/>
      <c r="D1884" s="112"/>
      <c r="E1884" s="417"/>
      <c r="F1884" s="418"/>
    </row>
    <row r="1885" spans="2:6" x14ac:dyDescent="0.25">
      <c r="B1885" s="112"/>
      <c r="D1885" s="112"/>
      <c r="E1885" s="417"/>
      <c r="F1885" s="418"/>
    </row>
    <row r="1886" spans="2:6" x14ac:dyDescent="0.25">
      <c r="B1886" s="112"/>
      <c r="D1886" s="112"/>
      <c r="E1886" s="417"/>
      <c r="F1886" s="418"/>
    </row>
    <row r="1887" spans="2:6" x14ac:dyDescent="0.25">
      <c r="B1887" s="112"/>
      <c r="D1887" s="112"/>
      <c r="E1887" s="417"/>
      <c r="F1887" s="418"/>
    </row>
    <row r="1888" spans="2:6" x14ac:dyDescent="0.25">
      <c r="B1888" s="112"/>
      <c r="D1888" s="112"/>
      <c r="E1888" s="417"/>
      <c r="F1888" s="418"/>
    </row>
    <row r="1889" spans="2:6" x14ac:dyDescent="0.25">
      <c r="B1889" s="112"/>
      <c r="D1889" s="112"/>
      <c r="E1889" s="417"/>
      <c r="F1889" s="418"/>
    </row>
    <row r="1890" spans="2:6" x14ac:dyDescent="0.25">
      <c r="B1890" s="112"/>
      <c r="D1890" s="112"/>
      <c r="E1890" s="417"/>
      <c r="F1890" s="418"/>
    </row>
    <row r="1891" spans="2:6" x14ac:dyDescent="0.25">
      <c r="B1891" s="112"/>
      <c r="D1891" s="112"/>
      <c r="E1891" s="417"/>
      <c r="F1891" s="418"/>
    </row>
    <row r="1892" spans="2:6" x14ac:dyDescent="0.25">
      <c r="B1892" s="112"/>
      <c r="D1892" s="112"/>
      <c r="E1892" s="417"/>
      <c r="F1892" s="418"/>
    </row>
    <row r="1893" spans="2:6" x14ac:dyDescent="0.25">
      <c r="B1893" s="112"/>
      <c r="D1893" s="112"/>
      <c r="E1893" s="417"/>
      <c r="F1893" s="418"/>
    </row>
    <row r="1894" spans="2:6" x14ac:dyDescent="0.25">
      <c r="B1894" s="112"/>
      <c r="D1894" s="112"/>
      <c r="E1894" s="417"/>
      <c r="F1894" s="418"/>
    </row>
    <row r="1895" spans="2:6" x14ac:dyDescent="0.25">
      <c r="B1895" s="112"/>
      <c r="D1895" s="112"/>
      <c r="E1895" s="417"/>
      <c r="F1895" s="418"/>
    </row>
    <row r="1896" spans="2:6" x14ac:dyDescent="0.25">
      <c r="B1896" s="112"/>
      <c r="D1896" s="112"/>
      <c r="E1896" s="417"/>
      <c r="F1896" s="418"/>
    </row>
    <row r="1897" spans="2:6" x14ac:dyDescent="0.25">
      <c r="B1897" s="112"/>
      <c r="D1897" s="112"/>
      <c r="E1897" s="417"/>
      <c r="F1897" s="418"/>
    </row>
    <row r="1898" spans="2:6" x14ac:dyDescent="0.25">
      <c r="B1898" s="112"/>
      <c r="D1898" s="112"/>
      <c r="E1898" s="417"/>
      <c r="F1898" s="418"/>
    </row>
    <row r="1899" spans="2:6" x14ac:dyDescent="0.25">
      <c r="B1899" s="112"/>
      <c r="D1899" s="112"/>
      <c r="E1899" s="417"/>
      <c r="F1899" s="418"/>
    </row>
    <row r="1900" spans="2:6" x14ac:dyDescent="0.25">
      <c r="B1900" s="112"/>
      <c r="D1900" s="112"/>
      <c r="E1900" s="417"/>
      <c r="F1900" s="418"/>
    </row>
    <row r="1901" spans="2:6" x14ac:dyDescent="0.25">
      <c r="B1901" s="112"/>
      <c r="D1901" s="112"/>
      <c r="E1901" s="417"/>
      <c r="F1901" s="418"/>
    </row>
    <row r="1902" spans="2:6" x14ac:dyDescent="0.25">
      <c r="B1902" s="112"/>
      <c r="D1902" s="112"/>
      <c r="E1902" s="417"/>
      <c r="F1902" s="418"/>
    </row>
    <row r="1903" spans="2:6" x14ac:dyDescent="0.25">
      <c r="B1903" s="112"/>
      <c r="D1903" s="112"/>
      <c r="E1903" s="417"/>
      <c r="F1903" s="418"/>
    </row>
    <row r="1904" spans="2:6" x14ac:dyDescent="0.25">
      <c r="B1904" s="112"/>
      <c r="D1904" s="112"/>
      <c r="E1904" s="417"/>
      <c r="F1904" s="418"/>
    </row>
    <row r="1905" spans="2:6" x14ac:dyDescent="0.25">
      <c r="B1905" s="112"/>
      <c r="D1905" s="112"/>
      <c r="E1905" s="417"/>
      <c r="F1905" s="418"/>
    </row>
    <row r="1906" spans="2:6" x14ac:dyDescent="0.25">
      <c r="B1906" s="112"/>
      <c r="D1906" s="112"/>
      <c r="E1906" s="417"/>
      <c r="F1906" s="418"/>
    </row>
    <row r="1907" spans="2:6" x14ac:dyDescent="0.25">
      <c r="B1907" s="112"/>
      <c r="D1907" s="112"/>
      <c r="E1907" s="417"/>
      <c r="F1907" s="418"/>
    </row>
    <row r="1908" spans="2:6" x14ac:dyDescent="0.25">
      <c r="B1908" s="112"/>
      <c r="D1908" s="112"/>
      <c r="E1908" s="417"/>
      <c r="F1908" s="418"/>
    </row>
    <row r="1909" spans="2:6" x14ac:dyDescent="0.25">
      <c r="B1909" s="112"/>
      <c r="D1909" s="112"/>
      <c r="E1909" s="417"/>
      <c r="F1909" s="418"/>
    </row>
    <row r="1910" spans="2:6" x14ac:dyDescent="0.25">
      <c r="B1910" s="112"/>
      <c r="D1910" s="112"/>
      <c r="E1910" s="417"/>
      <c r="F1910" s="418"/>
    </row>
    <row r="1911" spans="2:6" x14ac:dyDescent="0.25">
      <c r="B1911" s="112"/>
      <c r="D1911" s="112"/>
      <c r="E1911" s="417"/>
      <c r="F1911" s="418"/>
    </row>
    <row r="1912" spans="2:6" x14ac:dyDescent="0.25">
      <c r="B1912" s="112"/>
      <c r="D1912" s="112"/>
      <c r="E1912" s="417"/>
      <c r="F1912" s="418"/>
    </row>
    <row r="1913" spans="2:6" x14ac:dyDescent="0.25">
      <c r="B1913" s="112"/>
      <c r="D1913" s="112"/>
      <c r="E1913" s="417"/>
      <c r="F1913" s="418"/>
    </row>
    <row r="1914" spans="2:6" x14ac:dyDescent="0.25">
      <c r="B1914" s="112"/>
      <c r="D1914" s="112"/>
      <c r="E1914" s="417"/>
      <c r="F1914" s="418"/>
    </row>
    <row r="1915" spans="2:6" x14ac:dyDescent="0.25">
      <c r="B1915" s="112"/>
      <c r="D1915" s="112"/>
      <c r="E1915" s="417"/>
      <c r="F1915" s="418"/>
    </row>
    <row r="1916" spans="2:6" x14ac:dyDescent="0.25">
      <c r="B1916" s="112"/>
      <c r="D1916" s="112"/>
      <c r="E1916" s="417"/>
      <c r="F1916" s="418"/>
    </row>
    <row r="1917" spans="2:6" x14ac:dyDescent="0.25">
      <c r="B1917" s="112"/>
      <c r="D1917" s="112"/>
      <c r="E1917" s="417"/>
      <c r="F1917" s="418"/>
    </row>
    <row r="1918" spans="2:6" x14ac:dyDescent="0.25">
      <c r="B1918" s="112"/>
      <c r="D1918" s="112"/>
      <c r="E1918" s="417"/>
      <c r="F1918" s="418"/>
    </row>
    <row r="1919" spans="2:6" x14ac:dyDescent="0.25">
      <c r="B1919" s="112"/>
      <c r="D1919" s="112"/>
      <c r="E1919" s="417"/>
      <c r="F1919" s="418"/>
    </row>
    <row r="1920" spans="2:6" x14ac:dyDescent="0.25">
      <c r="B1920" s="112"/>
      <c r="D1920" s="112"/>
      <c r="E1920" s="417"/>
      <c r="F1920" s="418"/>
    </row>
    <row r="1921" spans="2:6" x14ac:dyDescent="0.25">
      <c r="B1921" s="112"/>
      <c r="D1921" s="112"/>
      <c r="E1921" s="417"/>
      <c r="F1921" s="418"/>
    </row>
    <row r="1922" spans="2:6" x14ac:dyDescent="0.25">
      <c r="B1922" s="112"/>
      <c r="D1922" s="112"/>
      <c r="E1922" s="417"/>
      <c r="F1922" s="418"/>
    </row>
    <row r="1923" spans="2:6" x14ac:dyDescent="0.25">
      <c r="B1923" s="112"/>
      <c r="D1923" s="112"/>
      <c r="E1923" s="417"/>
      <c r="F1923" s="418"/>
    </row>
    <row r="1924" spans="2:6" x14ac:dyDescent="0.25">
      <c r="B1924" s="112"/>
      <c r="D1924" s="112"/>
      <c r="E1924" s="417"/>
      <c r="F1924" s="418"/>
    </row>
    <row r="1925" spans="2:6" x14ac:dyDescent="0.25">
      <c r="B1925" s="112"/>
      <c r="D1925" s="112"/>
      <c r="E1925" s="417"/>
      <c r="F1925" s="418"/>
    </row>
    <row r="1926" spans="2:6" x14ac:dyDescent="0.25">
      <c r="B1926" s="112"/>
      <c r="D1926" s="112"/>
      <c r="E1926" s="417"/>
      <c r="F1926" s="418"/>
    </row>
    <row r="1927" spans="2:6" x14ac:dyDescent="0.25">
      <c r="B1927" s="112"/>
      <c r="D1927" s="112"/>
      <c r="E1927" s="417"/>
      <c r="F1927" s="418"/>
    </row>
    <row r="1928" spans="2:6" x14ac:dyDescent="0.25">
      <c r="B1928" s="112"/>
      <c r="D1928" s="112"/>
      <c r="E1928" s="417"/>
      <c r="F1928" s="418"/>
    </row>
    <row r="1929" spans="2:6" x14ac:dyDescent="0.25">
      <c r="B1929" s="112"/>
      <c r="D1929" s="112"/>
      <c r="E1929" s="417"/>
      <c r="F1929" s="418"/>
    </row>
    <row r="1930" spans="2:6" x14ac:dyDescent="0.25">
      <c r="B1930" s="112"/>
      <c r="D1930" s="112"/>
      <c r="E1930" s="417"/>
      <c r="F1930" s="418"/>
    </row>
    <row r="1931" spans="2:6" x14ac:dyDescent="0.25">
      <c r="B1931" s="112"/>
      <c r="D1931" s="112"/>
      <c r="E1931" s="417"/>
      <c r="F1931" s="418"/>
    </row>
    <row r="1932" spans="2:6" x14ac:dyDescent="0.25">
      <c r="B1932" s="112"/>
      <c r="D1932" s="112"/>
      <c r="E1932" s="417"/>
      <c r="F1932" s="418"/>
    </row>
    <row r="1933" spans="2:6" x14ac:dyDescent="0.25">
      <c r="B1933" s="112"/>
      <c r="D1933" s="112"/>
      <c r="E1933" s="417"/>
      <c r="F1933" s="418"/>
    </row>
    <row r="1934" spans="2:6" x14ac:dyDescent="0.25">
      <c r="B1934" s="112"/>
      <c r="D1934" s="112"/>
      <c r="E1934" s="417"/>
      <c r="F1934" s="418"/>
    </row>
    <row r="1935" spans="2:6" x14ac:dyDescent="0.25">
      <c r="B1935" s="112"/>
      <c r="D1935" s="112"/>
      <c r="E1935" s="417"/>
      <c r="F1935" s="418"/>
    </row>
    <row r="1936" spans="2:6" x14ac:dyDescent="0.25">
      <c r="B1936" s="112"/>
      <c r="D1936" s="112"/>
      <c r="E1936" s="417"/>
      <c r="F1936" s="418"/>
    </row>
    <row r="1937" spans="2:6" x14ac:dyDescent="0.25">
      <c r="B1937" s="112"/>
      <c r="D1937" s="112"/>
      <c r="E1937" s="417"/>
      <c r="F1937" s="418"/>
    </row>
    <row r="1938" spans="2:6" x14ac:dyDescent="0.25">
      <c r="B1938" s="112"/>
      <c r="D1938" s="112"/>
      <c r="E1938" s="417"/>
      <c r="F1938" s="418"/>
    </row>
    <row r="1939" spans="2:6" x14ac:dyDescent="0.25">
      <c r="B1939" s="112"/>
      <c r="D1939" s="112"/>
      <c r="E1939" s="417"/>
      <c r="F1939" s="418"/>
    </row>
    <row r="1940" spans="2:6" x14ac:dyDescent="0.25">
      <c r="B1940" s="112"/>
      <c r="D1940" s="112"/>
      <c r="E1940" s="417"/>
      <c r="F1940" s="418"/>
    </row>
    <row r="1941" spans="2:6" x14ac:dyDescent="0.25">
      <c r="B1941" s="112"/>
      <c r="D1941" s="112"/>
      <c r="E1941" s="417"/>
      <c r="F1941" s="418"/>
    </row>
    <row r="1942" spans="2:6" x14ac:dyDescent="0.25">
      <c r="B1942" s="112"/>
      <c r="D1942" s="112"/>
      <c r="E1942" s="417"/>
      <c r="F1942" s="418"/>
    </row>
    <row r="1943" spans="2:6" x14ac:dyDescent="0.25">
      <c r="B1943" s="112"/>
      <c r="D1943" s="112"/>
      <c r="E1943" s="417"/>
      <c r="F1943" s="418"/>
    </row>
    <row r="1944" spans="2:6" x14ac:dyDescent="0.25">
      <c r="B1944" s="112"/>
      <c r="D1944" s="112"/>
      <c r="E1944" s="417"/>
      <c r="F1944" s="418"/>
    </row>
    <row r="1945" spans="2:6" x14ac:dyDescent="0.25">
      <c r="B1945" s="112"/>
      <c r="D1945" s="112"/>
      <c r="E1945" s="417"/>
      <c r="F1945" s="418"/>
    </row>
    <row r="1946" spans="2:6" x14ac:dyDescent="0.25">
      <c r="B1946" s="112"/>
      <c r="D1946" s="112"/>
      <c r="E1946" s="417"/>
      <c r="F1946" s="418"/>
    </row>
    <row r="1947" spans="2:6" x14ac:dyDescent="0.25">
      <c r="B1947" s="112"/>
      <c r="D1947" s="112"/>
      <c r="E1947" s="417"/>
      <c r="F1947" s="418"/>
    </row>
    <row r="1948" spans="2:6" x14ac:dyDescent="0.25">
      <c r="B1948" s="112"/>
      <c r="D1948" s="112"/>
      <c r="E1948" s="417"/>
      <c r="F1948" s="418"/>
    </row>
    <row r="1949" spans="2:6" x14ac:dyDescent="0.25">
      <c r="B1949" s="112"/>
      <c r="D1949" s="112"/>
      <c r="E1949" s="417"/>
      <c r="F1949" s="418"/>
    </row>
    <row r="1950" spans="2:6" x14ac:dyDescent="0.25">
      <c r="B1950" s="112"/>
      <c r="D1950" s="112"/>
      <c r="E1950" s="417"/>
      <c r="F1950" s="418"/>
    </row>
    <row r="1951" spans="2:6" x14ac:dyDescent="0.25">
      <c r="B1951" s="112"/>
      <c r="D1951" s="112"/>
      <c r="E1951" s="417"/>
      <c r="F1951" s="418"/>
    </row>
    <row r="1952" spans="2:6" x14ac:dyDescent="0.25">
      <c r="B1952" s="112"/>
      <c r="D1952" s="112"/>
      <c r="E1952" s="417"/>
      <c r="F1952" s="418"/>
    </row>
    <row r="1953" spans="2:6" x14ac:dyDescent="0.25">
      <c r="B1953" s="112"/>
      <c r="D1953" s="112"/>
      <c r="E1953" s="417"/>
      <c r="F1953" s="418"/>
    </row>
    <row r="1954" spans="2:6" x14ac:dyDescent="0.25">
      <c r="B1954" s="112"/>
      <c r="D1954" s="112"/>
      <c r="E1954" s="417"/>
      <c r="F1954" s="418"/>
    </row>
    <row r="1955" spans="2:6" x14ac:dyDescent="0.25">
      <c r="B1955" s="112"/>
      <c r="D1955" s="112"/>
      <c r="E1955" s="417"/>
      <c r="F1955" s="418"/>
    </row>
    <row r="1956" spans="2:6" x14ac:dyDescent="0.25">
      <c r="B1956" s="112"/>
      <c r="D1956" s="112"/>
      <c r="E1956" s="417"/>
      <c r="F1956" s="418"/>
    </row>
    <row r="1957" spans="2:6" x14ac:dyDescent="0.25">
      <c r="B1957" s="112"/>
      <c r="D1957" s="112"/>
      <c r="E1957" s="417"/>
      <c r="F1957" s="418"/>
    </row>
    <row r="1958" spans="2:6" x14ac:dyDescent="0.25">
      <c r="B1958" s="112"/>
      <c r="D1958" s="112"/>
      <c r="E1958" s="417"/>
      <c r="F1958" s="418"/>
    </row>
    <row r="1959" spans="2:6" x14ac:dyDescent="0.25">
      <c r="B1959" s="112"/>
      <c r="D1959" s="112"/>
      <c r="E1959" s="417"/>
      <c r="F1959" s="418"/>
    </row>
    <row r="1960" spans="2:6" x14ac:dyDescent="0.25">
      <c r="B1960" s="112"/>
      <c r="D1960" s="112"/>
      <c r="E1960" s="417"/>
      <c r="F1960" s="418"/>
    </row>
    <row r="1961" spans="2:6" x14ac:dyDescent="0.25">
      <c r="B1961" s="112"/>
      <c r="D1961" s="112"/>
      <c r="E1961" s="417"/>
      <c r="F1961" s="418"/>
    </row>
    <row r="1962" spans="2:6" x14ac:dyDescent="0.25">
      <c r="B1962" s="112"/>
      <c r="D1962" s="112"/>
      <c r="E1962" s="417"/>
      <c r="F1962" s="418"/>
    </row>
    <row r="1963" spans="2:6" x14ac:dyDescent="0.25">
      <c r="B1963" s="112"/>
      <c r="D1963" s="112"/>
      <c r="E1963" s="417"/>
      <c r="F1963" s="418"/>
    </row>
    <row r="1964" spans="2:6" x14ac:dyDescent="0.25">
      <c r="B1964" s="112"/>
      <c r="D1964" s="112"/>
      <c r="E1964" s="417"/>
      <c r="F1964" s="418"/>
    </row>
    <row r="1965" spans="2:6" x14ac:dyDescent="0.25">
      <c r="B1965" s="112"/>
      <c r="D1965" s="112"/>
      <c r="E1965" s="417"/>
      <c r="F1965" s="418"/>
    </row>
    <row r="1966" spans="2:6" x14ac:dyDescent="0.25">
      <c r="B1966" s="112"/>
      <c r="D1966" s="112"/>
      <c r="E1966" s="417"/>
      <c r="F1966" s="418"/>
    </row>
    <row r="1967" spans="2:6" x14ac:dyDescent="0.25">
      <c r="B1967" s="112"/>
      <c r="D1967" s="112"/>
      <c r="E1967" s="417"/>
      <c r="F1967" s="418"/>
    </row>
    <row r="1968" spans="2:6" x14ac:dyDescent="0.25">
      <c r="B1968" s="112"/>
      <c r="D1968" s="112"/>
      <c r="E1968" s="417"/>
      <c r="F1968" s="418"/>
    </row>
    <row r="1969" spans="2:6" x14ac:dyDescent="0.25">
      <c r="B1969" s="112"/>
      <c r="D1969" s="112"/>
      <c r="E1969" s="417"/>
      <c r="F1969" s="418"/>
    </row>
    <row r="1970" spans="2:6" x14ac:dyDescent="0.25">
      <c r="B1970" s="112"/>
      <c r="D1970" s="112"/>
      <c r="E1970" s="417"/>
      <c r="F1970" s="418"/>
    </row>
    <row r="1971" spans="2:6" x14ac:dyDescent="0.25">
      <c r="B1971" s="112"/>
      <c r="D1971" s="112"/>
      <c r="E1971" s="417"/>
      <c r="F1971" s="418"/>
    </row>
    <row r="1972" spans="2:6" x14ac:dyDescent="0.25">
      <c r="B1972" s="112"/>
      <c r="D1972" s="112"/>
      <c r="E1972" s="417"/>
      <c r="F1972" s="418"/>
    </row>
    <row r="1973" spans="2:6" x14ac:dyDescent="0.25">
      <c r="B1973" s="112"/>
      <c r="D1973" s="112"/>
      <c r="E1973" s="417"/>
      <c r="F1973" s="418"/>
    </row>
    <row r="1974" spans="2:6" x14ac:dyDescent="0.25">
      <c r="B1974" s="112"/>
      <c r="D1974" s="112"/>
      <c r="E1974" s="417"/>
      <c r="F1974" s="418"/>
    </row>
    <row r="1975" spans="2:6" x14ac:dyDescent="0.25">
      <c r="B1975" s="112"/>
      <c r="D1975" s="112"/>
      <c r="E1975" s="417"/>
      <c r="F1975" s="418"/>
    </row>
    <row r="1976" spans="2:6" x14ac:dyDescent="0.25">
      <c r="B1976" s="112"/>
      <c r="D1976" s="112"/>
      <c r="E1976" s="417"/>
      <c r="F1976" s="418"/>
    </row>
    <row r="1977" spans="2:6" x14ac:dyDescent="0.25">
      <c r="B1977" s="112"/>
      <c r="D1977" s="112"/>
      <c r="E1977" s="417"/>
      <c r="F1977" s="418"/>
    </row>
    <row r="1978" spans="2:6" x14ac:dyDescent="0.25">
      <c r="B1978" s="112"/>
      <c r="D1978" s="112"/>
      <c r="E1978" s="417"/>
      <c r="F1978" s="418"/>
    </row>
    <row r="1979" spans="2:6" x14ac:dyDescent="0.25">
      <c r="B1979" s="112"/>
      <c r="D1979" s="112"/>
      <c r="E1979" s="417"/>
      <c r="F1979" s="418"/>
    </row>
    <row r="1980" spans="2:6" x14ac:dyDescent="0.25">
      <c r="B1980" s="112"/>
      <c r="D1980" s="112"/>
      <c r="E1980" s="417"/>
      <c r="F1980" s="418"/>
    </row>
    <row r="1981" spans="2:6" x14ac:dyDescent="0.25">
      <c r="B1981" s="112"/>
      <c r="D1981" s="112"/>
      <c r="E1981" s="417"/>
      <c r="F1981" s="418"/>
    </row>
    <row r="1982" spans="2:6" x14ac:dyDescent="0.25">
      <c r="B1982" s="112"/>
      <c r="D1982" s="112"/>
      <c r="E1982" s="417"/>
      <c r="F1982" s="418"/>
    </row>
    <row r="1983" spans="2:6" x14ac:dyDescent="0.25">
      <c r="B1983" s="112"/>
      <c r="D1983" s="112"/>
      <c r="E1983" s="417"/>
      <c r="F1983" s="418"/>
    </row>
    <row r="1984" spans="2:6" x14ac:dyDescent="0.25">
      <c r="B1984" s="112"/>
      <c r="D1984" s="112"/>
      <c r="E1984" s="417"/>
      <c r="F1984" s="418"/>
    </row>
    <row r="1985" spans="2:6" x14ac:dyDescent="0.25">
      <c r="B1985" s="112"/>
      <c r="D1985" s="112"/>
      <c r="E1985" s="417"/>
      <c r="F1985" s="418"/>
    </row>
    <row r="1986" spans="2:6" x14ac:dyDescent="0.25">
      <c r="B1986" s="112"/>
      <c r="D1986" s="112"/>
      <c r="E1986" s="417"/>
      <c r="F1986" s="418"/>
    </row>
    <row r="1987" spans="2:6" x14ac:dyDescent="0.25">
      <c r="B1987" s="112"/>
      <c r="D1987" s="112"/>
      <c r="E1987" s="417"/>
      <c r="F1987" s="418"/>
    </row>
    <row r="1988" spans="2:6" x14ac:dyDescent="0.25">
      <c r="B1988" s="112"/>
      <c r="D1988" s="112"/>
      <c r="E1988" s="417"/>
      <c r="F1988" s="418"/>
    </row>
    <row r="1989" spans="2:6" x14ac:dyDescent="0.25">
      <c r="B1989" s="112"/>
      <c r="D1989" s="112"/>
      <c r="E1989" s="417"/>
      <c r="F1989" s="418"/>
    </row>
    <row r="1990" spans="2:6" x14ac:dyDescent="0.25">
      <c r="B1990" s="112"/>
      <c r="D1990" s="112"/>
      <c r="E1990" s="417"/>
      <c r="F1990" s="418"/>
    </row>
    <row r="1991" spans="2:6" x14ac:dyDescent="0.25">
      <c r="B1991" s="112"/>
      <c r="D1991" s="112"/>
      <c r="E1991" s="417"/>
      <c r="F1991" s="418"/>
    </row>
    <row r="1992" spans="2:6" x14ac:dyDescent="0.25">
      <c r="B1992" s="112"/>
      <c r="D1992" s="112"/>
      <c r="E1992" s="417"/>
      <c r="F1992" s="418"/>
    </row>
    <row r="1993" spans="2:6" x14ac:dyDescent="0.25">
      <c r="B1993" s="112"/>
      <c r="D1993" s="112"/>
      <c r="E1993" s="417"/>
      <c r="F1993" s="418"/>
    </row>
    <row r="1994" spans="2:6" x14ac:dyDescent="0.25">
      <c r="B1994" s="112"/>
      <c r="D1994" s="112"/>
      <c r="E1994" s="417"/>
      <c r="F1994" s="418"/>
    </row>
    <row r="1995" spans="2:6" x14ac:dyDescent="0.25">
      <c r="B1995" s="112"/>
      <c r="D1995" s="112"/>
      <c r="E1995" s="417"/>
      <c r="F1995" s="418"/>
    </row>
    <row r="1996" spans="2:6" x14ac:dyDescent="0.25">
      <c r="B1996" s="112"/>
      <c r="D1996" s="112"/>
      <c r="E1996" s="417"/>
      <c r="F1996" s="418"/>
    </row>
    <row r="1997" spans="2:6" x14ac:dyDescent="0.25">
      <c r="B1997" s="112"/>
      <c r="D1997" s="112"/>
      <c r="E1997" s="417"/>
      <c r="F1997" s="418"/>
    </row>
    <row r="1998" spans="2:6" x14ac:dyDescent="0.25">
      <c r="B1998" s="112"/>
      <c r="D1998" s="112"/>
      <c r="E1998" s="417"/>
      <c r="F1998" s="418"/>
    </row>
    <row r="1999" spans="2:6" x14ac:dyDescent="0.25">
      <c r="B1999" s="112"/>
      <c r="D1999" s="112"/>
      <c r="E1999" s="417"/>
      <c r="F1999" s="418"/>
    </row>
    <row r="2000" spans="2:6" x14ac:dyDescent="0.25">
      <c r="B2000" s="112"/>
      <c r="D2000" s="112"/>
      <c r="E2000" s="417"/>
      <c r="F2000" s="418"/>
    </row>
    <row r="2001" spans="2:6" x14ac:dyDescent="0.25">
      <c r="B2001" s="112"/>
      <c r="D2001" s="112"/>
      <c r="E2001" s="417"/>
      <c r="F2001" s="418"/>
    </row>
    <row r="2002" spans="2:6" x14ac:dyDescent="0.25">
      <c r="B2002" s="112"/>
      <c r="D2002" s="112"/>
      <c r="E2002" s="417"/>
      <c r="F2002" s="418"/>
    </row>
    <row r="2003" spans="2:6" x14ac:dyDescent="0.25">
      <c r="B2003" s="112"/>
      <c r="D2003" s="112"/>
      <c r="E2003" s="417"/>
      <c r="F2003" s="418"/>
    </row>
    <row r="2004" spans="2:6" x14ac:dyDescent="0.25">
      <c r="B2004" s="112"/>
      <c r="D2004" s="112"/>
      <c r="E2004" s="417"/>
      <c r="F2004" s="418"/>
    </row>
    <row r="2005" spans="2:6" x14ac:dyDescent="0.25">
      <c r="B2005" s="112"/>
      <c r="D2005" s="112"/>
      <c r="E2005" s="417"/>
      <c r="F2005" s="418"/>
    </row>
    <row r="2006" spans="2:6" x14ac:dyDescent="0.25">
      <c r="B2006" s="112"/>
      <c r="D2006" s="112"/>
      <c r="E2006" s="417"/>
      <c r="F2006" s="418"/>
    </row>
    <row r="2007" spans="2:6" x14ac:dyDescent="0.25">
      <c r="B2007" s="112"/>
      <c r="D2007" s="112"/>
      <c r="E2007" s="417"/>
      <c r="F2007" s="418"/>
    </row>
    <row r="2008" spans="2:6" x14ac:dyDescent="0.25">
      <c r="B2008" s="112"/>
      <c r="D2008" s="112"/>
      <c r="E2008" s="417"/>
      <c r="F2008" s="418"/>
    </row>
    <row r="2009" spans="2:6" x14ac:dyDescent="0.25">
      <c r="B2009" s="112"/>
      <c r="D2009" s="112"/>
      <c r="E2009" s="417"/>
      <c r="F2009" s="418"/>
    </row>
    <row r="2010" spans="2:6" x14ac:dyDescent="0.25">
      <c r="B2010" s="112"/>
      <c r="D2010" s="112"/>
      <c r="E2010" s="417"/>
      <c r="F2010" s="418"/>
    </row>
    <row r="2011" spans="2:6" x14ac:dyDescent="0.25">
      <c r="B2011" s="112"/>
      <c r="D2011" s="112"/>
      <c r="E2011" s="417"/>
      <c r="F2011" s="418"/>
    </row>
    <row r="2012" spans="2:6" x14ac:dyDescent="0.25">
      <c r="B2012" s="112"/>
      <c r="D2012" s="112"/>
      <c r="E2012" s="417"/>
      <c r="F2012" s="418"/>
    </row>
    <row r="2013" spans="2:6" x14ac:dyDescent="0.25">
      <c r="B2013" s="112"/>
      <c r="D2013" s="112"/>
      <c r="E2013" s="417"/>
      <c r="F2013" s="418"/>
    </row>
    <row r="2014" spans="2:6" x14ac:dyDescent="0.25">
      <c r="B2014" s="112"/>
      <c r="D2014" s="112"/>
      <c r="E2014" s="417"/>
      <c r="F2014" s="418"/>
    </row>
    <row r="2015" spans="2:6" x14ac:dyDescent="0.25">
      <c r="B2015" s="112"/>
      <c r="D2015" s="112"/>
      <c r="E2015" s="417"/>
      <c r="F2015" s="418"/>
    </row>
    <row r="2016" spans="2:6" x14ac:dyDescent="0.25">
      <c r="B2016" s="112"/>
      <c r="D2016" s="112"/>
      <c r="E2016" s="417"/>
      <c r="F2016" s="418"/>
    </row>
    <row r="2017" spans="2:6" x14ac:dyDescent="0.25">
      <c r="B2017" s="112"/>
      <c r="D2017" s="112"/>
      <c r="E2017" s="417"/>
      <c r="F2017" s="418"/>
    </row>
    <row r="2018" spans="2:6" x14ac:dyDescent="0.25">
      <c r="B2018" s="112"/>
      <c r="D2018" s="112"/>
      <c r="E2018" s="417"/>
      <c r="F2018" s="418"/>
    </row>
    <row r="2019" spans="2:6" x14ac:dyDescent="0.25">
      <c r="B2019" s="112"/>
      <c r="D2019" s="112"/>
      <c r="E2019" s="417"/>
      <c r="F2019" s="418"/>
    </row>
    <row r="2020" spans="2:6" x14ac:dyDescent="0.25">
      <c r="B2020" s="112"/>
      <c r="D2020" s="112"/>
      <c r="E2020" s="417"/>
      <c r="F2020" s="418"/>
    </row>
    <row r="2021" spans="2:6" x14ac:dyDescent="0.25">
      <c r="B2021" s="112"/>
      <c r="D2021" s="112"/>
      <c r="E2021" s="417"/>
      <c r="F2021" s="418"/>
    </row>
    <row r="2022" spans="2:6" x14ac:dyDescent="0.25">
      <c r="B2022" s="112"/>
      <c r="D2022" s="112"/>
      <c r="E2022" s="417"/>
      <c r="F2022" s="418"/>
    </row>
    <row r="2023" spans="2:6" x14ac:dyDescent="0.25">
      <c r="B2023" s="112"/>
      <c r="D2023" s="112"/>
      <c r="E2023" s="417"/>
      <c r="F2023" s="418"/>
    </row>
    <row r="2024" spans="2:6" x14ac:dyDescent="0.25">
      <c r="B2024" s="112"/>
      <c r="D2024" s="112"/>
      <c r="E2024" s="417"/>
      <c r="F2024" s="418"/>
    </row>
    <row r="2025" spans="2:6" x14ac:dyDescent="0.25">
      <c r="B2025" s="112"/>
      <c r="D2025" s="112"/>
      <c r="E2025" s="417"/>
      <c r="F2025" s="418"/>
    </row>
    <row r="2026" spans="2:6" x14ac:dyDescent="0.25">
      <c r="B2026" s="112"/>
      <c r="D2026" s="112"/>
      <c r="E2026" s="417"/>
      <c r="F2026" s="418"/>
    </row>
    <row r="2027" spans="2:6" x14ac:dyDescent="0.25">
      <c r="B2027" s="112"/>
      <c r="D2027" s="112"/>
      <c r="E2027" s="417"/>
      <c r="F2027" s="418"/>
    </row>
    <row r="2028" spans="2:6" x14ac:dyDescent="0.25">
      <c r="B2028" s="112"/>
      <c r="D2028" s="112"/>
      <c r="E2028" s="417"/>
      <c r="F2028" s="418"/>
    </row>
    <row r="2029" spans="2:6" x14ac:dyDescent="0.25">
      <c r="B2029" s="112"/>
      <c r="D2029" s="112"/>
      <c r="E2029" s="417"/>
      <c r="F2029" s="418"/>
    </row>
    <row r="2030" spans="2:6" x14ac:dyDescent="0.25">
      <c r="B2030" s="112"/>
      <c r="D2030" s="112"/>
      <c r="E2030" s="417"/>
      <c r="F2030" s="418"/>
    </row>
    <row r="2031" spans="2:6" x14ac:dyDescent="0.25">
      <c r="B2031" s="112"/>
      <c r="D2031" s="112"/>
      <c r="E2031" s="417"/>
      <c r="F2031" s="418"/>
    </row>
    <row r="2032" spans="2:6" x14ac:dyDescent="0.25">
      <c r="B2032" s="112"/>
      <c r="D2032" s="112"/>
      <c r="E2032" s="417"/>
      <c r="F2032" s="418"/>
    </row>
    <row r="2033" spans="2:6" x14ac:dyDescent="0.25">
      <c r="B2033" s="112"/>
      <c r="D2033" s="112"/>
      <c r="E2033" s="417"/>
      <c r="F2033" s="418"/>
    </row>
    <row r="2034" spans="2:6" x14ac:dyDescent="0.25">
      <c r="B2034" s="112"/>
      <c r="D2034" s="112"/>
      <c r="E2034" s="417"/>
      <c r="F2034" s="418"/>
    </row>
    <row r="2035" spans="2:6" x14ac:dyDescent="0.25">
      <c r="B2035" s="112"/>
      <c r="D2035" s="112"/>
      <c r="E2035" s="417"/>
      <c r="F2035" s="418"/>
    </row>
    <row r="2036" spans="2:6" x14ac:dyDescent="0.25">
      <c r="B2036" s="112"/>
      <c r="D2036" s="112"/>
      <c r="E2036" s="417"/>
      <c r="F2036" s="418"/>
    </row>
    <row r="2037" spans="2:6" x14ac:dyDescent="0.25">
      <c r="B2037" s="112"/>
      <c r="D2037" s="112"/>
      <c r="E2037" s="417"/>
      <c r="F2037" s="418"/>
    </row>
    <row r="2038" spans="2:6" x14ac:dyDescent="0.25">
      <c r="B2038" s="112"/>
      <c r="D2038" s="112"/>
      <c r="E2038" s="417"/>
      <c r="F2038" s="418"/>
    </row>
    <row r="2039" spans="2:6" x14ac:dyDescent="0.25">
      <c r="B2039" s="112"/>
      <c r="D2039" s="112"/>
      <c r="E2039" s="417"/>
      <c r="F2039" s="418"/>
    </row>
    <row r="2040" spans="2:6" x14ac:dyDescent="0.25">
      <c r="B2040" s="112"/>
      <c r="D2040" s="112"/>
      <c r="E2040" s="417"/>
      <c r="F2040" s="418"/>
    </row>
    <row r="2041" spans="2:6" x14ac:dyDescent="0.25">
      <c r="B2041" s="112"/>
      <c r="D2041" s="112"/>
      <c r="E2041" s="417"/>
      <c r="F2041" s="418"/>
    </row>
    <row r="2042" spans="2:6" x14ac:dyDescent="0.25">
      <c r="B2042" s="112"/>
      <c r="D2042" s="112"/>
      <c r="E2042" s="417"/>
      <c r="F2042" s="418"/>
    </row>
    <row r="2043" spans="2:6" x14ac:dyDescent="0.25">
      <c r="B2043" s="112"/>
      <c r="D2043" s="112"/>
      <c r="E2043" s="417"/>
      <c r="F2043" s="418"/>
    </row>
    <row r="2044" spans="2:6" x14ac:dyDescent="0.25">
      <c r="B2044" s="112"/>
      <c r="D2044" s="112"/>
      <c r="E2044" s="417"/>
      <c r="F2044" s="418"/>
    </row>
    <row r="2045" spans="2:6" x14ac:dyDescent="0.25">
      <c r="B2045" s="112"/>
      <c r="D2045" s="112"/>
      <c r="E2045" s="417"/>
      <c r="F2045" s="418"/>
    </row>
    <row r="2046" spans="2:6" x14ac:dyDescent="0.25">
      <c r="B2046" s="112"/>
      <c r="D2046" s="112"/>
      <c r="E2046" s="417"/>
      <c r="F2046" s="418"/>
    </row>
    <row r="2047" spans="2:6" x14ac:dyDescent="0.25">
      <c r="B2047" s="112"/>
      <c r="D2047" s="112"/>
      <c r="E2047" s="417"/>
      <c r="F2047" s="418"/>
    </row>
    <row r="2048" spans="2:6" x14ac:dyDescent="0.25">
      <c r="B2048" s="112"/>
      <c r="D2048" s="112"/>
      <c r="E2048" s="417"/>
      <c r="F2048" s="418"/>
    </row>
    <row r="2049" spans="2:6" x14ac:dyDescent="0.25">
      <c r="B2049" s="112"/>
      <c r="D2049" s="112"/>
      <c r="E2049" s="417"/>
      <c r="F2049" s="418"/>
    </row>
    <row r="2050" spans="2:6" x14ac:dyDescent="0.25">
      <c r="B2050" s="112"/>
      <c r="D2050" s="112"/>
      <c r="E2050" s="417"/>
      <c r="F2050" s="418"/>
    </row>
    <row r="2051" spans="2:6" x14ac:dyDescent="0.25">
      <c r="B2051" s="112"/>
      <c r="D2051" s="112"/>
      <c r="E2051" s="417"/>
      <c r="F2051" s="418"/>
    </row>
    <row r="2052" spans="2:6" x14ac:dyDescent="0.25">
      <c r="B2052" s="112"/>
      <c r="D2052" s="112"/>
      <c r="E2052" s="417"/>
      <c r="F2052" s="418"/>
    </row>
    <row r="2053" spans="2:6" x14ac:dyDescent="0.25">
      <c r="B2053" s="112"/>
      <c r="D2053" s="112"/>
      <c r="E2053" s="417"/>
      <c r="F2053" s="418"/>
    </row>
    <row r="2054" spans="2:6" x14ac:dyDescent="0.25">
      <c r="B2054" s="112"/>
      <c r="D2054" s="112"/>
      <c r="E2054" s="417"/>
      <c r="F2054" s="418"/>
    </row>
    <row r="2055" spans="2:6" x14ac:dyDescent="0.25">
      <c r="B2055" s="112"/>
      <c r="D2055" s="112"/>
      <c r="E2055" s="417"/>
      <c r="F2055" s="418"/>
    </row>
    <row r="2056" spans="2:6" x14ac:dyDescent="0.25">
      <c r="B2056" s="112"/>
      <c r="D2056" s="112"/>
      <c r="E2056" s="417"/>
      <c r="F2056" s="418"/>
    </row>
    <row r="2057" spans="2:6" x14ac:dyDescent="0.25">
      <c r="B2057" s="112"/>
      <c r="D2057" s="112"/>
      <c r="E2057" s="417"/>
      <c r="F2057" s="418"/>
    </row>
    <row r="2058" spans="2:6" x14ac:dyDescent="0.25">
      <c r="B2058" s="112"/>
      <c r="D2058" s="112"/>
      <c r="E2058" s="417"/>
      <c r="F2058" s="418"/>
    </row>
    <row r="2059" spans="2:6" x14ac:dyDescent="0.25">
      <c r="B2059" s="112"/>
      <c r="D2059" s="112"/>
      <c r="E2059" s="417"/>
      <c r="F2059" s="418"/>
    </row>
    <row r="2060" spans="2:6" x14ac:dyDescent="0.25">
      <c r="B2060" s="112"/>
      <c r="D2060" s="112"/>
      <c r="E2060" s="417"/>
      <c r="F2060" s="418"/>
    </row>
    <row r="2061" spans="2:6" x14ac:dyDescent="0.25">
      <c r="B2061" s="112"/>
      <c r="D2061" s="112"/>
      <c r="E2061" s="417"/>
      <c r="F2061" s="418"/>
    </row>
    <row r="2062" spans="2:6" x14ac:dyDescent="0.25">
      <c r="B2062" s="112"/>
      <c r="D2062" s="112"/>
      <c r="E2062" s="417"/>
      <c r="F2062" s="418"/>
    </row>
    <row r="2063" spans="2:6" x14ac:dyDescent="0.25">
      <c r="B2063" s="112"/>
      <c r="D2063" s="112"/>
      <c r="E2063" s="417"/>
      <c r="F2063" s="418"/>
    </row>
    <row r="2064" spans="2:6" x14ac:dyDescent="0.25">
      <c r="B2064" s="112"/>
      <c r="D2064" s="112"/>
      <c r="E2064" s="417"/>
      <c r="F2064" s="418"/>
    </row>
    <row r="2065" spans="2:6" x14ac:dyDescent="0.25">
      <c r="B2065" s="112"/>
      <c r="D2065" s="112"/>
      <c r="E2065" s="417"/>
      <c r="F2065" s="418"/>
    </row>
    <row r="2066" spans="2:6" x14ac:dyDescent="0.25">
      <c r="B2066" s="112"/>
      <c r="D2066" s="112"/>
      <c r="E2066" s="417"/>
      <c r="F2066" s="418"/>
    </row>
    <row r="2067" spans="2:6" x14ac:dyDescent="0.25">
      <c r="B2067" s="112"/>
      <c r="D2067" s="112"/>
      <c r="E2067" s="417"/>
      <c r="F2067" s="418"/>
    </row>
    <row r="2068" spans="2:6" x14ac:dyDescent="0.25">
      <c r="B2068" s="112"/>
      <c r="D2068" s="112"/>
      <c r="E2068" s="417"/>
      <c r="F2068" s="418"/>
    </row>
    <row r="2069" spans="2:6" x14ac:dyDescent="0.25">
      <c r="B2069" s="112"/>
      <c r="D2069" s="112"/>
      <c r="E2069" s="417"/>
      <c r="F2069" s="418"/>
    </row>
    <row r="2070" spans="2:6" x14ac:dyDescent="0.25">
      <c r="B2070" s="112"/>
      <c r="D2070" s="112"/>
      <c r="E2070" s="417"/>
      <c r="F2070" s="418"/>
    </row>
    <row r="2071" spans="2:6" x14ac:dyDescent="0.25">
      <c r="B2071" s="112"/>
      <c r="D2071" s="112"/>
      <c r="E2071" s="417"/>
      <c r="F2071" s="418"/>
    </row>
    <row r="2072" spans="2:6" x14ac:dyDescent="0.25">
      <c r="B2072" s="112"/>
      <c r="D2072" s="112"/>
      <c r="E2072" s="417"/>
      <c r="F2072" s="418"/>
    </row>
    <row r="2073" spans="2:6" x14ac:dyDescent="0.25">
      <c r="B2073" s="112"/>
      <c r="D2073" s="112"/>
      <c r="E2073" s="417"/>
      <c r="F2073" s="418"/>
    </row>
    <row r="2074" spans="2:6" x14ac:dyDescent="0.25">
      <c r="B2074" s="112"/>
      <c r="D2074" s="112"/>
      <c r="E2074" s="417"/>
      <c r="F2074" s="418"/>
    </row>
    <row r="2075" spans="2:6" x14ac:dyDescent="0.25">
      <c r="B2075" s="112"/>
      <c r="D2075" s="112"/>
      <c r="E2075" s="417"/>
      <c r="F2075" s="418"/>
    </row>
    <row r="2076" spans="2:6" x14ac:dyDescent="0.25">
      <c r="B2076" s="112"/>
      <c r="D2076" s="112"/>
      <c r="E2076" s="417"/>
      <c r="F2076" s="418"/>
    </row>
    <row r="2077" spans="2:6" x14ac:dyDescent="0.25">
      <c r="B2077" s="112"/>
      <c r="D2077" s="112"/>
      <c r="E2077" s="417"/>
      <c r="F2077" s="418"/>
    </row>
    <row r="2078" spans="2:6" x14ac:dyDescent="0.25">
      <c r="B2078" s="112"/>
      <c r="D2078" s="112"/>
      <c r="E2078" s="417"/>
      <c r="F2078" s="418"/>
    </row>
    <row r="2079" spans="2:6" x14ac:dyDescent="0.25">
      <c r="B2079" s="112"/>
      <c r="D2079" s="112"/>
      <c r="E2079" s="417"/>
      <c r="F2079" s="418"/>
    </row>
    <row r="2080" spans="2:6" x14ac:dyDescent="0.25">
      <c r="B2080" s="112"/>
      <c r="D2080" s="112"/>
      <c r="E2080" s="417"/>
      <c r="F2080" s="418"/>
    </row>
    <row r="2081" spans="2:6" x14ac:dyDescent="0.25">
      <c r="B2081" s="112"/>
      <c r="D2081" s="112"/>
      <c r="E2081" s="417"/>
      <c r="F2081" s="418"/>
    </row>
    <row r="2082" spans="2:6" x14ac:dyDescent="0.25">
      <c r="B2082" s="112"/>
      <c r="D2082" s="112"/>
      <c r="E2082" s="417"/>
      <c r="F2082" s="418"/>
    </row>
    <row r="2083" spans="2:6" x14ac:dyDescent="0.25">
      <c r="B2083" s="112"/>
      <c r="D2083" s="112"/>
      <c r="E2083" s="417"/>
      <c r="F2083" s="418"/>
    </row>
    <row r="2084" spans="2:6" x14ac:dyDescent="0.25">
      <c r="B2084" s="112"/>
      <c r="D2084" s="112"/>
      <c r="E2084" s="417"/>
      <c r="F2084" s="418"/>
    </row>
    <row r="2085" spans="2:6" x14ac:dyDescent="0.25">
      <c r="B2085" s="112"/>
      <c r="D2085" s="112"/>
      <c r="E2085" s="417"/>
      <c r="F2085" s="418"/>
    </row>
    <row r="2086" spans="2:6" x14ac:dyDescent="0.25">
      <c r="B2086" s="112"/>
      <c r="D2086" s="112"/>
      <c r="E2086" s="417"/>
      <c r="F2086" s="418"/>
    </row>
    <row r="2087" spans="2:6" x14ac:dyDescent="0.25">
      <c r="B2087" s="112"/>
      <c r="D2087" s="112"/>
      <c r="E2087" s="417"/>
      <c r="F2087" s="418"/>
    </row>
    <row r="2088" spans="2:6" x14ac:dyDescent="0.25">
      <c r="B2088" s="112"/>
      <c r="D2088" s="112"/>
      <c r="E2088" s="417"/>
      <c r="F2088" s="418"/>
    </row>
    <row r="2089" spans="2:6" x14ac:dyDescent="0.25">
      <c r="B2089" s="112"/>
      <c r="D2089" s="112"/>
      <c r="E2089" s="417"/>
      <c r="F2089" s="418"/>
    </row>
    <row r="2090" spans="2:6" x14ac:dyDescent="0.25">
      <c r="B2090" s="112"/>
      <c r="D2090" s="112"/>
      <c r="E2090" s="417"/>
      <c r="F2090" s="418"/>
    </row>
    <row r="2091" spans="2:6" x14ac:dyDescent="0.25">
      <c r="B2091" s="112"/>
      <c r="D2091" s="112"/>
      <c r="E2091" s="417"/>
      <c r="F2091" s="418"/>
    </row>
    <row r="2092" spans="2:6" x14ac:dyDescent="0.25">
      <c r="B2092" s="112"/>
      <c r="D2092" s="112"/>
      <c r="E2092" s="417"/>
      <c r="F2092" s="418"/>
    </row>
    <row r="2093" spans="2:6" x14ac:dyDescent="0.25">
      <c r="B2093" s="112"/>
      <c r="D2093" s="112"/>
      <c r="E2093" s="417"/>
      <c r="F2093" s="418"/>
    </row>
    <row r="2094" spans="2:6" x14ac:dyDescent="0.25">
      <c r="B2094" s="112"/>
      <c r="D2094" s="112"/>
      <c r="E2094" s="417"/>
      <c r="F2094" s="418"/>
    </row>
    <row r="2095" spans="2:6" x14ac:dyDescent="0.25">
      <c r="B2095" s="112"/>
      <c r="D2095" s="112"/>
      <c r="E2095" s="417"/>
      <c r="F2095" s="418"/>
    </row>
    <row r="2096" spans="2:6" x14ac:dyDescent="0.25">
      <c r="B2096" s="112"/>
      <c r="D2096" s="112"/>
      <c r="E2096" s="417"/>
      <c r="F2096" s="418"/>
    </row>
    <row r="2097" spans="2:6" x14ac:dyDescent="0.25">
      <c r="B2097" s="112"/>
      <c r="D2097" s="112"/>
      <c r="E2097" s="417"/>
      <c r="F2097" s="418"/>
    </row>
    <row r="2098" spans="2:6" x14ac:dyDescent="0.25">
      <c r="B2098" s="112"/>
      <c r="D2098" s="112"/>
      <c r="E2098" s="417"/>
      <c r="F2098" s="418"/>
    </row>
    <row r="2099" spans="2:6" x14ac:dyDescent="0.25">
      <c r="B2099" s="112"/>
      <c r="D2099" s="112"/>
      <c r="E2099" s="417"/>
      <c r="F2099" s="418"/>
    </row>
    <row r="2100" spans="2:6" x14ac:dyDescent="0.25">
      <c r="B2100" s="112"/>
      <c r="D2100" s="112"/>
      <c r="E2100" s="417"/>
      <c r="F2100" s="418"/>
    </row>
    <row r="2101" spans="2:6" x14ac:dyDescent="0.25">
      <c r="B2101" s="112"/>
      <c r="D2101" s="112"/>
      <c r="E2101" s="417"/>
      <c r="F2101" s="418"/>
    </row>
    <row r="2102" spans="2:6" x14ac:dyDescent="0.25">
      <c r="B2102" s="112"/>
      <c r="D2102" s="112"/>
      <c r="E2102" s="417"/>
      <c r="F2102" s="418"/>
    </row>
    <row r="2103" spans="2:6" x14ac:dyDescent="0.25">
      <c r="B2103" s="112"/>
      <c r="D2103" s="112"/>
      <c r="E2103" s="417"/>
      <c r="F2103" s="418"/>
    </row>
    <row r="2104" spans="2:6" x14ac:dyDescent="0.25">
      <c r="B2104" s="112"/>
      <c r="D2104" s="112"/>
      <c r="E2104" s="417"/>
      <c r="F2104" s="418"/>
    </row>
    <row r="2105" spans="2:6" x14ac:dyDescent="0.25">
      <c r="B2105" s="112"/>
      <c r="D2105" s="112"/>
      <c r="E2105" s="417"/>
      <c r="F2105" s="418"/>
    </row>
    <row r="2106" spans="2:6" x14ac:dyDescent="0.25">
      <c r="B2106" s="112"/>
      <c r="D2106" s="112"/>
      <c r="E2106" s="417"/>
      <c r="F2106" s="418"/>
    </row>
    <row r="2107" spans="2:6" x14ac:dyDescent="0.25">
      <c r="B2107" s="112"/>
      <c r="D2107" s="112"/>
      <c r="E2107" s="417"/>
      <c r="F2107" s="418"/>
    </row>
    <row r="2108" spans="2:6" x14ac:dyDescent="0.25">
      <c r="B2108" s="112"/>
      <c r="D2108" s="112"/>
      <c r="E2108" s="417"/>
      <c r="F2108" s="418"/>
    </row>
    <row r="2109" spans="2:6" x14ac:dyDescent="0.25">
      <c r="B2109" s="112"/>
      <c r="D2109" s="112"/>
      <c r="E2109" s="417"/>
      <c r="F2109" s="418"/>
    </row>
    <row r="2110" spans="2:6" x14ac:dyDescent="0.25">
      <c r="B2110" s="112"/>
      <c r="D2110" s="112"/>
      <c r="E2110" s="417"/>
      <c r="F2110" s="418"/>
    </row>
    <row r="2111" spans="2:6" x14ac:dyDescent="0.25">
      <c r="B2111" s="112"/>
      <c r="D2111" s="112"/>
      <c r="E2111" s="417"/>
      <c r="F2111" s="418"/>
    </row>
    <row r="2112" spans="2:6" x14ac:dyDescent="0.25">
      <c r="B2112" s="112"/>
      <c r="D2112" s="112"/>
      <c r="E2112" s="417"/>
      <c r="F2112" s="418"/>
    </row>
    <row r="2113" spans="2:6" x14ac:dyDescent="0.25">
      <c r="B2113" s="112"/>
      <c r="D2113" s="112"/>
      <c r="E2113" s="417"/>
      <c r="F2113" s="418"/>
    </row>
    <row r="2114" spans="2:6" x14ac:dyDescent="0.25">
      <c r="B2114" s="112"/>
      <c r="D2114" s="112"/>
      <c r="E2114" s="417"/>
      <c r="F2114" s="418"/>
    </row>
    <row r="2115" spans="2:6" x14ac:dyDescent="0.25">
      <c r="B2115" s="112"/>
      <c r="D2115" s="112"/>
      <c r="E2115" s="417"/>
      <c r="F2115" s="418"/>
    </row>
    <row r="2116" spans="2:6" x14ac:dyDescent="0.25">
      <c r="B2116" s="112"/>
      <c r="D2116" s="112"/>
      <c r="E2116" s="417"/>
      <c r="F2116" s="418"/>
    </row>
    <row r="2117" spans="2:6" x14ac:dyDescent="0.25">
      <c r="B2117" s="112"/>
      <c r="D2117" s="112"/>
      <c r="E2117" s="417"/>
      <c r="F2117" s="418"/>
    </row>
    <row r="2118" spans="2:6" x14ac:dyDescent="0.25">
      <c r="B2118" s="112"/>
      <c r="D2118" s="112"/>
      <c r="E2118" s="417"/>
      <c r="F2118" s="418"/>
    </row>
    <row r="2119" spans="2:6" x14ac:dyDescent="0.25">
      <c r="B2119" s="112"/>
      <c r="D2119" s="112"/>
      <c r="E2119" s="417"/>
      <c r="F2119" s="418"/>
    </row>
    <row r="2120" spans="2:6" x14ac:dyDescent="0.25">
      <c r="B2120" s="112"/>
      <c r="D2120" s="112"/>
      <c r="E2120" s="417"/>
      <c r="F2120" s="418"/>
    </row>
    <row r="2121" spans="2:6" x14ac:dyDescent="0.25">
      <c r="B2121" s="112"/>
      <c r="D2121" s="112"/>
      <c r="E2121" s="417"/>
      <c r="F2121" s="418"/>
    </row>
    <row r="2122" spans="2:6" x14ac:dyDescent="0.25">
      <c r="B2122" s="112"/>
      <c r="D2122" s="112"/>
      <c r="E2122" s="417"/>
      <c r="F2122" s="418"/>
    </row>
    <row r="2123" spans="2:6" x14ac:dyDescent="0.25">
      <c r="B2123" s="112"/>
      <c r="D2123" s="112"/>
      <c r="E2123" s="417"/>
      <c r="F2123" s="418"/>
    </row>
    <row r="2124" spans="2:6" x14ac:dyDescent="0.25">
      <c r="B2124" s="112"/>
      <c r="D2124" s="112"/>
      <c r="E2124" s="417"/>
      <c r="F2124" s="418"/>
    </row>
    <row r="2125" spans="2:6" x14ac:dyDescent="0.25">
      <c r="B2125" s="112"/>
      <c r="D2125" s="112"/>
      <c r="E2125" s="417"/>
      <c r="F2125" s="418"/>
    </row>
    <row r="2126" spans="2:6" x14ac:dyDescent="0.25">
      <c r="B2126" s="112"/>
      <c r="D2126" s="112"/>
      <c r="E2126" s="417"/>
      <c r="F2126" s="418"/>
    </row>
    <row r="2127" spans="2:6" x14ac:dyDescent="0.25">
      <c r="B2127" s="112"/>
      <c r="D2127" s="112"/>
      <c r="E2127" s="417"/>
      <c r="F2127" s="418"/>
    </row>
    <row r="2128" spans="2:6" x14ac:dyDescent="0.25">
      <c r="B2128" s="112"/>
      <c r="D2128" s="112"/>
      <c r="E2128" s="417"/>
      <c r="F2128" s="418"/>
    </row>
    <row r="2129" spans="2:6" x14ac:dyDescent="0.25">
      <c r="B2129" s="112"/>
      <c r="D2129" s="112"/>
      <c r="E2129" s="417"/>
      <c r="F2129" s="418"/>
    </row>
    <row r="2130" spans="2:6" x14ac:dyDescent="0.25">
      <c r="B2130" s="112"/>
      <c r="D2130" s="112"/>
      <c r="E2130" s="417"/>
      <c r="F2130" s="418"/>
    </row>
    <row r="2131" spans="2:6" x14ac:dyDescent="0.25">
      <c r="B2131" s="112"/>
      <c r="D2131" s="112"/>
      <c r="E2131" s="417"/>
      <c r="F2131" s="418"/>
    </row>
    <row r="2132" spans="2:6" x14ac:dyDescent="0.25">
      <c r="B2132" s="112"/>
      <c r="D2132" s="112"/>
      <c r="E2132" s="417"/>
      <c r="F2132" s="418"/>
    </row>
    <row r="2133" spans="2:6" x14ac:dyDescent="0.25">
      <c r="B2133" s="112"/>
      <c r="D2133" s="112"/>
      <c r="E2133" s="417"/>
      <c r="F2133" s="418"/>
    </row>
    <row r="2134" spans="2:6" x14ac:dyDescent="0.25">
      <c r="B2134" s="112"/>
      <c r="D2134" s="112"/>
      <c r="E2134" s="417"/>
      <c r="F2134" s="418"/>
    </row>
    <row r="2135" spans="2:6" x14ac:dyDescent="0.25">
      <c r="B2135" s="112"/>
      <c r="D2135" s="112"/>
      <c r="E2135" s="417"/>
      <c r="F2135" s="418"/>
    </row>
    <row r="2136" spans="2:6" x14ac:dyDescent="0.25">
      <c r="B2136" s="112"/>
      <c r="D2136" s="112"/>
      <c r="E2136" s="417"/>
      <c r="F2136" s="418"/>
    </row>
    <row r="2137" spans="2:6" x14ac:dyDescent="0.25">
      <c r="B2137" s="112"/>
      <c r="D2137" s="112"/>
      <c r="E2137" s="417"/>
      <c r="F2137" s="418"/>
    </row>
    <row r="2138" spans="2:6" x14ac:dyDescent="0.25">
      <c r="B2138" s="112"/>
      <c r="D2138" s="112"/>
      <c r="E2138" s="417"/>
      <c r="F2138" s="418"/>
    </row>
    <row r="2139" spans="2:6" x14ac:dyDescent="0.25">
      <c r="B2139" s="112"/>
      <c r="D2139" s="112"/>
      <c r="E2139" s="417"/>
      <c r="F2139" s="418"/>
    </row>
    <row r="2140" spans="2:6" x14ac:dyDescent="0.25">
      <c r="B2140" s="112"/>
      <c r="D2140" s="112"/>
      <c r="E2140" s="417"/>
      <c r="F2140" s="418"/>
    </row>
    <row r="2141" spans="2:6" x14ac:dyDescent="0.25">
      <c r="B2141" s="112"/>
      <c r="D2141" s="112"/>
      <c r="E2141" s="417"/>
      <c r="F2141" s="418"/>
    </row>
    <row r="2142" spans="2:6" x14ac:dyDescent="0.25">
      <c r="B2142" s="112"/>
      <c r="D2142" s="112"/>
      <c r="E2142" s="417"/>
      <c r="F2142" s="418"/>
    </row>
    <row r="2143" spans="2:6" x14ac:dyDescent="0.25">
      <c r="B2143" s="112"/>
      <c r="D2143" s="112"/>
      <c r="E2143" s="417"/>
      <c r="F2143" s="418"/>
    </row>
    <row r="2144" spans="2:6" x14ac:dyDescent="0.25">
      <c r="B2144" s="112"/>
      <c r="D2144" s="112"/>
      <c r="E2144" s="417"/>
      <c r="F2144" s="418"/>
    </row>
    <row r="2145" spans="2:6" x14ac:dyDescent="0.25">
      <c r="B2145" s="112"/>
      <c r="D2145" s="112"/>
      <c r="E2145" s="417"/>
      <c r="F2145" s="418"/>
    </row>
    <row r="2146" spans="2:6" x14ac:dyDescent="0.25">
      <c r="B2146" s="112"/>
      <c r="D2146" s="112"/>
      <c r="E2146" s="417"/>
      <c r="F2146" s="418"/>
    </row>
    <row r="2147" spans="2:6" x14ac:dyDescent="0.25">
      <c r="B2147" s="112"/>
      <c r="D2147" s="112"/>
      <c r="E2147" s="417"/>
      <c r="F2147" s="418"/>
    </row>
    <row r="2148" spans="2:6" x14ac:dyDescent="0.25">
      <c r="B2148" s="112"/>
      <c r="D2148" s="112"/>
      <c r="E2148" s="417"/>
      <c r="F2148" s="418"/>
    </row>
    <row r="2149" spans="2:6" x14ac:dyDescent="0.25">
      <c r="B2149" s="112"/>
      <c r="D2149" s="112"/>
      <c r="E2149" s="417"/>
      <c r="F2149" s="418"/>
    </row>
    <row r="2150" spans="2:6" x14ac:dyDescent="0.25">
      <c r="B2150" s="112"/>
      <c r="D2150" s="112"/>
      <c r="E2150" s="417"/>
      <c r="F2150" s="418"/>
    </row>
    <row r="2151" spans="2:6" x14ac:dyDescent="0.25">
      <c r="B2151" s="112"/>
      <c r="D2151" s="112"/>
      <c r="E2151" s="417"/>
      <c r="F2151" s="418"/>
    </row>
    <row r="2152" spans="2:6" x14ac:dyDescent="0.25">
      <c r="B2152" s="112"/>
      <c r="D2152" s="112"/>
      <c r="E2152" s="417"/>
      <c r="F2152" s="418"/>
    </row>
    <row r="2153" spans="2:6" x14ac:dyDescent="0.25">
      <c r="B2153" s="112"/>
      <c r="D2153" s="112"/>
      <c r="E2153" s="417"/>
      <c r="F2153" s="418"/>
    </row>
    <row r="2154" spans="2:6" x14ac:dyDescent="0.25">
      <c r="B2154" s="112"/>
      <c r="D2154" s="112"/>
      <c r="E2154" s="417"/>
      <c r="F2154" s="418"/>
    </row>
    <row r="2155" spans="2:6" x14ac:dyDescent="0.25">
      <c r="B2155" s="112"/>
      <c r="D2155" s="112"/>
      <c r="E2155" s="417"/>
      <c r="F2155" s="418"/>
    </row>
    <row r="2156" spans="2:6" x14ac:dyDescent="0.25">
      <c r="B2156" s="112"/>
      <c r="D2156" s="112"/>
      <c r="E2156" s="417"/>
      <c r="F2156" s="418"/>
    </row>
    <row r="2157" spans="2:6" x14ac:dyDescent="0.25">
      <c r="B2157" s="112"/>
      <c r="D2157" s="112"/>
      <c r="E2157" s="417"/>
      <c r="F2157" s="418"/>
    </row>
    <row r="2158" spans="2:6" x14ac:dyDescent="0.25">
      <c r="B2158" s="112"/>
      <c r="D2158" s="112"/>
      <c r="E2158" s="417"/>
      <c r="F2158" s="418"/>
    </row>
    <row r="2159" spans="2:6" x14ac:dyDescent="0.25">
      <c r="B2159" s="112"/>
      <c r="D2159" s="112"/>
      <c r="E2159" s="417"/>
      <c r="F2159" s="418"/>
    </row>
    <row r="2160" spans="2:6" x14ac:dyDescent="0.25">
      <c r="B2160" s="112"/>
      <c r="D2160" s="112"/>
      <c r="E2160" s="417"/>
      <c r="F2160" s="418"/>
    </row>
    <row r="2161" spans="2:6" x14ac:dyDescent="0.25">
      <c r="B2161" s="112"/>
      <c r="D2161" s="112"/>
      <c r="E2161" s="417"/>
      <c r="F2161" s="418"/>
    </row>
    <row r="2162" spans="2:6" x14ac:dyDescent="0.25">
      <c r="B2162" s="112"/>
      <c r="D2162" s="112"/>
      <c r="E2162" s="417"/>
      <c r="F2162" s="418"/>
    </row>
    <row r="2163" spans="2:6" x14ac:dyDescent="0.25">
      <c r="B2163" s="112"/>
      <c r="D2163" s="112"/>
      <c r="E2163" s="417"/>
      <c r="F2163" s="418"/>
    </row>
    <row r="2164" spans="2:6" x14ac:dyDescent="0.25">
      <c r="B2164" s="112"/>
      <c r="D2164" s="112"/>
      <c r="E2164" s="417"/>
      <c r="F2164" s="418"/>
    </row>
    <row r="2165" spans="2:6" x14ac:dyDescent="0.25">
      <c r="B2165" s="112"/>
      <c r="D2165" s="112"/>
      <c r="E2165" s="417"/>
      <c r="F2165" s="418"/>
    </row>
    <row r="2166" spans="2:6" x14ac:dyDescent="0.25">
      <c r="B2166" s="112"/>
      <c r="D2166" s="112"/>
      <c r="E2166" s="417"/>
      <c r="F2166" s="418"/>
    </row>
    <row r="2167" spans="2:6" x14ac:dyDescent="0.25">
      <c r="B2167" s="112"/>
      <c r="D2167" s="112"/>
      <c r="E2167" s="417"/>
      <c r="F2167" s="418"/>
    </row>
    <row r="2168" spans="2:6" x14ac:dyDescent="0.25">
      <c r="B2168" s="112"/>
      <c r="D2168" s="112"/>
      <c r="E2168" s="417"/>
      <c r="F2168" s="418"/>
    </row>
    <row r="2169" spans="2:6" x14ac:dyDescent="0.25">
      <c r="B2169" s="112"/>
      <c r="D2169" s="112"/>
      <c r="E2169" s="417"/>
      <c r="F2169" s="418"/>
    </row>
    <row r="2170" spans="2:6" x14ac:dyDescent="0.25">
      <c r="B2170" s="112"/>
      <c r="D2170" s="112"/>
      <c r="E2170" s="417"/>
      <c r="F2170" s="418"/>
    </row>
    <row r="2171" spans="2:6" x14ac:dyDescent="0.25">
      <c r="B2171" s="112"/>
      <c r="D2171" s="112"/>
      <c r="E2171" s="417"/>
      <c r="F2171" s="418"/>
    </row>
    <row r="2172" spans="2:6" x14ac:dyDescent="0.25">
      <c r="B2172" s="112"/>
      <c r="D2172" s="112"/>
      <c r="E2172" s="417"/>
      <c r="F2172" s="418"/>
    </row>
    <row r="2173" spans="2:6" x14ac:dyDescent="0.25">
      <c r="B2173" s="112"/>
      <c r="D2173" s="112"/>
      <c r="E2173" s="417"/>
      <c r="F2173" s="418"/>
    </row>
    <row r="2174" spans="2:6" x14ac:dyDescent="0.25">
      <c r="B2174" s="112"/>
      <c r="D2174" s="112"/>
      <c r="E2174" s="417"/>
      <c r="F2174" s="418"/>
    </row>
    <row r="2175" spans="2:6" x14ac:dyDescent="0.25">
      <c r="B2175" s="112"/>
      <c r="D2175" s="112"/>
      <c r="E2175" s="417"/>
      <c r="F2175" s="418"/>
    </row>
    <row r="2176" spans="2:6" x14ac:dyDescent="0.25">
      <c r="B2176" s="112"/>
      <c r="D2176" s="112"/>
      <c r="E2176" s="417"/>
      <c r="F2176" s="418"/>
    </row>
    <row r="2177" spans="2:6" x14ac:dyDescent="0.25">
      <c r="B2177" s="112"/>
      <c r="D2177" s="112"/>
      <c r="E2177" s="417"/>
      <c r="F2177" s="418"/>
    </row>
    <row r="2178" spans="2:6" x14ac:dyDescent="0.25">
      <c r="B2178" s="112"/>
      <c r="D2178" s="112"/>
      <c r="E2178" s="417"/>
      <c r="F2178" s="418"/>
    </row>
    <row r="2179" spans="2:6" x14ac:dyDescent="0.25">
      <c r="B2179" s="112"/>
      <c r="D2179" s="112"/>
      <c r="E2179" s="417"/>
      <c r="F2179" s="418"/>
    </row>
    <row r="2180" spans="2:6" x14ac:dyDescent="0.25">
      <c r="B2180" s="112"/>
      <c r="D2180" s="112"/>
      <c r="E2180" s="417"/>
      <c r="F2180" s="418"/>
    </row>
    <row r="2181" spans="2:6" x14ac:dyDescent="0.25">
      <c r="B2181" s="112"/>
      <c r="D2181" s="112"/>
      <c r="E2181" s="417"/>
      <c r="F2181" s="418"/>
    </row>
    <row r="2182" spans="2:6" x14ac:dyDescent="0.25">
      <c r="B2182" s="112"/>
      <c r="D2182" s="112"/>
      <c r="E2182" s="417"/>
      <c r="F2182" s="418"/>
    </row>
    <row r="2183" spans="2:6" x14ac:dyDescent="0.25">
      <c r="B2183" s="112"/>
      <c r="D2183" s="112"/>
      <c r="E2183" s="417"/>
      <c r="F2183" s="418"/>
    </row>
    <row r="2184" spans="2:6" x14ac:dyDescent="0.25">
      <c r="B2184" s="112"/>
      <c r="D2184" s="112"/>
      <c r="E2184" s="417"/>
      <c r="F2184" s="418"/>
    </row>
    <row r="2185" spans="2:6" x14ac:dyDescent="0.25">
      <c r="B2185" s="112"/>
      <c r="D2185" s="112"/>
      <c r="E2185" s="417"/>
      <c r="F2185" s="418"/>
    </row>
    <row r="2186" spans="2:6" x14ac:dyDescent="0.25">
      <c r="B2186" s="112"/>
      <c r="D2186" s="112"/>
      <c r="E2186" s="417"/>
      <c r="F2186" s="418"/>
    </row>
    <row r="2187" spans="2:6" x14ac:dyDescent="0.25">
      <c r="B2187" s="112"/>
      <c r="D2187" s="112"/>
      <c r="E2187" s="417"/>
      <c r="F2187" s="418"/>
    </row>
    <row r="2188" spans="2:6" x14ac:dyDescent="0.25">
      <c r="B2188" s="112"/>
      <c r="D2188" s="112"/>
      <c r="E2188" s="417"/>
      <c r="F2188" s="418"/>
    </row>
    <row r="2189" spans="2:6" x14ac:dyDescent="0.25">
      <c r="B2189" s="112"/>
      <c r="D2189" s="112"/>
      <c r="E2189" s="417"/>
      <c r="F2189" s="418"/>
    </row>
    <row r="2190" spans="2:6" x14ac:dyDescent="0.25">
      <c r="B2190" s="112"/>
      <c r="D2190" s="112"/>
      <c r="E2190" s="417"/>
      <c r="F2190" s="418"/>
    </row>
    <row r="2191" spans="2:6" x14ac:dyDescent="0.25">
      <c r="B2191" s="112"/>
      <c r="D2191" s="112"/>
      <c r="E2191" s="417"/>
      <c r="F2191" s="418"/>
    </row>
    <row r="2192" spans="2:6" x14ac:dyDescent="0.25">
      <c r="B2192" s="112"/>
      <c r="D2192" s="112"/>
      <c r="E2192" s="417"/>
      <c r="F2192" s="418"/>
    </row>
    <row r="2193" spans="2:6" x14ac:dyDescent="0.25">
      <c r="B2193" s="112"/>
      <c r="D2193" s="112"/>
      <c r="E2193" s="417"/>
      <c r="F2193" s="418"/>
    </row>
    <row r="2194" spans="2:6" x14ac:dyDescent="0.25">
      <c r="B2194" s="112"/>
      <c r="D2194" s="112"/>
      <c r="E2194" s="417"/>
      <c r="F2194" s="418"/>
    </row>
    <row r="2195" spans="2:6" x14ac:dyDescent="0.25">
      <c r="B2195" s="112"/>
      <c r="D2195" s="112"/>
      <c r="E2195" s="417"/>
      <c r="F2195" s="418"/>
    </row>
    <row r="2196" spans="2:6" x14ac:dyDescent="0.25">
      <c r="B2196" s="112"/>
      <c r="D2196" s="112"/>
      <c r="E2196" s="417"/>
      <c r="F2196" s="418"/>
    </row>
    <row r="2197" spans="2:6" x14ac:dyDescent="0.25">
      <c r="B2197" s="112"/>
      <c r="D2197" s="112"/>
      <c r="E2197" s="417"/>
      <c r="F2197" s="418"/>
    </row>
    <row r="2198" spans="2:6" x14ac:dyDescent="0.25">
      <c r="B2198" s="112"/>
      <c r="D2198" s="112"/>
      <c r="E2198" s="417"/>
      <c r="F2198" s="418"/>
    </row>
    <row r="2199" spans="2:6" x14ac:dyDescent="0.25">
      <c r="B2199" s="112"/>
      <c r="D2199" s="112"/>
      <c r="E2199" s="417"/>
      <c r="F2199" s="418"/>
    </row>
    <row r="2200" spans="2:6" x14ac:dyDescent="0.25">
      <c r="B2200" s="112"/>
      <c r="D2200" s="112"/>
      <c r="E2200" s="417"/>
      <c r="F2200" s="418"/>
    </row>
    <row r="2201" spans="2:6" x14ac:dyDescent="0.25">
      <c r="B2201" s="112"/>
      <c r="D2201" s="112"/>
      <c r="E2201" s="417"/>
      <c r="F2201" s="418"/>
    </row>
    <row r="2202" spans="2:6" x14ac:dyDescent="0.25">
      <c r="B2202" s="112"/>
      <c r="D2202" s="112"/>
      <c r="E2202" s="417"/>
      <c r="F2202" s="418"/>
    </row>
    <row r="2203" spans="2:6" x14ac:dyDescent="0.25">
      <c r="B2203" s="112"/>
      <c r="D2203" s="112"/>
      <c r="E2203" s="417"/>
      <c r="F2203" s="418"/>
    </row>
    <row r="2204" spans="2:6" x14ac:dyDescent="0.25">
      <c r="B2204" s="112"/>
      <c r="D2204" s="112"/>
      <c r="E2204" s="417"/>
      <c r="F2204" s="418"/>
    </row>
    <row r="2205" spans="2:6" x14ac:dyDescent="0.25">
      <c r="B2205" s="112"/>
      <c r="D2205" s="112"/>
      <c r="E2205" s="417"/>
      <c r="F2205" s="418"/>
    </row>
    <row r="2206" spans="2:6" x14ac:dyDescent="0.25">
      <c r="B2206" s="112"/>
      <c r="D2206" s="112"/>
      <c r="E2206" s="417"/>
      <c r="F2206" s="418"/>
    </row>
    <row r="2207" spans="2:6" x14ac:dyDescent="0.25">
      <c r="B2207" s="112"/>
      <c r="D2207" s="112"/>
      <c r="E2207" s="417"/>
      <c r="F2207" s="418"/>
    </row>
    <row r="2208" spans="2:6" x14ac:dyDescent="0.25">
      <c r="B2208" s="112"/>
      <c r="D2208" s="112"/>
      <c r="E2208" s="417"/>
      <c r="F2208" s="418"/>
    </row>
    <row r="2209" spans="2:6" x14ac:dyDescent="0.25">
      <c r="B2209" s="112"/>
      <c r="D2209" s="112"/>
      <c r="E2209" s="417"/>
      <c r="F2209" s="418"/>
    </row>
    <row r="2210" spans="2:6" x14ac:dyDescent="0.25">
      <c r="B2210" s="112"/>
      <c r="D2210" s="112"/>
      <c r="E2210" s="417"/>
      <c r="F2210" s="418"/>
    </row>
    <row r="2211" spans="2:6" x14ac:dyDescent="0.25">
      <c r="B2211" s="112"/>
      <c r="D2211" s="112"/>
      <c r="E2211" s="417"/>
      <c r="F2211" s="418"/>
    </row>
    <row r="2212" spans="2:6" x14ac:dyDescent="0.25">
      <c r="B2212" s="112"/>
      <c r="D2212" s="112"/>
      <c r="E2212" s="417"/>
      <c r="F2212" s="418"/>
    </row>
    <row r="2213" spans="2:6" x14ac:dyDescent="0.25">
      <c r="B2213" s="112"/>
      <c r="D2213" s="112"/>
      <c r="E2213" s="417"/>
      <c r="F2213" s="418"/>
    </row>
    <row r="2214" spans="2:6" x14ac:dyDescent="0.25">
      <c r="B2214" s="112"/>
      <c r="D2214" s="112"/>
      <c r="E2214" s="417"/>
      <c r="F2214" s="418"/>
    </row>
    <row r="2215" spans="2:6" x14ac:dyDescent="0.25">
      <c r="B2215" s="112"/>
      <c r="D2215" s="112"/>
      <c r="E2215" s="417"/>
      <c r="F2215" s="418"/>
    </row>
    <row r="2216" spans="2:6" x14ac:dyDescent="0.25">
      <c r="B2216" s="112"/>
      <c r="D2216" s="112"/>
      <c r="E2216" s="417"/>
      <c r="F2216" s="418"/>
    </row>
    <row r="2217" spans="2:6" x14ac:dyDescent="0.25">
      <c r="B2217" s="112"/>
      <c r="D2217" s="112"/>
      <c r="E2217" s="417"/>
      <c r="F2217" s="418"/>
    </row>
    <row r="2218" spans="2:6" x14ac:dyDescent="0.25">
      <c r="B2218" s="112"/>
      <c r="D2218" s="112"/>
      <c r="E2218" s="417"/>
      <c r="F2218" s="418"/>
    </row>
    <row r="2219" spans="2:6" x14ac:dyDescent="0.25">
      <c r="B2219" s="112"/>
      <c r="D2219" s="112"/>
      <c r="E2219" s="417"/>
      <c r="F2219" s="418"/>
    </row>
    <row r="2220" spans="2:6" x14ac:dyDescent="0.25">
      <c r="B2220" s="112"/>
      <c r="D2220" s="112"/>
      <c r="E2220" s="417"/>
      <c r="F2220" s="418"/>
    </row>
    <row r="2221" spans="2:6" x14ac:dyDescent="0.25">
      <c r="B2221" s="112"/>
      <c r="D2221" s="112"/>
      <c r="E2221" s="417"/>
      <c r="F2221" s="418"/>
    </row>
    <row r="2222" spans="2:6" x14ac:dyDescent="0.25">
      <c r="B2222" s="112"/>
      <c r="D2222" s="112"/>
      <c r="E2222" s="417"/>
      <c r="F2222" s="418"/>
    </row>
    <row r="2223" spans="2:6" x14ac:dyDescent="0.25">
      <c r="B2223" s="112"/>
      <c r="D2223" s="112"/>
      <c r="E2223" s="417"/>
      <c r="F2223" s="418"/>
    </row>
    <row r="2224" spans="2:6" x14ac:dyDescent="0.25">
      <c r="B2224" s="112"/>
      <c r="D2224" s="112"/>
      <c r="E2224" s="417"/>
      <c r="F2224" s="418"/>
    </row>
    <row r="2225" spans="2:6" x14ac:dyDescent="0.25">
      <c r="B2225" s="112"/>
      <c r="D2225" s="112"/>
      <c r="E2225" s="417"/>
      <c r="F2225" s="418"/>
    </row>
    <row r="2226" spans="2:6" x14ac:dyDescent="0.25">
      <c r="B2226" s="112"/>
      <c r="D2226" s="112"/>
      <c r="E2226" s="417"/>
      <c r="F2226" s="418"/>
    </row>
    <row r="2227" spans="2:6" x14ac:dyDescent="0.25">
      <c r="B2227" s="112"/>
      <c r="D2227" s="112"/>
      <c r="E2227" s="417"/>
      <c r="F2227" s="418"/>
    </row>
    <row r="2228" spans="2:6" x14ac:dyDescent="0.25">
      <c r="B2228" s="112"/>
      <c r="D2228" s="112"/>
      <c r="E2228" s="417"/>
      <c r="F2228" s="418"/>
    </row>
    <row r="2229" spans="2:6" x14ac:dyDescent="0.25">
      <c r="B2229" s="112"/>
      <c r="D2229" s="112"/>
      <c r="E2229" s="417"/>
      <c r="F2229" s="418"/>
    </row>
    <row r="2230" spans="2:6" x14ac:dyDescent="0.25">
      <c r="B2230" s="112"/>
      <c r="D2230" s="112"/>
      <c r="E2230" s="417"/>
      <c r="F2230" s="418"/>
    </row>
    <row r="2231" spans="2:6" x14ac:dyDescent="0.25">
      <c r="B2231" s="112"/>
      <c r="D2231" s="112"/>
      <c r="E2231" s="417"/>
      <c r="F2231" s="418"/>
    </row>
    <row r="2232" spans="2:6" x14ac:dyDescent="0.25">
      <c r="B2232" s="112"/>
      <c r="D2232" s="112"/>
      <c r="E2232" s="417"/>
      <c r="F2232" s="418"/>
    </row>
    <row r="2233" spans="2:6" x14ac:dyDescent="0.25">
      <c r="B2233" s="112"/>
      <c r="D2233" s="112"/>
      <c r="E2233" s="417"/>
      <c r="F2233" s="418"/>
    </row>
    <row r="2234" spans="2:6" x14ac:dyDescent="0.25">
      <c r="B2234" s="112"/>
      <c r="D2234" s="112"/>
      <c r="E2234" s="417"/>
      <c r="F2234" s="418"/>
    </row>
    <row r="2235" spans="2:6" x14ac:dyDescent="0.25">
      <c r="B2235" s="112"/>
      <c r="D2235" s="112"/>
      <c r="E2235" s="417"/>
      <c r="F2235" s="418"/>
    </row>
    <row r="2236" spans="2:6" x14ac:dyDescent="0.25">
      <c r="B2236" s="112"/>
      <c r="D2236" s="112"/>
      <c r="E2236" s="417"/>
      <c r="F2236" s="418"/>
    </row>
    <row r="2237" spans="2:6" x14ac:dyDescent="0.25">
      <c r="B2237" s="112"/>
      <c r="D2237" s="112"/>
      <c r="E2237" s="417"/>
      <c r="F2237" s="418"/>
    </row>
    <row r="2238" spans="2:6" x14ac:dyDescent="0.25">
      <c r="B2238" s="112"/>
      <c r="D2238" s="112"/>
      <c r="E2238" s="417"/>
      <c r="F2238" s="418"/>
    </row>
    <row r="2239" spans="2:6" x14ac:dyDescent="0.25">
      <c r="B2239" s="112"/>
      <c r="D2239" s="112"/>
      <c r="E2239" s="417"/>
      <c r="F2239" s="418"/>
    </row>
    <row r="2240" spans="2:6" x14ac:dyDescent="0.25">
      <c r="B2240" s="112"/>
      <c r="D2240" s="112"/>
      <c r="E2240" s="417"/>
      <c r="F2240" s="418"/>
    </row>
    <row r="2241" spans="2:6" x14ac:dyDescent="0.25">
      <c r="B2241" s="112"/>
      <c r="D2241" s="112"/>
      <c r="E2241" s="417"/>
      <c r="F2241" s="418"/>
    </row>
    <row r="2242" spans="2:6" x14ac:dyDescent="0.25">
      <c r="B2242" s="112"/>
      <c r="D2242" s="112"/>
      <c r="E2242" s="417"/>
      <c r="F2242" s="418"/>
    </row>
    <row r="2243" spans="2:6" x14ac:dyDescent="0.25">
      <c r="B2243" s="112"/>
      <c r="D2243" s="112"/>
      <c r="E2243" s="417"/>
      <c r="F2243" s="418"/>
    </row>
    <row r="2244" spans="2:6" x14ac:dyDescent="0.25">
      <c r="B2244" s="112"/>
      <c r="D2244" s="112"/>
      <c r="E2244" s="417"/>
      <c r="F2244" s="418"/>
    </row>
    <row r="2245" spans="2:6" x14ac:dyDescent="0.25">
      <c r="B2245" s="112"/>
      <c r="D2245" s="112"/>
      <c r="E2245" s="417"/>
      <c r="F2245" s="418"/>
    </row>
    <row r="2246" spans="2:6" x14ac:dyDescent="0.25">
      <c r="B2246" s="112"/>
      <c r="D2246" s="112"/>
      <c r="E2246" s="417"/>
      <c r="F2246" s="418"/>
    </row>
    <row r="2247" spans="2:6" x14ac:dyDescent="0.25">
      <c r="B2247" s="112"/>
      <c r="D2247" s="112"/>
      <c r="E2247" s="417"/>
      <c r="F2247" s="418"/>
    </row>
    <row r="2248" spans="2:6" x14ac:dyDescent="0.25">
      <c r="B2248" s="112"/>
      <c r="D2248" s="112"/>
      <c r="E2248" s="417"/>
      <c r="F2248" s="418"/>
    </row>
    <row r="2249" spans="2:6" x14ac:dyDescent="0.25">
      <c r="B2249" s="112"/>
      <c r="D2249" s="112"/>
      <c r="E2249" s="417"/>
      <c r="F2249" s="418"/>
    </row>
    <row r="2250" spans="2:6" x14ac:dyDescent="0.25">
      <c r="B2250" s="112"/>
      <c r="D2250" s="112"/>
      <c r="E2250" s="417"/>
      <c r="F2250" s="418"/>
    </row>
    <row r="2251" spans="2:6" x14ac:dyDescent="0.25">
      <c r="B2251" s="112"/>
      <c r="D2251" s="112"/>
      <c r="E2251" s="417"/>
      <c r="F2251" s="418"/>
    </row>
    <row r="2252" spans="2:6" x14ac:dyDescent="0.25">
      <c r="B2252" s="112"/>
      <c r="D2252" s="112"/>
      <c r="E2252" s="417"/>
      <c r="F2252" s="418"/>
    </row>
    <row r="2253" spans="2:6" x14ac:dyDescent="0.25">
      <c r="B2253" s="112"/>
      <c r="D2253" s="112"/>
      <c r="E2253" s="417"/>
      <c r="F2253" s="418"/>
    </row>
    <row r="2254" spans="2:6" x14ac:dyDescent="0.25">
      <c r="B2254" s="112"/>
      <c r="D2254" s="112"/>
      <c r="E2254" s="417"/>
      <c r="F2254" s="418"/>
    </row>
    <row r="2255" spans="2:6" x14ac:dyDescent="0.25">
      <c r="B2255" s="112"/>
      <c r="D2255" s="112"/>
      <c r="E2255" s="417"/>
      <c r="F2255" s="418"/>
    </row>
    <row r="2256" spans="2:6" x14ac:dyDescent="0.25">
      <c r="B2256" s="112"/>
      <c r="D2256" s="112"/>
      <c r="E2256" s="417"/>
      <c r="F2256" s="418"/>
    </row>
    <row r="2257" spans="2:6" x14ac:dyDescent="0.25">
      <c r="B2257" s="112"/>
      <c r="D2257" s="112"/>
      <c r="E2257" s="417"/>
      <c r="F2257" s="418"/>
    </row>
    <row r="2258" spans="2:6" x14ac:dyDescent="0.25">
      <c r="B2258" s="112"/>
      <c r="D2258" s="112"/>
      <c r="E2258" s="417"/>
      <c r="F2258" s="418"/>
    </row>
    <row r="2259" spans="2:6" x14ac:dyDescent="0.25">
      <c r="B2259" s="112"/>
      <c r="D2259" s="112"/>
      <c r="E2259" s="417"/>
      <c r="F2259" s="418"/>
    </row>
    <row r="2260" spans="2:6" x14ac:dyDescent="0.25">
      <c r="B2260" s="112"/>
      <c r="D2260" s="112"/>
      <c r="E2260" s="417"/>
      <c r="F2260" s="418"/>
    </row>
    <row r="2261" spans="2:6" x14ac:dyDescent="0.25">
      <c r="B2261" s="112"/>
      <c r="D2261" s="112"/>
      <c r="E2261" s="417"/>
      <c r="F2261" s="418"/>
    </row>
    <row r="2262" spans="2:6" x14ac:dyDescent="0.25">
      <c r="B2262" s="112"/>
      <c r="D2262" s="112"/>
      <c r="E2262" s="417"/>
      <c r="F2262" s="418"/>
    </row>
    <row r="2263" spans="2:6" x14ac:dyDescent="0.25">
      <c r="B2263" s="112"/>
      <c r="D2263" s="112"/>
      <c r="E2263" s="417"/>
      <c r="F2263" s="418"/>
    </row>
    <row r="2264" spans="2:6" x14ac:dyDescent="0.25">
      <c r="B2264" s="112"/>
      <c r="D2264" s="112"/>
      <c r="E2264" s="417"/>
      <c r="F2264" s="418"/>
    </row>
    <row r="2265" spans="2:6" x14ac:dyDescent="0.25">
      <c r="B2265" s="112"/>
      <c r="D2265" s="112"/>
      <c r="E2265" s="417"/>
      <c r="F2265" s="418"/>
    </row>
    <row r="2266" spans="2:6" x14ac:dyDescent="0.25">
      <c r="B2266" s="112"/>
      <c r="D2266" s="112"/>
      <c r="E2266" s="417"/>
      <c r="F2266" s="418"/>
    </row>
    <row r="2267" spans="2:6" x14ac:dyDescent="0.25">
      <c r="B2267" s="112"/>
      <c r="D2267" s="112"/>
      <c r="E2267" s="417"/>
      <c r="F2267" s="418"/>
    </row>
    <row r="2268" spans="2:6" x14ac:dyDescent="0.25">
      <c r="B2268" s="112"/>
      <c r="D2268" s="112"/>
      <c r="E2268" s="417"/>
      <c r="F2268" s="418"/>
    </row>
    <row r="2269" spans="2:6" x14ac:dyDescent="0.25">
      <c r="B2269" s="112"/>
      <c r="D2269" s="112"/>
      <c r="E2269" s="417"/>
      <c r="F2269" s="418"/>
    </row>
    <row r="2270" spans="2:6" x14ac:dyDescent="0.25">
      <c r="B2270" s="112"/>
      <c r="D2270" s="112"/>
      <c r="E2270" s="417"/>
      <c r="F2270" s="418"/>
    </row>
    <row r="2271" spans="2:6" x14ac:dyDescent="0.25">
      <c r="B2271" s="112"/>
      <c r="D2271" s="112"/>
      <c r="E2271" s="417"/>
      <c r="F2271" s="418"/>
    </row>
    <row r="2272" spans="2:6" x14ac:dyDescent="0.25">
      <c r="B2272" s="112"/>
      <c r="D2272" s="112"/>
      <c r="E2272" s="417"/>
      <c r="F2272" s="418"/>
    </row>
    <row r="2273" spans="2:6" x14ac:dyDescent="0.25">
      <c r="B2273" s="112"/>
      <c r="D2273" s="112"/>
      <c r="E2273" s="417"/>
      <c r="F2273" s="418"/>
    </row>
    <row r="2274" spans="2:6" x14ac:dyDescent="0.25">
      <c r="B2274" s="112"/>
      <c r="D2274" s="112"/>
      <c r="E2274" s="417"/>
      <c r="F2274" s="418"/>
    </row>
    <row r="2275" spans="2:6" x14ac:dyDescent="0.25">
      <c r="B2275" s="112"/>
      <c r="D2275" s="112"/>
      <c r="E2275" s="417"/>
      <c r="F2275" s="418"/>
    </row>
    <row r="2276" spans="2:6" x14ac:dyDescent="0.25">
      <c r="B2276" s="112"/>
      <c r="D2276" s="112"/>
      <c r="E2276" s="417"/>
      <c r="F2276" s="418"/>
    </row>
    <row r="2277" spans="2:6" x14ac:dyDescent="0.25">
      <c r="B2277" s="112"/>
      <c r="D2277" s="112"/>
      <c r="E2277" s="417"/>
      <c r="F2277" s="418"/>
    </row>
    <row r="2278" spans="2:6" x14ac:dyDescent="0.25">
      <c r="B2278" s="112"/>
      <c r="D2278" s="112"/>
      <c r="E2278" s="417"/>
      <c r="F2278" s="418"/>
    </row>
    <row r="2279" spans="2:6" x14ac:dyDescent="0.25">
      <c r="B2279" s="112"/>
      <c r="D2279" s="112"/>
      <c r="E2279" s="417"/>
      <c r="F2279" s="418"/>
    </row>
    <row r="2280" spans="2:6" x14ac:dyDescent="0.25">
      <c r="B2280" s="112"/>
      <c r="D2280" s="112"/>
      <c r="E2280" s="417"/>
      <c r="F2280" s="418"/>
    </row>
    <row r="2281" spans="2:6" x14ac:dyDescent="0.25">
      <c r="B2281" s="112"/>
      <c r="D2281" s="112"/>
      <c r="E2281" s="417"/>
      <c r="F2281" s="418"/>
    </row>
    <row r="2282" spans="2:6" x14ac:dyDescent="0.25">
      <c r="B2282" s="112"/>
      <c r="D2282" s="112"/>
      <c r="E2282" s="417"/>
      <c r="F2282" s="418"/>
    </row>
    <row r="2283" spans="2:6" x14ac:dyDescent="0.25">
      <c r="B2283" s="112"/>
      <c r="D2283" s="112"/>
      <c r="E2283" s="417"/>
      <c r="F2283" s="418"/>
    </row>
    <row r="2284" spans="2:6" x14ac:dyDescent="0.25">
      <c r="B2284" s="112"/>
      <c r="D2284" s="112"/>
      <c r="E2284" s="417"/>
      <c r="F2284" s="418"/>
    </row>
    <row r="2285" spans="2:6" x14ac:dyDescent="0.25">
      <c r="B2285" s="112"/>
      <c r="D2285" s="112"/>
      <c r="E2285" s="417"/>
      <c r="F2285" s="418"/>
    </row>
    <row r="2286" spans="2:6" x14ac:dyDescent="0.25">
      <c r="B2286" s="112"/>
      <c r="D2286" s="112"/>
      <c r="E2286" s="417"/>
      <c r="F2286" s="418"/>
    </row>
    <row r="2287" spans="2:6" x14ac:dyDescent="0.25">
      <c r="B2287" s="112"/>
      <c r="D2287" s="112"/>
      <c r="E2287" s="417"/>
      <c r="F2287" s="418"/>
    </row>
    <row r="2288" spans="2:6" x14ac:dyDescent="0.25">
      <c r="B2288" s="112"/>
      <c r="D2288" s="112"/>
      <c r="E2288" s="417"/>
      <c r="F2288" s="418"/>
    </row>
    <row r="2289" spans="2:6" x14ac:dyDescent="0.25">
      <c r="B2289" s="112"/>
      <c r="D2289" s="112"/>
      <c r="E2289" s="417"/>
      <c r="F2289" s="418"/>
    </row>
    <row r="2290" spans="2:6" x14ac:dyDescent="0.25">
      <c r="B2290" s="112"/>
      <c r="D2290" s="112"/>
      <c r="E2290" s="417"/>
      <c r="F2290" s="418"/>
    </row>
    <row r="2291" spans="2:6" x14ac:dyDescent="0.25">
      <c r="B2291" s="112"/>
      <c r="D2291" s="112"/>
      <c r="E2291" s="417"/>
      <c r="F2291" s="418"/>
    </row>
    <row r="2292" spans="2:6" x14ac:dyDescent="0.25">
      <c r="B2292" s="112"/>
      <c r="D2292" s="112"/>
      <c r="E2292" s="417"/>
      <c r="F2292" s="418"/>
    </row>
    <row r="2293" spans="2:6" x14ac:dyDescent="0.25">
      <c r="B2293" s="112"/>
      <c r="D2293" s="112"/>
      <c r="E2293" s="417"/>
      <c r="F2293" s="418"/>
    </row>
    <row r="2294" spans="2:6" x14ac:dyDescent="0.25">
      <c r="B2294" s="112"/>
      <c r="D2294" s="112"/>
      <c r="E2294" s="417"/>
      <c r="F2294" s="418"/>
    </row>
    <row r="2295" spans="2:6" x14ac:dyDescent="0.25">
      <c r="B2295" s="112"/>
      <c r="D2295" s="112"/>
      <c r="E2295" s="417"/>
      <c r="F2295" s="418"/>
    </row>
    <row r="2296" spans="2:6" x14ac:dyDescent="0.25">
      <c r="B2296" s="112"/>
      <c r="D2296" s="112"/>
      <c r="E2296" s="417"/>
      <c r="F2296" s="418"/>
    </row>
    <row r="2297" spans="2:6" x14ac:dyDescent="0.25">
      <c r="B2297" s="112"/>
      <c r="D2297" s="112"/>
      <c r="E2297" s="417"/>
      <c r="F2297" s="418"/>
    </row>
    <row r="2298" spans="2:6" x14ac:dyDescent="0.25">
      <c r="B2298" s="112"/>
      <c r="D2298" s="112"/>
      <c r="E2298" s="417"/>
      <c r="F2298" s="418"/>
    </row>
    <row r="2299" spans="2:6" x14ac:dyDescent="0.25">
      <c r="B2299" s="112"/>
      <c r="D2299" s="112"/>
      <c r="E2299" s="417"/>
      <c r="F2299" s="418"/>
    </row>
    <row r="2300" spans="2:6" x14ac:dyDescent="0.25">
      <c r="B2300" s="112"/>
      <c r="D2300" s="112"/>
      <c r="E2300" s="417"/>
      <c r="F2300" s="418"/>
    </row>
    <row r="2301" spans="2:6" x14ac:dyDescent="0.25">
      <c r="B2301" s="112"/>
      <c r="D2301" s="112"/>
      <c r="E2301" s="417"/>
      <c r="F2301" s="418"/>
    </row>
    <row r="2302" spans="2:6" x14ac:dyDescent="0.25">
      <c r="B2302" s="112"/>
      <c r="D2302" s="112"/>
      <c r="E2302" s="417"/>
      <c r="F2302" s="418"/>
    </row>
    <row r="2303" spans="2:6" x14ac:dyDescent="0.25">
      <c r="B2303" s="112"/>
      <c r="D2303" s="112"/>
      <c r="E2303" s="417"/>
      <c r="F2303" s="418"/>
    </row>
    <row r="2304" spans="2:6" x14ac:dyDescent="0.25">
      <c r="B2304" s="112"/>
      <c r="D2304" s="112"/>
      <c r="E2304" s="417"/>
      <c r="F2304" s="418"/>
    </row>
    <row r="2305" spans="2:6" x14ac:dyDescent="0.25">
      <c r="B2305" s="112"/>
      <c r="D2305" s="112"/>
      <c r="E2305" s="417"/>
      <c r="F2305" s="418"/>
    </row>
    <row r="2306" spans="2:6" x14ac:dyDescent="0.25">
      <c r="B2306" s="112"/>
      <c r="D2306" s="112"/>
      <c r="E2306" s="417"/>
      <c r="F2306" s="418"/>
    </row>
    <row r="2307" spans="2:6" x14ac:dyDescent="0.25">
      <c r="B2307" s="112"/>
      <c r="D2307" s="112"/>
      <c r="E2307" s="417"/>
      <c r="F2307" s="418"/>
    </row>
    <row r="2308" spans="2:6" x14ac:dyDescent="0.25">
      <c r="B2308" s="112"/>
      <c r="D2308" s="112"/>
      <c r="E2308" s="417"/>
      <c r="F2308" s="418"/>
    </row>
    <row r="2309" spans="2:6" x14ac:dyDescent="0.25">
      <c r="B2309" s="112"/>
      <c r="D2309" s="112"/>
      <c r="E2309" s="417"/>
      <c r="F2309" s="418"/>
    </row>
    <row r="2310" spans="2:6" x14ac:dyDescent="0.25">
      <c r="B2310" s="112"/>
      <c r="D2310" s="112"/>
      <c r="E2310" s="417"/>
      <c r="F2310" s="418"/>
    </row>
    <row r="2311" spans="2:6" x14ac:dyDescent="0.25">
      <c r="B2311" s="112"/>
      <c r="D2311" s="112"/>
      <c r="E2311" s="417"/>
      <c r="F2311" s="418"/>
    </row>
    <row r="2312" spans="2:6" x14ac:dyDescent="0.25">
      <c r="B2312" s="112"/>
      <c r="D2312" s="112"/>
      <c r="E2312" s="417"/>
      <c r="F2312" s="418"/>
    </row>
    <row r="2313" spans="2:6" x14ac:dyDescent="0.25">
      <c r="B2313" s="112"/>
      <c r="D2313" s="112"/>
      <c r="E2313" s="417"/>
      <c r="F2313" s="418"/>
    </row>
    <row r="2314" spans="2:6" x14ac:dyDescent="0.25">
      <c r="B2314" s="112"/>
      <c r="D2314" s="112"/>
      <c r="E2314" s="417"/>
      <c r="F2314" s="418"/>
    </row>
    <row r="2315" spans="2:6" x14ac:dyDescent="0.25">
      <c r="B2315" s="112"/>
      <c r="D2315" s="112"/>
      <c r="E2315" s="417"/>
      <c r="F2315" s="418"/>
    </row>
    <row r="2316" spans="2:6" x14ac:dyDescent="0.25">
      <c r="B2316" s="112"/>
      <c r="D2316" s="112"/>
      <c r="E2316" s="417"/>
      <c r="F2316" s="418"/>
    </row>
    <row r="2317" spans="2:6" x14ac:dyDescent="0.25">
      <c r="B2317" s="112"/>
      <c r="D2317" s="112"/>
      <c r="E2317" s="417"/>
      <c r="F2317" s="418"/>
    </row>
    <row r="2318" spans="2:6" x14ac:dyDescent="0.25">
      <c r="B2318" s="112"/>
      <c r="D2318" s="112"/>
      <c r="E2318" s="417"/>
      <c r="F2318" s="418"/>
    </row>
    <row r="2319" spans="2:6" x14ac:dyDescent="0.25">
      <c r="B2319" s="112"/>
      <c r="D2319" s="112"/>
      <c r="E2319" s="417"/>
      <c r="F2319" s="418"/>
    </row>
    <row r="2320" spans="2:6" x14ac:dyDescent="0.25">
      <c r="B2320" s="112"/>
      <c r="D2320" s="112"/>
      <c r="E2320" s="417"/>
      <c r="F2320" s="418"/>
    </row>
    <row r="2321" spans="2:6" x14ac:dyDescent="0.25">
      <c r="B2321" s="112"/>
      <c r="D2321" s="112"/>
      <c r="E2321" s="417"/>
      <c r="F2321" s="418"/>
    </row>
    <row r="2322" spans="2:6" x14ac:dyDescent="0.25">
      <c r="B2322" s="112"/>
      <c r="D2322" s="112"/>
      <c r="E2322" s="417"/>
      <c r="F2322" s="418"/>
    </row>
    <row r="2323" spans="2:6" x14ac:dyDescent="0.25">
      <c r="B2323" s="112"/>
      <c r="D2323" s="112"/>
      <c r="E2323" s="417"/>
      <c r="F2323" s="418"/>
    </row>
    <row r="2324" spans="2:6" x14ac:dyDescent="0.25">
      <c r="B2324" s="112"/>
      <c r="D2324" s="112"/>
      <c r="E2324" s="417"/>
      <c r="F2324" s="418"/>
    </row>
    <row r="2325" spans="2:6" x14ac:dyDescent="0.25">
      <c r="B2325" s="112"/>
      <c r="D2325" s="112"/>
      <c r="E2325" s="417"/>
      <c r="F2325" s="418"/>
    </row>
    <row r="2326" spans="2:6" x14ac:dyDescent="0.25">
      <c r="B2326" s="112"/>
      <c r="D2326" s="112"/>
      <c r="E2326" s="417"/>
      <c r="F2326" s="418"/>
    </row>
    <row r="2327" spans="2:6" x14ac:dyDescent="0.25">
      <c r="B2327" s="112"/>
      <c r="D2327" s="112"/>
      <c r="E2327" s="417"/>
      <c r="F2327" s="418"/>
    </row>
    <row r="2328" spans="2:6" x14ac:dyDescent="0.25">
      <c r="B2328" s="112"/>
      <c r="D2328" s="112"/>
      <c r="E2328" s="417"/>
      <c r="F2328" s="418"/>
    </row>
    <row r="2329" spans="2:6" x14ac:dyDescent="0.25">
      <c r="B2329" s="112"/>
      <c r="D2329" s="112"/>
      <c r="E2329" s="417"/>
      <c r="F2329" s="418"/>
    </row>
    <row r="2330" spans="2:6" x14ac:dyDescent="0.25">
      <c r="B2330" s="112"/>
      <c r="D2330" s="112"/>
      <c r="E2330" s="417"/>
      <c r="F2330" s="418"/>
    </row>
    <row r="2331" spans="2:6" x14ac:dyDescent="0.25">
      <c r="B2331" s="112"/>
      <c r="D2331" s="112"/>
      <c r="E2331" s="417"/>
      <c r="F2331" s="418"/>
    </row>
    <row r="2332" spans="2:6" x14ac:dyDescent="0.25">
      <c r="B2332" s="112"/>
      <c r="D2332" s="112"/>
      <c r="E2332" s="417"/>
      <c r="F2332" s="418"/>
    </row>
    <row r="2333" spans="2:6" x14ac:dyDescent="0.25">
      <c r="B2333" s="112"/>
      <c r="D2333" s="112"/>
      <c r="E2333" s="417"/>
      <c r="F2333" s="418"/>
    </row>
    <row r="2334" spans="2:6" x14ac:dyDescent="0.25">
      <c r="B2334" s="112"/>
      <c r="D2334" s="112"/>
      <c r="E2334" s="417"/>
      <c r="F2334" s="418"/>
    </row>
    <row r="2335" spans="2:6" x14ac:dyDescent="0.25">
      <c r="B2335" s="112"/>
      <c r="D2335" s="112"/>
      <c r="E2335" s="417"/>
      <c r="F2335" s="418"/>
    </row>
    <row r="2336" spans="2:6" x14ac:dyDescent="0.25">
      <c r="B2336" s="112"/>
      <c r="D2336" s="112"/>
      <c r="E2336" s="417"/>
      <c r="F2336" s="418"/>
    </row>
    <row r="2337" spans="2:6" x14ac:dyDescent="0.25">
      <c r="B2337" s="112"/>
      <c r="D2337" s="112"/>
      <c r="E2337" s="417"/>
      <c r="F2337" s="418"/>
    </row>
    <row r="2338" spans="2:6" x14ac:dyDescent="0.25">
      <c r="B2338" s="112"/>
      <c r="D2338" s="112"/>
      <c r="E2338" s="417"/>
      <c r="F2338" s="418"/>
    </row>
    <row r="2339" spans="2:6" x14ac:dyDescent="0.25">
      <c r="B2339" s="112"/>
      <c r="D2339" s="112"/>
      <c r="E2339" s="417"/>
      <c r="F2339" s="418"/>
    </row>
    <row r="2340" spans="2:6" x14ac:dyDescent="0.25">
      <c r="B2340" s="112"/>
      <c r="D2340" s="112"/>
      <c r="E2340" s="417"/>
      <c r="F2340" s="418"/>
    </row>
    <row r="2341" spans="2:6" x14ac:dyDescent="0.25">
      <c r="B2341" s="112"/>
      <c r="D2341" s="112"/>
      <c r="E2341" s="417"/>
      <c r="F2341" s="418"/>
    </row>
    <row r="2342" spans="2:6" x14ac:dyDescent="0.25">
      <c r="B2342" s="112"/>
      <c r="D2342" s="112"/>
      <c r="E2342" s="417"/>
      <c r="F2342" s="418"/>
    </row>
    <row r="2343" spans="2:6" x14ac:dyDescent="0.25">
      <c r="B2343" s="112"/>
      <c r="D2343" s="112"/>
      <c r="E2343" s="417"/>
      <c r="F2343" s="418"/>
    </row>
    <row r="2344" spans="2:6" x14ac:dyDescent="0.25">
      <c r="B2344" s="112"/>
      <c r="D2344" s="112"/>
      <c r="E2344" s="417"/>
      <c r="F2344" s="418"/>
    </row>
    <row r="2345" spans="2:6" x14ac:dyDescent="0.25">
      <c r="B2345" s="112"/>
      <c r="D2345" s="112"/>
      <c r="E2345" s="417"/>
      <c r="F2345" s="418"/>
    </row>
    <row r="2346" spans="2:6" x14ac:dyDescent="0.25">
      <c r="B2346" s="112"/>
      <c r="D2346" s="112"/>
      <c r="E2346" s="417"/>
      <c r="F2346" s="418"/>
    </row>
    <row r="2347" spans="2:6" x14ac:dyDescent="0.25">
      <c r="B2347" s="112"/>
      <c r="D2347" s="112"/>
      <c r="E2347" s="417"/>
      <c r="F2347" s="418"/>
    </row>
    <row r="2348" spans="2:6" x14ac:dyDescent="0.25">
      <c r="B2348" s="112"/>
      <c r="D2348" s="112"/>
      <c r="E2348" s="417"/>
      <c r="F2348" s="418"/>
    </row>
    <row r="2349" spans="2:6" x14ac:dyDescent="0.25">
      <c r="B2349" s="112"/>
      <c r="D2349" s="112"/>
      <c r="E2349" s="417"/>
      <c r="F2349" s="418"/>
    </row>
    <row r="2350" spans="2:6" x14ac:dyDescent="0.25">
      <c r="B2350" s="112"/>
      <c r="D2350" s="112"/>
      <c r="E2350" s="417"/>
      <c r="F2350" s="418"/>
    </row>
    <row r="2351" spans="2:6" x14ac:dyDescent="0.25">
      <c r="B2351" s="112"/>
      <c r="D2351" s="112"/>
      <c r="E2351" s="417"/>
      <c r="F2351" s="418"/>
    </row>
    <row r="2352" spans="2:6" x14ac:dyDescent="0.25">
      <c r="B2352" s="112"/>
      <c r="D2352" s="112"/>
      <c r="E2352" s="417"/>
      <c r="F2352" s="418"/>
    </row>
    <row r="2353" spans="2:6" x14ac:dyDescent="0.25">
      <c r="B2353" s="112"/>
      <c r="D2353" s="112"/>
      <c r="E2353" s="417"/>
      <c r="F2353" s="418"/>
    </row>
    <row r="2354" spans="2:6" x14ac:dyDescent="0.25">
      <c r="B2354" s="112"/>
      <c r="D2354" s="112"/>
      <c r="E2354" s="417"/>
      <c r="F2354" s="418"/>
    </row>
    <row r="2355" spans="2:6" x14ac:dyDescent="0.25">
      <c r="B2355" s="112"/>
      <c r="D2355" s="112"/>
      <c r="E2355" s="417"/>
      <c r="F2355" s="418"/>
    </row>
    <row r="2356" spans="2:6" x14ac:dyDescent="0.25">
      <c r="B2356" s="112"/>
      <c r="D2356" s="112"/>
      <c r="E2356" s="417"/>
      <c r="F2356" s="418"/>
    </row>
    <row r="2357" spans="2:6" x14ac:dyDescent="0.25">
      <c r="B2357" s="112"/>
      <c r="D2357" s="112"/>
      <c r="E2357" s="417"/>
      <c r="F2357" s="418"/>
    </row>
    <row r="2358" spans="2:6" x14ac:dyDescent="0.25">
      <c r="B2358" s="112"/>
      <c r="D2358" s="112"/>
      <c r="E2358" s="417"/>
      <c r="F2358" s="418"/>
    </row>
    <row r="2359" spans="2:6" x14ac:dyDescent="0.25">
      <c r="B2359" s="112"/>
      <c r="D2359" s="112"/>
      <c r="E2359" s="417"/>
      <c r="F2359" s="418"/>
    </row>
    <row r="2360" spans="2:6" x14ac:dyDescent="0.25">
      <c r="B2360" s="112"/>
      <c r="D2360" s="112"/>
      <c r="E2360" s="417"/>
      <c r="F2360" s="418"/>
    </row>
    <row r="2361" spans="2:6" x14ac:dyDescent="0.25">
      <c r="B2361" s="112"/>
      <c r="D2361" s="112"/>
      <c r="E2361" s="417"/>
      <c r="F2361" s="418"/>
    </row>
    <row r="2362" spans="2:6" x14ac:dyDescent="0.25">
      <c r="B2362" s="112"/>
      <c r="D2362" s="112"/>
      <c r="E2362" s="417"/>
      <c r="F2362" s="418"/>
    </row>
    <row r="2363" spans="2:6" x14ac:dyDescent="0.25">
      <c r="B2363" s="112"/>
      <c r="D2363" s="112"/>
      <c r="E2363" s="417"/>
      <c r="F2363" s="418"/>
    </row>
    <row r="2364" spans="2:6" x14ac:dyDescent="0.25">
      <c r="B2364" s="112"/>
      <c r="D2364" s="112"/>
      <c r="E2364" s="417"/>
      <c r="F2364" s="418"/>
    </row>
    <row r="2365" spans="2:6" x14ac:dyDescent="0.25">
      <c r="B2365" s="112"/>
      <c r="D2365" s="112"/>
      <c r="E2365" s="417"/>
      <c r="F2365" s="418"/>
    </row>
    <row r="2366" spans="2:6" x14ac:dyDescent="0.25">
      <c r="B2366" s="112"/>
      <c r="D2366" s="112"/>
      <c r="E2366" s="417"/>
      <c r="F2366" s="418"/>
    </row>
    <row r="2367" spans="2:6" x14ac:dyDescent="0.25">
      <c r="B2367" s="112"/>
      <c r="D2367" s="112"/>
      <c r="E2367" s="417"/>
      <c r="F2367" s="418"/>
    </row>
    <row r="2368" spans="2:6" x14ac:dyDescent="0.25">
      <c r="B2368" s="112"/>
      <c r="D2368" s="112"/>
      <c r="E2368" s="417"/>
      <c r="F2368" s="418"/>
    </row>
    <row r="2369" spans="2:6" x14ac:dyDescent="0.25">
      <c r="B2369" s="112"/>
      <c r="D2369" s="112"/>
      <c r="E2369" s="417"/>
      <c r="F2369" s="418"/>
    </row>
    <row r="2370" spans="2:6" x14ac:dyDescent="0.25">
      <c r="B2370" s="112"/>
      <c r="D2370" s="112"/>
      <c r="E2370" s="417"/>
      <c r="F2370" s="418"/>
    </row>
    <row r="2371" spans="2:6" x14ac:dyDescent="0.25">
      <c r="B2371" s="112"/>
      <c r="D2371" s="112"/>
      <c r="E2371" s="417"/>
      <c r="F2371" s="418"/>
    </row>
    <row r="2372" spans="2:6" x14ac:dyDescent="0.25">
      <c r="B2372" s="112"/>
      <c r="D2372" s="112"/>
      <c r="E2372" s="417"/>
      <c r="F2372" s="418"/>
    </row>
    <row r="2373" spans="2:6" x14ac:dyDescent="0.25">
      <c r="B2373" s="112"/>
      <c r="D2373" s="112"/>
      <c r="E2373" s="417"/>
      <c r="F2373" s="418"/>
    </row>
    <row r="2374" spans="2:6" x14ac:dyDescent="0.25">
      <c r="B2374" s="112"/>
      <c r="D2374" s="112"/>
      <c r="E2374" s="417"/>
      <c r="F2374" s="418"/>
    </row>
    <row r="2375" spans="2:6" x14ac:dyDescent="0.25">
      <c r="B2375" s="112"/>
      <c r="D2375" s="112"/>
      <c r="E2375" s="417"/>
      <c r="F2375" s="418"/>
    </row>
    <row r="2376" spans="2:6" x14ac:dyDescent="0.25">
      <c r="B2376" s="112"/>
      <c r="D2376" s="112"/>
      <c r="E2376" s="417"/>
      <c r="F2376" s="418"/>
    </row>
    <row r="2377" spans="2:6" x14ac:dyDescent="0.25">
      <c r="B2377" s="112"/>
      <c r="D2377" s="112"/>
      <c r="E2377" s="417"/>
      <c r="F2377" s="418"/>
    </row>
    <row r="2378" spans="2:6" x14ac:dyDescent="0.25">
      <c r="B2378" s="112"/>
      <c r="D2378" s="112"/>
      <c r="E2378" s="417"/>
      <c r="F2378" s="418"/>
    </row>
    <row r="2379" spans="2:6" x14ac:dyDescent="0.25">
      <c r="B2379" s="112"/>
      <c r="D2379" s="112"/>
      <c r="E2379" s="417"/>
      <c r="F2379" s="418"/>
    </row>
    <row r="2380" spans="2:6" x14ac:dyDescent="0.25">
      <c r="B2380" s="112"/>
      <c r="D2380" s="112"/>
      <c r="E2380" s="417"/>
      <c r="F2380" s="418"/>
    </row>
    <row r="2381" spans="2:6" x14ac:dyDescent="0.25">
      <c r="B2381" s="112"/>
      <c r="D2381" s="112"/>
      <c r="E2381" s="417"/>
      <c r="F2381" s="418"/>
    </row>
    <row r="2382" spans="2:6" x14ac:dyDescent="0.25">
      <c r="B2382" s="112"/>
      <c r="D2382" s="112"/>
      <c r="E2382" s="417"/>
      <c r="F2382" s="418"/>
    </row>
    <row r="2383" spans="2:6" x14ac:dyDescent="0.25">
      <c r="B2383" s="112"/>
      <c r="D2383" s="112"/>
      <c r="E2383" s="417"/>
      <c r="F2383" s="418"/>
    </row>
    <row r="2384" spans="2:6" x14ac:dyDescent="0.25">
      <c r="B2384" s="112"/>
      <c r="D2384" s="112"/>
      <c r="E2384" s="417"/>
      <c r="F2384" s="418"/>
    </row>
    <row r="2385" spans="2:6" x14ac:dyDescent="0.25">
      <c r="B2385" s="112"/>
      <c r="D2385" s="112"/>
      <c r="E2385" s="417"/>
      <c r="F2385" s="418"/>
    </row>
    <row r="2386" spans="2:6" x14ac:dyDescent="0.25">
      <c r="B2386" s="112"/>
      <c r="D2386" s="112"/>
      <c r="E2386" s="417"/>
      <c r="F2386" s="418"/>
    </row>
    <row r="2387" spans="2:6" x14ac:dyDescent="0.25">
      <c r="B2387" s="112"/>
      <c r="D2387" s="112"/>
      <c r="E2387" s="417"/>
      <c r="F2387" s="418"/>
    </row>
    <row r="2388" spans="2:6" x14ac:dyDescent="0.25">
      <c r="B2388" s="112"/>
      <c r="D2388" s="112"/>
      <c r="E2388" s="417"/>
      <c r="F2388" s="418"/>
    </row>
    <row r="2389" spans="2:6" x14ac:dyDescent="0.25">
      <c r="B2389" s="112"/>
      <c r="D2389" s="112"/>
      <c r="E2389" s="417"/>
      <c r="F2389" s="418"/>
    </row>
    <row r="2390" spans="2:6" x14ac:dyDescent="0.25">
      <c r="B2390" s="112"/>
      <c r="D2390" s="112"/>
      <c r="E2390" s="417"/>
      <c r="F2390" s="418"/>
    </row>
    <row r="2391" spans="2:6" x14ac:dyDescent="0.25">
      <c r="B2391" s="112"/>
      <c r="D2391" s="112"/>
      <c r="E2391" s="417"/>
      <c r="F2391" s="418"/>
    </row>
    <row r="2392" spans="2:6" x14ac:dyDescent="0.25">
      <c r="B2392" s="112"/>
      <c r="D2392" s="112"/>
      <c r="E2392" s="417"/>
      <c r="F2392" s="418"/>
    </row>
    <row r="2393" spans="2:6" x14ac:dyDescent="0.25">
      <c r="B2393" s="112"/>
      <c r="D2393" s="112"/>
      <c r="E2393" s="417"/>
      <c r="F2393" s="418"/>
    </row>
    <row r="2394" spans="2:6" x14ac:dyDescent="0.25">
      <c r="B2394" s="112"/>
      <c r="D2394" s="112"/>
      <c r="E2394" s="417"/>
      <c r="F2394" s="418"/>
    </row>
    <row r="2395" spans="2:6" x14ac:dyDescent="0.25">
      <c r="B2395" s="112"/>
      <c r="D2395" s="112"/>
      <c r="E2395" s="417"/>
      <c r="F2395" s="418"/>
    </row>
    <row r="2396" spans="2:6" x14ac:dyDescent="0.25">
      <c r="B2396" s="112"/>
      <c r="D2396" s="112"/>
      <c r="E2396" s="417"/>
      <c r="F2396" s="418"/>
    </row>
    <row r="2397" spans="2:6" x14ac:dyDescent="0.25">
      <c r="B2397" s="112"/>
      <c r="D2397" s="112"/>
      <c r="E2397" s="417"/>
      <c r="F2397" s="418"/>
    </row>
    <row r="2398" spans="2:6" x14ac:dyDescent="0.25">
      <c r="B2398" s="112"/>
      <c r="D2398" s="112"/>
      <c r="E2398" s="417"/>
      <c r="F2398" s="418"/>
    </row>
    <row r="2399" spans="2:6" x14ac:dyDescent="0.25">
      <c r="B2399" s="112"/>
      <c r="D2399" s="112"/>
      <c r="E2399" s="417"/>
      <c r="F2399" s="418"/>
    </row>
    <row r="2400" spans="2:6" x14ac:dyDescent="0.25">
      <c r="B2400" s="112"/>
      <c r="D2400" s="112"/>
      <c r="E2400" s="417"/>
      <c r="F2400" s="418"/>
    </row>
    <row r="2401" spans="2:6" x14ac:dyDescent="0.25">
      <c r="B2401" s="112"/>
      <c r="D2401" s="112"/>
      <c r="E2401" s="417"/>
      <c r="F2401" s="418"/>
    </row>
    <row r="2402" spans="2:6" x14ac:dyDescent="0.25">
      <c r="B2402" s="112"/>
      <c r="D2402" s="112"/>
      <c r="E2402" s="417"/>
      <c r="F2402" s="418"/>
    </row>
    <row r="2403" spans="2:6" x14ac:dyDescent="0.25">
      <c r="B2403" s="112"/>
      <c r="D2403" s="112"/>
      <c r="E2403" s="417"/>
      <c r="F2403" s="418"/>
    </row>
    <row r="2404" spans="2:6" x14ac:dyDescent="0.25">
      <c r="B2404" s="112"/>
      <c r="D2404" s="112"/>
      <c r="E2404" s="417"/>
      <c r="F2404" s="418"/>
    </row>
    <row r="2405" spans="2:6" x14ac:dyDescent="0.25">
      <c r="B2405" s="112"/>
      <c r="D2405" s="112"/>
      <c r="E2405" s="417"/>
      <c r="F2405" s="418"/>
    </row>
    <row r="2406" spans="2:6" x14ac:dyDescent="0.25">
      <c r="B2406" s="112"/>
      <c r="D2406" s="112"/>
      <c r="E2406" s="417"/>
      <c r="F2406" s="418"/>
    </row>
    <row r="2407" spans="2:6" x14ac:dyDescent="0.25">
      <c r="B2407" s="112"/>
      <c r="D2407" s="112"/>
      <c r="E2407" s="417"/>
      <c r="F2407" s="418"/>
    </row>
    <row r="2408" spans="2:6" x14ac:dyDescent="0.25">
      <c r="B2408" s="112"/>
      <c r="D2408" s="112"/>
      <c r="E2408" s="417"/>
      <c r="F2408" s="418"/>
    </row>
    <row r="2409" spans="2:6" x14ac:dyDescent="0.25">
      <c r="B2409" s="112"/>
      <c r="D2409" s="112"/>
      <c r="E2409" s="417"/>
      <c r="F2409" s="418"/>
    </row>
    <row r="2410" spans="2:6" x14ac:dyDescent="0.25">
      <c r="B2410" s="112"/>
      <c r="D2410" s="112"/>
      <c r="E2410" s="417"/>
      <c r="F2410" s="418"/>
    </row>
    <row r="2411" spans="2:6" x14ac:dyDescent="0.25">
      <c r="B2411" s="112"/>
      <c r="D2411" s="112"/>
      <c r="E2411" s="417"/>
      <c r="F2411" s="418"/>
    </row>
    <row r="2412" spans="2:6" x14ac:dyDescent="0.25">
      <c r="B2412" s="112"/>
      <c r="D2412" s="112"/>
      <c r="E2412" s="417"/>
      <c r="F2412" s="418"/>
    </row>
    <row r="2413" spans="2:6" x14ac:dyDescent="0.25">
      <c r="B2413" s="112"/>
      <c r="D2413" s="112"/>
      <c r="E2413" s="417"/>
      <c r="F2413" s="418"/>
    </row>
    <row r="2414" spans="2:6" x14ac:dyDescent="0.25">
      <c r="B2414" s="112"/>
      <c r="D2414" s="112"/>
      <c r="E2414" s="417"/>
      <c r="F2414" s="418"/>
    </row>
    <row r="2415" spans="2:6" x14ac:dyDescent="0.25">
      <c r="B2415" s="112"/>
      <c r="D2415" s="112"/>
      <c r="E2415" s="417"/>
      <c r="F2415" s="418"/>
    </row>
    <row r="2416" spans="2:6" x14ac:dyDescent="0.25">
      <c r="B2416" s="112"/>
      <c r="D2416" s="112"/>
      <c r="E2416" s="417"/>
      <c r="F2416" s="418"/>
    </row>
    <row r="2417" spans="2:6" x14ac:dyDescent="0.25">
      <c r="B2417" s="112"/>
      <c r="D2417" s="112"/>
      <c r="E2417" s="417"/>
      <c r="F2417" s="418"/>
    </row>
    <row r="2418" spans="2:6" x14ac:dyDescent="0.25">
      <c r="B2418" s="112"/>
      <c r="D2418" s="112"/>
      <c r="E2418" s="417"/>
      <c r="F2418" s="418"/>
    </row>
    <row r="2419" spans="2:6" x14ac:dyDescent="0.25">
      <c r="B2419" s="112"/>
      <c r="D2419" s="112"/>
      <c r="E2419" s="417"/>
      <c r="F2419" s="418"/>
    </row>
    <row r="2420" spans="2:6" x14ac:dyDescent="0.25">
      <c r="B2420" s="112"/>
      <c r="D2420" s="112"/>
      <c r="E2420" s="417"/>
      <c r="F2420" s="418"/>
    </row>
    <row r="2421" spans="2:6" x14ac:dyDescent="0.25">
      <c r="B2421" s="112"/>
      <c r="D2421" s="112"/>
      <c r="E2421" s="417"/>
      <c r="F2421" s="418"/>
    </row>
    <row r="2422" spans="2:6" x14ac:dyDescent="0.25">
      <c r="B2422" s="112"/>
      <c r="D2422" s="112"/>
      <c r="E2422" s="417"/>
      <c r="F2422" s="418"/>
    </row>
    <row r="2423" spans="2:6" x14ac:dyDescent="0.25">
      <c r="B2423" s="112"/>
      <c r="D2423" s="112"/>
      <c r="E2423" s="417"/>
      <c r="F2423" s="418"/>
    </row>
    <row r="2424" spans="2:6" x14ac:dyDescent="0.25">
      <c r="B2424" s="112"/>
      <c r="D2424" s="112"/>
      <c r="E2424" s="417"/>
      <c r="F2424" s="418"/>
    </row>
    <row r="2425" spans="2:6" x14ac:dyDescent="0.25">
      <c r="B2425" s="112"/>
      <c r="D2425" s="112"/>
      <c r="E2425" s="417"/>
      <c r="F2425" s="418"/>
    </row>
    <row r="2426" spans="2:6" x14ac:dyDescent="0.25">
      <c r="B2426" s="112"/>
      <c r="D2426" s="112"/>
      <c r="E2426" s="417"/>
      <c r="F2426" s="418"/>
    </row>
    <row r="2427" spans="2:6" x14ac:dyDescent="0.25">
      <c r="B2427" s="112"/>
      <c r="D2427" s="112"/>
      <c r="E2427" s="417"/>
      <c r="F2427" s="418"/>
    </row>
    <row r="2428" spans="2:6" x14ac:dyDescent="0.25">
      <c r="B2428" s="112"/>
      <c r="D2428" s="112"/>
      <c r="E2428" s="417"/>
      <c r="F2428" s="418"/>
    </row>
    <row r="2429" spans="2:6" x14ac:dyDescent="0.25">
      <c r="B2429" s="112"/>
      <c r="D2429" s="112"/>
      <c r="E2429" s="417"/>
      <c r="F2429" s="418"/>
    </row>
    <row r="2430" spans="2:6" x14ac:dyDescent="0.25">
      <c r="B2430" s="112"/>
      <c r="D2430" s="112"/>
      <c r="E2430" s="417"/>
      <c r="F2430" s="418"/>
    </row>
    <row r="2431" spans="2:6" x14ac:dyDescent="0.25">
      <c r="B2431" s="112"/>
      <c r="D2431" s="112"/>
      <c r="E2431" s="417"/>
      <c r="F2431" s="418"/>
    </row>
    <row r="2432" spans="2:6" x14ac:dyDescent="0.25">
      <c r="B2432" s="112"/>
      <c r="D2432" s="112"/>
      <c r="E2432" s="417"/>
      <c r="F2432" s="418"/>
    </row>
    <row r="2433" spans="2:6" x14ac:dyDescent="0.25">
      <c r="B2433" s="112"/>
      <c r="D2433" s="112"/>
      <c r="E2433" s="417"/>
      <c r="F2433" s="418"/>
    </row>
    <row r="2434" spans="2:6" x14ac:dyDescent="0.25">
      <c r="B2434" s="112"/>
      <c r="D2434" s="112"/>
      <c r="E2434" s="417"/>
      <c r="F2434" s="418"/>
    </row>
    <row r="2435" spans="2:6" x14ac:dyDescent="0.25">
      <c r="B2435" s="112"/>
      <c r="D2435" s="112"/>
      <c r="E2435" s="417"/>
      <c r="F2435" s="418"/>
    </row>
    <row r="2436" spans="2:6" x14ac:dyDescent="0.25">
      <c r="B2436" s="112"/>
      <c r="D2436" s="112"/>
      <c r="E2436" s="417"/>
      <c r="F2436" s="418"/>
    </row>
    <row r="2437" spans="2:6" x14ac:dyDescent="0.25">
      <c r="B2437" s="112"/>
      <c r="D2437" s="112"/>
      <c r="E2437" s="417"/>
      <c r="F2437" s="418"/>
    </row>
    <row r="2438" spans="2:6" x14ac:dyDescent="0.25">
      <c r="B2438" s="112"/>
      <c r="D2438" s="112"/>
      <c r="E2438" s="417"/>
      <c r="F2438" s="418"/>
    </row>
    <row r="2439" spans="2:6" x14ac:dyDescent="0.25">
      <c r="B2439" s="112"/>
      <c r="D2439" s="112"/>
      <c r="E2439" s="417"/>
      <c r="F2439" s="418"/>
    </row>
    <row r="2440" spans="2:6" x14ac:dyDescent="0.25">
      <c r="B2440" s="112"/>
      <c r="D2440" s="112"/>
      <c r="E2440" s="417"/>
      <c r="F2440" s="418"/>
    </row>
    <row r="2441" spans="2:6" x14ac:dyDescent="0.25">
      <c r="B2441" s="112"/>
      <c r="D2441" s="112"/>
      <c r="E2441" s="417"/>
      <c r="F2441" s="418"/>
    </row>
    <row r="2442" spans="2:6" x14ac:dyDescent="0.25">
      <c r="B2442" s="112"/>
      <c r="D2442" s="112"/>
      <c r="E2442" s="417"/>
      <c r="F2442" s="418"/>
    </row>
    <row r="2443" spans="2:6" x14ac:dyDescent="0.25">
      <c r="B2443" s="112"/>
      <c r="D2443" s="112"/>
      <c r="E2443" s="417"/>
      <c r="F2443" s="418"/>
    </row>
    <row r="2444" spans="2:6" x14ac:dyDescent="0.25">
      <c r="B2444" s="112"/>
      <c r="D2444" s="112"/>
      <c r="E2444" s="417"/>
      <c r="F2444" s="418"/>
    </row>
    <row r="2445" spans="2:6" x14ac:dyDescent="0.25">
      <c r="B2445" s="112"/>
      <c r="D2445" s="112"/>
      <c r="E2445" s="417"/>
      <c r="F2445" s="418"/>
    </row>
    <row r="2446" spans="2:6" x14ac:dyDescent="0.25">
      <c r="B2446" s="112"/>
      <c r="D2446" s="112"/>
      <c r="E2446" s="417"/>
      <c r="F2446" s="418"/>
    </row>
    <row r="2447" spans="2:6" x14ac:dyDescent="0.25">
      <c r="B2447" s="112"/>
      <c r="D2447" s="112"/>
      <c r="E2447" s="417"/>
      <c r="F2447" s="418"/>
    </row>
    <row r="2448" spans="2:6" x14ac:dyDescent="0.25">
      <c r="B2448" s="112"/>
      <c r="D2448" s="112"/>
      <c r="E2448" s="417"/>
      <c r="F2448" s="418"/>
    </row>
    <row r="2449" spans="2:6" x14ac:dyDescent="0.25">
      <c r="B2449" s="112"/>
      <c r="D2449" s="112"/>
      <c r="E2449" s="417"/>
      <c r="F2449" s="418"/>
    </row>
    <row r="2450" spans="2:6" x14ac:dyDescent="0.25">
      <c r="B2450" s="112"/>
      <c r="D2450" s="112"/>
      <c r="E2450" s="417"/>
      <c r="F2450" s="418"/>
    </row>
    <row r="2451" spans="2:6" x14ac:dyDescent="0.25">
      <c r="B2451" s="112"/>
      <c r="D2451" s="112"/>
      <c r="E2451" s="417"/>
      <c r="F2451" s="418"/>
    </row>
    <row r="2452" spans="2:6" x14ac:dyDescent="0.25">
      <c r="B2452" s="112"/>
      <c r="D2452" s="112"/>
      <c r="E2452" s="417"/>
      <c r="F2452" s="418"/>
    </row>
    <row r="2453" spans="2:6" x14ac:dyDescent="0.25">
      <c r="B2453" s="112"/>
      <c r="D2453" s="112"/>
      <c r="E2453" s="417"/>
      <c r="F2453" s="418"/>
    </row>
    <row r="2454" spans="2:6" x14ac:dyDescent="0.25">
      <c r="B2454" s="112"/>
      <c r="D2454" s="112"/>
      <c r="E2454" s="417"/>
      <c r="F2454" s="418"/>
    </row>
    <row r="2455" spans="2:6" x14ac:dyDescent="0.25">
      <c r="B2455" s="112"/>
      <c r="D2455" s="112"/>
      <c r="E2455" s="417"/>
      <c r="F2455" s="418"/>
    </row>
    <row r="2456" spans="2:6" x14ac:dyDescent="0.25">
      <c r="B2456" s="112"/>
      <c r="D2456" s="112"/>
      <c r="E2456" s="417"/>
      <c r="F2456" s="418"/>
    </row>
    <row r="2457" spans="2:6" x14ac:dyDescent="0.25">
      <c r="B2457" s="112"/>
      <c r="D2457" s="112"/>
      <c r="E2457" s="417"/>
      <c r="F2457" s="418"/>
    </row>
    <row r="2458" spans="2:6" x14ac:dyDescent="0.25">
      <c r="B2458" s="112"/>
      <c r="D2458" s="112"/>
      <c r="E2458" s="417"/>
      <c r="F2458" s="418"/>
    </row>
    <row r="2459" spans="2:6" x14ac:dyDescent="0.25">
      <c r="B2459" s="112"/>
      <c r="D2459" s="112"/>
      <c r="E2459" s="417"/>
      <c r="F2459" s="418"/>
    </row>
    <row r="2460" spans="2:6" x14ac:dyDescent="0.25">
      <c r="B2460" s="112"/>
      <c r="D2460" s="112"/>
      <c r="E2460" s="417"/>
      <c r="F2460" s="418"/>
    </row>
    <row r="2461" spans="2:6" x14ac:dyDescent="0.25">
      <c r="B2461" s="112"/>
      <c r="D2461" s="112"/>
      <c r="E2461" s="417"/>
      <c r="F2461" s="418"/>
    </row>
    <row r="2462" spans="2:6" x14ac:dyDescent="0.25">
      <c r="B2462" s="112"/>
      <c r="D2462" s="112"/>
      <c r="E2462" s="417"/>
      <c r="F2462" s="418"/>
    </row>
    <row r="2463" spans="2:6" x14ac:dyDescent="0.25">
      <c r="B2463" s="112"/>
      <c r="D2463" s="112"/>
      <c r="E2463" s="417"/>
      <c r="F2463" s="418"/>
    </row>
    <row r="2464" spans="2:6" x14ac:dyDescent="0.25">
      <c r="B2464" s="112"/>
      <c r="D2464" s="112"/>
      <c r="E2464" s="417"/>
      <c r="F2464" s="418"/>
    </row>
    <row r="2465" spans="2:6" x14ac:dyDescent="0.25">
      <c r="B2465" s="112"/>
      <c r="D2465" s="112"/>
      <c r="E2465" s="417"/>
      <c r="F2465" s="418"/>
    </row>
    <row r="2466" spans="2:6" x14ac:dyDescent="0.25">
      <c r="B2466" s="112"/>
      <c r="D2466" s="112"/>
      <c r="E2466" s="417"/>
      <c r="F2466" s="418"/>
    </row>
    <row r="2467" spans="2:6" x14ac:dyDescent="0.25">
      <c r="B2467" s="112"/>
      <c r="D2467" s="112"/>
      <c r="E2467" s="417"/>
      <c r="F2467" s="418"/>
    </row>
    <row r="2468" spans="2:6" x14ac:dyDescent="0.25">
      <c r="B2468" s="112"/>
      <c r="D2468" s="112"/>
      <c r="E2468" s="417"/>
      <c r="F2468" s="418"/>
    </row>
    <row r="2469" spans="2:6" x14ac:dyDescent="0.25">
      <c r="B2469" s="112"/>
      <c r="D2469" s="112"/>
      <c r="E2469" s="417"/>
      <c r="F2469" s="418"/>
    </row>
    <row r="2470" spans="2:6" x14ac:dyDescent="0.25">
      <c r="B2470" s="112"/>
      <c r="D2470" s="112"/>
      <c r="E2470" s="417"/>
      <c r="F2470" s="418"/>
    </row>
    <row r="2471" spans="2:6" x14ac:dyDescent="0.25">
      <c r="B2471" s="112"/>
      <c r="D2471" s="112"/>
      <c r="E2471" s="417"/>
      <c r="F2471" s="418"/>
    </row>
    <row r="2472" spans="2:6" x14ac:dyDescent="0.25">
      <c r="B2472" s="112"/>
      <c r="D2472" s="112"/>
      <c r="E2472" s="417"/>
      <c r="F2472" s="418"/>
    </row>
    <row r="2473" spans="2:6" x14ac:dyDescent="0.25">
      <c r="B2473" s="112"/>
      <c r="D2473" s="112"/>
      <c r="E2473" s="417"/>
      <c r="F2473" s="418"/>
    </row>
    <row r="2474" spans="2:6" x14ac:dyDescent="0.25">
      <c r="B2474" s="112"/>
      <c r="D2474" s="112"/>
      <c r="E2474" s="417"/>
      <c r="F2474" s="418"/>
    </row>
    <row r="2475" spans="2:6" x14ac:dyDescent="0.25">
      <c r="B2475" s="112"/>
      <c r="D2475" s="112"/>
      <c r="E2475" s="417"/>
      <c r="F2475" s="418"/>
    </row>
    <row r="2476" spans="2:6" x14ac:dyDescent="0.25">
      <c r="B2476" s="112"/>
      <c r="D2476" s="112"/>
      <c r="E2476" s="417"/>
      <c r="F2476" s="418"/>
    </row>
    <row r="2477" spans="2:6" x14ac:dyDescent="0.25">
      <c r="B2477" s="112"/>
      <c r="D2477" s="112"/>
      <c r="E2477" s="417"/>
      <c r="F2477" s="418"/>
    </row>
    <row r="2478" spans="2:6" x14ac:dyDescent="0.25">
      <c r="B2478" s="112"/>
      <c r="D2478" s="112"/>
      <c r="E2478" s="417"/>
      <c r="F2478" s="418"/>
    </row>
    <row r="2479" spans="2:6" x14ac:dyDescent="0.25">
      <c r="B2479" s="112"/>
      <c r="D2479" s="112"/>
      <c r="E2479" s="417"/>
      <c r="F2479" s="418"/>
    </row>
    <row r="2480" spans="2:6" x14ac:dyDescent="0.25">
      <c r="B2480" s="112"/>
      <c r="D2480" s="112"/>
      <c r="E2480" s="417"/>
      <c r="F2480" s="418"/>
    </row>
    <row r="2481" spans="2:6" x14ac:dyDescent="0.25">
      <c r="B2481" s="112"/>
      <c r="D2481" s="112"/>
      <c r="E2481" s="417"/>
      <c r="F2481" s="418"/>
    </row>
    <row r="2482" spans="2:6" x14ac:dyDescent="0.25">
      <c r="B2482" s="112"/>
      <c r="D2482" s="112"/>
      <c r="E2482" s="417"/>
      <c r="F2482" s="418"/>
    </row>
    <row r="2483" spans="2:6" x14ac:dyDescent="0.25">
      <c r="B2483" s="112"/>
      <c r="D2483" s="112"/>
      <c r="E2483" s="417"/>
      <c r="F2483" s="418"/>
    </row>
    <row r="2484" spans="2:6" x14ac:dyDescent="0.25">
      <c r="B2484" s="112"/>
      <c r="D2484" s="112"/>
      <c r="E2484" s="417"/>
      <c r="F2484" s="418"/>
    </row>
    <row r="2485" spans="2:6" x14ac:dyDescent="0.25">
      <c r="B2485" s="112"/>
      <c r="D2485" s="112"/>
      <c r="E2485" s="417"/>
      <c r="F2485" s="418"/>
    </row>
    <row r="2486" spans="2:6" x14ac:dyDescent="0.25">
      <c r="B2486" s="112"/>
      <c r="D2486" s="112"/>
      <c r="E2486" s="417"/>
      <c r="F2486" s="418"/>
    </row>
    <row r="2487" spans="2:6" x14ac:dyDescent="0.25">
      <c r="B2487" s="112"/>
      <c r="D2487" s="112"/>
      <c r="E2487" s="417"/>
      <c r="F2487" s="418"/>
    </row>
    <row r="2488" spans="2:6" x14ac:dyDescent="0.25">
      <c r="B2488" s="112"/>
      <c r="D2488" s="112"/>
      <c r="E2488" s="417"/>
      <c r="F2488" s="418"/>
    </row>
    <row r="2489" spans="2:6" x14ac:dyDescent="0.25">
      <c r="B2489" s="112"/>
      <c r="D2489" s="112"/>
      <c r="E2489" s="417"/>
      <c r="F2489" s="418"/>
    </row>
    <row r="2490" spans="2:6" x14ac:dyDescent="0.25">
      <c r="B2490" s="112"/>
      <c r="D2490" s="112"/>
      <c r="E2490" s="417"/>
      <c r="F2490" s="418"/>
    </row>
    <row r="2491" spans="2:6" x14ac:dyDescent="0.25">
      <c r="B2491" s="112"/>
      <c r="D2491" s="112"/>
      <c r="E2491" s="417"/>
      <c r="F2491" s="418"/>
    </row>
    <row r="2492" spans="2:6" x14ac:dyDescent="0.25">
      <c r="B2492" s="112"/>
      <c r="D2492" s="112"/>
      <c r="E2492" s="417"/>
      <c r="F2492" s="418"/>
    </row>
    <row r="2493" spans="2:6" x14ac:dyDescent="0.25">
      <c r="B2493" s="112"/>
      <c r="D2493" s="112"/>
      <c r="E2493" s="417"/>
      <c r="F2493" s="418"/>
    </row>
    <row r="2494" spans="2:6" x14ac:dyDescent="0.25">
      <c r="B2494" s="112"/>
      <c r="D2494" s="112"/>
      <c r="E2494" s="417"/>
      <c r="F2494" s="418"/>
    </row>
    <row r="2495" spans="2:6" x14ac:dyDescent="0.25">
      <c r="B2495" s="112"/>
      <c r="D2495" s="112"/>
      <c r="E2495" s="417"/>
      <c r="F2495" s="418"/>
    </row>
    <row r="2496" spans="2:6" x14ac:dyDescent="0.25">
      <c r="B2496" s="112"/>
      <c r="D2496" s="112"/>
      <c r="E2496" s="417"/>
      <c r="F2496" s="418"/>
    </row>
    <row r="2497" spans="2:6" x14ac:dyDescent="0.25">
      <c r="B2497" s="112"/>
      <c r="D2497" s="112"/>
      <c r="E2497" s="417"/>
      <c r="F2497" s="418"/>
    </row>
    <row r="2498" spans="2:6" x14ac:dyDescent="0.25">
      <c r="B2498" s="112"/>
      <c r="D2498" s="112"/>
      <c r="E2498" s="417"/>
      <c r="F2498" s="418"/>
    </row>
    <row r="2499" spans="2:6" x14ac:dyDescent="0.25">
      <c r="B2499" s="112"/>
      <c r="D2499" s="112"/>
      <c r="E2499" s="417"/>
      <c r="F2499" s="418"/>
    </row>
    <row r="2500" spans="2:6" x14ac:dyDescent="0.25">
      <c r="B2500" s="112"/>
      <c r="D2500" s="112"/>
      <c r="E2500" s="417"/>
      <c r="F2500" s="418"/>
    </row>
    <row r="2501" spans="2:6" x14ac:dyDescent="0.25">
      <c r="B2501" s="112"/>
      <c r="D2501" s="112"/>
      <c r="E2501" s="417"/>
      <c r="F2501" s="418"/>
    </row>
    <row r="2502" spans="2:6" x14ac:dyDescent="0.25">
      <c r="B2502" s="112"/>
      <c r="D2502" s="112"/>
      <c r="E2502" s="417"/>
      <c r="F2502" s="418"/>
    </row>
    <row r="2503" spans="2:6" x14ac:dyDescent="0.25">
      <c r="B2503" s="112"/>
      <c r="D2503" s="112"/>
      <c r="E2503" s="417"/>
      <c r="F2503" s="418"/>
    </row>
    <row r="2504" spans="2:6" x14ac:dyDescent="0.25">
      <c r="B2504" s="112"/>
      <c r="D2504" s="112"/>
      <c r="E2504" s="417"/>
      <c r="F2504" s="418"/>
    </row>
    <row r="2505" spans="2:6" x14ac:dyDescent="0.25">
      <c r="B2505" s="112"/>
      <c r="D2505" s="112"/>
      <c r="E2505" s="417"/>
      <c r="F2505" s="418"/>
    </row>
    <row r="2506" spans="2:6" x14ac:dyDescent="0.25">
      <c r="B2506" s="112"/>
      <c r="D2506" s="112"/>
      <c r="E2506" s="417"/>
      <c r="F2506" s="418"/>
    </row>
    <row r="2507" spans="2:6" x14ac:dyDescent="0.25">
      <c r="B2507" s="112"/>
      <c r="D2507" s="112"/>
      <c r="E2507" s="417"/>
      <c r="F2507" s="418"/>
    </row>
    <row r="2508" spans="2:6" x14ac:dyDescent="0.25">
      <c r="B2508" s="112"/>
      <c r="D2508" s="112"/>
      <c r="E2508" s="417"/>
      <c r="F2508" s="418"/>
    </row>
    <row r="2509" spans="2:6" x14ac:dyDescent="0.25">
      <c r="B2509" s="112"/>
      <c r="D2509" s="112"/>
      <c r="E2509" s="417"/>
      <c r="F2509" s="418"/>
    </row>
    <row r="2510" spans="2:6" x14ac:dyDescent="0.25">
      <c r="B2510" s="112"/>
      <c r="D2510" s="112"/>
      <c r="E2510" s="417"/>
      <c r="F2510" s="418"/>
    </row>
    <row r="2511" spans="2:6" x14ac:dyDescent="0.25">
      <c r="B2511" s="112"/>
      <c r="D2511" s="112"/>
      <c r="E2511" s="417"/>
      <c r="F2511" s="418"/>
    </row>
    <row r="2512" spans="2:6" x14ac:dyDescent="0.25">
      <c r="B2512" s="112"/>
      <c r="D2512" s="112"/>
      <c r="E2512" s="417"/>
      <c r="F2512" s="418"/>
    </row>
    <row r="2513" spans="2:6" x14ac:dyDescent="0.25">
      <c r="B2513" s="112"/>
      <c r="D2513" s="112"/>
      <c r="E2513" s="417"/>
      <c r="F2513" s="418"/>
    </row>
    <row r="2514" spans="2:6" x14ac:dyDescent="0.25">
      <c r="B2514" s="112"/>
      <c r="D2514" s="112"/>
      <c r="E2514" s="417"/>
      <c r="F2514" s="418"/>
    </row>
    <row r="2515" spans="2:6" x14ac:dyDescent="0.25">
      <c r="B2515" s="112"/>
      <c r="D2515" s="112"/>
      <c r="E2515" s="417"/>
      <c r="F2515" s="418"/>
    </row>
    <row r="2516" spans="2:6" x14ac:dyDescent="0.25">
      <c r="B2516" s="112"/>
      <c r="D2516" s="112"/>
      <c r="E2516" s="417"/>
      <c r="F2516" s="418"/>
    </row>
    <row r="2517" spans="2:6" x14ac:dyDescent="0.25">
      <c r="B2517" s="112"/>
      <c r="D2517" s="112"/>
      <c r="E2517" s="417"/>
      <c r="F2517" s="418"/>
    </row>
    <row r="2518" spans="2:6" x14ac:dyDescent="0.25">
      <c r="B2518" s="112"/>
      <c r="D2518" s="112"/>
      <c r="E2518" s="417"/>
      <c r="F2518" s="418"/>
    </row>
    <row r="2519" spans="2:6" x14ac:dyDescent="0.25">
      <c r="B2519" s="112"/>
      <c r="D2519" s="112"/>
      <c r="E2519" s="417"/>
      <c r="F2519" s="418"/>
    </row>
    <row r="2520" spans="2:6" x14ac:dyDescent="0.25">
      <c r="B2520" s="112"/>
      <c r="D2520" s="112"/>
      <c r="E2520" s="417"/>
      <c r="F2520" s="418"/>
    </row>
    <row r="2521" spans="2:6" x14ac:dyDescent="0.25">
      <c r="B2521" s="112"/>
      <c r="D2521" s="112"/>
      <c r="E2521" s="417"/>
      <c r="F2521" s="418"/>
    </row>
    <row r="2522" spans="2:6" x14ac:dyDescent="0.25">
      <c r="B2522" s="112"/>
      <c r="D2522" s="112"/>
      <c r="E2522" s="417"/>
      <c r="F2522" s="418"/>
    </row>
    <row r="2523" spans="2:6" x14ac:dyDescent="0.25">
      <c r="B2523" s="112"/>
      <c r="D2523" s="112"/>
      <c r="E2523" s="417"/>
      <c r="F2523" s="418"/>
    </row>
    <row r="2524" spans="2:6" x14ac:dyDescent="0.25">
      <c r="B2524" s="112"/>
      <c r="D2524" s="112"/>
      <c r="E2524" s="417"/>
      <c r="F2524" s="418"/>
    </row>
    <row r="2525" spans="2:6" x14ac:dyDescent="0.25">
      <c r="B2525" s="112"/>
      <c r="D2525" s="112"/>
      <c r="E2525" s="417"/>
      <c r="F2525" s="418"/>
    </row>
    <row r="2526" spans="2:6" x14ac:dyDescent="0.25">
      <c r="B2526" s="112"/>
      <c r="D2526" s="112"/>
      <c r="E2526" s="417"/>
      <c r="F2526" s="418"/>
    </row>
    <row r="2527" spans="2:6" x14ac:dyDescent="0.25">
      <c r="B2527" s="112"/>
      <c r="D2527" s="112"/>
      <c r="E2527" s="417"/>
      <c r="F2527" s="418"/>
    </row>
    <row r="2528" spans="2:6" x14ac:dyDescent="0.25">
      <c r="B2528" s="112"/>
      <c r="D2528" s="112"/>
      <c r="E2528" s="417"/>
      <c r="F2528" s="418"/>
    </row>
    <row r="2529" spans="2:6" x14ac:dyDescent="0.25">
      <c r="B2529" s="112"/>
      <c r="D2529" s="112"/>
      <c r="E2529" s="417"/>
      <c r="F2529" s="418"/>
    </row>
    <row r="2530" spans="2:6" x14ac:dyDescent="0.25">
      <c r="B2530" s="112"/>
      <c r="D2530" s="112"/>
      <c r="E2530" s="417"/>
      <c r="F2530" s="418"/>
    </row>
    <row r="2531" spans="2:6" x14ac:dyDescent="0.25">
      <c r="B2531" s="112"/>
      <c r="D2531" s="112"/>
      <c r="E2531" s="417"/>
      <c r="F2531" s="418"/>
    </row>
    <row r="2532" spans="2:6" x14ac:dyDescent="0.25">
      <c r="B2532" s="112"/>
      <c r="D2532" s="112"/>
      <c r="E2532" s="417"/>
      <c r="F2532" s="418"/>
    </row>
    <row r="2533" spans="2:6" x14ac:dyDescent="0.25">
      <c r="B2533" s="112"/>
      <c r="D2533" s="112"/>
      <c r="E2533" s="417"/>
      <c r="F2533" s="418"/>
    </row>
    <row r="2534" spans="2:6" x14ac:dyDescent="0.25">
      <c r="B2534" s="112"/>
      <c r="D2534" s="112"/>
      <c r="E2534" s="417"/>
      <c r="F2534" s="418"/>
    </row>
    <row r="2535" spans="2:6" x14ac:dyDescent="0.25">
      <c r="B2535" s="112"/>
      <c r="D2535" s="112"/>
      <c r="E2535" s="417"/>
      <c r="F2535" s="418"/>
    </row>
    <row r="2536" spans="2:6" x14ac:dyDescent="0.25">
      <c r="B2536" s="112"/>
      <c r="D2536" s="112"/>
      <c r="E2536" s="417"/>
      <c r="F2536" s="418"/>
    </row>
    <row r="2537" spans="2:6" x14ac:dyDescent="0.25">
      <c r="B2537" s="112"/>
      <c r="D2537" s="112"/>
      <c r="E2537" s="417"/>
      <c r="F2537" s="418"/>
    </row>
    <row r="2538" spans="2:6" x14ac:dyDescent="0.25">
      <c r="B2538" s="112"/>
      <c r="D2538" s="112"/>
      <c r="E2538" s="417"/>
      <c r="F2538" s="418"/>
    </row>
    <row r="2539" spans="2:6" x14ac:dyDescent="0.25">
      <c r="B2539" s="112"/>
      <c r="D2539" s="112"/>
      <c r="E2539" s="417"/>
      <c r="F2539" s="418"/>
    </row>
    <row r="2540" spans="2:6" x14ac:dyDescent="0.25">
      <c r="B2540" s="112"/>
      <c r="D2540" s="112"/>
      <c r="E2540" s="417"/>
      <c r="F2540" s="418"/>
    </row>
    <row r="2541" spans="2:6" x14ac:dyDescent="0.25">
      <c r="B2541" s="112"/>
      <c r="D2541" s="112"/>
      <c r="E2541" s="417"/>
      <c r="F2541" s="418"/>
    </row>
    <row r="2542" spans="2:6" x14ac:dyDescent="0.25">
      <c r="B2542" s="112"/>
      <c r="D2542" s="112"/>
      <c r="E2542" s="417"/>
      <c r="F2542" s="418"/>
    </row>
    <row r="2543" spans="2:6" x14ac:dyDescent="0.25">
      <c r="B2543" s="112"/>
      <c r="D2543" s="112"/>
      <c r="E2543" s="417"/>
      <c r="F2543" s="418"/>
    </row>
    <row r="2544" spans="2:6" x14ac:dyDescent="0.25">
      <c r="B2544" s="112"/>
      <c r="D2544" s="112"/>
      <c r="E2544" s="417"/>
      <c r="F2544" s="418"/>
    </row>
    <row r="2545" spans="2:6" x14ac:dyDescent="0.25">
      <c r="B2545" s="112"/>
      <c r="D2545" s="112"/>
      <c r="E2545" s="417"/>
      <c r="F2545" s="418"/>
    </row>
    <row r="2546" spans="2:6" x14ac:dyDescent="0.25">
      <c r="B2546" s="112"/>
      <c r="D2546" s="112"/>
      <c r="E2546" s="417"/>
      <c r="F2546" s="418"/>
    </row>
    <row r="2547" spans="2:6" x14ac:dyDescent="0.25">
      <c r="B2547" s="112"/>
      <c r="D2547" s="112"/>
      <c r="E2547" s="417"/>
      <c r="F2547" s="418"/>
    </row>
    <row r="2548" spans="2:6" x14ac:dyDescent="0.25">
      <c r="B2548" s="112"/>
      <c r="D2548" s="112"/>
      <c r="E2548" s="417"/>
      <c r="F2548" s="418"/>
    </row>
    <row r="2549" spans="2:6" x14ac:dyDescent="0.25">
      <c r="B2549" s="112"/>
      <c r="D2549" s="112"/>
      <c r="E2549" s="417"/>
      <c r="F2549" s="418"/>
    </row>
    <row r="2550" spans="2:6" x14ac:dyDescent="0.25">
      <c r="B2550" s="112"/>
      <c r="D2550" s="112"/>
      <c r="E2550" s="417"/>
      <c r="F2550" s="418"/>
    </row>
    <row r="2551" spans="2:6" x14ac:dyDescent="0.25">
      <c r="B2551" s="112"/>
      <c r="D2551" s="112"/>
      <c r="E2551" s="417"/>
      <c r="F2551" s="418"/>
    </row>
    <row r="2552" spans="2:6" x14ac:dyDescent="0.25">
      <c r="B2552" s="112"/>
      <c r="D2552" s="112"/>
      <c r="E2552" s="417"/>
      <c r="F2552" s="418"/>
    </row>
    <row r="2553" spans="2:6" x14ac:dyDescent="0.25">
      <c r="B2553" s="112"/>
      <c r="D2553" s="112"/>
      <c r="E2553" s="417"/>
      <c r="F2553" s="418"/>
    </row>
    <row r="2554" spans="2:6" x14ac:dyDescent="0.25">
      <c r="B2554" s="112"/>
      <c r="D2554" s="112"/>
      <c r="E2554" s="417"/>
      <c r="F2554" s="418"/>
    </row>
    <row r="2555" spans="2:6" x14ac:dyDescent="0.25">
      <c r="B2555" s="112"/>
      <c r="D2555" s="112"/>
      <c r="E2555" s="417"/>
      <c r="F2555" s="418"/>
    </row>
    <row r="2556" spans="2:6" x14ac:dyDescent="0.25">
      <c r="B2556" s="112"/>
      <c r="D2556" s="112"/>
      <c r="E2556" s="417"/>
      <c r="F2556" s="418"/>
    </row>
    <row r="2557" spans="2:6" x14ac:dyDescent="0.25">
      <c r="B2557" s="112"/>
      <c r="D2557" s="112"/>
      <c r="E2557" s="417"/>
      <c r="F2557" s="418"/>
    </row>
    <row r="2558" spans="2:6" x14ac:dyDescent="0.25">
      <c r="B2558" s="112"/>
      <c r="D2558" s="112"/>
      <c r="E2558" s="417"/>
      <c r="F2558" s="418"/>
    </row>
    <row r="2559" spans="2:6" x14ac:dyDescent="0.25">
      <c r="B2559" s="112"/>
      <c r="D2559" s="112"/>
      <c r="E2559" s="417"/>
      <c r="F2559" s="418"/>
    </row>
    <row r="2560" spans="2:6" x14ac:dyDescent="0.25">
      <c r="B2560" s="112"/>
      <c r="D2560" s="112"/>
      <c r="E2560" s="417"/>
      <c r="F2560" s="418"/>
    </row>
    <row r="2561" spans="2:6" x14ac:dyDescent="0.25">
      <c r="B2561" s="112"/>
      <c r="D2561" s="112"/>
      <c r="E2561" s="417"/>
      <c r="F2561" s="418"/>
    </row>
    <row r="2562" spans="2:6" x14ac:dyDescent="0.25">
      <c r="B2562" s="112"/>
      <c r="D2562" s="112"/>
      <c r="E2562" s="417"/>
      <c r="F2562" s="418"/>
    </row>
    <row r="2563" spans="2:6" x14ac:dyDescent="0.25">
      <c r="B2563" s="112"/>
      <c r="D2563" s="112"/>
      <c r="E2563" s="417"/>
      <c r="F2563" s="418"/>
    </row>
    <row r="2564" spans="2:6" x14ac:dyDescent="0.25">
      <c r="B2564" s="112"/>
      <c r="D2564" s="112"/>
      <c r="E2564" s="417"/>
      <c r="F2564" s="418"/>
    </row>
    <row r="2565" spans="2:6" x14ac:dyDescent="0.25">
      <c r="B2565" s="112"/>
      <c r="D2565" s="112"/>
      <c r="E2565" s="417"/>
      <c r="F2565" s="418"/>
    </row>
    <row r="2566" spans="2:6" x14ac:dyDescent="0.25">
      <c r="B2566" s="112"/>
      <c r="D2566" s="112"/>
      <c r="E2566" s="417"/>
      <c r="F2566" s="418"/>
    </row>
    <row r="2567" spans="2:6" x14ac:dyDescent="0.25">
      <c r="B2567" s="112"/>
      <c r="D2567" s="112"/>
      <c r="E2567" s="417"/>
      <c r="F2567" s="418"/>
    </row>
    <row r="2568" spans="2:6" x14ac:dyDescent="0.25">
      <c r="B2568" s="112"/>
      <c r="D2568" s="112"/>
      <c r="E2568" s="417"/>
      <c r="F2568" s="418"/>
    </row>
    <row r="2569" spans="2:6" x14ac:dyDescent="0.25">
      <c r="B2569" s="112"/>
      <c r="D2569" s="112"/>
      <c r="E2569" s="417"/>
      <c r="F2569" s="418"/>
    </row>
    <row r="2570" spans="2:6" x14ac:dyDescent="0.25">
      <c r="B2570" s="112"/>
      <c r="D2570" s="112"/>
      <c r="E2570" s="417"/>
      <c r="F2570" s="418"/>
    </row>
    <row r="2571" spans="2:6" x14ac:dyDescent="0.25">
      <c r="B2571" s="112"/>
      <c r="D2571" s="112"/>
      <c r="E2571" s="417"/>
      <c r="F2571" s="418"/>
    </row>
    <row r="2572" spans="2:6" x14ac:dyDescent="0.25">
      <c r="B2572" s="112"/>
      <c r="D2572" s="112"/>
      <c r="E2572" s="417"/>
      <c r="F2572" s="418"/>
    </row>
    <row r="2573" spans="2:6" x14ac:dyDescent="0.25">
      <c r="B2573" s="112"/>
      <c r="D2573" s="112"/>
      <c r="E2573" s="417"/>
      <c r="F2573" s="418"/>
    </row>
    <row r="2574" spans="2:6" x14ac:dyDescent="0.25">
      <c r="B2574" s="112"/>
      <c r="D2574" s="112"/>
      <c r="E2574" s="417"/>
      <c r="F2574" s="418"/>
    </row>
    <row r="2575" spans="2:6" x14ac:dyDescent="0.25">
      <c r="B2575" s="112"/>
      <c r="D2575" s="112"/>
      <c r="E2575" s="417"/>
      <c r="F2575" s="418"/>
    </row>
    <row r="2576" spans="2:6" x14ac:dyDescent="0.25">
      <c r="B2576" s="112"/>
      <c r="D2576" s="112"/>
      <c r="E2576" s="417"/>
      <c r="F2576" s="418"/>
    </row>
    <row r="2577" spans="2:6" x14ac:dyDescent="0.25">
      <c r="B2577" s="112"/>
      <c r="D2577" s="112"/>
      <c r="E2577" s="417"/>
      <c r="F2577" s="418"/>
    </row>
    <row r="2578" spans="2:6" x14ac:dyDescent="0.25">
      <c r="B2578" s="112"/>
      <c r="D2578" s="112"/>
      <c r="E2578" s="417"/>
      <c r="F2578" s="418"/>
    </row>
    <row r="2579" spans="2:6" x14ac:dyDescent="0.25">
      <c r="B2579" s="112"/>
      <c r="D2579" s="112"/>
      <c r="E2579" s="417"/>
      <c r="F2579" s="418"/>
    </row>
    <row r="2580" spans="2:6" x14ac:dyDescent="0.25">
      <c r="B2580" s="112"/>
      <c r="D2580" s="112"/>
      <c r="E2580" s="417"/>
      <c r="F2580" s="418"/>
    </row>
    <row r="2581" spans="2:6" x14ac:dyDescent="0.25">
      <c r="B2581" s="112"/>
      <c r="D2581" s="112"/>
      <c r="E2581" s="417"/>
      <c r="F2581" s="418"/>
    </row>
    <row r="2582" spans="2:6" x14ac:dyDescent="0.25">
      <c r="B2582" s="112"/>
      <c r="D2582" s="112"/>
      <c r="E2582" s="417"/>
      <c r="F2582" s="418"/>
    </row>
    <row r="2583" spans="2:6" x14ac:dyDescent="0.25">
      <c r="B2583" s="112"/>
      <c r="D2583" s="112"/>
      <c r="E2583" s="417"/>
      <c r="F2583" s="418"/>
    </row>
    <row r="2584" spans="2:6" x14ac:dyDescent="0.25">
      <c r="B2584" s="112"/>
      <c r="D2584" s="112"/>
      <c r="E2584" s="417"/>
      <c r="F2584" s="418"/>
    </row>
    <row r="2585" spans="2:6" x14ac:dyDescent="0.25">
      <c r="B2585" s="112"/>
      <c r="D2585" s="112"/>
      <c r="E2585" s="417"/>
      <c r="F2585" s="418"/>
    </row>
    <row r="2586" spans="2:6" x14ac:dyDescent="0.25">
      <c r="B2586" s="112"/>
      <c r="D2586" s="112"/>
      <c r="E2586" s="417"/>
      <c r="F2586" s="418"/>
    </row>
    <row r="2587" spans="2:6" x14ac:dyDescent="0.25">
      <c r="B2587" s="112"/>
      <c r="D2587" s="112"/>
      <c r="E2587" s="417"/>
      <c r="F2587" s="418"/>
    </row>
    <row r="2588" spans="2:6" x14ac:dyDescent="0.25">
      <c r="B2588" s="112"/>
      <c r="D2588" s="112"/>
      <c r="E2588" s="417"/>
      <c r="F2588" s="418"/>
    </row>
    <row r="2589" spans="2:6" x14ac:dyDescent="0.25">
      <c r="B2589" s="112"/>
      <c r="D2589" s="112"/>
      <c r="E2589" s="417"/>
      <c r="F2589" s="418"/>
    </row>
    <row r="2590" spans="2:6" x14ac:dyDescent="0.25">
      <c r="B2590" s="112"/>
      <c r="D2590" s="112"/>
      <c r="E2590" s="417"/>
      <c r="F2590" s="418"/>
    </row>
    <row r="2591" spans="2:6" x14ac:dyDescent="0.25">
      <c r="B2591" s="112"/>
      <c r="D2591" s="112"/>
      <c r="E2591" s="417"/>
      <c r="F2591" s="418"/>
    </row>
    <row r="2592" spans="2:6" x14ac:dyDescent="0.25">
      <c r="B2592" s="112"/>
      <c r="D2592" s="112"/>
      <c r="E2592" s="417"/>
      <c r="F2592" s="418"/>
    </row>
    <row r="2593" spans="2:6" x14ac:dyDescent="0.25">
      <c r="B2593" s="112"/>
      <c r="D2593" s="112"/>
      <c r="E2593" s="417"/>
      <c r="F2593" s="418"/>
    </row>
    <row r="2594" spans="2:6" x14ac:dyDescent="0.25">
      <c r="B2594" s="112"/>
      <c r="D2594" s="112"/>
      <c r="E2594" s="417"/>
      <c r="F2594" s="418"/>
    </row>
    <row r="2595" spans="2:6" x14ac:dyDescent="0.25">
      <c r="B2595" s="112"/>
      <c r="D2595" s="112"/>
      <c r="E2595" s="417"/>
      <c r="F2595" s="418"/>
    </row>
    <row r="2596" spans="2:6" x14ac:dyDescent="0.25">
      <c r="B2596" s="112"/>
      <c r="D2596" s="112"/>
      <c r="E2596" s="417"/>
      <c r="F2596" s="418"/>
    </row>
    <row r="2597" spans="2:6" x14ac:dyDescent="0.25">
      <c r="B2597" s="112"/>
      <c r="D2597" s="112"/>
      <c r="E2597" s="417"/>
      <c r="F2597" s="418"/>
    </row>
    <row r="2598" spans="2:6" x14ac:dyDescent="0.25">
      <c r="B2598" s="112"/>
      <c r="D2598" s="112"/>
      <c r="E2598" s="417"/>
      <c r="F2598" s="418"/>
    </row>
    <row r="2599" spans="2:6" x14ac:dyDescent="0.25">
      <c r="B2599" s="112"/>
      <c r="D2599" s="112"/>
      <c r="E2599" s="417"/>
      <c r="F2599" s="418"/>
    </row>
    <row r="2600" spans="2:6" x14ac:dyDescent="0.25">
      <c r="B2600" s="112"/>
      <c r="D2600" s="112"/>
      <c r="E2600" s="417"/>
      <c r="F2600" s="418"/>
    </row>
    <row r="2601" spans="2:6" x14ac:dyDescent="0.25">
      <c r="B2601" s="112"/>
      <c r="D2601" s="112"/>
      <c r="E2601" s="417"/>
      <c r="F2601" s="418"/>
    </row>
    <row r="2602" spans="2:6" x14ac:dyDescent="0.25">
      <c r="B2602" s="112"/>
      <c r="D2602" s="112"/>
      <c r="E2602" s="417"/>
      <c r="F2602" s="418"/>
    </row>
    <row r="2603" spans="2:6" x14ac:dyDescent="0.25">
      <c r="B2603" s="112"/>
      <c r="D2603" s="112"/>
      <c r="E2603" s="417"/>
      <c r="F2603" s="418"/>
    </row>
    <row r="2604" spans="2:6" x14ac:dyDescent="0.25">
      <c r="B2604" s="112"/>
      <c r="D2604" s="112"/>
      <c r="E2604" s="417"/>
      <c r="F2604" s="418"/>
    </row>
    <row r="2605" spans="2:6" x14ac:dyDescent="0.25">
      <c r="B2605" s="112"/>
      <c r="D2605" s="112"/>
      <c r="E2605" s="417"/>
      <c r="F2605" s="418"/>
    </row>
    <row r="2606" spans="2:6" x14ac:dyDescent="0.25">
      <c r="B2606" s="112"/>
      <c r="D2606" s="112"/>
      <c r="E2606" s="417"/>
      <c r="F2606" s="418"/>
    </row>
    <row r="2607" spans="2:6" x14ac:dyDescent="0.25">
      <c r="B2607" s="112"/>
      <c r="D2607" s="112"/>
      <c r="E2607" s="417"/>
      <c r="F2607" s="418"/>
    </row>
    <row r="2608" spans="2:6" x14ac:dyDescent="0.25">
      <c r="B2608" s="112"/>
      <c r="D2608" s="112"/>
      <c r="E2608" s="417"/>
      <c r="F2608" s="418"/>
    </row>
    <row r="2609" spans="2:6" x14ac:dyDescent="0.25">
      <c r="B2609" s="112"/>
      <c r="D2609" s="112"/>
      <c r="E2609" s="417"/>
      <c r="F2609" s="418"/>
    </row>
    <row r="2610" spans="2:6" x14ac:dyDescent="0.25">
      <c r="B2610" s="112"/>
      <c r="D2610" s="112"/>
      <c r="E2610" s="417"/>
      <c r="F2610" s="418"/>
    </row>
    <row r="2611" spans="2:6" x14ac:dyDescent="0.25">
      <c r="B2611" s="112"/>
      <c r="D2611" s="112"/>
      <c r="E2611" s="417"/>
      <c r="F2611" s="418"/>
    </row>
    <row r="2612" spans="2:6" x14ac:dyDescent="0.25">
      <c r="B2612" s="112"/>
      <c r="D2612" s="112"/>
      <c r="E2612" s="417"/>
      <c r="F2612" s="418"/>
    </row>
    <row r="2613" spans="2:6" x14ac:dyDescent="0.25">
      <c r="B2613" s="112"/>
      <c r="D2613" s="112"/>
      <c r="E2613" s="417"/>
      <c r="F2613" s="418"/>
    </row>
    <row r="2614" spans="2:6" x14ac:dyDescent="0.25">
      <c r="B2614" s="112"/>
      <c r="D2614" s="112"/>
      <c r="E2614" s="417"/>
      <c r="F2614" s="418"/>
    </row>
    <row r="2615" spans="2:6" x14ac:dyDescent="0.25">
      <c r="B2615" s="112"/>
      <c r="D2615" s="112"/>
      <c r="E2615" s="417"/>
      <c r="F2615" s="418"/>
    </row>
    <row r="2616" spans="2:6" x14ac:dyDescent="0.25">
      <c r="B2616" s="112"/>
      <c r="D2616" s="112"/>
      <c r="E2616" s="417"/>
      <c r="F2616" s="418"/>
    </row>
    <row r="2617" spans="2:6" x14ac:dyDescent="0.25">
      <c r="B2617" s="112"/>
      <c r="D2617" s="112"/>
      <c r="E2617" s="417"/>
      <c r="F2617" s="418"/>
    </row>
    <row r="2618" spans="2:6" x14ac:dyDescent="0.25">
      <c r="B2618" s="112"/>
      <c r="D2618" s="112"/>
      <c r="E2618" s="417"/>
      <c r="F2618" s="418"/>
    </row>
    <row r="2619" spans="2:6" x14ac:dyDescent="0.25">
      <c r="B2619" s="112"/>
      <c r="D2619" s="112"/>
      <c r="E2619" s="417"/>
      <c r="F2619" s="418"/>
    </row>
    <row r="2620" spans="2:6" x14ac:dyDescent="0.25">
      <c r="B2620" s="112"/>
      <c r="D2620" s="112"/>
      <c r="E2620" s="417"/>
      <c r="F2620" s="418"/>
    </row>
    <row r="2621" spans="2:6" x14ac:dyDescent="0.25">
      <c r="B2621" s="112"/>
      <c r="D2621" s="112"/>
      <c r="E2621" s="417"/>
      <c r="F2621" s="418"/>
    </row>
    <row r="2622" spans="2:6" x14ac:dyDescent="0.25">
      <c r="B2622" s="112"/>
      <c r="D2622" s="112"/>
      <c r="E2622" s="417"/>
      <c r="F2622" s="418"/>
    </row>
    <row r="2623" spans="2:6" x14ac:dyDescent="0.25">
      <c r="B2623" s="112"/>
      <c r="D2623" s="112"/>
      <c r="E2623" s="417"/>
      <c r="F2623" s="418"/>
    </row>
    <row r="2624" spans="2:6" x14ac:dyDescent="0.25">
      <c r="B2624" s="112"/>
      <c r="D2624" s="112"/>
      <c r="E2624" s="417"/>
      <c r="F2624" s="418"/>
    </row>
    <row r="2625" spans="2:6" x14ac:dyDescent="0.25">
      <c r="B2625" s="112"/>
      <c r="D2625" s="112"/>
      <c r="E2625" s="417"/>
      <c r="F2625" s="418"/>
    </row>
    <row r="2626" spans="2:6" x14ac:dyDescent="0.25">
      <c r="B2626" s="112"/>
      <c r="D2626" s="112"/>
      <c r="E2626" s="417"/>
      <c r="F2626" s="418"/>
    </row>
    <row r="2627" spans="2:6" x14ac:dyDescent="0.25">
      <c r="B2627" s="112"/>
      <c r="D2627" s="112"/>
      <c r="E2627" s="417"/>
      <c r="F2627" s="418"/>
    </row>
    <row r="2628" spans="2:6" x14ac:dyDescent="0.25">
      <c r="B2628" s="112"/>
      <c r="D2628" s="112"/>
      <c r="E2628" s="417"/>
      <c r="F2628" s="418"/>
    </row>
    <row r="2629" spans="2:6" x14ac:dyDescent="0.25">
      <c r="B2629" s="112"/>
      <c r="D2629" s="112"/>
      <c r="E2629" s="417"/>
      <c r="F2629" s="418"/>
    </row>
    <row r="2630" spans="2:6" x14ac:dyDescent="0.25">
      <c r="B2630" s="112"/>
      <c r="D2630" s="112"/>
      <c r="E2630" s="417"/>
      <c r="F2630" s="418"/>
    </row>
    <row r="2631" spans="2:6" x14ac:dyDescent="0.25">
      <c r="B2631" s="112"/>
      <c r="D2631" s="112"/>
      <c r="E2631" s="417"/>
      <c r="F2631" s="418"/>
    </row>
    <row r="2632" spans="2:6" x14ac:dyDescent="0.25">
      <c r="B2632" s="112"/>
      <c r="D2632" s="112"/>
      <c r="E2632" s="417"/>
      <c r="F2632" s="418"/>
    </row>
    <row r="2633" spans="2:6" x14ac:dyDescent="0.25">
      <c r="B2633" s="112"/>
      <c r="D2633" s="112"/>
      <c r="E2633" s="417"/>
      <c r="F2633" s="418"/>
    </row>
    <row r="2634" spans="2:6" x14ac:dyDescent="0.25">
      <c r="B2634" s="112"/>
      <c r="D2634" s="112"/>
      <c r="E2634" s="417"/>
      <c r="F2634" s="418"/>
    </row>
    <row r="2635" spans="2:6" x14ac:dyDescent="0.25">
      <c r="B2635" s="112"/>
      <c r="D2635" s="112"/>
      <c r="E2635" s="417"/>
      <c r="F2635" s="418"/>
    </row>
    <row r="2636" spans="2:6" x14ac:dyDescent="0.25">
      <c r="B2636" s="112"/>
      <c r="D2636" s="112"/>
      <c r="E2636" s="417"/>
      <c r="F2636" s="418"/>
    </row>
    <row r="2637" spans="2:6" x14ac:dyDescent="0.25">
      <c r="B2637" s="112"/>
      <c r="D2637" s="112"/>
      <c r="E2637" s="417"/>
      <c r="F2637" s="418"/>
    </row>
    <row r="2638" spans="2:6" x14ac:dyDescent="0.25">
      <c r="B2638" s="112"/>
      <c r="D2638" s="112"/>
      <c r="E2638" s="417"/>
      <c r="F2638" s="418"/>
    </row>
    <row r="2639" spans="2:6" x14ac:dyDescent="0.25">
      <c r="B2639" s="112"/>
      <c r="D2639" s="112"/>
      <c r="E2639" s="417"/>
      <c r="F2639" s="418"/>
    </row>
    <row r="2640" spans="2:6" x14ac:dyDescent="0.25">
      <c r="B2640" s="112"/>
      <c r="D2640" s="112"/>
      <c r="E2640" s="417"/>
      <c r="F2640" s="418"/>
    </row>
    <row r="2641" spans="2:6" x14ac:dyDescent="0.25">
      <c r="B2641" s="112"/>
      <c r="D2641" s="112"/>
      <c r="E2641" s="417"/>
      <c r="F2641" s="418"/>
    </row>
    <row r="2642" spans="2:6" x14ac:dyDescent="0.25">
      <c r="B2642" s="112"/>
      <c r="D2642" s="112"/>
      <c r="E2642" s="417"/>
      <c r="F2642" s="418"/>
    </row>
    <row r="2643" spans="2:6" x14ac:dyDescent="0.25">
      <c r="B2643" s="112"/>
      <c r="D2643" s="112"/>
      <c r="E2643" s="417"/>
      <c r="F2643" s="418"/>
    </row>
    <row r="2644" spans="2:6" x14ac:dyDescent="0.25">
      <c r="B2644" s="112"/>
      <c r="D2644" s="112"/>
      <c r="E2644" s="417"/>
      <c r="F2644" s="418"/>
    </row>
    <row r="2645" spans="2:6" x14ac:dyDescent="0.25">
      <c r="B2645" s="112"/>
      <c r="D2645" s="112"/>
      <c r="E2645" s="417"/>
      <c r="F2645" s="418"/>
    </row>
    <row r="2646" spans="2:6" x14ac:dyDescent="0.25">
      <c r="B2646" s="112"/>
      <c r="D2646" s="112"/>
      <c r="E2646" s="417"/>
      <c r="F2646" s="418"/>
    </row>
    <row r="2647" spans="2:6" x14ac:dyDescent="0.25">
      <c r="B2647" s="112"/>
      <c r="D2647" s="112"/>
      <c r="E2647" s="417"/>
      <c r="F2647" s="418"/>
    </row>
    <row r="2648" spans="2:6" x14ac:dyDescent="0.25">
      <c r="B2648" s="112"/>
      <c r="D2648" s="112"/>
      <c r="E2648" s="417"/>
      <c r="F2648" s="418"/>
    </row>
    <row r="2649" spans="2:6" x14ac:dyDescent="0.25">
      <c r="B2649" s="112"/>
      <c r="D2649" s="112"/>
      <c r="E2649" s="417"/>
      <c r="F2649" s="418"/>
    </row>
    <row r="2650" spans="2:6" x14ac:dyDescent="0.25">
      <c r="B2650" s="112"/>
      <c r="D2650" s="112"/>
      <c r="E2650" s="417"/>
      <c r="F2650" s="418"/>
    </row>
    <row r="2651" spans="2:6" x14ac:dyDescent="0.25">
      <c r="B2651" s="112"/>
      <c r="D2651" s="112"/>
      <c r="E2651" s="417"/>
      <c r="F2651" s="418"/>
    </row>
    <row r="2652" spans="2:6" x14ac:dyDescent="0.25">
      <c r="B2652" s="112"/>
      <c r="D2652" s="112"/>
      <c r="E2652" s="417"/>
      <c r="F2652" s="418"/>
    </row>
    <row r="2653" spans="2:6" x14ac:dyDescent="0.25">
      <c r="B2653" s="112"/>
      <c r="D2653" s="112"/>
      <c r="E2653" s="417"/>
      <c r="F2653" s="418"/>
    </row>
    <row r="2654" spans="2:6" x14ac:dyDescent="0.25">
      <c r="B2654" s="112"/>
      <c r="D2654" s="112"/>
      <c r="E2654" s="417"/>
      <c r="F2654" s="418"/>
    </row>
    <row r="2655" spans="2:6" x14ac:dyDescent="0.25">
      <c r="B2655" s="112"/>
      <c r="D2655" s="112"/>
      <c r="E2655" s="417"/>
      <c r="F2655" s="418"/>
    </row>
    <row r="2656" spans="2:6" x14ac:dyDescent="0.25">
      <c r="B2656" s="112"/>
      <c r="D2656" s="112"/>
      <c r="E2656" s="417"/>
      <c r="F2656" s="418"/>
    </row>
    <row r="2657" spans="2:6" x14ac:dyDescent="0.25">
      <c r="B2657" s="112"/>
      <c r="D2657" s="112"/>
      <c r="E2657" s="417"/>
      <c r="F2657" s="418"/>
    </row>
    <row r="2658" spans="2:6" x14ac:dyDescent="0.25">
      <c r="B2658" s="112"/>
      <c r="D2658" s="112"/>
      <c r="E2658" s="417"/>
      <c r="F2658" s="418"/>
    </row>
    <row r="2659" spans="2:6" x14ac:dyDescent="0.25">
      <c r="B2659" s="112"/>
      <c r="D2659" s="112"/>
      <c r="E2659" s="417"/>
      <c r="F2659" s="418"/>
    </row>
    <row r="2660" spans="2:6" x14ac:dyDescent="0.25">
      <c r="B2660" s="112"/>
      <c r="D2660" s="112"/>
      <c r="E2660" s="417"/>
      <c r="F2660" s="418"/>
    </row>
    <row r="2661" spans="2:6" x14ac:dyDescent="0.25">
      <c r="B2661" s="112"/>
      <c r="D2661" s="112"/>
      <c r="E2661" s="417"/>
      <c r="F2661" s="418"/>
    </row>
    <row r="2662" spans="2:6" x14ac:dyDescent="0.25">
      <c r="B2662" s="112"/>
      <c r="D2662" s="112"/>
      <c r="E2662" s="417"/>
      <c r="F2662" s="418"/>
    </row>
    <row r="2663" spans="2:6" x14ac:dyDescent="0.25">
      <c r="B2663" s="112"/>
      <c r="D2663" s="112"/>
      <c r="E2663" s="417"/>
      <c r="F2663" s="418"/>
    </row>
    <row r="2664" spans="2:6" x14ac:dyDescent="0.25">
      <c r="B2664" s="112"/>
      <c r="D2664" s="112"/>
      <c r="E2664" s="417"/>
      <c r="F2664" s="418"/>
    </row>
    <row r="2665" spans="2:6" x14ac:dyDescent="0.25">
      <c r="B2665" s="112"/>
      <c r="D2665" s="112"/>
      <c r="E2665" s="417"/>
      <c r="F2665" s="418"/>
    </row>
    <row r="2666" spans="2:6" x14ac:dyDescent="0.25">
      <c r="B2666" s="112"/>
      <c r="D2666" s="112"/>
      <c r="E2666" s="417"/>
      <c r="F2666" s="418"/>
    </row>
    <row r="2667" spans="2:6" x14ac:dyDescent="0.25">
      <c r="B2667" s="112"/>
      <c r="D2667" s="112"/>
      <c r="E2667" s="417"/>
      <c r="F2667" s="418"/>
    </row>
    <row r="2668" spans="2:6" x14ac:dyDescent="0.25">
      <c r="B2668" s="112"/>
      <c r="D2668" s="112"/>
      <c r="E2668" s="417"/>
      <c r="F2668" s="418"/>
    </row>
    <row r="2669" spans="2:6" x14ac:dyDescent="0.25">
      <c r="B2669" s="112"/>
      <c r="D2669" s="112"/>
      <c r="E2669" s="417"/>
      <c r="F2669" s="418"/>
    </row>
    <row r="2670" spans="2:6" x14ac:dyDescent="0.25">
      <c r="B2670" s="112"/>
      <c r="D2670" s="112"/>
      <c r="E2670" s="417"/>
      <c r="F2670" s="418"/>
    </row>
    <row r="2671" spans="2:6" x14ac:dyDescent="0.25">
      <c r="B2671" s="112"/>
      <c r="D2671" s="112"/>
      <c r="E2671" s="417"/>
      <c r="F2671" s="418"/>
    </row>
    <row r="2672" spans="2:6" x14ac:dyDescent="0.25">
      <c r="B2672" s="112"/>
      <c r="D2672" s="112"/>
      <c r="E2672" s="417"/>
      <c r="F2672" s="418"/>
    </row>
    <row r="2673" spans="2:6" x14ac:dyDescent="0.25">
      <c r="B2673" s="112"/>
      <c r="D2673" s="112"/>
      <c r="E2673" s="417"/>
      <c r="F2673" s="418"/>
    </row>
    <row r="2674" spans="2:6" x14ac:dyDescent="0.25">
      <c r="B2674" s="112"/>
      <c r="D2674" s="112"/>
      <c r="E2674" s="417"/>
      <c r="F2674" s="418"/>
    </row>
    <row r="2675" spans="2:6" x14ac:dyDescent="0.25">
      <c r="B2675" s="112"/>
      <c r="D2675" s="112"/>
      <c r="E2675" s="417"/>
      <c r="F2675" s="418"/>
    </row>
    <row r="2676" spans="2:6" x14ac:dyDescent="0.25">
      <c r="B2676" s="112"/>
      <c r="D2676" s="112"/>
      <c r="E2676" s="417"/>
      <c r="F2676" s="418"/>
    </row>
    <row r="2677" spans="2:6" x14ac:dyDescent="0.25">
      <c r="B2677" s="112"/>
      <c r="D2677" s="112"/>
      <c r="E2677" s="417"/>
      <c r="F2677" s="418"/>
    </row>
    <row r="2678" spans="2:6" x14ac:dyDescent="0.25">
      <c r="B2678" s="112"/>
      <c r="D2678" s="112"/>
      <c r="E2678" s="417"/>
      <c r="F2678" s="418"/>
    </row>
    <row r="2679" spans="2:6" x14ac:dyDescent="0.25">
      <c r="B2679" s="112"/>
      <c r="D2679" s="112"/>
      <c r="E2679" s="417"/>
      <c r="F2679" s="418"/>
    </row>
    <row r="2680" spans="2:6" x14ac:dyDescent="0.25">
      <c r="B2680" s="112"/>
      <c r="D2680" s="112"/>
      <c r="E2680" s="417"/>
      <c r="F2680" s="418"/>
    </row>
    <row r="2681" spans="2:6" x14ac:dyDescent="0.25">
      <c r="B2681" s="112"/>
      <c r="D2681" s="112"/>
      <c r="E2681" s="417"/>
      <c r="F2681" s="418"/>
    </row>
    <row r="2682" spans="2:6" x14ac:dyDescent="0.25">
      <c r="B2682" s="112"/>
      <c r="D2682" s="112"/>
      <c r="E2682" s="417"/>
      <c r="F2682" s="418"/>
    </row>
    <row r="2683" spans="2:6" x14ac:dyDescent="0.25">
      <c r="B2683" s="112"/>
      <c r="D2683" s="112"/>
      <c r="E2683" s="417"/>
      <c r="F2683" s="418"/>
    </row>
    <row r="2684" spans="2:6" x14ac:dyDescent="0.25">
      <c r="B2684" s="112"/>
      <c r="D2684" s="112"/>
      <c r="E2684" s="417"/>
      <c r="F2684" s="418"/>
    </row>
    <row r="2685" spans="2:6" x14ac:dyDescent="0.25">
      <c r="B2685" s="112"/>
      <c r="D2685" s="112"/>
      <c r="E2685" s="417"/>
      <c r="F2685" s="418"/>
    </row>
    <row r="2686" spans="2:6" x14ac:dyDescent="0.25">
      <c r="B2686" s="112"/>
      <c r="D2686" s="112"/>
      <c r="E2686" s="417"/>
      <c r="F2686" s="418"/>
    </row>
    <row r="2687" spans="2:6" x14ac:dyDescent="0.25">
      <c r="B2687" s="112"/>
      <c r="D2687" s="112"/>
      <c r="E2687" s="417"/>
      <c r="F2687" s="418"/>
    </row>
    <row r="2688" spans="2:6" x14ac:dyDescent="0.25">
      <c r="B2688" s="112"/>
      <c r="D2688" s="112"/>
      <c r="E2688" s="417"/>
      <c r="F2688" s="418"/>
    </row>
    <row r="2689" spans="2:6" x14ac:dyDescent="0.25">
      <c r="B2689" s="112"/>
      <c r="D2689" s="112"/>
      <c r="E2689" s="417"/>
      <c r="F2689" s="418"/>
    </row>
    <row r="2690" spans="2:6" x14ac:dyDescent="0.25">
      <c r="B2690" s="112"/>
      <c r="D2690" s="112"/>
      <c r="E2690" s="417"/>
      <c r="F2690" s="418"/>
    </row>
    <row r="2691" spans="2:6" x14ac:dyDescent="0.25">
      <c r="B2691" s="112"/>
      <c r="D2691" s="112"/>
      <c r="E2691" s="417"/>
      <c r="F2691" s="418"/>
    </row>
    <row r="2692" spans="2:6" x14ac:dyDescent="0.25">
      <c r="B2692" s="112"/>
      <c r="D2692" s="112"/>
      <c r="E2692" s="417"/>
      <c r="F2692" s="418"/>
    </row>
    <row r="2693" spans="2:6" x14ac:dyDescent="0.25">
      <c r="B2693" s="112"/>
      <c r="D2693" s="112"/>
      <c r="E2693" s="417"/>
      <c r="F2693" s="418"/>
    </row>
    <row r="2694" spans="2:6" x14ac:dyDescent="0.25">
      <c r="B2694" s="112"/>
      <c r="D2694" s="112"/>
      <c r="E2694" s="417"/>
      <c r="F2694" s="418"/>
    </row>
    <row r="2695" spans="2:6" x14ac:dyDescent="0.25">
      <c r="B2695" s="112"/>
      <c r="D2695" s="112"/>
      <c r="E2695" s="417"/>
      <c r="F2695" s="418"/>
    </row>
    <row r="2696" spans="2:6" x14ac:dyDescent="0.25">
      <c r="B2696" s="112"/>
      <c r="D2696" s="112"/>
      <c r="E2696" s="417"/>
      <c r="F2696" s="418"/>
    </row>
    <row r="2697" spans="2:6" x14ac:dyDescent="0.25">
      <c r="B2697" s="112"/>
      <c r="D2697" s="112"/>
      <c r="E2697" s="417"/>
      <c r="F2697" s="418"/>
    </row>
    <row r="2698" spans="2:6" x14ac:dyDescent="0.25">
      <c r="B2698" s="112"/>
      <c r="D2698" s="112"/>
      <c r="E2698" s="417"/>
      <c r="F2698" s="418"/>
    </row>
    <row r="2699" spans="2:6" x14ac:dyDescent="0.25">
      <c r="B2699" s="112"/>
      <c r="D2699" s="112"/>
      <c r="E2699" s="417"/>
      <c r="F2699" s="418"/>
    </row>
    <row r="2700" spans="2:6" x14ac:dyDescent="0.25">
      <c r="B2700" s="112"/>
      <c r="D2700" s="112"/>
      <c r="E2700" s="417"/>
      <c r="F2700" s="418"/>
    </row>
    <row r="2701" spans="2:6" x14ac:dyDescent="0.25">
      <c r="B2701" s="112"/>
      <c r="D2701" s="112"/>
      <c r="E2701" s="417"/>
      <c r="F2701" s="418"/>
    </row>
    <row r="2702" spans="2:6" x14ac:dyDescent="0.25">
      <c r="B2702" s="112"/>
      <c r="D2702" s="112"/>
      <c r="E2702" s="417"/>
      <c r="F2702" s="418"/>
    </row>
    <row r="2703" spans="2:6" x14ac:dyDescent="0.25">
      <c r="B2703" s="112"/>
      <c r="D2703" s="112"/>
      <c r="E2703" s="417"/>
      <c r="F2703" s="418"/>
    </row>
    <row r="2704" spans="2:6" x14ac:dyDescent="0.25">
      <c r="B2704" s="112"/>
      <c r="D2704" s="112"/>
      <c r="E2704" s="417"/>
      <c r="F2704" s="418"/>
    </row>
    <row r="2705" spans="2:6" x14ac:dyDescent="0.25">
      <c r="B2705" s="112"/>
      <c r="D2705" s="112"/>
      <c r="E2705" s="417"/>
      <c r="F2705" s="418"/>
    </row>
    <row r="2706" spans="2:6" x14ac:dyDescent="0.25">
      <c r="B2706" s="112"/>
      <c r="D2706" s="112"/>
      <c r="E2706" s="417"/>
      <c r="F2706" s="418"/>
    </row>
    <row r="2707" spans="2:6" x14ac:dyDescent="0.25">
      <c r="B2707" s="112"/>
      <c r="D2707" s="112"/>
      <c r="E2707" s="417"/>
      <c r="F2707" s="418"/>
    </row>
    <row r="2708" spans="2:6" x14ac:dyDescent="0.25">
      <c r="B2708" s="112"/>
      <c r="D2708" s="112"/>
      <c r="E2708" s="417"/>
      <c r="F2708" s="418"/>
    </row>
    <row r="2709" spans="2:6" x14ac:dyDescent="0.25">
      <c r="B2709" s="112"/>
      <c r="D2709" s="112"/>
      <c r="E2709" s="417"/>
      <c r="F2709" s="418"/>
    </row>
    <row r="2710" spans="2:6" x14ac:dyDescent="0.25">
      <c r="B2710" s="112"/>
      <c r="D2710" s="112"/>
      <c r="E2710" s="417"/>
      <c r="F2710" s="418"/>
    </row>
    <row r="2711" spans="2:6" x14ac:dyDescent="0.25">
      <c r="B2711" s="112"/>
      <c r="D2711" s="112"/>
      <c r="E2711" s="417"/>
      <c r="F2711" s="418"/>
    </row>
    <row r="2712" spans="2:6" x14ac:dyDescent="0.25">
      <c r="B2712" s="112"/>
      <c r="D2712" s="112"/>
      <c r="E2712" s="417"/>
      <c r="F2712" s="418"/>
    </row>
    <row r="2713" spans="2:6" x14ac:dyDescent="0.25">
      <c r="B2713" s="112"/>
      <c r="D2713" s="112"/>
      <c r="E2713" s="417"/>
      <c r="F2713" s="418"/>
    </row>
    <row r="2714" spans="2:6" x14ac:dyDescent="0.25">
      <c r="B2714" s="112"/>
      <c r="D2714" s="112"/>
      <c r="E2714" s="417"/>
      <c r="F2714" s="418"/>
    </row>
    <row r="2715" spans="2:6" x14ac:dyDescent="0.25">
      <c r="B2715" s="112"/>
      <c r="D2715" s="112"/>
      <c r="E2715" s="417"/>
      <c r="F2715" s="418"/>
    </row>
    <row r="2716" spans="2:6" x14ac:dyDescent="0.25">
      <c r="B2716" s="112"/>
      <c r="D2716" s="112"/>
      <c r="E2716" s="417"/>
      <c r="F2716" s="418"/>
    </row>
    <row r="2717" spans="2:6" x14ac:dyDescent="0.25">
      <c r="B2717" s="112"/>
      <c r="D2717" s="112"/>
      <c r="E2717" s="417"/>
      <c r="F2717" s="418"/>
    </row>
    <row r="2718" spans="2:6" x14ac:dyDescent="0.25">
      <c r="B2718" s="112"/>
      <c r="D2718" s="112"/>
      <c r="E2718" s="417"/>
      <c r="F2718" s="418"/>
    </row>
    <row r="2719" spans="2:6" x14ac:dyDescent="0.25">
      <c r="B2719" s="112"/>
      <c r="D2719" s="112"/>
      <c r="E2719" s="417"/>
      <c r="F2719" s="418"/>
    </row>
    <row r="2720" spans="2:6" x14ac:dyDescent="0.25">
      <c r="B2720" s="112"/>
      <c r="D2720" s="112"/>
      <c r="E2720" s="417"/>
      <c r="F2720" s="418"/>
    </row>
    <row r="2721" spans="2:6" x14ac:dyDescent="0.25">
      <c r="B2721" s="112"/>
      <c r="D2721" s="112"/>
      <c r="E2721" s="417"/>
      <c r="F2721" s="418"/>
    </row>
    <row r="2722" spans="2:6" x14ac:dyDescent="0.25">
      <c r="B2722" s="112"/>
      <c r="D2722" s="112"/>
      <c r="E2722" s="417"/>
      <c r="F2722" s="418"/>
    </row>
    <row r="2723" spans="2:6" x14ac:dyDescent="0.25">
      <c r="B2723" s="112"/>
      <c r="D2723" s="112"/>
      <c r="E2723" s="417"/>
      <c r="F2723" s="418"/>
    </row>
    <row r="2724" spans="2:6" x14ac:dyDescent="0.25">
      <c r="B2724" s="112"/>
      <c r="D2724" s="112"/>
      <c r="E2724" s="417"/>
      <c r="F2724" s="418"/>
    </row>
    <row r="2725" spans="2:6" x14ac:dyDescent="0.25">
      <c r="B2725" s="112"/>
      <c r="D2725" s="112"/>
      <c r="E2725" s="417"/>
      <c r="F2725" s="418"/>
    </row>
    <row r="2726" spans="2:6" x14ac:dyDescent="0.25">
      <c r="B2726" s="112"/>
      <c r="D2726" s="112"/>
      <c r="E2726" s="417"/>
      <c r="F2726" s="418"/>
    </row>
    <row r="2727" spans="2:6" x14ac:dyDescent="0.25">
      <c r="B2727" s="112"/>
      <c r="D2727" s="112"/>
      <c r="E2727" s="417"/>
      <c r="F2727" s="418"/>
    </row>
    <row r="2728" spans="2:6" x14ac:dyDescent="0.25">
      <c r="B2728" s="112"/>
      <c r="D2728" s="112"/>
      <c r="E2728" s="417"/>
      <c r="F2728" s="418"/>
    </row>
    <row r="2729" spans="2:6" x14ac:dyDescent="0.25">
      <c r="B2729" s="112"/>
      <c r="D2729" s="112"/>
      <c r="E2729" s="417"/>
      <c r="F2729" s="418"/>
    </row>
    <row r="2730" spans="2:6" x14ac:dyDescent="0.25">
      <c r="B2730" s="112"/>
      <c r="D2730" s="112"/>
      <c r="E2730" s="417"/>
      <c r="F2730" s="418"/>
    </row>
    <row r="2731" spans="2:6" x14ac:dyDescent="0.25">
      <c r="B2731" s="112"/>
      <c r="D2731" s="112"/>
      <c r="E2731" s="417"/>
      <c r="F2731" s="418"/>
    </row>
    <row r="2732" spans="2:6" x14ac:dyDescent="0.25">
      <c r="B2732" s="112"/>
      <c r="D2732" s="112"/>
      <c r="E2732" s="417"/>
      <c r="F2732" s="418"/>
    </row>
    <row r="2733" spans="2:6" x14ac:dyDescent="0.25">
      <c r="B2733" s="112"/>
      <c r="D2733" s="112"/>
      <c r="E2733" s="417"/>
      <c r="F2733" s="418"/>
    </row>
    <row r="2734" spans="2:6" x14ac:dyDescent="0.25">
      <c r="B2734" s="112"/>
      <c r="D2734" s="112"/>
      <c r="E2734" s="417"/>
      <c r="F2734" s="418"/>
    </row>
    <row r="2735" spans="2:6" x14ac:dyDescent="0.25">
      <c r="B2735" s="112"/>
      <c r="D2735" s="112"/>
      <c r="E2735" s="417"/>
      <c r="F2735" s="418"/>
    </row>
    <row r="2736" spans="2:6" x14ac:dyDescent="0.25">
      <c r="B2736" s="112"/>
      <c r="D2736" s="112"/>
      <c r="E2736" s="417"/>
      <c r="F2736" s="418"/>
    </row>
    <row r="2737" spans="2:6" x14ac:dyDescent="0.25">
      <c r="B2737" s="112"/>
      <c r="D2737" s="112"/>
      <c r="E2737" s="417"/>
      <c r="F2737" s="418"/>
    </row>
    <row r="2738" spans="2:6" x14ac:dyDescent="0.25">
      <c r="B2738" s="112"/>
      <c r="D2738" s="112"/>
      <c r="E2738" s="417"/>
      <c r="F2738" s="418"/>
    </row>
    <row r="2739" spans="2:6" x14ac:dyDescent="0.25">
      <c r="B2739" s="112"/>
      <c r="D2739" s="112"/>
      <c r="E2739" s="417"/>
      <c r="F2739" s="418"/>
    </row>
    <row r="2740" spans="2:6" x14ac:dyDescent="0.25">
      <c r="B2740" s="112"/>
      <c r="D2740" s="112"/>
      <c r="E2740" s="417"/>
      <c r="F2740" s="418"/>
    </row>
    <row r="2741" spans="2:6" x14ac:dyDescent="0.25">
      <c r="B2741" s="112"/>
      <c r="D2741" s="112"/>
      <c r="E2741" s="417"/>
      <c r="F2741" s="418"/>
    </row>
    <row r="2742" spans="2:6" x14ac:dyDescent="0.25">
      <c r="B2742" s="112"/>
      <c r="D2742" s="112"/>
      <c r="E2742" s="417"/>
      <c r="F2742" s="418"/>
    </row>
    <row r="2743" spans="2:6" x14ac:dyDescent="0.25">
      <c r="B2743" s="112"/>
      <c r="D2743" s="112"/>
      <c r="E2743" s="417"/>
      <c r="F2743" s="418"/>
    </row>
    <row r="2744" spans="2:6" x14ac:dyDescent="0.25">
      <c r="B2744" s="112"/>
      <c r="D2744" s="112"/>
      <c r="E2744" s="417"/>
      <c r="F2744" s="418"/>
    </row>
    <row r="2745" spans="2:6" x14ac:dyDescent="0.25">
      <c r="B2745" s="112"/>
      <c r="D2745" s="112"/>
      <c r="E2745" s="417"/>
      <c r="F2745" s="418"/>
    </row>
    <row r="2746" spans="2:6" x14ac:dyDescent="0.25">
      <c r="B2746" s="112"/>
      <c r="D2746" s="112"/>
      <c r="E2746" s="417"/>
      <c r="F2746" s="418"/>
    </row>
    <row r="2747" spans="2:6" x14ac:dyDescent="0.25">
      <c r="B2747" s="112"/>
      <c r="D2747" s="112"/>
      <c r="E2747" s="417"/>
      <c r="F2747" s="418"/>
    </row>
    <row r="2748" spans="2:6" x14ac:dyDescent="0.25">
      <c r="B2748" s="112"/>
      <c r="D2748" s="112"/>
      <c r="E2748" s="417"/>
      <c r="F2748" s="418"/>
    </row>
    <row r="2749" spans="2:6" x14ac:dyDescent="0.25">
      <c r="B2749" s="112"/>
      <c r="D2749" s="112"/>
      <c r="E2749" s="417"/>
      <c r="F2749" s="418"/>
    </row>
    <row r="2750" spans="2:6" x14ac:dyDescent="0.25">
      <c r="B2750" s="112"/>
      <c r="D2750" s="112"/>
      <c r="E2750" s="417"/>
      <c r="F2750" s="418"/>
    </row>
    <row r="2751" spans="2:6" x14ac:dyDescent="0.25">
      <c r="B2751" s="112"/>
      <c r="D2751" s="112"/>
      <c r="E2751" s="417"/>
      <c r="F2751" s="418"/>
    </row>
    <row r="2752" spans="2:6" x14ac:dyDescent="0.25">
      <c r="B2752" s="112"/>
      <c r="D2752" s="112"/>
      <c r="E2752" s="417"/>
      <c r="F2752" s="418"/>
    </row>
    <row r="2753" spans="2:6" x14ac:dyDescent="0.25">
      <c r="B2753" s="112"/>
      <c r="D2753" s="112"/>
      <c r="E2753" s="417"/>
      <c r="F2753" s="418"/>
    </row>
    <row r="2754" spans="2:6" x14ac:dyDescent="0.25">
      <c r="B2754" s="112"/>
      <c r="D2754" s="112"/>
      <c r="E2754" s="417"/>
      <c r="F2754" s="418"/>
    </row>
    <row r="2755" spans="2:6" x14ac:dyDescent="0.25">
      <c r="B2755" s="112"/>
      <c r="D2755" s="112"/>
      <c r="E2755" s="417"/>
      <c r="F2755" s="418"/>
    </row>
    <row r="2756" spans="2:6" x14ac:dyDescent="0.25">
      <c r="B2756" s="112"/>
      <c r="D2756" s="112"/>
      <c r="E2756" s="417"/>
      <c r="F2756" s="418"/>
    </row>
    <row r="2757" spans="2:6" x14ac:dyDescent="0.25">
      <c r="B2757" s="112"/>
      <c r="D2757" s="112"/>
      <c r="E2757" s="417"/>
      <c r="F2757" s="418"/>
    </row>
    <row r="2758" spans="2:6" x14ac:dyDescent="0.25">
      <c r="B2758" s="112"/>
      <c r="D2758" s="112"/>
      <c r="E2758" s="417"/>
      <c r="F2758" s="418"/>
    </row>
    <row r="2759" spans="2:6" x14ac:dyDescent="0.25">
      <c r="B2759" s="112"/>
      <c r="D2759" s="112"/>
      <c r="E2759" s="417"/>
      <c r="F2759" s="418"/>
    </row>
    <row r="2760" spans="2:6" x14ac:dyDescent="0.25">
      <c r="B2760" s="112"/>
      <c r="D2760" s="112"/>
      <c r="E2760" s="417"/>
      <c r="F2760" s="418"/>
    </row>
    <row r="2761" spans="2:6" x14ac:dyDescent="0.25">
      <c r="B2761" s="112"/>
      <c r="D2761" s="112"/>
      <c r="E2761" s="417"/>
      <c r="F2761" s="418"/>
    </row>
    <row r="2762" spans="2:6" x14ac:dyDescent="0.25">
      <c r="B2762" s="112"/>
      <c r="D2762" s="112"/>
      <c r="E2762" s="417"/>
      <c r="F2762" s="418"/>
    </row>
    <row r="2763" spans="2:6" x14ac:dyDescent="0.25">
      <c r="B2763" s="112"/>
      <c r="D2763" s="112"/>
      <c r="E2763" s="417"/>
      <c r="F2763" s="418"/>
    </row>
    <row r="2764" spans="2:6" x14ac:dyDescent="0.25">
      <c r="B2764" s="112"/>
      <c r="D2764" s="112"/>
      <c r="E2764" s="417"/>
      <c r="F2764" s="418"/>
    </row>
    <row r="2765" spans="2:6" x14ac:dyDescent="0.25">
      <c r="B2765" s="112"/>
      <c r="D2765" s="112"/>
      <c r="E2765" s="417"/>
      <c r="F2765" s="418"/>
    </row>
    <row r="2766" spans="2:6" x14ac:dyDescent="0.25">
      <c r="B2766" s="112"/>
      <c r="D2766" s="112"/>
      <c r="E2766" s="417"/>
      <c r="F2766" s="418"/>
    </row>
    <row r="2767" spans="2:6" x14ac:dyDescent="0.25">
      <c r="B2767" s="112"/>
      <c r="D2767" s="112"/>
      <c r="E2767" s="417"/>
      <c r="F2767" s="418"/>
    </row>
    <row r="2768" spans="2:6" x14ac:dyDescent="0.25">
      <c r="B2768" s="112"/>
      <c r="D2768" s="112"/>
      <c r="E2768" s="417"/>
      <c r="F2768" s="418"/>
    </row>
    <row r="2769" spans="2:6" x14ac:dyDescent="0.25">
      <c r="B2769" s="112"/>
      <c r="D2769" s="112"/>
      <c r="E2769" s="417"/>
      <c r="F2769" s="418"/>
    </row>
    <row r="2770" spans="2:6" x14ac:dyDescent="0.25">
      <c r="B2770" s="112"/>
      <c r="D2770" s="112"/>
      <c r="E2770" s="417"/>
      <c r="F2770" s="418"/>
    </row>
    <row r="2771" spans="2:6" x14ac:dyDescent="0.25">
      <c r="B2771" s="112"/>
      <c r="D2771" s="112"/>
      <c r="E2771" s="417"/>
      <c r="F2771" s="418"/>
    </row>
    <row r="2772" spans="2:6" x14ac:dyDescent="0.25">
      <c r="B2772" s="112"/>
      <c r="D2772" s="112"/>
      <c r="E2772" s="417"/>
      <c r="F2772" s="418"/>
    </row>
    <row r="2773" spans="2:6" x14ac:dyDescent="0.25">
      <c r="B2773" s="112"/>
      <c r="D2773" s="112"/>
      <c r="E2773" s="417"/>
      <c r="F2773" s="418"/>
    </row>
    <row r="2774" spans="2:6" x14ac:dyDescent="0.25">
      <c r="B2774" s="112"/>
      <c r="D2774" s="112"/>
      <c r="E2774" s="417"/>
      <c r="F2774" s="418"/>
    </row>
    <row r="2775" spans="2:6" x14ac:dyDescent="0.25">
      <c r="B2775" s="112"/>
      <c r="D2775" s="112"/>
      <c r="E2775" s="417"/>
      <c r="F2775" s="418"/>
    </row>
    <row r="2776" spans="2:6" x14ac:dyDescent="0.25">
      <c r="B2776" s="112"/>
      <c r="D2776" s="112"/>
      <c r="E2776" s="417"/>
      <c r="F2776" s="418"/>
    </row>
    <row r="2777" spans="2:6" x14ac:dyDescent="0.25">
      <c r="B2777" s="112"/>
      <c r="D2777" s="112"/>
      <c r="E2777" s="417"/>
      <c r="F2777" s="418"/>
    </row>
    <row r="2778" spans="2:6" x14ac:dyDescent="0.25">
      <c r="B2778" s="112"/>
      <c r="D2778" s="112"/>
      <c r="E2778" s="417"/>
      <c r="F2778" s="418"/>
    </row>
    <row r="2779" spans="2:6" x14ac:dyDescent="0.25">
      <c r="B2779" s="112"/>
      <c r="D2779" s="112"/>
      <c r="E2779" s="417"/>
      <c r="F2779" s="418"/>
    </row>
    <row r="2780" spans="2:6" x14ac:dyDescent="0.25">
      <c r="B2780" s="112"/>
      <c r="D2780" s="112"/>
      <c r="E2780" s="417"/>
      <c r="F2780" s="418"/>
    </row>
    <row r="2781" spans="2:6" x14ac:dyDescent="0.25">
      <c r="B2781" s="112"/>
      <c r="D2781" s="112"/>
      <c r="E2781" s="417"/>
      <c r="F2781" s="418"/>
    </row>
    <row r="2782" spans="2:6" x14ac:dyDescent="0.25">
      <c r="B2782" s="112"/>
      <c r="D2782" s="112"/>
      <c r="E2782" s="417"/>
      <c r="F2782" s="418"/>
    </row>
    <row r="2783" spans="2:6" x14ac:dyDescent="0.25">
      <c r="B2783" s="112"/>
      <c r="D2783" s="112"/>
      <c r="E2783" s="417"/>
      <c r="F2783" s="418"/>
    </row>
    <row r="2784" spans="2:6" x14ac:dyDescent="0.25">
      <c r="B2784" s="112"/>
      <c r="D2784" s="112"/>
      <c r="E2784" s="417"/>
      <c r="F2784" s="418"/>
    </row>
    <row r="2785" spans="2:6" x14ac:dyDescent="0.25">
      <c r="B2785" s="112"/>
      <c r="D2785" s="112"/>
      <c r="E2785" s="417"/>
      <c r="F2785" s="418"/>
    </row>
    <row r="2786" spans="2:6" x14ac:dyDescent="0.25">
      <c r="B2786" s="112"/>
      <c r="D2786" s="112"/>
      <c r="E2786" s="417"/>
      <c r="F2786" s="418"/>
    </row>
    <row r="2787" spans="2:6" x14ac:dyDescent="0.25">
      <c r="B2787" s="112"/>
      <c r="D2787" s="112"/>
      <c r="E2787" s="417"/>
      <c r="F2787" s="418"/>
    </row>
    <row r="2788" spans="2:6" x14ac:dyDescent="0.25">
      <c r="B2788" s="112"/>
      <c r="D2788" s="112"/>
      <c r="E2788" s="417"/>
      <c r="F2788" s="418"/>
    </row>
    <row r="2789" spans="2:6" x14ac:dyDescent="0.25">
      <c r="B2789" s="112"/>
      <c r="D2789" s="112"/>
      <c r="E2789" s="417"/>
      <c r="F2789" s="418"/>
    </row>
    <row r="2790" spans="2:6" x14ac:dyDescent="0.25">
      <c r="B2790" s="112"/>
      <c r="D2790" s="112"/>
      <c r="E2790" s="417"/>
      <c r="F2790" s="418"/>
    </row>
    <row r="2791" spans="2:6" x14ac:dyDescent="0.25">
      <c r="B2791" s="112"/>
      <c r="D2791" s="112"/>
      <c r="E2791" s="417"/>
      <c r="F2791" s="418"/>
    </row>
    <row r="2792" spans="2:6" x14ac:dyDescent="0.25">
      <c r="B2792" s="112"/>
      <c r="D2792" s="112"/>
      <c r="E2792" s="417"/>
      <c r="F2792" s="418"/>
    </row>
    <row r="2793" spans="2:6" x14ac:dyDescent="0.25">
      <c r="B2793" s="112"/>
      <c r="D2793" s="112"/>
      <c r="E2793" s="417"/>
      <c r="F2793" s="418"/>
    </row>
    <row r="2794" spans="2:6" x14ac:dyDescent="0.25">
      <c r="B2794" s="112"/>
      <c r="D2794" s="112"/>
      <c r="E2794" s="417"/>
      <c r="F2794" s="418"/>
    </row>
    <row r="2795" spans="2:6" x14ac:dyDescent="0.25">
      <c r="B2795" s="112"/>
      <c r="D2795" s="112"/>
      <c r="E2795" s="417"/>
      <c r="F2795" s="418"/>
    </row>
    <row r="2796" spans="2:6" x14ac:dyDescent="0.25">
      <c r="B2796" s="112"/>
      <c r="D2796" s="112"/>
      <c r="E2796" s="417"/>
      <c r="F2796" s="418"/>
    </row>
    <row r="2797" spans="2:6" x14ac:dyDescent="0.25">
      <c r="B2797" s="112"/>
      <c r="D2797" s="112"/>
      <c r="E2797" s="417"/>
      <c r="F2797" s="418"/>
    </row>
    <row r="2798" spans="2:6" x14ac:dyDescent="0.25">
      <c r="B2798" s="112"/>
      <c r="D2798" s="112"/>
      <c r="E2798" s="417"/>
      <c r="F2798" s="418"/>
    </row>
    <row r="2799" spans="2:6" x14ac:dyDescent="0.25">
      <c r="B2799" s="112"/>
      <c r="D2799" s="112"/>
      <c r="E2799" s="417"/>
      <c r="F2799" s="418"/>
    </row>
    <row r="2800" spans="2:6" x14ac:dyDescent="0.25">
      <c r="B2800" s="112"/>
      <c r="D2800" s="112"/>
      <c r="E2800" s="417"/>
      <c r="F2800" s="418"/>
    </row>
    <row r="2801" spans="2:6" x14ac:dyDescent="0.25">
      <c r="B2801" s="112"/>
      <c r="D2801" s="112"/>
      <c r="E2801" s="417"/>
      <c r="F2801" s="418"/>
    </row>
    <row r="2802" spans="2:6" x14ac:dyDescent="0.25">
      <c r="B2802" s="112"/>
      <c r="D2802" s="112"/>
      <c r="E2802" s="417"/>
      <c r="F2802" s="418"/>
    </row>
    <row r="2803" spans="2:6" x14ac:dyDescent="0.25">
      <c r="B2803" s="112"/>
      <c r="D2803" s="112"/>
      <c r="E2803" s="417"/>
      <c r="F2803" s="418"/>
    </row>
    <row r="2804" spans="2:6" x14ac:dyDescent="0.25">
      <c r="B2804" s="112"/>
      <c r="D2804" s="112"/>
      <c r="E2804" s="417"/>
      <c r="F2804" s="418"/>
    </row>
    <row r="2805" spans="2:6" x14ac:dyDescent="0.25">
      <c r="B2805" s="112"/>
      <c r="D2805" s="112"/>
      <c r="E2805" s="417"/>
      <c r="F2805" s="418"/>
    </row>
    <row r="2806" spans="2:6" x14ac:dyDescent="0.25">
      <c r="B2806" s="112"/>
      <c r="D2806" s="112"/>
      <c r="E2806" s="417"/>
      <c r="F2806" s="418"/>
    </row>
    <row r="2807" spans="2:6" x14ac:dyDescent="0.25">
      <c r="B2807" s="112"/>
      <c r="D2807" s="112"/>
      <c r="E2807" s="417"/>
      <c r="F2807" s="418"/>
    </row>
    <row r="2808" spans="2:6" x14ac:dyDescent="0.25">
      <c r="B2808" s="112"/>
      <c r="D2808" s="112"/>
      <c r="E2808" s="417"/>
      <c r="F2808" s="418"/>
    </row>
    <row r="2809" spans="2:6" x14ac:dyDescent="0.25">
      <c r="B2809" s="112"/>
      <c r="D2809" s="112"/>
      <c r="E2809" s="417"/>
      <c r="F2809" s="418"/>
    </row>
    <row r="2810" spans="2:6" x14ac:dyDescent="0.25">
      <c r="B2810" s="112"/>
      <c r="D2810" s="112"/>
      <c r="E2810" s="417"/>
      <c r="F2810" s="418"/>
    </row>
    <row r="2811" spans="2:6" x14ac:dyDescent="0.25">
      <c r="B2811" s="112"/>
      <c r="D2811" s="112"/>
      <c r="E2811" s="417"/>
      <c r="F2811" s="418"/>
    </row>
    <row r="2812" spans="2:6" x14ac:dyDescent="0.25">
      <c r="B2812" s="112"/>
      <c r="D2812" s="112"/>
      <c r="E2812" s="417"/>
      <c r="F2812" s="418"/>
    </row>
    <row r="2813" spans="2:6" x14ac:dyDescent="0.25">
      <c r="B2813" s="112"/>
      <c r="D2813" s="112"/>
      <c r="E2813" s="417"/>
      <c r="F2813" s="418"/>
    </row>
    <row r="2814" spans="2:6" x14ac:dyDescent="0.25">
      <c r="B2814" s="112"/>
      <c r="D2814" s="112"/>
      <c r="E2814" s="417"/>
      <c r="F2814" s="418"/>
    </row>
    <row r="2815" spans="2:6" x14ac:dyDescent="0.25">
      <c r="B2815" s="112"/>
      <c r="D2815" s="112"/>
      <c r="E2815" s="417"/>
      <c r="F2815" s="418"/>
    </row>
    <row r="2816" spans="2:6" x14ac:dyDescent="0.25">
      <c r="B2816" s="112"/>
      <c r="D2816" s="112"/>
      <c r="E2816" s="417"/>
      <c r="F2816" s="418"/>
    </row>
    <row r="2817" spans="2:6" x14ac:dyDescent="0.25">
      <c r="B2817" s="112"/>
      <c r="D2817" s="112"/>
      <c r="E2817" s="417"/>
      <c r="F2817" s="418"/>
    </row>
    <row r="2818" spans="2:6" x14ac:dyDescent="0.25">
      <c r="B2818" s="112"/>
      <c r="D2818" s="112"/>
      <c r="E2818" s="417"/>
      <c r="F2818" s="418"/>
    </row>
    <row r="2819" spans="2:6" x14ac:dyDescent="0.25">
      <c r="B2819" s="112"/>
      <c r="D2819" s="112"/>
      <c r="E2819" s="417"/>
      <c r="F2819" s="418"/>
    </row>
    <row r="2820" spans="2:6" x14ac:dyDescent="0.25">
      <c r="B2820" s="112"/>
      <c r="D2820" s="112"/>
      <c r="E2820" s="417"/>
      <c r="F2820" s="418"/>
    </row>
    <row r="2821" spans="2:6" x14ac:dyDescent="0.25">
      <c r="B2821" s="112"/>
      <c r="D2821" s="112"/>
      <c r="E2821" s="417"/>
      <c r="F2821" s="418"/>
    </row>
    <row r="2822" spans="2:6" x14ac:dyDescent="0.25">
      <c r="B2822" s="112"/>
      <c r="D2822" s="112"/>
      <c r="E2822" s="417"/>
      <c r="F2822" s="418"/>
    </row>
    <row r="2823" spans="2:6" x14ac:dyDescent="0.25">
      <c r="B2823" s="112"/>
      <c r="D2823" s="112"/>
      <c r="E2823" s="417"/>
      <c r="F2823" s="418"/>
    </row>
    <row r="2824" spans="2:6" x14ac:dyDescent="0.25">
      <c r="B2824" s="112"/>
      <c r="D2824" s="112"/>
      <c r="E2824" s="417"/>
      <c r="F2824" s="418"/>
    </row>
    <row r="2825" spans="2:6" x14ac:dyDescent="0.25">
      <c r="B2825" s="112"/>
      <c r="D2825" s="112"/>
      <c r="E2825" s="417"/>
      <c r="F2825" s="418"/>
    </row>
    <row r="2826" spans="2:6" x14ac:dyDescent="0.25">
      <c r="B2826" s="112"/>
      <c r="D2826" s="112"/>
      <c r="E2826" s="417"/>
      <c r="F2826" s="418"/>
    </row>
    <row r="2827" spans="2:6" x14ac:dyDescent="0.25">
      <c r="B2827" s="112"/>
      <c r="D2827" s="112"/>
      <c r="E2827" s="417"/>
      <c r="F2827" s="418"/>
    </row>
    <row r="2828" spans="2:6" x14ac:dyDescent="0.25">
      <c r="B2828" s="112"/>
      <c r="D2828" s="112"/>
      <c r="E2828" s="417"/>
      <c r="F2828" s="418"/>
    </row>
    <row r="2829" spans="2:6" x14ac:dyDescent="0.25">
      <c r="B2829" s="112"/>
      <c r="D2829" s="112"/>
      <c r="E2829" s="417"/>
      <c r="F2829" s="418"/>
    </row>
    <row r="2830" spans="2:6" x14ac:dyDescent="0.25">
      <c r="B2830" s="112"/>
      <c r="D2830" s="112"/>
      <c r="E2830" s="417"/>
      <c r="F2830" s="418"/>
    </row>
    <row r="2831" spans="2:6" x14ac:dyDescent="0.25">
      <c r="B2831" s="112"/>
      <c r="D2831" s="112"/>
      <c r="E2831" s="417"/>
      <c r="F2831" s="418"/>
    </row>
    <row r="2832" spans="2:6" x14ac:dyDescent="0.25">
      <c r="B2832" s="112"/>
      <c r="D2832" s="112"/>
      <c r="E2832" s="417"/>
      <c r="F2832" s="418"/>
    </row>
    <row r="2833" spans="2:6" x14ac:dyDescent="0.25">
      <c r="B2833" s="112"/>
      <c r="D2833" s="112"/>
      <c r="E2833" s="417"/>
      <c r="F2833" s="418"/>
    </row>
    <row r="2834" spans="2:6" x14ac:dyDescent="0.25">
      <c r="B2834" s="112"/>
      <c r="D2834" s="112"/>
      <c r="E2834" s="417"/>
      <c r="F2834" s="418"/>
    </row>
    <row r="2835" spans="2:6" x14ac:dyDescent="0.25">
      <c r="B2835" s="112"/>
      <c r="D2835" s="112"/>
      <c r="E2835" s="417"/>
      <c r="F2835" s="418"/>
    </row>
    <row r="2836" spans="2:6" x14ac:dyDescent="0.25">
      <c r="B2836" s="112"/>
      <c r="D2836" s="112"/>
      <c r="E2836" s="417"/>
      <c r="F2836" s="418"/>
    </row>
    <row r="2837" spans="2:6" x14ac:dyDescent="0.25">
      <c r="B2837" s="112"/>
      <c r="D2837" s="112"/>
      <c r="E2837" s="417"/>
      <c r="F2837" s="418"/>
    </row>
    <row r="2838" spans="2:6" x14ac:dyDescent="0.25">
      <c r="B2838" s="112"/>
      <c r="D2838" s="112"/>
      <c r="E2838" s="417"/>
      <c r="F2838" s="418"/>
    </row>
    <row r="2839" spans="2:6" x14ac:dyDescent="0.25">
      <c r="B2839" s="112"/>
      <c r="D2839" s="112"/>
      <c r="E2839" s="417"/>
      <c r="F2839" s="418"/>
    </row>
    <row r="2840" spans="2:6" x14ac:dyDescent="0.25">
      <c r="B2840" s="112"/>
      <c r="D2840" s="112"/>
      <c r="E2840" s="417"/>
      <c r="F2840" s="418"/>
    </row>
    <row r="2841" spans="2:6" x14ac:dyDescent="0.25">
      <c r="B2841" s="112"/>
      <c r="D2841" s="112"/>
      <c r="E2841" s="417"/>
      <c r="F2841" s="418"/>
    </row>
    <row r="2842" spans="2:6" x14ac:dyDescent="0.25">
      <c r="B2842" s="112"/>
      <c r="D2842" s="112"/>
      <c r="E2842" s="417"/>
      <c r="F2842" s="418"/>
    </row>
    <row r="2843" spans="2:6" x14ac:dyDescent="0.25">
      <c r="B2843" s="112"/>
      <c r="D2843" s="112"/>
      <c r="E2843" s="417"/>
      <c r="F2843" s="418"/>
    </row>
    <row r="2844" spans="2:6" x14ac:dyDescent="0.25">
      <c r="B2844" s="112"/>
      <c r="D2844" s="112"/>
      <c r="E2844" s="417"/>
      <c r="F2844" s="418"/>
    </row>
    <row r="2845" spans="2:6" x14ac:dyDescent="0.25">
      <c r="B2845" s="112"/>
      <c r="D2845" s="112"/>
      <c r="E2845" s="417"/>
      <c r="F2845" s="418"/>
    </row>
    <row r="2846" spans="2:6" x14ac:dyDescent="0.25">
      <c r="B2846" s="112"/>
      <c r="D2846" s="112"/>
      <c r="E2846" s="417"/>
      <c r="F2846" s="418"/>
    </row>
    <row r="2847" spans="2:6" x14ac:dyDescent="0.25">
      <c r="B2847" s="112"/>
      <c r="D2847" s="112"/>
      <c r="E2847" s="417"/>
      <c r="F2847" s="418"/>
    </row>
    <row r="2848" spans="2:6" x14ac:dyDescent="0.25">
      <c r="B2848" s="112"/>
      <c r="D2848" s="112"/>
      <c r="E2848" s="417"/>
      <c r="F2848" s="418"/>
    </row>
    <row r="2849" spans="2:6" x14ac:dyDescent="0.25">
      <c r="B2849" s="112"/>
      <c r="D2849" s="112"/>
      <c r="E2849" s="417"/>
      <c r="F2849" s="418"/>
    </row>
    <row r="2850" spans="2:6" x14ac:dyDescent="0.25">
      <c r="B2850" s="112"/>
      <c r="D2850" s="112"/>
      <c r="E2850" s="417"/>
      <c r="F2850" s="418"/>
    </row>
    <row r="2851" spans="2:6" x14ac:dyDescent="0.25">
      <c r="B2851" s="112"/>
      <c r="D2851" s="112"/>
      <c r="E2851" s="417"/>
      <c r="F2851" s="418"/>
    </row>
    <row r="2852" spans="2:6" x14ac:dyDescent="0.25">
      <c r="B2852" s="112"/>
      <c r="D2852" s="112"/>
      <c r="E2852" s="417"/>
      <c r="F2852" s="418"/>
    </row>
    <row r="2853" spans="2:6" x14ac:dyDescent="0.25">
      <c r="B2853" s="112"/>
      <c r="D2853" s="112"/>
      <c r="E2853" s="417"/>
      <c r="F2853" s="418"/>
    </row>
    <row r="2854" spans="2:6" x14ac:dyDescent="0.25">
      <c r="B2854" s="112"/>
      <c r="D2854" s="112"/>
      <c r="E2854" s="417"/>
      <c r="F2854" s="418"/>
    </row>
    <row r="2855" spans="2:6" x14ac:dyDescent="0.25">
      <c r="B2855" s="112"/>
      <c r="D2855" s="112"/>
      <c r="E2855" s="417"/>
      <c r="F2855" s="418"/>
    </row>
    <row r="2856" spans="2:6" x14ac:dyDescent="0.25">
      <c r="B2856" s="112"/>
      <c r="D2856" s="112"/>
      <c r="E2856" s="417"/>
      <c r="F2856" s="418"/>
    </row>
    <row r="2857" spans="2:6" x14ac:dyDescent="0.25">
      <c r="B2857" s="112"/>
      <c r="D2857" s="112"/>
      <c r="E2857" s="417"/>
      <c r="F2857" s="418"/>
    </row>
    <row r="2858" spans="2:6" x14ac:dyDescent="0.25">
      <c r="B2858" s="112"/>
      <c r="D2858" s="112"/>
      <c r="E2858" s="417"/>
      <c r="F2858" s="418"/>
    </row>
    <row r="2859" spans="2:6" x14ac:dyDescent="0.25">
      <c r="B2859" s="112"/>
      <c r="D2859" s="112"/>
      <c r="E2859" s="417"/>
      <c r="F2859" s="418"/>
    </row>
    <row r="2860" spans="2:6" x14ac:dyDescent="0.25">
      <c r="B2860" s="112"/>
      <c r="D2860" s="112"/>
      <c r="E2860" s="417"/>
      <c r="F2860" s="418"/>
    </row>
    <row r="2861" spans="2:6" x14ac:dyDescent="0.25">
      <c r="B2861" s="112"/>
      <c r="D2861" s="112"/>
      <c r="E2861" s="417"/>
      <c r="F2861" s="418"/>
    </row>
    <row r="2862" spans="2:6" x14ac:dyDescent="0.25">
      <c r="B2862" s="112"/>
      <c r="D2862" s="112"/>
      <c r="E2862" s="417"/>
      <c r="F2862" s="418"/>
    </row>
    <row r="2863" spans="2:6" x14ac:dyDescent="0.25">
      <c r="B2863" s="112"/>
      <c r="D2863" s="112"/>
      <c r="E2863" s="417"/>
      <c r="F2863" s="418"/>
    </row>
    <row r="2864" spans="2:6" x14ac:dyDescent="0.25">
      <c r="B2864" s="112"/>
      <c r="D2864" s="112"/>
      <c r="E2864" s="417"/>
      <c r="F2864" s="418"/>
    </row>
    <row r="2865" spans="2:6" x14ac:dyDescent="0.25">
      <c r="B2865" s="112"/>
      <c r="D2865" s="112"/>
      <c r="E2865" s="417"/>
      <c r="F2865" s="418"/>
    </row>
    <row r="2866" spans="2:6" x14ac:dyDescent="0.25">
      <c r="B2866" s="112"/>
      <c r="D2866" s="112"/>
      <c r="E2866" s="417"/>
      <c r="F2866" s="418"/>
    </row>
    <row r="2867" spans="2:6" x14ac:dyDescent="0.25">
      <c r="B2867" s="112"/>
      <c r="D2867" s="112"/>
      <c r="E2867" s="417"/>
      <c r="F2867" s="418"/>
    </row>
    <row r="2868" spans="2:6" x14ac:dyDescent="0.25">
      <c r="B2868" s="112"/>
      <c r="D2868" s="112"/>
      <c r="E2868" s="417"/>
      <c r="F2868" s="418"/>
    </row>
    <row r="2869" spans="2:6" x14ac:dyDescent="0.25">
      <c r="B2869" s="112"/>
      <c r="D2869" s="112"/>
      <c r="E2869" s="417"/>
      <c r="F2869" s="418"/>
    </row>
    <row r="2870" spans="2:6" x14ac:dyDescent="0.25">
      <c r="B2870" s="112"/>
      <c r="D2870" s="112"/>
      <c r="E2870" s="417"/>
      <c r="F2870" s="418"/>
    </row>
    <row r="2871" spans="2:6" x14ac:dyDescent="0.25">
      <c r="B2871" s="112"/>
      <c r="D2871" s="112"/>
      <c r="E2871" s="417"/>
      <c r="F2871" s="418"/>
    </row>
    <row r="2872" spans="2:6" x14ac:dyDescent="0.25">
      <c r="B2872" s="112"/>
      <c r="D2872" s="112"/>
      <c r="E2872" s="417"/>
      <c r="F2872" s="418"/>
    </row>
    <row r="2873" spans="2:6" x14ac:dyDescent="0.25">
      <c r="B2873" s="112"/>
      <c r="D2873" s="112"/>
      <c r="E2873" s="417"/>
      <c r="F2873" s="418"/>
    </row>
    <row r="2874" spans="2:6" x14ac:dyDescent="0.25">
      <c r="B2874" s="112"/>
      <c r="D2874" s="112"/>
      <c r="E2874" s="417"/>
      <c r="F2874" s="418"/>
    </row>
    <row r="2875" spans="2:6" x14ac:dyDescent="0.25">
      <c r="B2875" s="112"/>
      <c r="D2875" s="112"/>
      <c r="E2875" s="417"/>
      <c r="F2875" s="418"/>
    </row>
    <row r="2876" spans="2:6" x14ac:dyDescent="0.25">
      <c r="B2876" s="112"/>
      <c r="D2876" s="112"/>
      <c r="E2876" s="417"/>
      <c r="F2876" s="418"/>
    </row>
    <row r="2877" spans="2:6" x14ac:dyDescent="0.25">
      <c r="B2877" s="112"/>
      <c r="D2877" s="112"/>
      <c r="E2877" s="417"/>
      <c r="F2877" s="418"/>
    </row>
    <row r="2878" spans="2:6" x14ac:dyDescent="0.25">
      <c r="B2878" s="112"/>
      <c r="D2878" s="112"/>
      <c r="E2878" s="417"/>
      <c r="F2878" s="418"/>
    </row>
    <row r="2879" spans="2:6" x14ac:dyDescent="0.25">
      <c r="B2879" s="112"/>
      <c r="D2879" s="112"/>
      <c r="E2879" s="417"/>
      <c r="F2879" s="418"/>
    </row>
    <row r="2880" spans="2:6" x14ac:dyDescent="0.25">
      <c r="B2880" s="112"/>
      <c r="D2880" s="112"/>
      <c r="E2880" s="417"/>
      <c r="F2880" s="418"/>
    </row>
    <row r="2881" spans="2:6" x14ac:dyDescent="0.25">
      <c r="B2881" s="112"/>
      <c r="D2881" s="112"/>
      <c r="E2881" s="417"/>
      <c r="F2881" s="418"/>
    </row>
    <row r="2882" spans="2:6" x14ac:dyDescent="0.25">
      <c r="B2882" s="112"/>
      <c r="D2882" s="112"/>
      <c r="E2882" s="417"/>
      <c r="F2882" s="418"/>
    </row>
    <row r="2883" spans="2:6" x14ac:dyDescent="0.25">
      <c r="B2883" s="112"/>
      <c r="D2883" s="112"/>
      <c r="E2883" s="417"/>
      <c r="F2883" s="418"/>
    </row>
    <row r="2884" spans="2:6" x14ac:dyDescent="0.25">
      <c r="B2884" s="112"/>
      <c r="D2884" s="112"/>
      <c r="E2884" s="417"/>
      <c r="F2884" s="418"/>
    </row>
    <row r="2885" spans="2:6" x14ac:dyDescent="0.25">
      <c r="B2885" s="112"/>
      <c r="D2885" s="112"/>
      <c r="E2885" s="417"/>
      <c r="F2885" s="418"/>
    </row>
    <row r="2886" spans="2:6" x14ac:dyDescent="0.25">
      <c r="B2886" s="112"/>
      <c r="D2886" s="112"/>
      <c r="E2886" s="417"/>
      <c r="F2886" s="418"/>
    </row>
    <row r="2887" spans="2:6" x14ac:dyDescent="0.25">
      <c r="B2887" s="112"/>
      <c r="D2887" s="112"/>
      <c r="E2887" s="417"/>
      <c r="F2887" s="418"/>
    </row>
    <row r="2888" spans="2:6" x14ac:dyDescent="0.25">
      <c r="B2888" s="112"/>
      <c r="D2888" s="112"/>
      <c r="E2888" s="417"/>
      <c r="F2888" s="418"/>
    </row>
    <row r="2889" spans="2:6" x14ac:dyDescent="0.25">
      <c r="B2889" s="112"/>
      <c r="D2889" s="112"/>
      <c r="E2889" s="417"/>
      <c r="F2889" s="418"/>
    </row>
    <row r="2890" spans="2:6" x14ac:dyDescent="0.25">
      <c r="B2890" s="112"/>
      <c r="D2890" s="112"/>
      <c r="E2890" s="417"/>
      <c r="F2890" s="418"/>
    </row>
    <row r="2891" spans="2:6" x14ac:dyDescent="0.25">
      <c r="B2891" s="112"/>
      <c r="D2891" s="112"/>
      <c r="E2891" s="417"/>
      <c r="F2891" s="418"/>
    </row>
    <row r="2892" spans="2:6" x14ac:dyDescent="0.25">
      <c r="B2892" s="112"/>
      <c r="D2892" s="112"/>
      <c r="E2892" s="417"/>
      <c r="F2892" s="418"/>
    </row>
    <row r="2893" spans="2:6" x14ac:dyDescent="0.25">
      <c r="B2893" s="112"/>
      <c r="D2893" s="112"/>
      <c r="E2893" s="417"/>
      <c r="F2893" s="418"/>
    </row>
    <row r="2894" spans="2:6" x14ac:dyDescent="0.25">
      <c r="B2894" s="112"/>
      <c r="D2894" s="112"/>
      <c r="E2894" s="417"/>
      <c r="F2894" s="418"/>
    </row>
    <row r="2895" spans="2:6" x14ac:dyDescent="0.25">
      <c r="B2895" s="112"/>
      <c r="D2895" s="112"/>
      <c r="E2895" s="417"/>
      <c r="F2895" s="418"/>
    </row>
    <row r="2896" spans="2:6" x14ac:dyDescent="0.25">
      <c r="B2896" s="112"/>
      <c r="D2896" s="112"/>
      <c r="E2896" s="417"/>
      <c r="F2896" s="418"/>
    </row>
    <row r="2897" spans="2:6" x14ac:dyDescent="0.25">
      <c r="B2897" s="112"/>
      <c r="D2897" s="112"/>
      <c r="E2897" s="417"/>
      <c r="F2897" s="418"/>
    </row>
    <row r="2898" spans="2:6" x14ac:dyDescent="0.25">
      <c r="B2898" s="112"/>
      <c r="D2898" s="112"/>
      <c r="E2898" s="417"/>
      <c r="F2898" s="418"/>
    </row>
    <row r="2899" spans="2:6" x14ac:dyDescent="0.25">
      <c r="B2899" s="112"/>
      <c r="D2899" s="112"/>
      <c r="E2899" s="417"/>
      <c r="F2899" s="418"/>
    </row>
    <row r="2900" spans="2:6" x14ac:dyDescent="0.25">
      <c r="B2900" s="112"/>
      <c r="D2900" s="112"/>
      <c r="E2900" s="417"/>
      <c r="F2900" s="418"/>
    </row>
    <row r="2901" spans="2:6" x14ac:dyDescent="0.25">
      <c r="B2901" s="112"/>
      <c r="D2901" s="112"/>
      <c r="E2901" s="417"/>
      <c r="F2901" s="418"/>
    </row>
    <row r="2902" spans="2:6" x14ac:dyDescent="0.25">
      <c r="B2902" s="112"/>
      <c r="D2902" s="112"/>
      <c r="E2902" s="417"/>
      <c r="F2902" s="418"/>
    </row>
    <row r="2903" spans="2:6" x14ac:dyDescent="0.25">
      <c r="B2903" s="112"/>
      <c r="D2903" s="112"/>
      <c r="E2903" s="417"/>
      <c r="F2903" s="418"/>
    </row>
    <row r="2904" spans="2:6" x14ac:dyDescent="0.25">
      <c r="B2904" s="112"/>
      <c r="D2904" s="112"/>
      <c r="E2904" s="417"/>
      <c r="F2904" s="418"/>
    </row>
    <row r="2905" spans="2:6" x14ac:dyDescent="0.25">
      <c r="B2905" s="112"/>
      <c r="D2905" s="112"/>
      <c r="E2905" s="417"/>
      <c r="F2905" s="418"/>
    </row>
    <row r="2906" spans="2:6" x14ac:dyDescent="0.25">
      <c r="B2906" s="112"/>
      <c r="D2906" s="112"/>
      <c r="E2906" s="417"/>
      <c r="F2906" s="418"/>
    </row>
    <row r="2907" spans="2:6" x14ac:dyDescent="0.25">
      <c r="B2907" s="112"/>
      <c r="D2907" s="112"/>
      <c r="E2907" s="417"/>
      <c r="F2907" s="418"/>
    </row>
    <row r="2908" spans="2:6" x14ac:dyDescent="0.25">
      <c r="B2908" s="112"/>
      <c r="D2908" s="112"/>
      <c r="E2908" s="417"/>
      <c r="F2908" s="418"/>
    </row>
    <row r="2909" spans="2:6" x14ac:dyDescent="0.25">
      <c r="B2909" s="112"/>
      <c r="D2909" s="112"/>
      <c r="E2909" s="417"/>
      <c r="F2909" s="418"/>
    </row>
    <row r="2910" spans="2:6" x14ac:dyDescent="0.25">
      <c r="B2910" s="112"/>
      <c r="D2910" s="112"/>
      <c r="E2910" s="417"/>
      <c r="F2910" s="418"/>
    </row>
    <row r="2911" spans="2:6" x14ac:dyDescent="0.25">
      <c r="B2911" s="112"/>
      <c r="D2911" s="112"/>
      <c r="E2911" s="417"/>
      <c r="F2911" s="418"/>
    </row>
    <row r="2912" spans="2:6" x14ac:dyDescent="0.25">
      <c r="B2912" s="112"/>
      <c r="D2912" s="112"/>
      <c r="E2912" s="417"/>
      <c r="F2912" s="418"/>
    </row>
    <row r="2913" spans="2:6" x14ac:dyDescent="0.25">
      <c r="B2913" s="112"/>
      <c r="D2913" s="112"/>
      <c r="E2913" s="417"/>
      <c r="F2913" s="418"/>
    </row>
    <row r="2914" spans="2:6" x14ac:dyDescent="0.25">
      <c r="B2914" s="112"/>
      <c r="D2914" s="112"/>
      <c r="E2914" s="417"/>
      <c r="F2914" s="418"/>
    </row>
    <row r="2915" spans="2:6" x14ac:dyDescent="0.25">
      <c r="B2915" s="112"/>
      <c r="D2915" s="112"/>
      <c r="E2915" s="417"/>
      <c r="F2915" s="418"/>
    </row>
    <row r="2916" spans="2:6" x14ac:dyDescent="0.25">
      <c r="B2916" s="112"/>
      <c r="D2916" s="112"/>
      <c r="E2916" s="417"/>
      <c r="F2916" s="418"/>
    </row>
    <row r="2917" spans="2:6" x14ac:dyDescent="0.25">
      <c r="B2917" s="112"/>
      <c r="D2917" s="112"/>
      <c r="E2917" s="417"/>
      <c r="F2917" s="418"/>
    </row>
    <row r="2918" spans="2:6" x14ac:dyDescent="0.25">
      <c r="B2918" s="112"/>
      <c r="D2918" s="112"/>
      <c r="E2918" s="417"/>
      <c r="F2918" s="418"/>
    </row>
    <row r="2919" spans="2:6" x14ac:dyDescent="0.25">
      <c r="B2919" s="112"/>
      <c r="D2919" s="112"/>
      <c r="E2919" s="417"/>
      <c r="F2919" s="418"/>
    </row>
    <row r="2920" spans="2:6" x14ac:dyDescent="0.25">
      <c r="B2920" s="112"/>
      <c r="D2920" s="112"/>
      <c r="E2920" s="417"/>
      <c r="F2920" s="418"/>
    </row>
    <row r="2921" spans="2:6" x14ac:dyDescent="0.25">
      <c r="B2921" s="112"/>
      <c r="D2921" s="112"/>
      <c r="E2921" s="417"/>
      <c r="F2921" s="418"/>
    </row>
    <row r="2922" spans="2:6" x14ac:dyDescent="0.25">
      <c r="B2922" s="112"/>
      <c r="D2922" s="112"/>
      <c r="E2922" s="417"/>
      <c r="F2922" s="418"/>
    </row>
    <row r="2923" spans="2:6" x14ac:dyDescent="0.25">
      <c r="B2923" s="112"/>
      <c r="D2923" s="112"/>
      <c r="E2923" s="417"/>
      <c r="F2923" s="418"/>
    </row>
    <row r="2924" spans="2:6" x14ac:dyDescent="0.25">
      <c r="B2924" s="112"/>
      <c r="D2924" s="112"/>
      <c r="E2924" s="417"/>
      <c r="F2924" s="418"/>
    </row>
    <row r="2925" spans="2:6" x14ac:dyDescent="0.25">
      <c r="B2925" s="112"/>
      <c r="D2925" s="112"/>
      <c r="E2925" s="417"/>
      <c r="F2925" s="418"/>
    </row>
    <row r="2926" spans="2:6" x14ac:dyDescent="0.25">
      <c r="B2926" s="112"/>
      <c r="D2926" s="112"/>
      <c r="E2926" s="417"/>
      <c r="F2926" s="418"/>
    </row>
    <row r="2927" spans="2:6" x14ac:dyDescent="0.25">
      <c r="B2927" s="112"/>
      <c r="D2927" s="112"/>
      <c r="E2927" s="417"/>
      <c r="F2927" s="418"/>
    </row>
    <row r="2928" spans="2:6" x14ac:dyDescent="0.25">
      <c r="B2928" s="112"/>
      <c r="D2928" s="112"/>
      <c r="E2928" s="417"/>
      <c r="F2928" s="418"/>
    </row>
    <row r="2929" spans="2:6" x14ac:dyDescent="0.25">
      <c r="B2929" s="112"/>
      <c r="D2929" s="112"/>
      <c r="E2929" s="417"/>
      <c r="F2929" s="418"/>
    </row>
    <row r="2930" spans="2:6" x14ac:dyDescent="0.25">
      <c r="B2930" s="112"/>
      <c r="D2930" s="112"/>
      <c r="E2930" s="417"/>
      <c r="F2930" s="418"/>
    </row>
    <row r="2931" spans="2:6" x14ac:dyDescent="0.25">
      <c r="B2931" s="112"/>
      <c r="D2931" s="112"/>
      <c r="E2931" s="417"/>
      <c r="F2931" s="418"/>
    </row>
    <row r="2932" spans="2:6" x14ac:dyDescent="0.25">
      <c r="B2932" s="112"/>
      <c r="D2932" s="112"/>
      <c r="E2932" s="417"/>
      <c r="F2932" s="418"/>
    </row>
    <row r="2933" spans="2:6" x14ac:dyDescent="0.25">
      <c r="B2933" s="112"/>
      <c r="D2933" s="112"/>
      <c r="E2933" s="417"/>
      <c r="F2933" s="418"/>
    </row>
    <row r="2934" spans="2:6" x14ac:dyDescent="0.25">
      <c r="B2934" s="112"/>
      <c r="D2934" s="112"/>
      <c r="E2934" s="417"/>
      <c r="F2934" s="418"/>
    </row>
    <row r="2935" spans="2:6" x14ac:dyDescent="0.25">
      <c r="B2935" s="112"/>
      <c r="D2935" s="112"/>
      <c r="E2935" s="417"/>
      <c r="F2935" s="418"/>
    </row>
    <row r="2936" spans="2:6" x14ac:dyDescent="0.25">
      <c r="B2936" s="112"/>
      <c r="D2936" s="112"/>
      <c r="E2936" s="417"/>
      <c r="F2936" s="418"/>
    </row>
    <row r="2937" spans="2:6" x14ac:dyDescent="0.25">
      <c r="B2937" s="112"/>
      <c r="D2937" s="112"/>
      <c r="E2937" s="417"/>
      <c r="F2937" s="418"/>
    </row>
    <row r="2938" spans="2:6" x14ac:dyDescent="0.25">
      <c r="B2938" s="112"/>
      <c r="D2938" s="112"/>
      <c r="E2938" s="417"/>
      <c r="F2938" s="418"/>
    </row>
    <row r="2939" spans="2:6" x14ac:dyDescent="0.25">
      <c r="B2939" s="112"/>
      <c r="D2939" s="112"/>
      <c r="E2939" s="417"/>
      <c r="F2939" s="418"/>
    </row>
    <row r="2940" spans="2:6" x14ac:dyDescent="0.25">
      <c r="B2940" s="112"/>
      <c r="D2940" s="112"/>
      <c r="E2940" s="417"/>
      <c r="F2940" s="418"/>
    </row>
    <row r="2941" spans="2:6" x14ac:dyDescent="0.25">
      <c r="B2941" s="112"/>
      <c r="D2941" s="112"/>
      <c r="E2941" s="417"/>
      <c r="F2941" s="418"/>
    </row>
    <row r="2942" spans="2:6" x14ac:dyDescent="0.25">
      <c r="B2942" s="112"/>
      <c r="D2942" s="112"/>
      <c r="E2942" s="417"/>
      <c r="F2942" s="418"/>
    </row>
    <row r="2943" spans="2:6" x14ac:dyDescent="0.25">
      <c r="B2943" s="112"/>
      <c r="D2943" s="112"/>
      <c r="E2943" s="417"/>
      <c r="F2943" s="418"/>
    </row>
    <row r="2944" spans="2:6" x14ac:dyDescent="0.25">
      <c r="B2944" s="112"/>
      <c r="D2944" s="112"/>
      <c r="E2944" s="417"/>
      <c r="F2944" s="418"/>
    </row>
    <row r="2945" spans="2:6" x14ac:dyDescent="0.25">
      <c r="B2945" s="112"/>
      <c r="D2945" s="112"/>
      <c r="E2945" s="417"/>
      <c r="F2945" s="418"/>
    </row>
    <row r="2946" spans="2:6" x14ac:dyDescent="0.25">
      <c r="B2946" s="112"/>
      <c r="D2946" s="112"/>
      <c r="E2946" s="417"/>
      <c r="F2946" s="418"/>
    </row>
    <row r="2947" spans="2:6" x14ac:dyDescent="0.25">
      <c r="B2947" s="112"/>
      <c r="D2947" s="112"/>
      <c r="E2947" s="417"/>
      <c r="F2947" s="418"/>
    </row>
    <row r="2948" spans="2:6" x14ac:dyDescent="0.25">
      <c r="B2948" s="112"/>
      <c r="D2948" s="112"/>
      <c r="E2948" s="417"/>
      <c r="F2948" s="418"/>
    </row>
    <row r="2949" spans="2:6" x14ac:dyDescent="0.25">
      <c r="B2949" s="112"/>
      <c r="D2949" s="112"/>
      <c r="E2949" s="417"/>
      <c r="F2949" s="418"/>
    </row>
    <row r="2950" spans="2:6" x14ac:dyDescent="0.25">
      <c r="B2950" s="112"/>
      <c r="D2950" s="112"/>
      <c r="E2950" s="417"/>
      <c r="F2950" s="418"/>
    </row>
    <row r="2951" spans="2:6" x14ac:dyDescent="0.25">
      <c r="B2951" s="112"/>
      <c r="D2951" s="112"/>
      <c r="E2951" s="417"/>
      <c r="F2951" s="418"/>
    </row>
    <row r="2952" spans="2:6" x14ac:dyDescent="0.25">
      <c r="B2952" s="112"/>
      <c r="D2952" s="112"/>
      <c r="E2952" s="417"/>
      <c r="F2952" s="418"/>
    </row>
    <row r="2953" spans="2:6" x14ac:dyDescent="0.25">
      <c r="B2953" s="112"/>
      <c r="D2953" s="112"/>
      <c r="E2953" s="417"/>
      <c r="F2953" s="418"/>
    </row>
    <row r="2954" spans="2:6" x14ac:dyDescent="0.25">
      <c r="B2954" s="112"/>
      <c r="D2954" s="112"/>
      <c r="E2954" s="417"/>
      <c r="F2954" s="418"/>
    </row>
    <row r="2955" spans="2:6" x14ac:dyDescent="0.25">
      <c r="B2955" s="112"/>
      <c r="D2955" s="112"/>
      <c r="E2955" s="417"/>
      <c r="F2955" s="418"/>
    </row>
    <row r="2956" spans="2:6" x14ac:dyDescent="0.25">
      <c r="B2956" s="112"/>
      <c r="D2956" s="112"/>
      <c r="E2956" s="417"/>
      <c r="F2956" s="418"/>
    </row>
    <row r="2957" spans="2:6" x14ac:dyDescent="0.25">
      <c r="B2957" s="112"/>
      <c r="D2957" s="112"/>
      <c r="E2957" s="417"/>
      <c r="F2957" s="418"/>
    </row>
    <row r="2958" spans="2:6" x14ac:dyDescent="0.25">
      <c r="B2958" s="112"/>
      <c r="D2958" s="112"/>
      <c r="E2958" s="417"/>
      <c r="F2958" s="418"/>
    </row>
    <row r="2959" spans="2:6" x14ac:dyDescent="0.25">
      <c r="B2959" s="112"/>
      <c r="D2959" s="112"/>
      <c r="E2959" s="417"/>
      <c r="F2959" s="418"/>
    </row>
    <row r="2960" spans="2:6" x14ac:dyDescent="0.25">
      <c r="B2960" s="112"/>
      <c r="D2960" s="112"/>
      <c r="E2960" s="417"/>
      <c r="F2960" s="418"/>
    </row>
    <row r="2961" spans="2:6" x14ac:dyDescent="0.25">
      <c r="B2961" s="112"/>
      <c r="D2961" s="112"/>
      <c r="E2961" s="417"/>
      <c r="F2961" s="418"/>
    </row>
    <row r="2962" spans="2:6" x14ac:dyDescent="0.25">
      <c r="B2962" s="112"/>
      <c r="D2962" s="112"/>
      <c r="E2962" s="417"/>
      <c r="F2962" s="418"/>
    </row>
    <row r="2963" spans="2:6" x14ac:dyDescent="0.25">
      <c r="B2963" s="112"/>
      <c r="D2963" s="112"/>
      <c r="E2963" s="417"/>
      <c r="F2963" s="418"/>
    </row>
    <row r="2964" spans="2:6" x14ac:dyDescent="0.25">
      <c r="B2964" s="112"/>
      <c r="D2964" s="112"/>
      <c r="E2964" s="417"/>
      <c r="F2964" s="418"/>
    </row>
    <row r="2965" spans="2:6" x14ac:dyDescent="0.25">
      <c r="B2965" s="112"/>
      <c r="D2965" s="112"/>
      <c r="E2965" s="417"/>
      <c r="F2965" s="418"/>
    </row>
    <row r="2966" spans="2:6" x14ac:dyDescent="0.25">
      <c r="B2966" s="112"/>
      <c r="D2966" s="112"/>
      <c r="E2966" s="417"/>
      <c r="F2966" s="418"/>
    </row>
    <row r="2967" spans="2:6" x14ac:dyDescent="0.25">
      <c r="B2967" s="112"/>
      <c r="D2967" s="112"/>
      <c r="E2967" s="417"/>
      <c r="F2967" s="418"/>
    </row>
    <row r="2968" spans="2:6" x14ac:dyDescent="0.25">
      <c r="B2968" s="112"/>
      <c r="D2968" s="112"/>
      <c r="E2968" s="417"/>
      <c r="F2968" s="418"/>
    </row>
    <row r="2969" spans="2:6" x14ac:dyDescent="0.25">
      <c r="B2969" s="112"/>
      <c r="D2969" s="112"/>
      <c r="E2969" s="417"/>
      <c r="F2969" s="418"/>
    </row>
    <row r="2970" spans="2:6" x14ac:dyDescent="0.25">
      <c r="B2970" s="112"/>
      <c r="D2970" s="112"/>
      <c r="E2970" s="417"/>
      <c r="F2970" s="418"/>
    </row>
    <row r="2971" spans="2:6" x14ac:dyDescent="0.25">
      <c r="B2971" s="112"/>
      <c r="D2971" s="112"/>
      <c r="E2971" s="417"/>
      <c r="F2971" s="418"/>
    </row>
    <row r="2972" spans="2:6" x14ac:dyDescent="0.25">
      <c r="B2972" s="112"/>
      <c r="D2972" s="112"/>
      <c r="E2972" s="417"/>
      <c r="F2972" s="418"/>
    </row>
    <row r="2973" spans="2:6" x14ac:dyDescent="0.25">
      <c r="B2973" s="112"/>
      <c r="D2973" s="112"/>
      <c r="E2973" s="417"/>
      <c r="F2973" s="418"/>
    </row>
    <row r="2974" spans="2:6" x14ac:dyDescent="0.25">
      <c r="B2974" s="112"/>
      <c r="D2974" s="112"/>
      <c r="E2974" s="417"/>
      <c r="F2974" s="418"/>
    </row>
    <row r="2975" spans="2:6" x14ac:dyDescent="0.25">
      <c r="B2975" s="112"/>
      <c r="D2975" s="112"/>
      <c r="E2975" s="417"/>
      <c r="F2975" s="418"/>
    </row>
    <row r="2976" spans="2:6" x14ac:dyDescent="0.25">
      <c r="B2976" s="112"/>
      <c r="D2976" s="112"/>
      <c r="E2976" s="417"/>
      <c r="F2976" s="418"/>
    </row>
    <row r="2977" spans="2:6" x14ac:dyDescent="0.25">
      <c r="B2977" s="112"/>
      <c r="D2977" s="112"/>
      <c r="E2977" s="417"/>
      <c r="F2977" s="418"/>
    </row>
    <row r="2978" spans="2:6" x14ac:dyDescent="0.25">
      <c r="B2978" s="112"/>
      <c r="D2978" s="112"/>
      <c r="E2978" s="417"/>
      <c r="F2978" s="418"/>
    </row>
    <row r="2979" spans="2:6" x14ac:dyDescent="0.25">
      <c r="B2979" s="112"/>
      <c r="D2979" s="112"/>
      <c r="E2979" s="417"/>
      <c r="F2979" s="418"/>
    </row>
    <row r="2980" spans="2:6" x14ac:dyDescent="0.25">
      <c r="B2980" s="112"/>
      <c r="D2980" s="112"/>
      <c r="E2980" s="417"/>
      <c r="F2980" s="418"/>
    </row>
    <row r="2981" spans="2:6" x14ac:dyDescent="0.25">
      <c r="B2981" s="112"/>
      <c r="D2981" s="112"/>
      <c r="E2981" s="417"/>
      <c r="F2981" s="418"/>
    </row>
    <row r="2982" spans="2:6" x14ac:dyDescent="0.25">
      <c r="B2982" s="112"/>
      <c r="D2982" s="112"/>
      <c r="E2982" s="417"/>
      <c r="F2982" s="418"/>
    </row>
    <row r="2983" spans="2:6" x14ac:dyDescent="0.25">
      <c r="B2983" s="112"/>
      <c r="D2983" s="112"/>
      <c r="E2983" s="417"/>
      <c r="F2983" s="418"/>
    </row>
    <row r="2984" spans="2:6" x14ac:dyDescent="0.25">
      <c r="B2984" s="112"/>
      <c r="D2984" s="112"/>
      <c r="E2984" s="417"/>
      <c r="F2984" s="418"/>
    </row>
    <row r="2985" spans="2:6" x14ac:dyDescent="0.25">
      <c r="B2985" s="112"/>
      <c r="D2985" s="112"/>
      <c r="E2985" s="417"/>
      <c r="F2985" s="418"/>
    </row>
    <row r="2986" spans="2:6" x14ac:dyDescent="0.25">
      <c r="B2986" s="112"/>
      <c r="D2986" s="112"/>
      <c r="E2986" s="417"/>
      <c r="F2986" s="418"/>
    </row>
    <row r="2987" spans="2:6" x14ac:dyDescent="0.25">
      <c r="B2987" s="112"/>
      <c r="D2987" s="112"/>
      <c r="E2987" s="417"/>
      <c r="F2987" s="418"/>
    </row>
    <row r="2988" spans="2:6" x14ac:dyDescent="0.25">
      <c r="B2988" s="112"/>
      <c r="D2988" s="112"/>
      <c r="E2988" s="417"/>
      <c r="F2988" s="418"/>
    </row>
    <row r="2989" spans="2:6" x14ac:dyDescent="0.25">
      <c r="B2989" s="112"/>
      <c r="D2989" s="112"/>
      <c r="E2989" s="417"/>
      <c r="F2989" s="418"/>
    </row>
    <row r="2990" spans="2:6" x14ac:dyDescent="0.25">
      <c r="B2990" s="112"/>
      <c r="D2990" s="112"/>
      <c r="E2990" s="417"/>
      <c r="F2990" s="418"/>
    </row>
    <row r="2991" spans="2:6" x14ac:dyDescent="0.25">
      <c r="B2991" s="112"/>
      <c r="D2991" s="112"/>
      <c r="E2991" s="417"/>
      <c r="F2991" s="418"/>
    </row>
    <row r="2992" spans="2:6" x14ac:dyDescent="0.25">
      <c r="B2992" s="112"/>
      <c r="D2992" s="112"/>
      <c r="E2992" s="417"/>
      <c r="F2992" s="418"/>
    </row>
    <row r="2993" spans="2:6" x14ac:dyDescent="0.25">
      <c r="B2993" s="112"/>
      <c r="D2993" s="112"/>
      <c r="E2993" s="417"/>
      <c r="F2993" s="418"/>
    </row>
    <row r="2994" spans="2:6" x14ac:dyDescent="0.25">
      <c r="B2994" s="112"/>
      <c r="D2994" s="112"/>
      <c r="E2994" s="417"/>
      <c r="F2994" s="418"/>
    </row>
    <row r="2995" spans="2:6" x14ac:dyDescent="0.25">
      <c r="B2995" s="112"/>
      <c r="D2995" s="112"/>
      <c r="E2995" s="417"/>
      <c r="F2995" s="418"/>
    </row>
    <row r="2996" spans="2:6" x14ac:dyDescent="0.25">
      <c r="B2996" s="112"/>
      <c r="D2996" s="112"/>
      <c r="E2996" s="417"/>
      <c r="F2996" s="418"/>
    </row>
    <row r="2997" spans="2:6" x14ac:dyDescent="0.25">
      <c r="B2997" s="112"/>
      <c r="D2997" s="112"/>
      <c r="E2997" s="417"/>
      <c r="F2997" s="418"/>
    </row>
    <row r="2998" spans="2:6" x14ac:dyDescent="0.25">
      <c r="B2998" s="112"/>
      <c r="D2998" s="112"/>
      <c r="E2998" s="417"/>
      <c r="F2998" s="418"/>
    </row>
    <row r="2999" spans="2:6" x14ac:dyDescent="0.25">
      <c r="B2999" s="112"/>
      <c r="D2999" s="112"/>
      <c r="E2999" s="417"/>
      <c r="F2999" s="418"/>
    </row>
    <row r="3000" spans="2:6" x14ac:dyDescent="0.25">
      <c r="B3000" s="112"/>
      <c r="D3000" s="112"/>
      <c r="E3000" s="417"/>
      <c r="F3000" s="418"/>
    </row>
    <row r="3001" spans="2:6" x14ac:dyDescent="0.25">
      <c r="B3001" s="112"/>
      <c r="D3001" s="112"/>
      <c r="E3001" s="417"/>
      <c r="F3001" s="418"/>
    </row>
    <row r="3002" spans="2:6" x14ac:dyDescent="0.25">
      <c r="B3002" s="112"/>
      <c r="D3002" s="112"/>
      <c r="E3002" s="417"/>
      <c r="F3002" s="418"/>
    </row>
    <row r="3003" spans="2:6" x14ac:dyDescent="0.25">
      <c r="B3003" s="112"/>
      <c r="D3003" s="112"/>
      <c r="E3003" s="417"/>
      <c r="F3003" s="418"/>
    </row>
    <row r="3004" spans="2:6" x14ac:dyDescent="0.25">
      <c r="B3004" s="112"/>
      <c r="D3004" s="112"/>
      <c r="E3004" s="417"/>
      <c r="F3004" s="418"/>
    </row>
    <row r="3005" spans="2:6" x14ac:dyDescent="0.25">
      <c r="B3005" s="112"/>
      <c r="D3005" s="112"/>
      <c r="E3005" s="417"/>
      <c r="F3005" s="418"/>
    </row>
    <row r="3006" spans="2:6" x14ac:dyDescent="0.25">
      <c r="B3006" s="112"/>
      <c r="D3006" s="112"/>
      <c r="E3006" s="417"/>
      <c r="F3006" s="418"/>
    </row>
    <row r="3007" spans="2:6" x14ac:dyDescent="0.25">
      <c r="B3007" s="112"/>
      <c r="D3007" s="112"/>
      <c r="E3007" s="417"/>
      <c r="F3007" s="418"/>
    </row>
    <row r="3008" spans="2:6" x14ac:dyDescent="0.25">
      <c r="B3008" s="112"/>
      <c r="D3008" s="112"/>
      <c r="E3008" s="417"/>
      <c r="F3008" s="418"/>
    </row>
    <row r="3009" spans="2:6" x14ac:dyDescent="0.25">
      <c r="B3009" s="112"/>
      <c r="D3009" s="112"/>
      <c r="E3009" s="417"/>
      <c r="F3009" s="418"/>
    </row>
    <row r="3010" spans="2:6" x14ac:dyDescent="0.25">
      <c r="B3010" s="112"/>
      <c r="D3010" s="112"/>
      <c r="E3010" s="417"/>
      <c r="F3010" s="418"/>
    </row>
    <row r="3011" spans="2:6" x14ac:dyDescent="0.25">
      <c r="B3011" s="112"/>
      <c r="D3011" s="112"/>
      <c r="E3011" s="417"/>
      <c r="F3011" s="418"/>
    </row>
    <row r="3012" spans="2:6" x14ac:dyDescent="0.25">
      <c r="B3012" s="112"/>
      <c r="D3012" s="112"/>
      <c r="E3012" s="417"/>
      <c r="F3012" s="418"/>
    </row>
    <row r="3013" spans="2:6" x14ac:dyDescent="0.25">
      <c r="B3013" s="112"/>
      <c r="D3013" s="112"/>
      <c r="E3013" s="417"/>
      <c r="F3013" s="418"/>
    </row>
    <row r="3014" spans="2:6" x14ac:dyDescent="0.25">
      <c r="B3014" s="112"/>
      <c r="D3014" s="112"/>
      <c r="E3014" s="417"/>
      <c r="F3014" s="418"/>
    </row>
    <row r="3015" spans="2:6" x14ac:dyDescent="0.25">
      <c r="B3015" s="112"/>
      <c r="D3015" s="112"/>
      <c r="E3015" s="417"/>
      <c r="F3015" s="418"/>
    </row>
    <row r="3016" spans="2:6" x14ac:dyDescent="0.25">
      <c r="B3016" s="112"/>
      <c r="D3016" s="112"/>
      <c r="E3016" s="417"/>
      <c r="F3016" s="418"/>
    </row>
    <row r="3017" spans="2:6" x14ac:dyDescent="0.25">
      <c r="B3017" s="112"/>
      <c r="D3017" s="112"/>
      <c r="E3017" s="417"/>
      <c r="F3017" s="418"/>
    </row>
    <row r="3018" spans="2:6" x14ac:dyDescent="0.25">
      <c r="B3018" s="112"/>
      <c r="D3018" s="112"/>
      <c r="E3018" s="417"/>
      <c r="F3018" s="418"/>
    </row>
    <row r="3019" spans="2:6" x14ac:dyDescent="0.25">
      <c r="B3019" s="112"/>
      <c r="D3019" s="112"/>
      <c r="E3019" s="417"/>
      <c r="F3019" s="418"/>
    </row>
    <row r="3020" spans="2:6" x14ac:dyDescent="0.25">
      <c r="B3020" s="112"/>
      <c r="D3020" s="112"/>
      <c r="E3020" s="417"/>
      <c r="F3020" s="418"/>
    </row>
    <row r="3021" spans="2:6" x14ac:dyDescent="0.25">
      <c r="B3021" s="112"/>
      <c r="D3021" s="112"/>
      <c r="E3021" s="417"/>
      <c r="F3021" s="418"/>
    </row>
    <row r="3022" spans="2:6" x14ac:dyDescent="0.25">
      <c r="B3022" s="112"/>
      <c r="D3022" s="112"/>
      <c r="E3022" s="417"/>
      <c r="F3022" s="418"/>
    </row>
    <row r="3023" spans="2:6" x14ac:dyDescent="0.25">
      <c r="B3023" s="112"/>
      <c r="D3023" s="112"/>
      <c r="E3023" s="417"/>
      <c r="F3023" s="418"/>
    </row>
    <row r="3024" spans="2:6" x14ac:dyDescent="0.25">
      <c r="B3024" s="112"/>
      <c r="D3024" s="112"/>
      <c r="E3024" s="417"/>
      <c r="F3024" s="418"/>
    </row>
    <row r="3025" spans="2:6" x14ac:dyDescent="0.25">
      <c r="B3025" s="112"/>
      <c r="D3025" s="112"/>
      <c r="E3025" s="417"/>
      <c r="F3025" s="418"/>
    </row>
    <row r="3026" spans="2:6" x14ac:dyDescent="0.25">
      <c r="B3026" s="112"/>
      <c r="D3026" s="112"/>
      <c r="E3026" s="417"/>
      <c r="F3026" s="418"/>
    </row>
    <row r="3027" spans="2:6" x14ac:dyDescent="0.25">
      <c r="B3027" s="112"/>
      <c r="D3027" s="112"/>
      <c r="E3027" s="417"/>
      <c r="F3027" s="418"/>
    </row>
    <row r="3028" spans="2:6" x14ac:dyDescent="0.25">
      <c r="B3028" s="112"/>
      <c r="D3028" s="112"/>
      <c r="E3028" s="417"/>
      <c r="F3028" s="418"/>
    </row>
    <row r="3029" spans="2:6" x14ac:dyDescent="0.25">
      <c r="B3029" s="112"/>
      <c r="D3029" s="112"/>
      <c r="E3029" s="417"/>
      <c r="F3029" s="418"/>
    </row>
    <row r="3030" spans="2:6" x14ac:dyDescent="0.25">
      <c r="B3030" s="112"/>
      <c r="D3030" s="112"/>
      <c r="E3030" s="417"/>
      <c r="F3030" s="418"/>
    </row>
    <row r="3031" spans="2:6" x14ac:dyDescent="0.25">
      <c r="B3031" s="112"/>
      <c r="D3031" s="112"/>
      <c r="E3031" s="417"/>
      <c r="F3031" s="418"/>
    </row>
    <row r="3032" spans="2:6" x14ac:dyDescent="0.25">
      <c r="B3032" s="112"/>
      <c r="D3032" s="112"/>
      <c r="E3032" s="417"/>
      <c r="F3032" s="418"/>
    </row>
    <row r="3033" spans="2:6" x14ac:dyDescent="0.25">
      <c r="B3033" s="112"/>
      <c r="D3033" s="112"/>
      <c r="E3033" s="417"/>
      <c r="F3033" s="418"/>
    </row>
    <row r="3034" spans="2:6" x14ac:dyDescent="0.25">
      <c r="B3034" s="112"/>
      <c r="D3034" s="112"/>
      <c r="E3034" s="417"/>
      <c r="F3034" s="418"/>
    </row>
    <row r="3035" spans="2:6" x14ac:dyDescent="0.25">
      <c r="B3035" s="112"/>
      <c r="D3035" s="112"/>
      <c r="E3035" s="417"/>
      <c r="F3035" s="418"/>
    </row>
    <row r="3036" spans="2:6" x14ac:dyDescent="0.25">
      <c r="B3036" s="112"/>
      <c r="D3036" s="112"/>
      <c r="E3036" s="417"/>
      <c r="F3036" s="418"/>
    </row>
    <row r="3037" spans="2:6" x14ac:dyDescent="0.25">
      <c r="B3037" s="112"/>
      <c r="D3037" s="112"/>
      <c r="E3037" s="417"/>
      <c r="F3037" s="418"/>
    </row>
    <row r="3038" spans="2:6" x14ac:dyDescent="0.25">
      <c r="B3038" s="112"/>
      <c r="D3038" s="112"/>
      <c r="E3038" s="417"/>
      <c r="F3038" s="418"/>
    </row>
    <row r="3039" spans="2:6" x14ac:dyDescent="0.25">
      <c r="B3039" s="112"/>
      <c r="D3039" s="112"/>
      <c r="E3039" s="417"/>
      <c r="F3039" s="418"/>
    </row>
    <row r="3040" spans="2:6" x14ac:dyDescent="0.25">
      <c r="B3040" s="112"/>
      <c r="D3040" s="112"/>
      <c r="E3040" s="417"/>
      <c r="F3040" s="418"/>
    </row>
    <row r="3041" spans="2:6" x14ac:dyDescent="0.25">
      <c r="B3041" s="112"/>
      <c r="D3041" s="112"/>
      <c r="E3041" s="417"/>
      <c r="F3041" s="418"/>
    </row>
    <row r="3042" spans="2:6" x14ac:dyDescent="0.25">
      <c r="B3042" s="112"/>
      <c r="D3042" s="112"/>
      <c r="E3042" s="417"/>
      <c r="F3042" s="418"/>
    </row>
    <row r="3043" spans="2:6" x14ac:dyDescent="0.25">
      <c r="B3043" s="112"/>
      <c r="D3043" s="112"/>
      <c r="E3043" s="417"/>
      <c r="F3043" s="418"/>
    </row>
    <row r="3044" spans="2:6" x14ac:dyDescent="0.25">
      <c r="B3044" s="112"/>
      <c r="D3044" s="112"/>
      <c r="E3044" s="417"/>
      <c r="F3044" s="418"/>
    </row>
    <row r="3045" spans="2:6" x14ac:dyDescent="0.25">
      <c r="B3045" s="112"/>
      <c r="D3045" s="112"/>
      <c r="E3045" s="417"/>
      <c r="F3045" s="418"/>
    </row>
    <row r="3046" spans="2:6" x14ac:dyDescent="0.25">
      <c r="B3046" s="112"/>
      <c r="D3046" s="112"/>
      <c r="E3046" s="417"/>
      <c r="F3046" s="418"/>
    </row>
    <row r="3047" spans="2:6" x14ac:dyDescent="0.25">
      <c r="B3047" s="112"/>
      <c r="D3047" s="112"/>
      <c r="E3047" s="417"/>
      <c r="F3047" s="418"/>
    </row>
    <row r="3048" spans="2:6" x14ac:dyDescent="0.25">
      <c r="B3048" s="112"/>
      <c r="D3048" s="112"/>
      <c r="E3048" s="417"/>
      <c r="F3048" s="418"/>
    </row>
    <row r="3049" spans="2:6" x14ac:dyDescent="0.25">
      <c r="B3049" s="112"/>
      <c r="D3049" s="112"/>
      <c r="E3049" s="417"/>
      <c r="F3049" s="418"/>
    </row>
    <row r="3050" spans="2:6" x14ac:dyDescent="0.25">
      <c r="B3050" s="112"/>
      <c r="D3050" s="112"/>
      <c r="E3050" s="417"/>
      <c r="F3050" s="418"/>
    </row>
    <row r="3051" spans="2:6" x14ac:dyDescent="0.25">
      <c r="B3051" s="112"/>
      <c r="D3051" s="112"/>
      <c r="E3051" s="417"/>
      <c r="F3051" s="418"/>
    </row>
    <row r="3052" spans="2:6" x14ac:dyDescent="0.25">
      <c r="B3052" s="112"/>
      <c r="D3052" s="112"/>
      <c r="E3052" s="417"/>
      <c r="F3052" s="418"/>
    </row>
    <row r="3053" spans="2:6" x14ac:dyDescent="0.25">
      <c r="B3053" s="112"/>
      <c r="D3053" s="112"/>
      <c r="E3053" s="417"/>
      <c r="F3053" s="418"/>
    </row>
    <row r="3054" spans="2:6" x14ac:dyDescent="0.25">
      <c r="B3054" s="112"/>
      <c r="D3054" s="112"/>
      <c r="E3054" s="417"/>
      <c r="F3054" s="418"/>
    </row>
    <row r="3055" spans="2:6" x14ac:dyDescent="0.25">
      <c r="B3055" s="112"/>
      <c r="D3055" s="112"/>
      <c r="E3055" s="417"/>
      <c r="F3055" s="418"/>
    </row>
    <row r="3056" spans="2:6" x14ac:dyDescent="0.25">
      <c r="B3056" s="112"/>
      <c r="D3056" s="112"/>
      <c r="E3056" s="417"/>
      <c r="F3056" s="418"/>
    </row>
    <row r="3057" spans="2:6" x14ac:dyDescent="0.25">
      <c r="B3057" s="112"/>
      <c r="D3057" s="112"/>
      <c r="E3057" s="417"/>
      <c r="F3057" s="418"/>
    </row>
    <row r="3058" spans="2:6" x14ac:dyDescent="0.25">
      <c r="B3058" s="112"/>
      <c r="D3058" s="112"/>
      <c r="E3058" s="417"/>
      <c r="F3058" s="418"/>
    </row>
    <row r="3059" spans="2:6" x14ac:dyDescent="0.25">
      <c r="B3059" s="112"/>
      <c r="D3059" s="112"/>
      <c r="E3059" s="417"/>
      <c r="F3059" s="418"/>
    </row>
    <row r="3060" spans="2:6" x14ac:dyDescent="0.25">
      <c r="B3060" s="112"/>
      <c r="D3060" s="112"/>
      <c r="E3060" s="417"/>
      <c r="F3060" s="418"/>
    </row>
    <row r="3061" spans="2:6" x14ac:dyDescent="0.25">
      <c r="B3061" s="112"/>
      <c r="D3061" s="112"/>
      <c r="E3061" s="417"/>
      <c r="F3061" s="418"/>
    </row>
    <row r="3062" spans="2:6" x14ac:dyDescent="0.25">
      <c r="B3062" s="112"/>
      <c r="D3062" s="112"/>
      <c r="E3062" s="417"/>
      <c r="F3062" s="418"/>
    </row>
    <row r="3063" spans="2:6" x14ac:dyDescent="0.25">
      <c r="B3063" s="112"/>
      <c r="D3063" s="112"/>
      <c r="E3063" s="417"/>
      <c r="F3063" s="418"/>
    </row>
    <row r="3064" spans="2:6" x14ac:dyDescent="0.25">
      <c r="B3064" s="112"/>
      <c r="D3064" s="112"/>
      <c r="E3064" s="417"/>
      <c r="F3064" s="418"/>
    </row>
    <row r="3065" spans="2:6" x14ac:dyDescent="0.25">
      <c r="B3065" s="112"/>
      <c r="D3065" s="112"/>
      <c r="E3065" s="417"/>
      <c r="F3065" s="418"/>
    </row>
    <row r="3066" spans="2:6" x14ac:dyDescent="0.25">
      <c r="B3066" s="112"/>
      <c r="D3066" s="112"/>
      <c r="E3066" s="417"/>
      <c r="F3066" s="418"/>
    </row>
    <row r="3067" spans="2:6" x14ac:dyDescent="0.25">
      <c r="B3067" s="112"/>
      <c r="D3067" s="112"/>
      <c r="E3067" s="417"/>
      <c r="F3067" s="418"/>
    </row>
    <row r="3068" spans="2:6" x14ac:dyDescent="0.25">
      <c r="B3068" s="112"/>
      <c r="D3068" s="112"/>
      <c r="E3068" s="417"/>
      <c r="F3068" s="418"/>
    </row>
    <row r="3069" spans="2:6" x14ac:dyDescent="0.25">
      <c r="B3069" s="112"/>
      <c r="D3069" s="112"/>
      <c r="E3069" s="417"/>
      <c r="F3069" s="418"/>
    </row>
    <row r="3070" spans="2:6" x14ac:dyDescent="0.25">
      <c r="B3070" s="112"/>
      <c r="D3070" s="112"/>
      <c r="E3070" s="417"/>
      <c r="F3070" s="418"/>
    </row>
    <row r="3071" spans="2:6" x14ac:dyDescent="0.25">
      <c r="B3071" s="112"/>
      <c r="D3071" s="112"/>
      <c r="E3071" s="417"/>
      <c r="F3071" s="418"/>
    </row>
    <row r="3072" spans="2:6" x14ac:dyDescent="0.25">
      <c r="B3072" s="112"/>
      <c r="D3072" s="112"/>
      <c r="E3072" s="417"/>
      <c r="F3072" s="418"/>
    </row>
    <row r="3073" spans="2:6" x14ac:dyDescent="0.25">
      <c r="B3073" s="112"/>
      <c r="D3073" s="112"/>
      <c r="E3073" s="417"/>
      <c r="F3073" s="418"/>
    </row>
    <row r="3074" spans="2:6" x14ac:dyDescent="0.25">
      <c r="B3074" s="112"/>
      <c r="D3074" s="112"/>
      <c r="E3074" s="417"/>
      <c r="F3074" s="418"/>
    </row>
    <row r="3075" spans="2:6" x14ac:dyDescent="0.25">
      <c r="B3075" s="112"/>
      <c r="D3075" s="112"/>
      <c r="E3075" s="417"/>
      <c r="F3075" s="418"/>
    </row>
    <row r="3076" spans="2:6" x14ac:dyDescent="0.25">
      <c r="B3076" s="112"/>
      <c r="D3076" s="112"/>
      <c r="E3076" s="417"/>
      <c r="F3076" s="418"/>
    </row>
    <row r="3077" spans="2:6" x14ac:dyDescent="0.25">
      <c r="B3077" s="112"/>
      <c r="D3077" s="112"/>
      <c r="E3077" s="417"/>
      <c r="F3077" s="418"/>
    </row>
    <row r="3078" spans="2:6" x14ac:dyDescent="0.25">
      <c r="B3078" s="112"/>
      <c r="D3078" s="112"/>
      <c r="E3078" s="417"/>
      <c r="F3078" s="418"/>
    </row>
    <row r="3079" spans="2:6" x14ac:dyDescent="0.25">
      <c r="B3079" s="112"/>
      <c r="D3079" s="112"/>
      <c r="E3079" s="417"/>
      <c r="F3079" s="418"/>
    </row>
    <row r="3080" spans="2:6" x14ac:dyDescent="0.25">
      <c r="B3080" s="112"/>
      <c r="D3080" s="112"/>
      <c r="E3080" s="417"/>
      <c r="F3080" s="418"/>
    </row>
    <row r="3081" spans="2:6" x14ac:dyDescent="0.25">
      <c r="B3081" s="112"/>
      <c r="D3081" s="112"/>
      <c r="E3081" s="417"/>
      <c r="F3081" s="418"/>
    </row>
    <row r="3082" spans="2:6" x14ac:dyDescent="0.25">
      <c r="B3082" s="112"/>
      <c r="D3082" s="112"/>
      <c r="E3082" s="417"/>
      <c r="F3082" s="418"/>
    </row>
    <row r="3083" spans="2:6" x14ac:dyDescent="0.25">
      <c r="B3083" s="112"/>
      <c r="D3083" s="112"/>
      <c r="E3083" s="417"/>
      <c r="F3083" s="418"/>
    </row>
    <row r="3084" spans="2:6" x14ac:dyDescent="0.25">
      <c r="B3084" s="112"/>
      <c r="D3084" s="112"/>
      <c r="E3084" s="417"/>
      <c r="F3084" s="418"/>
    </row>
    <row r="3085" spans="2:6" x14ac:dyDescent="0.25">
      <c r="B3085" s="112"/>
      <c r="D3085" s="112"/>
      <c r="E3085" s="417"/>
      <c r="F3085" s="418"/>
    </row>
    <row r="3086" spans="2:6" x14ac:dyDescent="0.25">
      <c r="B3086" s="112"/>
      <c r="D3086" s="112"/>
      <c r="E3086" s="417"/>
      <c r="F3086" s="418"/>
    </row>
    <row r="3087" spans="2:6" x14ac:dyDescent="0.25">
      <c r="B3087" s="112"/>
      <c r="D3087" s="112"/>
      <c r="E3087" s="417"/>
      <c r="F3087" s="418"/>
    </row>
    <row r="3088" spans="2:6" x14ac:dyDescent="0.25">
      <c r="B3088" s="112"/>
      <c r="D3088" s="112"/>
      <c r="E3088" s="417"/>
      <c r="F3088" s="418"/>
    </row>
    <row r="3089" spans="2:6" x14ac:dyDescent="0.25">
      <c r="B3089" s="112"/>
      <c r="D3089" s="112"/>
      <c r="E3089" s="417"/>
      <c r="F3089" s="418"/>
    </row>
    <row r="3090" spans="2:6" x14ac:dyDescent="0.25">
      <c r="B3090" s="112"/>
      <c r="D3090" s="112"/>
      <c r="E3090" s="417"/>
      <c r="F3090" s="418"/>
    </row>
    <row r="3091" spans="2:6" x14ac:dyDescent="0.25">
      <c r="B3091" s="112"/>
      <c r="D3091" s="112"/>
      <c r="E3091" s="417"/>
      <c r="F3091" s="418"/>
    </row>
    <row r="3092" spans="2:6" x14ac:dyDescent="0.25">
      <c r="B3092" s="112"/>
      <c r="D3092" s="112"/>
      <c r="E3092" s="417"/>
      <c r="F3092" s="418"/>
    </row>
    <row r="3093" spans="2:6" x14ac:dyDescent="0.25">
      <c r="B3093" s="112"/>
      <c r="D3093" s="112"/>
      <c r="E3093" s="417"/>
      <c r="F3093" s="418"/>
    </row>
    <row r="3094" spans="2:6" x14ac:dyDescent="0.25">
      <c r="B3094" s="112"/>
      <c r="D3094" s="112"/>
      <c r="E3094" s="417"/>
      <c r="F3094" s="418"/>
    </row>
    <row r="3095" spans="2:6" x14ac:dyDescent="0.25">
      <c r="B3095" s="112"/>
      <c r="D3095" s="112"/>
      <c r="E3095" s="417"/>
      <c r="F3095" s="418"/>
    </row>
    <row r="3096" spans="2:6" x14ac:dyDescent="0.25">
      <c r="B3096" s="112"/>
      <c r="D3096" s="112"/>
      <c r="E3096" s="417"/>
      <c r="F3096" s="418"/>
    </row>
    <row r="3097" spans="2:6" x14ac:dyDescent="0.25">
      <c r="B3097" s="112"/>
      <c r="D3097" s="112"/>
      <c r="E3097" s="417"/>
      <c r="F3097" s="418"/>
    </row>
    <row r="3098" spans="2:6" x14ac:dyDescent="0.25">
      <c r="B3098" s="112"/>
      <c r="D3098" s="112"/>
      <c r="E3098" s="417"/>
      <c r="F3098" s="418"/>
    </row>
    <row r="3099" spans="2:6" x14ac:dyDescent="0.25">
      <c r="B3099" s="112"/>
      <c r="D3099" s="112"/>
      <c r="E3099" s="417"/>
      <c r="F3099" s="418"/>
    </row>
    <row r="3100" spans="2:6" x14ac:dyDescent="0.25">
      <c r="B3100" s="112"/>
      <c r="D3100" s="112"/>
      <c r="E3100" s="417"/>
      <c r="F3100" s="418"/>
    </row>
    <row r="3101" spans="2:6" x14ac:dyDescent="0.25">
      <c r="B3101" s="112"/>
      <c r="D3101" s="112"/>
      <c r="E3101" s="417"/>
      <c r="F3101" s="418"/>
    </row>
    <row r="3102" spans="2:6" x14ac:dyDescent="0.25">
      <c r="B3102" s="112"/>
      <c r="D3102" s="112"/>
      <c r="E3102" s="417"/>
      <c r="F3102" s="418"/>
    </row>
    <row r="3103" spans="2:6" x14ac:dyDescent="0.25">
      <c r="B3103" s="112"/>
      <c r="D3103" s="112"/>
      <c r="E3103" s="417"/>
      <c r="F3103" s="418"/>
    </row>
    <row r="3104" spans="2:6" x14ac:dyDescent="0.25">
      <c r="B3104" s="112"/>
      <c r="D3104" s="112"/>
      <c r="E3104" s="417"/>
      <c r="F3104" s="418"/>
    </row>
    <row r="3105" spans="2:6" x14ac:dyDescent="0.25">
      <c r="B3105" s="112"/>
      <c r="D3105" s="112"/>
      <c r="E3105" s="417"/>
      <c r="F3105" s="418"/>
    </row>
    <row r="3106" spans="2:6" x14ac:dyDescent="0.25">
      <c r="B3106" s="112"/>
      <c r="D3106" s="112"/>
      <c r="E3106" s="417"/>
      <c r="F3106" s="418"/>
    </row>
    <row r="3107" spans="2:6" x14ac:dyDescent="0.25">
      <c r="B3107" s="112"/>
      <c r="D3107" s="112"/>
      <c r="E3107" s="417"/>
      <c r="F3107" s="418"/>
    </row>
    <row r="3108" spans="2:6" x14ac:dyDescent="0.25">
      <c r="B3108" s="112"/>
      <c r="D3108" s="112"/>
      <c r="E3108" s="417"/>
      <c r="F3108" s="418"/>
    </row>
    <row r="3109" spans="2:6" x14ac:dyDescent="0.25">
      <c r="B3109" s="112"/>
      <c r="D3109" s="112"/>
      <c r="E3109" s="417"/>
      <c r="F3109" s="418"/>
    </row>
    <row r="3110" spans="2:6" x14ac:dyDescent="0.25">
      <c r="B3110" s="112"/>
      <c r="D3110" s="112"/>
      <c r="E3110" s="417"/>
      <c r="F3110" s="418"/>
    </row>
    <row r="3111" spans="2:6" x14ac:dyDescent="0.25">
      <c r="B3111" s="112"/>
      <c r="D3111" s="112"/>
      <c r="E3111" s="417"/>
      <c r="F3111" s="418"/>
    </row>
    <row r="3112" spans="2:6" x14ac:dyDescent="0.25">
      <c r="B3112" s="112"/>
      <c r="D3112" s="112"/>
      <c r="E3112" s="417"/>
      <c r="F3112" s="418"/>
    </row>
    <row r="3113" spans="2:6" x14ac:dyDescent="0.25">
      <c r="B3113" s="112"/>
      <c r="D3113" s="112"/>
      <c r="E3113" s="417"/>
      <c r="F3113" s="418"/>
    </row>
    <row r="3114" spans="2:6" x14ac:dyDescent="0.25">
      <c r="B3114" s="112"/>
      <c r="D3114" s="112"/>
      <c r="E3114" s="417"/>
      <c r="F3114" s="418"/>
    </row>
    <row r="3115" spans="2:6" x14ac:dyDescent="0.25">
      <c r="B3115" s="112"/>
      <c r="D3115" s="112"/>
      <c r="E3115" s="417"/>
      <c r="F3115" s="418"/>
    </row>
    <row r="3116" spans="2:6" x14ac:dyDescent="0.25">
      <c r="B3116" s="112"/>
      <c r="D3116" s="112"/>
      <c r="E3116" s="417"/>
      <c r="F3116" s="418"/>
    </row>
    <row r="3117" spans="2:6" x14ac:dyDescent="0.25">
      <c r="B3117" s="112"/>
      <c r="D3117" s="112"/>
      <c r="E3117" s="417"/>
      <c r="F3117" s="418"/>
    </row>
    <row r="3118" spans="2:6" x14ac:dyDescent="0.25">
      <c r="B3118" s="112"/>
      <c r="D3118" s="112"/>
      <c r="E3118" s="417"/>
      <c r="F3118" s="418"/>
    </row>
    <row r="3119" spans="2:6" x14ac:dyDescent="0.25">
      <c r="B3119" s="112"/>
      <c r="D3119" s="112"/>
      <c r="E3119" s="417"/>
      <c r="F3119" s="418"/>
    </row>
    <row r="3120" spans="2:6" x14ac:dyDescent="0.25">
      <c r="B3120" s="112"/>
      <c r="D3120" s="112"/>
      <c r="E3120" s="417"/>
      <c r="F3120" s="418"/>
    </row>
    <row r="3121" spans="2:6" x14ac:dyDescent="0.25">
      <c r="B3121" s="112"/>
      <c r="D3121" s="112"/>
      <c r="E3121" s="417"/>
      <c r="F3121" s="418"/>
    </row>
    <row r="3122" spans="2:6" x14ac:dyDescent="0.25">
      <c r="B3122" s="112"/>
      <c r="D3122" s="112"/>
      <c r="E3122" s="417"/>
      <c r="F3122" s="418"/>
    </row>
    <row r="3123" spans="2:6" x14ac:dyDescent="0.25">
      <c r="B3123" s="112"/>
      <c r="D3123" s="112"/>
      <c r="E3123" s="417"/>
      <c r="F3123" s="418"/>
    </row>
    <row r="3124" spans="2:6" x14ac:dyDescent="0.25">
      <c r="B3124" s="112"/>
      <c r="D3124" s="112"/>
      <c r="E3124" s="417"/>
      <c r="F3124" s="418"/>
    </row>
    <row r="3125" spans="2:6" x14ac:dyDescent="0.25">
      <c r="B3125" s="112"/>
      <c r="D3125" s="112"/>
      <c r="E3125" s="417"/>
      <c r="F3125" s="418"/>
    </row>
    <row r="3126" spans="2:6" x14ac:dyDescent="0.25">
      <c r="B3126" s="112"/>
      <c r="D3126" s="112"/>
      <c r="E3126" s="417"/>
      <c r="F3126" s="418"/>
    </row>
    <row r="3127" spans="2:6" x14ac:dyDescent="0.25">
      <c r="B3127" s="112"/>
      <c r="D3127" s="112"/>
      <c r="E3127" s="417"/>
      <c r="F3127" s="418"/>
    </row>
    <row r="3128" spans="2:6" x14ac:dyDescent="0.25">
      <c r="B3128" s="112"/>
      <c r="D3128" s="112"/>
      <c r="E3128" s="417"/>
      <c r="F3128" s="418"/>
    </row>
    <row r="3129" spans="2:6" x14ac:dyDescent="0.25">
      <c r="B3129" s="112"/>
      <c r="D3129" s="112"/>
      <c r="E3129" s="417"/>
      <c r="F3129" s="418"/>
    </row>
    <row r="3130" spans="2:6" x14ac:dyDescent="0.25">
      <c r="B3130" s="112"/>
      <c r="D3130" s="112"/>
      <c r="E3130" s="417"/>
      <c r="F3130" s="418"/>
    </row>
    <row r="3131" spans="2:6" x14ac:dyDescent="0.25">
      <c r="B3131" s="112"/>
      <c r="D3131" s="112"/>
      <c r="E3131" s="417"/>
      <c r="F3131" s="418"/>
    </row>
    <row r="3132" spans="2:6" x14ac:dyDescent="0.25">
      <c r="B3132" s="112"/>
      <c r="D3132" s="112"/>
      <c r="E3132" s="417"/>
      <c r="F3132" s="418"/>
    </row>
    <row r="3133" spans="2:6" x14ac:dyDescent="0.25">
      <c r="B3133" s="112"/>
      <c r="D3133" s="112"/>
      <c r="E3133" s="417"/>
      <c r="F3133" s="418"/>
    </row>
    <row r="3134" spans="2:6" x14ac:dyDescent="0.25">
      <c r="B3134" s="112"/>
      <c r="D3134" s="112"/>
      <c r="E3134" s="417"/>
      <c r="F3134" s="418"/>
    </row>
    <row r="3135" spans="2:6" x14ac:dyDescent="0.25">
      <c r="B3135" s="112"/>
      <c r="D3135" s="112"/>
      <c r="E3135" s="417"/>
      <c r="F3135" s="418"/>
    </row>
    <row r="3136" spans="2:6" x14ac:dyDescent="0.25">
      <c r="B3136" s="112"/>
      <c r="D3136" s="112"/>
      <c r="E3136" s="417"/>
      <c r="F3136" s="418"/>
    </row>
    <row r="3137" spans="2:6" x14ac:dyDescent="0.25">
      <c r="B3137" s="112"/>
      <c r="D3137" s="112"/>
      <c r="E3137" s="417"/>
      <c r="F3137" s="418"/>
    </row>
    <row r="3138" spans="2:6" x14ac:dyDescent="0.25">
      <c r="B3138" s="112"/>
      <c r="D3138" s="112"/>
      <c r="E3138" s="417"/>
      <c r="F3138" s="418"/>
    </row>
    <row r="3139" spans="2:6" x14ac:dyDescent="0.25">
      <c r="B3139" s="112"/>
      <c r="D3139" s="112"/>
      <c r="E3139" s="417"/>
      <c r="F3139" s="418"/>
    </row>
    <row r="3140" spans="2:6" x14ac:dyDescent="0.25">
      <c r="B3140" s="112"/>
      <c r="D3140" s="112"/>
      <c r="E3140" s="417"/>
      <c r="F3140" s="418"/>
    </row>
    <row r="3141" spans="2:6" x14ac:dyDescent="0.25">
      <c r="B3141" s="112"/>
      <c r="D3141" s="112"/>
      <c r="E3141" s="417"/>
      <c r="F3141" s="418"/>
    </row>
    <row r="3142" spans="2:6" x14ac:dyDescent="0.25">
      <c r="B3142" s="112"/>
      <c r="D3142" s="112"/>
      <c r="E3142" s="417"/>
      <c r="F3142" s="418"/>
    </row>
    <row r="3143" spans="2:6" x14ac:dyDescent="0.25">
      <c r="B3143" s="112"/>
      <c r="D3143" s="112"/>
      <c r="E3143" s="417"/>
      <c r="F3143" s="418"/>
    </row>
    <row r="3144" spans="2:6" x14ac:dyDescent="0.25">
      <c r="B3144" s="112"/>
      <c r="D3144" s="112"/>
      <c r="E3144" s="417"/>
      <c r="F3144" s="418"/>
    </row>
    <row r="3145" spans="2:6" x14ac:dyDescent="0.25">
      <c r="B3145" s="112"/>
      <c r="D3145" s="112"/>
      <c r="E3145" s="417"/>
      <c r="F3145" s="418"/>
    </row>
    <row r="3146" spans="2:6" x14ac:dyDescent="0.25">
      <c r="B3146" s="112"/>
      <c r="D3146" s="112"/>
      <c r="E3146" s="417"/>
      <c r="F3146" s="418"/>
    </row>
    <row r="3147" spans="2:6" x14ac:dyDescent="0.25">
      <c r="B3147" s="112"/>
      <c r="D3147" s="112"/>
      <c r="E3147" s="417"/>
      <c r="F3147" s="418"/>
    </row>
    <row r="3148" spans="2:6" x14ac:dyDescent="0.25">
      <c r="B3148" s="112"/>
      <c r="D3148" s="112"/>
      <c r="E3148" s="417"/>
      <c r="F3148" s="418"/>
    </row>
    <row r="3149" spans="2:6" x14ac:dyDescent="0.25">
      <c r="B3149" s="112"/>
      <c r="D3149" s="112"/>
      <c r="E3149" s="417"/>
      <c r="F3149" s="418"/>
    </row>
    <row r="3150" spans="2:6" x14ac:dyDescent="0.25">
      <c r="B3150" s="112"/>
      <c r="D3150" s="112"/>
      <c r="E3150" s="417"/>
      <c r="F3150" s="418"/>
    </row>
    <row r="3151" spans="2:6" x14ac:dyDescent="0.25">
      <c r="B3151" s="112"/>
      <c r="D3151" s="112"/>
      <c r="E3151" s="417"/>
      <c r="F3151" s="418"/>
    </row>
    <row r="3152" spans="2:6" x14ac:dyDescent="0.25">
      <c r="B3152" s="112"/>
      <c r="D3152" s="112"/>
      <c r="E3152" s="417"/>
      <c r="F3152" s="418"/>
    </row>
    <row r="3153" spans="2:6" x14ac:dyDescent="0.25">
      <c r="B3153" s="112"/>
      <c r="D3153" s="112"/>
      <c r="E3153" s="417"/>
      <c r="F3153" s="418"/>
    </row>
    <row r="3154" spans="2:6" x14ac:dyDescent="0.25">
      <c r="B3154" s="112"/>
      <c r="D3154" s="112"/>
      <c r="E3154" s="417"/>
      <c r="F3154" s="418"/>
    </row>
    <row r="3155" spans="2:6" x14ac:dyDescent="0.25">
      <c r="B3155" s="112"/>
      <c r="D3155" s="112"/>
      <c r="E3155" s="417"/>
      <c r="F3155" s="418"/>
    </row>
    <row r="3156" spans="2:6" x14ac:dyDescent="0.25">
      <c r="B3156" s="112"/>
      <c r="D3156" s="112"/>
      <c r="E3156" s="417"/>
      <c r="F3156" s="418"/>
    </row>
    <row r="3157" spans="2:6" x14ac:dyDescent="0.25">
      <c r="B3157" s="112"/>
      <c r="D3157" s="112"/>
      <c r="E3157" s="417"/>
      <c r="F3157" s="418"/>
    </row>
    <row r="3158" spans="2:6" x14ac:dyDescent="0.25">
      <c r="B3158" s="112"/>
      <c r="D3158" s="112"/>
      <c r="E3158" s="417"/>
      <c r="F3158" s="418"/>
    </row>
    <row r="3159" spans="2:6" x14ac:dyDescent="0.25">
      <c r="B3159" s="112"/>
      <c r="D3159" s="112"/>
      <c r="E3159" s="417"/>
      <c r="F3159" s="418"/>
    </row>
    <row r="3160" spans="2:6" x14ac:dyDescent="0.25">
      <c r="B3160" s="112"/>
      <c r="D3160" s="112"/>
      <c r="E3160" s="417"/>
      <c r="F3160" s="418"/>
    </row>
    <row r="3161" spans="2:6" x14ac:dyDescent="0.25">
      <c r="B3161" s="112"/>
      <c r="D3161" s="112"/>
      <c r="E3161" s="417"/>
      <c r="F3161" s="418"/>
    </row>
    <row r="3162" spans="2:6" x14ac:dyDescent="0.25">
      <c r="B3162" s="112"/>
      <c r="D3162" s="112"/>
      <c r="E3162" s="417"/>
      <c r="F3162" s="418"/>
    </row>
    <row r="3163" spans="2:6" x14ac:dyDescent="0.25">
      <c r="B3163" s="112"/>
      <c r="D3163" s="112"/>
      <c r="E3163" s="417"/>
      <c r="F3163" s="418"/>
    </row>
    <row r="3164" spans="2:6" x14ac:dyDescent="0.25">
      <c r="B3164" s="112"/>
      <c r="D3164" s="112"/>
      <c r="E3164" s="417"/>
      <c r="F3164" s="418"/>
    </row>
    <row r="3165" spans="2:6" x14ac:dyDescent="0.25">
      <c r="B3165" s="112"/>
      <c r="D3165" s="112"/>
      <c r="E3165" s="417"/>
      <c r="F3165" s="418"/>
    </row>
    <row r="3166" spans="2:6" x14ac:dyDescent="0.25">
      <c r="B3166" s="112"/>
      <c r="D3166" s="112"/>
      <c r="E3166" s="417"/>
      <c r="F3166" s="418"/>
    </row>
    <row r="3167" spans="2:6" x14ac:dyDescent="0.25">
      <c r="B3167" s="112"/>
      <c r="D3167" s="112"/>
      <c r="E3167" s="417"/>
      <c r="F3167" s="418"/>
    </row>
    <row r="3168" spans="2:6" x14ac:dyDescent="0.25">
      <c r="B3168" s="112"/>
      <c r="D3168" s="112"/>
      <c r="E3168" s="417"/>
      <c r="F3168" s="418"/>
    </row>
    <row r="3169" spans="2:6" x14ac:dyDescent="0.25">
      <c r="B3169" s="112"/>
      <c r="D3169" s="112"/>
      <c r="E3169" s="417"/>
      <c r="F3169" s="418"/>
    </row>
    <row r="3170" spans="2:6" x14ac:dyDescent="0.25">
      <c r="B3170" s="112"/>
      <c r="D3170" s="112"/>
      <c r="E3170" s="417"/>
      <c r="F3170" s="418"/>
    </row>
    <row r="3171" spans="2:6" x14ac:dyDescent="0.25">
      <c r="B3171" s="112"/>
      <c r="D3171" s="112"/>
      <c r="E3171" s="417"/>
      <c r="F3171" s="418"/>
    </row>
    <row r="3172" spans="2:6" x14ac:dyDescent="0.25">
      <c r="B3172" s="112"/>
      <c r="D3172" s="112"/>
      <c r="E3172" s="417"/>
      <c r="F3172" s="418"/>
    </row>
    <row r="3173" spans="2:6" x14ac:dyDescent="0.25">
      <c r="B3173" s="112"/>
      <c r="D3173" s="112"/>
      <c r="E3173" s="417"/>
      <c r="F3173" s="418"/>
    </row>
    <row r="3174" spans="2:6" x14ac:dyDescent="0.25">
      <c r="B3174" s="112"/>
      <c r="D3174" s="112"/>
      <c r="E3174" s="417"/>
      <c r="F3174" s="418"/>
    </row>
    <row r="3175" spans="2:6" x14ac:dyDescent="0.25">
      <c r="B3175" s="112"/>
      <c r="D3175" s="112"/>
      <c r="E3175" s="417"/>
      <c r="F3175" s="418"/>
    </row>
    <row r="3176" spans="2:6" x14ac:dyDescent="0.25">
      <c r="B3176" s="112"/>
      <c r="D3176" s="112"/>
      <c r="E3176" s="417"/>
      <c r="F3176" s="418"/>
    </row>
    <row r="3177" spans="2:6" x14ac:dyDescent="0.25">
      <c r="B3177" s="112"/>
      <c r="D3177" s="112"/>
      <c r="E3177" s="417"/>
      <c r="F3177" s="418"/>
    </row>
    <row r="3178" spans="2:6" x14ac:dyDescent="0.25">
      <c r="B3178" s="112"/>
      <c r="D3178" s="112"/>
      <c r="E3178" s="417"/>
      <c r="F3178" s="418"/>
    </row>
    <row r="3179" spans="2:6" x14ac:dyDescent="0.25">
      <c r="B3179" s="112"/>
      <c r="D3179" s="112"/>
      <c r="E3179" s="417"/>
      <c r="F3179" s="418"/>
    </row>
    <row r="3180" spans="2:6" x14ac:dyDescent="0.25">
      <c r="B3180" s="112"/>
      <c r="D3180" s="112"/>
      <c r="E3180" s="417"/>
      <c r="F3180" s="418"/>
    </row>
    <row r="3181" spans="2:6" x14ac:dyDescent="0.25">
      <c r="B3181" s="112"/>
      <c r="D3181" s="112"/>
      <c r="E3181" s="417"/>
      <c r="F3181" s="418"/>
    </row>
    <row r="3182" spans="2:6" x14ac:dyDescent="0.25">
      <c r="B3182" s="112"/>
      <c r="D3182" s="112"/>
      <c r="E3182" s="417"/>
      <c r="F3182" s="418"/>
    </row>
    <row r="3183" spans="2:6" x14ac:dyDescent="0.25">
      <c r="B3183" s="112"/>
      <c r="D3183" s="112"/>
      <c r="E3183" s="417"/>
      <c r="F3183" s="418"/>
    </row>
    <row r="3184" spans="2:6" x14ac:dyDescent="0.25">
      <c r="B3184" s="112"/>
      <c r="D3184" s="112"/>
      <c r="E3184" s="417"/>
      <c r="F3184" s="418"/>
    </row>
    <row r="3185" spans="2:6" x14ac:dyDescent="0.25">
      <c r="B3185" s="112"/>
      <c r="D3185" s="112"/>
      <c r="E3185" s="417"/>
      <c r="F3185" s="418"/>
    </row>
    <row r="3186" spans="2:6" x14ac:dyDescent="0.25">
      <c r="B3186" s="112"/>
      <c r="D3186" s="112"/>
      <c r="E3186" s="417"/>
      <c r="F3186" s="418"/>
    </row>
    <row r="3187" spans="2:6" x14ac:dyDescent="0.25">
      <c r="B3187" s="112"/>
      <c r="D3187" s="112"/>
      <c r="E3187" s="417"/>
      <c r="F3187" s="418"/>
    </row>
    <row r="3188" spans="2:6" x14ac:dyDescent="0.25">
      <c r="B3188" s="112"/>
      <c r="D3188" s="112"/>
      <c r="E3188" s="417"/>
      <c r="F3188" s="418"/>
    </row>
    <row r="3189" spans="2:6" x14ac:dyDescent="0.25">
      <c r="B3189" s="112"/>
      <c r="D3189" s="112"/>
      <c r="E3189" s="417"/>
      <c r="F3189" s="418"/>
    </row>
    <row r="3190" spans="2:6" x14ac:dyDescent="0.25">
      <c r="B3190" s="112"/>
      <c r="D3190" s="112"/>
      <c r="E3190" s="417"/>
      <c r="F3190" s="418"/>
    </row>
    <row r="3191" spans="2:6" x14ac:dyDescent="0.25">
      <c r="B3191" s="112"/>
      <c r="D3191" s="112"/>
      <c r="E3191" s="417"/>
      <c r="F3191" s="418"/>
    </row>
    <row r="3192" spans="2:6" x14ac:dyDescent="0.25">
      <c r="B3192" s="112"/>
      <c r="D3192" s="112"/>
      <c r="E3192" s="417"/>
      <c r="F3192" s="418"/>
    </row>
    <row r="3193" spans="2:6" x14ac:dyDescent="0.25">
      <c r="B3193" s="112"/>
      <c r="D3193" s="112"/>
      <c r="E3193" s="417"/>
      <c r="F3193" s="418"/>
    </row>
    <row r="3194" spans="2:6" x14ac:dyDescent="0.25">
      <c r="B3194" s="112"/>
      <c r="D3194" s="112"/>
      <c r="E3194" s="417"/>
      <c r="F3194" s="418"/>
    </row>
    <row r="3195" spans="2:6" x14ac:dyDescent="0.25">
      <c r="B3195" s="112"/>
      <c r="D3195" s="112"/>
      <c r="E3195" s="417"/>
      <c r="F3195" s="418"/>
    </row>
    <row r="3196" spans="2:6" x14ac:dyDescent="0.25">
      <c r="B3196" s="112"/>
      <c r="D3196" s="112"/>
      <c r="E3196" s="417"/>
      <c r="F3196" s="418"/>
    </row>
    <row r="3197" spans="2:6" x14ac:dyDescent="0.25">
      <c r="B3197" s="112"/>
      <c r="D3197" s="112"/>
      <c r="E3197" s="417"/>
      <c r="F3197" s="418"/>
    </row>
    <row r="3198" spans="2:6" x14ac:dyDescent="0.25">
      <c r="B3198" s="112"/>
      <c r="D3198" s="112"/>
      <c r="E3198" s="417"/>
      <c r="F3198" s="418"/>
    </row>
    <row r="3199" spans="2:6" x14ac:dyDescent="0.25">
      <c r="B3199" s="112"/>
      <c r="D3199" s="112"/>
      <c r="E3199" s="417"/>
      <c r="F3199" s="418"/>
    </row>
    <row r="3200" spans="2:6" x14ac:dyDescent="0.25">
      <c r="B3200" s="112"/>
      <c r="D3200" s="112"/>
      <c r="E3200" s="417"/>
      <c r="F3200" s="418"/>
    </row>
    <row r="3201" spans="2:6" x14ac:dyDescent="0.25">
      <c r="B3201" s="112"/>
      <c r="D3201" s="112"/>
      <c r="E3201" s="417"/>
      <c r="F3201" s="418"/>
    </row>
    <row r="3202" spans="2:6" x14ac:dyDescent="0.25">
      <c r="B3202" s="112"/>
      <c r="D3202" s="112"/>
      <c r="E3202" s="417"/>
      <c r="F3202" s="418"/>
    </row>
    <row r="3203" spans="2:6" x14ac:dyDescent="0.25">
      <c r="B3203" s="112"/>
      <c r="D3203" s="112"/>
      <c r="E3203" s="417"/>
      <c r="F3203" s="418"/>
    </row>
    <row r="3204" spans="2:6" x14ac:dyDescent="0.25">
      <c r="B3204" s="112"/>
      <c r="D3204" s="112"/>
      <c r="E3204" s="417"/>
      <c r="F3204" s="418"/>
    </row>
    <row r="3205" spans="2:6" x14ac:dyDescent="0.25">
      <c r="B3205" s="112"/>
      <c r="D3205" s="112"/>
      <c r="E3205" s="417"/>
      <c r="F3205" s="418"/>
    </row>
    <row r="3206" spans="2:6" x14ac:dyDescent="0.25">
      <c r="B3206" s="112"/>
      <c r="D3206" s="112"/>
      <c r="E3206" s="417"/>
      <c r="F3206" s="418"/>
    </row>
    <row r="3207" spans="2:6" x14ac:dyDescent="0.25">
      <c r="B3207" s="112"/>
      <c r="D3207" s="112"/>
      <c r="E3207" s="417"/>
      <c r="F3207" s="418"/>
    </row>
    <row r="3208" spans="2:6" x14ac:dyDescent="0.25">
      <c r="B3208" s="112"/>
      <c r="D3208" s="112"/>
      <c r="E3208" s="417"/>
      <c r="F3208" s="418"/>
    </row>
    <row r="3209" spans="2:6" x14ac:dyDescent="0.25">
      <c r="B3209" s="112"/>
      <c r="D3209" s="112"/>
      <c r="E3209" s="417"/>
      <c r="F3209" s="418"/>
    </row>
    <row r="3210" spans="2:6" x14ac:dyDescent="0.25">
      <c r="B3210" s="112"/>
      <c r="D3210" s="112"/>
      <c r="E3210" s="417"/>
      <c r="F3210" s="418"/>
    </row>
    <row r="3211" spans="2:6" x14ac:dyDescent="0.25">
      <c r="B3211" s="112"/>
      <c r="D3211" s="112"/>
      <c r="E3211" s="417"/>
      <c r="F3211" s="418"/>
    </row>
    <row r="3212" spans="2:6" x14ac:dyDescent="0.25">
      <c r="B3212" s="112"/>
      <c r="D3212" s="112"/>
      <c r="E3212" s="417"/>
      <c r="F3212" s="418"/>
    </row>
    <row r="3213" spans="2:6" x14ac:dyDescent="0.25">
      <c r="B3213" s="112"/>
      <c r="D3213" s="112"/>
      <c r="E3213" s="417"/>
      <c r="F3213" s="418"/>
    </row>
    <row r="3214" spans="2:6" x14ac:dyDescent="0.25">
      <c r="B3214" s="112"/>
      <c r="D3214" s="112"/>
      <c r="E3214" s="417"/>
      <c r="F3214" s="418"/>
    </row>
    <row r="3215" spans="2:6" x14ac:dyDescent="0.25">
      <c r="B3215" s="112"/>
      <c r="D3215" s="112"/>
      <c r="E3215" s="417"/>
      <c r="F3215" s="418"/>
    </row>
    <row r="3216" spans="2:6" x14ac:dyDescent="0.25">
      <c r="B3216" s="112"/>
      <c r="D3216" s="112"/>
      <c r="E3216" s="417"/>
      <c r="F3216" s="418"/>
    </row>
    <row r="3217" spans="2:6" x14ac:dyDescent="0.25">
      <c r="B3217" s="112"/>
      <c r="D3217" s="112"/>
      <c r="E3217" s="417"/>
      <c r="F3217" s="418"/>
    </row>
    <row r="3218" spans="2:6" x14ac:dyDescent="0.25">
      <c r="B3218" s="112"/>
      <c r="D3218" s="112"/>
      <c r="E3218" s="417"/>
      <c r="F3218" s="418"/>
    </row>
    <row r="3219" spans="2:6" x14ac:dyDescent="0.25">
      <c r="B3219" s="112"/>
      <c r="D3219" s="112"/>
      <c r="E3219" s="417"/>
      <c r="F3219" s="418"/>
    </row>
    <row r="3220" spans="2:6" x14ac:dyDescent="0.25">
      <c r="B3220" s="112"/>
      <c r="D3220" s="112"/>
      <c r="E3220" s="417"/>
      <c r="F3220" s="418"/>
    </row>
    <row r="3221" spans="2:6" x14ac:dyDescent="0.25">
      <c r="B3221" s="112"/>
      <c r="D3221" s="112"/>
      <c r="E3221" s="417"/>
      <c r="F3221" s="418"/>
    </row>
    <row r="3222" spans="2:6" x14ac:dyDescent="0.25">
      <c r="B3222" s="112"/>
      <c r="D3222" s="112"/>
      <c r="E3222" s="417"/>
      <c r="F3222" s="418"/>
    </row>
    <row r="3223" spans="2:6" x14ac:dyDescent="0.25">
      <c r="B3223" s="112"/>
      <c r="D3223" s="112"/>
      <c r="E3223" s="417"/>
      <c r="F3223" s="418"/>
    </row>
    <row r="3224" spans="2:6" x14ac:dyDescent="0.25">
      <c r="B3224" s="112"/>
      <c r="D3224" s="112"/>
      <c r="E3224" s="417"/>
      <c r="F3224" s="418"/>
    </row>
    <row r="3225" spans="2:6" x14ac:dyDescent="0.25">
      <c r="B3225" s="112"/>
      <c r="D3225" s="112"/>
      <c r="E3225" s="417"/>
      <c r="F3225" s="418"/>
    </row>
    <row r="3226" spans="2:6" x14ac:dyDescent="0.25">
      <c r="B3226" s="112"/>
      <c r="D3226" s="112"/>
      <c r="E3226" s="417"/>
      <c r="F3226" s="418"/>
    </row>
    <row r="3227" spans="2:6" x14ac:dyDescent="0.25">
      <c r="B3227" s="112"/>
      <c r="D3227" s="112"/>
      <c r="E3227" s="417"/>
      <c r="F3227" s="418"/>
    </row>
    <row r="3228" spans="2:6" x14ac:dyDescent="0.25">
      <c r="B3228" s="112"/>
      <c r="D3228" s="112"/>
      <c r="E3228" s="417"/>
      <c r="F3228" s="418"/>
    </row>
    <row r="3229" spans="2:6" x14ac:dyDescent="0.25">
      <c r="B3229" s="112"/>
      <c r="D3229" s="112"/>
      <c r="E3229" s="417"/>
      <c r="F3229" s="418"/>
    </row>
    <row r="3230" spans="2:6" x14ac:dyDescent="0.25">
      <c r="B3230" s="112"/>
      <c r="D3230" s="112"/>
      <c r="E3230" s="417"/>
      <c r="F3230" s="418"/>
    </row>
    <row r="3231" spans="2:6" x14ac:dyDescent="0.25">
      <c r="B3231" s="112"/>
      <c r="D3231" s="112"/>
      <c r="E3231" s="417"/>
      <c r="F3231" s="418"/>
    </row>
    <row r="3232" spans="2:6" x14ac:dyDescent="0.25">
      <c r="B3232" s="112"/>
      <c r="D3232" s="112"/>
      <c r="E3232" s="417"/>
      <c r="F3232" s="418"/>
    </row>
    <row r="3233" spans="2:6" x14ac:dyDescent="0.25">
      <c r="B3233" s="112"/>
      <c r="D3233" s="112"/>
      <c r="E3233" s="417"/>
      <c r="F3233" s="418"/>
    </row>
    <row r="3234" spans="2:6" x14ac:dyDescent="0.25">
      <c r="B3234" s="112"/>
      <c r="D3234" s="112"/>
      <c r="E3234" s="417"/>
      <c r="F3234" s="418"/>
    </row>
    <row r="3235" spans="2:6" x14ac:dyDescent="0.25">
      <c r="B3235" s="112"/>
      <c r="D3235" s="112"/>
      <c r="E3235" s="417"/>
      <c r="F3235" s="418"/>
    </row>
    <row r="3236" spans="2:6" x14ac:dyDescent="0.25">
      <c r="B3236" s="112"/>
      <c r="D3236" s="112"/>
      <c r="E3236" s="417"/>
      <c r="F3236" s="418"/>
    </row>
    <row r="3237" spans="2:6" x14ac:dyDescent="0.25">
      <c r="B3237" s="112"/>
      <c r="D3237" s="112"/>
      <c r="E3237" s="417"/>
      <c r="F3237" s="418"/>
    </row>
    <row r="3238" spans="2:6" x14ac:dyDescent="0.25">
      <c r="B3238" s="112"/>
      <c r="D3238" s="112"/>
      <c r="E3238" s="417"/>
      <c r="F3238" s="418"/>
    </row>
    <row r="3239" spans="2:6" x14ac:dyDescent="0.25">
      <c r="B3239" s="112"/>
      <c r="D3239" s="112"/>
      <c r="E3239" s="417"/>
      <c r="F3239" s="418"/>
    </row>
    <row r="3240" spans="2:6" x14ac:dyDescent="0.25">
      <c r="B3240" s="112"/>
      <c r="D3240" s="112"/>
      <c r="E3240" s="417"/>
      <c r="F3240" s="418"/>
    </row>
    <row r="3241" spans="2:6" x14ac:dyDescent="0.25">
      <c r="B3241" s="112"/>
      <c r="D3241" s="112"/>
      <c r="E3241" s="417"/>
      <c r="F3241" s="418"/>
    </row>
    <row r="3242" spans="2:6" x14ac:dyDescent="0.25">
      <c r="B3242" s="112"/>
      <c r="D3242" s="112"/>
      <c r="E3242" s="417"/>
      <c r="F3242" s="418"/>
    </row>
    <row r="3243" spans="2:6" x14ac:dyDescent="0.25">
      <c r="B3243" s="112"/>
      <c r="D3243" s="112"/>
      <c r="E3243" s="417"/>
      <c r="F3243" s="418"/>
    </row>
    <row r="3244" spans="2:6" x14ac:dyDescent="0.25">
      <c r="B3244" s="112"/>
      <c r="D3244" s="112"/>
      <c r="E3244" s="417"/>
      <c r="F3244" s="418"/>
    </row>
    <row r="3245" spans="2:6" x14ac:dyDescent="0.25">
      <c r="B3245" s="112"/>
      <c r="D3245" s="112"/>
      <c r="E3245" s="417"/>
      <c r="F3245" s="418"/>
    </row>
    <row r="3246" spans="2:6" x14ac:dyDescent="0.25">
      <c r="B3246" s="112"/>
      <c r="D3246" s="112"/>
      <c r="E3246" s="417"/>
      <c r="F3246" s="418"/>
    </row>
    <row r="3247" spans="2:6" x14ac:dyDescent="0.25">
      <c r="B3247" s="112"/>
      <c r="D3247" s="112"/>
      <c r="E3247" s="417"/>
      <c r="F3247" s="418"/>
    </row>
    <row r="3248" spans="2:6" x14ac:dyDescent="0.25">
      <c r="B3248" s="112"/>
      <c r="D3248" s="112"/>
      <c r="E3248" s="417"/>
      <c r="F3248" s="418"/>
    </row>
    <row r="3249" spans="2:6" x14ac:dyDescent="0.25">
      <c r="B3249" s="112"/>
      <c r="D3249" s="112"/>
      <c r="E3249" s="417"/>
      <c r="F3249" s="418"/>
    </row>
    <row r="3250" spans="2:6" x14ac:dyDescent="0.25">
      <c r="B3250" s="112"/>
      <c r="D3250" s="112"/>
      <c r="E3250" s="417"/>
      <c r="F3250" s="418"/>
    </row>
    <row r="3251" spans="2:6" x14ac:dyDescent="0.25">
      <c r="B3251" s="112"/>
      <c r="D3251" s="112"/>
      <c r="E3251" s="417"/>
      <c r="F3251" s="418"/>
    </row>
    <row r="3252" spans="2:6" x14ac:dyDescent="0.25">
      <c r="B3252" s="112"/>
      <c r="D3252" s="112"/>
      <c r="E3252" s="417"/>
      <c r="F3252" s="418"/>
    </row>
    <row r="3253" spans="2:6" x14ac:dyDescent="0.25">
      <c r="B3253" s="112"/>
      <c r="D3253" s="112"/>
      <c r="E3253" s="417"/>
      <c r="F3253" s="418"/>
    </row>
    <row r="3254" spans="2:6" x14ac:dyDescent="0.25">
      <c r="B3254" s="112"/>
      <c r="D3254" s="112"/>
      <c r="E3254" s="417"/>
      <c r="F3254" s="418"/>
    </row>
    <row r="3255" spans="2:6" x14ac:dyDescent="0.25">
      <c r="B3255" s="112"/>
      <c r="D3255" s="112"/>
      <c r="E3255" s="417"/>
      <c r="F3255" s="418"/>
    </row>
    <row r="3256" spans="2:6" x14ac:dyDescent="0.25">
      <c r="B3256" s="112"/>
      <c r="D3256" s="112"/>
      <c r="E3256" s="417"/>
      <c r="F3256" s="418"/>
    </row>
    <row r="3257" spans="2:6" x14ac:dyDescent="0.25">
      <c r="B3257" s="112"/>
      <c r="D3257" s="112"/>
      <c r="E3257" s="417"/>
      <c r="F3257" s="418"/>
    </row>
    <row r="3258" spans="2:6" x14ac:dyDescent="0.25">
      <c r="B3258" s="112"/>
      <c r="D3258" s="112"/>
      <c r="E3258" s="417"/>
      <c r="F3258" s="418"/>
    </row>
    <row r="3259" spans="2:6" x14ac:dyDescent="0.25">
      <c r="B3259" s="112"/>
      <c r="D3259" s="112"/>
      <c r="E3259" s="417"/>
      <c r="F3259" s="418"/>
    </row>
    <row r="3260" spans="2:6" x14ac:dyDescent="0.25">
      <c r="B3260" s="112"/>
      <c r="D3260" s="112"/>
      <c r="E3260" s="417"/>
      <c r="F3260" s="418"/>
    </row>
    <row r="3261" spans="2:6" x14ac:dyDescent="0.25">
      <c r="B3261" s="112"/>
      <c r="D3261" s="112"/>
      <c r="E3261" s="417"/>
      <c r="F3261" s="418"/>
    </row>
    <row r="3262" spans="2:6" x14ac:dyDescent="0.25">
      <c r="B3262" s="112"/>
      <c r="D3262" s="112"/>
      <c r="E3262" s="417"/>
      <c r="F3262" s="418"/>
    </row>
    <row r="3263" spans="2:6" x14ac:dyDescent="0.25">
      <c r="B3263" s="112"/>
      <c r="D3263" s="112"/>
      <c r="E3263" s="417"/>
      <c r="F3263" s="418"/>
    </row>
    <row r="3264" spans="2:6" x14ac:dyDescent="0.25">
      <c r="B3264" s="112"/>
      <c r="D3264" s="112"/>
      <c r="E3264" s="417"/>
      <c r="F3264" s="418"/>
    </row>
    <row r="3265" spans="2:6" x14ac:dyDescent="0.25">
      <c r="B3265" s="112"/>
      <c r="D3265" s="112"/>
      <c r="E3265" s="417"/>
      <c r="F3265" s="418"/>
    </row>
    <row r="3266" spans="2:6" x14ac:dyDescent="0.25">
      <c r="B3266" s="112"/>
      <c r="D3266" s="112"/>
      <c r="E3266" s="417"/>
      <c r="F3266" s="418"/>
    </row>
    <row r="3267" spans="2:6" x14ac:dyDescent="0.25">
      <c r="B3267" s="112"/>
      <c r="D3267" s="112"/>
      <c r="E3267" s="417"/>
      <c r="F3267" s="418"/>
    </row>
    <row r="3268" spans="2:6" x14ac:dyDescent="0.25">
      <c r="B3268" s="112"/>
      <c r="D3268" s="112"/>
      <c r="E3268" s="417"/>
      <c r="F3268" s="418"/>
    </row>
    <row r="3269" spans="2:6" x14ac:dyDescent="0.25">
      <c r="B3269" s="112"/>
      <c r="D3269" s="112"/>
      <c r="E3269" s="417"/>
      <c r="F3269" s="418"/>
    </row>
    <row r="3270" spans="2:6" x14ac:dyDescent="0.25">
      <c r="B3270" s="112"/>
      <c r="D3270" s="112"/>
      <c r="E3270" s="417"/>
      <c r="F3270" s="418"/>
    </row>
    <row r="3271" spans="2:6" x14ac:dyDescent="0.25">
      <c r="B3271" s="112"/>
      <c r="D3271" s="112"/>
      <c r="E3271" s="417"/>
      <c r="F3271" s="418"/>
    </row>
    <row r="3272" spans="2:6" x14ac:dyDescent="0.25">
      <c r="B3272" s="112"/>
      <c r="D3272" s="112"/>
      <c r="E3272" s="417"/>
      <c r="F3272" s="418"/>
    </row>
    <row r="3273" spans="2:6" x14ac:dyDescent="0.25">
      <c r="B3273" s="112"/>
      <c r="D3273" s="112"/>
      <c r="E3273" s="417"/>
      <c r="F3273" s="418"/>
    </row>
    <row r="3274" spans="2:6" x14ac:dyDescent="0.25">
      <c r="B3274" s="112"/>
      <c r="D3274" s="112"/>
      <c r="E3274" s="417"/>
      <c r="F3274" s="418"/>
    </row>
    <row r="3275" spans="2:6" x14ac:dyDescent="0.25">
      <c r="B3275" s="112"/>
      <c r="D3275" s="112"/>
      <c r="E3275" s="417"/>
      <c r="F3275" s="418"/>
    </row>
    <row r="3276" spans="2:6" x14ac:dyDescent="0.25">
      <c r="B3276" s="112"/>
      <c r="D3276" s="112"/>
      <c r="E3276" s="417"/>
      <c r="F3276" s="418"/>
    </row>
    <row r="3277" spans="2:6" x14ac:dyDescent="0.25">
      <c r="B3277" s="112"/>
      <c r="D3277" s="112"/>
      <c r="E3277" s="417"/>
      <c r="F3277" s="418"/>
    </row>
    <row r="3278" spans="2:6" x14ac:dyDescent="0.25">
      <c r="B3278" s="112"/>
      <c r="D3278" s="112"/>
      <c r="E3278" s="417"/>
      <c r="F3278" s="418"/>
    </row>
    <row r="3279" spans="2:6" x14ac:dyDescent="0.25">
      <c r="B3279" s="112"/>
      <c r="D3279" s="112"/>
      <c r="E3279" s="417"/>
      <c r="F3279" s="418"/>
    </row>
    <row r="3280" spans="2:6" x14ac:dyDescent="0.25">
      <c r="B3280" s="112"/>
      <c r="D3280" s="112"/>
      <c r="E3280" s="417"/>
      <c r="F3280" s="418"/>
    </row>
    <row r="3281" spans="2:6" x14ac:dyDescent="0.25">
      <c r="B3281" s="112"/>
      <c r="D3281" s="112"/>
      <c r="E3281" s="417"/>
      <c r="F3281" s="418"/>
    </row>
    <row r="3282" spans="2:6" x14ac:dyDescent="0.25">
      <c r="B3282" s="112"/>
      <c r="D3282" s="112"/>
      <c r="E3282" s="417"/>
      <c r="F3282" s="418"/>
    </row>
    <row r="3283" spans="2:6" x14ac:dyDescent="0.25">
      <c r="B3283" s="112"/>
      <c r="D3283" s="112"/>
      <c r="E3283" s="417"/>
      <c r="F3283" s="418"/>
    </row>
    <row r="3284" spans="2:6" x14ac:dyDescent="0.25">
      <c r="B3284" s="112"/>
      <c r="D3284" s="112"/>
      <c r="E3284" s="417"/>
      <c r="F3284" s="418"/>
    </row>
    <row r="3285" spans="2:6" x14ac:dyDescent="0.25">
      <c r="B3285" s="112"/>
      <c r="D3285" s="112"/>
      <c r="E3285" s="417"/>
      <c r="F3285" s="418"/>
    </row>
    <row r="3286" spans="2:6" x14ac:dyDescent="0.25">
      <c r="B3286" s="112"/>
      <c r="D3286" s="112"/>
      <c r="E3286" s="417"/>
      <c r="F3286" s="418"/>
    </row>
    <row r="3287" spans="2:6" x14ac:dyDescent="0.25">
      <c r="B3287" s="112"/>
      <c r="D3287" s="112"/>
      <c r="E3287" s="417"/>
      <c r="F3287" s="418"/>
    </row>
    <row r="3288" spans="2:6" x14ac:dyDescent="0.25">
      <c r="B3288" s="112"/>
      <c r="D3288" s="112"/>
      <c r="E3288" s="417"/>
      <c r="F3288" s="418"/>
    </row>
    <row r="3289" spans="2:6" x14ac:dyDescent="0.25">
      <c r="B3289" s="112"/>
      <c r="D3289" s="112"/>
      <c r="E3289" s="417"/>
      <c r="F3289" s="418"/>
    </row>
    <row r="3290" spans="2:6" x14ac:dyDescent="0.25">
      <c r="B3290" s="112"/>
      <c r="D3290" s="112"/>
      <c r="E3290" s="417"/>
      <c r="F3290" s="418"/>
    </row>
    <row r="3291" spans="2:6" x14ac:dyDescent="0.25">
      <c r="B3291" s="112"/>
      <c r="D3291" s="112"/>
      <c r="E3291" s="417"/>
      <c r="F3291" s="418"/>
    </row>
    <row r="3292" spans="2:6" x14ac:dyDescent="0.25">
      <c r="B3292" s="112"/>
      <c r="D3292" s="112"/>
      <c r="E3292" s="417"/>
      <c r="F3292" s="418"/>
    </row>
    <row r="3293" spans="2:6" x14ac:dyDescent="0.25">
      <c r="B3293" s="112"/>
      <c r="D3293" s="112"/>
      <c r="E3293" s="417"/>
      <c r="F3293" s="418"/>
    </row>
    <row r="3294" spans="2:6" x14ac:dyDescent="0.25">
      <c r="B3294" s="112"/>
      <c r="D3294" s="112"/>
      <c r="E3294" s="417"/>
      <c r="F3294" s="418"/>
    </row>
    <row r="3295" spans="2:6" x14ac:dyDescent="0.25">
      <c r="B3295" s="112"/>
      <c r="D3295" s="112"/>
      <c r="E3295" s="417"/>
      <c r="F3295" s="418"/>
    </row>
    <row r="3296" spans="2:6" x14ac:dyDescent="0.25">
      <c r="B3296" s="112"/>
      <c r="D3296" s="112"/>
      <c r="E3296" s="417"/>
      <c r="F3296" s="418"/>
    </row>
    <row r="3297" spans="2:6" x14ac:dyDescent="0.25">
      <c r="B3297" s="112"/>
      <c r="D3297" s="112"/>
      <c r="E3297" s="417"/>
      <c r="F3297" s="418"/>
    </row>
    <row r="3298" spans="2:6" x14ac:dyDescent="0.25">
      <c r="B3298" s="112"/>
      <c r="D3298" s="112"/>
      <c r="E3298" s="417"/>
      <c r="F3298" s="418"/>
    </row>
    <row r="3299" spans="2:6" x14ac:dyDescent="0.25">
      <c r="B3299" s="112"/>
      <c r="D3299" s="112"/>
      <c r="E3299" s="417"/>
      <c r="F3299" s="418"/>
    </row>
    <row r="3300" spans="2:6" x14ac:dyDescent="0.25">
      <c r="B3300" s="112"/>
      <c r="D3300" s="112"/>
      <c r="E3300" s="417"/>
      <c r="F3300" s="418"/>
    </row>
    <row r="3301" spans="2:6" x14ac:dyDescent="0.25">
      <c r="B3301" s="112"/>
      <c r="D3301" s="112"/>
      <c r="E3301" s="417"/>
      <c r="F3301" s="418"/>
    </row>
    <row r="3302" spans="2:6" x14ac:dyDescent="0.25">
      <c r="B3302" s="112"/>
      <c r="D3302" s="112"/>
      <c r="E3302" s="417"/>
      <c r="F3302" s="418"/>
    </row>
    <row r="3303" spans="2:6" x14ac:dyDescent="0.25">
      <c r="B3303" s="112"/>
      <c r="D3303" s="112"/>
      <c r="E3303" s="417"/>
      <c r="F3303" s="418"/>
    </row>
    <row r="3304" spans="2:6" x14ac:dyDescent="0.25">
      <c r="B3304" s="112"/>
      <c r="D3304" s="112"/>
      <c r="E3304" s="417"/>
      <c r="F3304" s="418"/>
    </row>
    <row r="3305" spans="2:6" x14ac:dyDescent="0.25">
      <c r="B3305" s="112"/>
      <c r="D3305" s="112"/>
      <c r="E3305" s="417"/>
      <c r="F3305" s="418"/>
    </row>
    <row r="3306" spans="2:6" x14ac:dyDescent="0.25">
      <c r="B3306" s="112"/>
      <c r="D3306" s="112"/>
      <c r="E3306" s="417"/>
      <c r="F3306" s="418"/>
    </row>
    <row r="3307" spans="2:6" x14ac:dyDescent="0.25">
      <c r="B3307" s="112"/>
      <c r="D3307" s="112"/>
      <c r="E3307" s="417"/>
      <c r="F3307" s="418"/>
    </row>
    <row r="3308" spans="2:6" x14ac:dyDescent="0.25">
      <c r="B3308" s="112"/>
      <c r="D3308" s="112"/>
      <c r="E3308" s="417"/>
      <c r="F3308" s="418"/>
    </row>
    <row r="3309" spans="2:6" x14ac:dyDescent="0.25">
      <c r="B3309" s="112"/>
      <c r="D3309" s="112"/>
      <c r="E3309" s="417"/>
      <c r="F3309" s="418"/>
    </row>
    <row r="3310" spans="2:6" x14ac:dyDescent="0.25">
      <c r="B3310" s="112"/>
      <c r="D3310" s="112"/>
      <c r="E3310" s="417"/>
      <c r="F3310" s="418"/>
    </row>
    <row r="3311" spans="2:6" x14ac:dyDescent="0.25">
      <c r="B3311" s="112"/>
      <c r="D3311" s="112"/>
      <c r="E3311" s="417"/>
      <c r="F3311" s="418"/>
    </row>
    <row r="3312" spans="2:6" x14ac:dyDescent="0.25">
      <c r="B3312" s="112"/>
      <c r="D3312" s="112"/>
      <c r="E3312" s="417"/>
      <c r="F3312" s="418"/>
    </row>
    <row r="3313" spans="2:6" x14ac:dyDescent="0.25">
      <c r="B3313" s="112"/>
      <c r="D3313" s="112"/>
      <c r="E3313" s="417"/>
      <c r="F3313" s="418"/>
    </row>
    <row r="3314" spans="2:6" x14ac:dyDescent="0.25">
      <c r="B3314" s="112"/>
      <c r="D3314" s="112"/>
      <c r="E3314" s="417"/>
      <c r="F3314" s="418"/>
    </row>
    <row r="3315" spans="2:6" x14ac:dyDescent="0.25">
      <c r="B3315" s="112"/>
      <c r="D3315" s="112"/>
      <c r="E3315" s="417"/>
      <c r="F3315" s="418"/>
    </row>
    <row r="3316" spans="2:6" x14ac:dyDescent="0.25">
      <c r="B3316" s="112"/>
      <c r="D3316" s="112"/>
      <c r="E3316" s="417"/>
      <c r="F3316" s="418"/>
    </row>
    <row r="3317" spans="2:6" x14ac:dyDescent="0.25">
      <c r="B3317" s="112"/>
      <c r="D3317" s="112"/>
      <c r="E3317" s="417"/>
      <c r="F3317" s="418"/>
    </row>
    <row r="3318" spans="2:6" x14ac:dyDescent="0.25">
      <c r="B3318" s="112"/>
      <c r="D3318" s="112"/>
      <c r="E3318" s="417"/>
      <c r="F3318" s="418"/>
    </row>
    <row r="3319" spans="2:6" x14ac:dyDescent="0.25">
      <c r="B3319" s="112"/>
      <c r="D3319" s="112"/>
      <c r="E3319" s="417"/>
      <c r="F3319" s="418"/>
    </row>
    <row r="3320" spans="2:6" x14ac:dyDescent="0.25">
      <c r="B3320" s="112"/>
      <c r="D3320" s="112"/>
      <c r="E3320" s="417"/>
      <c r="F3320" s="418"/>
    </row>
    <row r="3321" spans="2:6" x14ac:dyDescent="0.25">
      <c r="B3321" s="112"/>
      <c r="D3321" s="112"/>
      <c r="E3321" s="417"/>
      <c r="F3321" s="418"/>
    </row>
    <row r="3322" spans="2:6" x14ac:dyDescent="0.25">
      <c r="B3322" s="112"/>
      <c r="D3322" s="112"/>
      <c r="E3322" s="417"/>
      <c r="F3322" s="418"/>
    </row>
    <row r="3323" spans="2:6" x14ac:dyDescent="0.25">
      <c r="B3323" s="112"/>
      <c r="D3323" s="112"/>
      <c r="E3323" s="417"/>
      <c r="F3323" s="418"/>
    </row>
    <row r="3324" spans="2:6" x14ac:dyDescent="0.25">
      <c r="B3324" s="112"/>
      <c r="D3324" s="112"/>
      <c r="E3324" s="417"/>
      <c r="F3324" s="418"/>
    </row>
    <row r="3325" spans="2:6" x14ac:dyDescent="0.25">
      <c r="B3325" s="112"/>
      <c r="D3325" s="112"/>
      <c r="E3325" s="417"/>
      <c r="F3325" s="418"/>
    </row>
    <row r="3326" spans="2:6" x14ac:dyDescent="0.25">
      <c r="B3326" s="112"/>
      <c r="D3326" s="112"/>
      <c r="E3326" s="417"/>
      <c r="F3326" s="418"/>
    </row>
    <row r="3327" spans="2:6" x14ac:dyDescent="0.25">
      <c r="B3327" s="112"/>
      <c r="D3327" s="112"/>
      <c r="E3327" s="417"/>
      <c r="F3327" s="418"/>
    </row>
    <row r="3328" spans="2:6" x14ac:dyDescent="0.25">
      <c r="B3328" s="112"/>
      <c r="D3328" s="112"/>
      <c r="E3328" s="417"/>
      <c r="F3328" s="418"/>
    </row>
    <row r="3329" spans="2:6" x14ac:dyDescent="0.25">
      <c r="B3329" s="112"/>
      <c r="D3329" s="112"/>
      <c r="E3329" s="417"/>
      <c r="F3329" s="418"/>
    </row>
    <row r="3330" spans="2:6" x14ac:dyDescent="0.25">
      <c r="B3330" s="112"/>
      <c r="D3330" s="112"/>
      <c r="E3330" s="417"/>
      <c r="F3330" s="418"/>
    </row>
    <row r="3331" spans="2:6" x14ac:dyDescent="0.25">
      <c r="B3331" s="112"/>
      <c r="D3331" s="112"/>
      <c r="E3331" s="417"/>
      <c r="F3331" s="418"/>
    </row>
    <row r="3332" spans="2:6" x14ac:dyDescent="0.25">
      <c r="B3332" s="112"/>
      <c r="D3332" s="112"/>
      <c r="E3332" s="417"/>
      <c r="F3332" s="418"/>
    </row>
    <row r="3333" spans="2:6" x14ac:dyDescent="0.25">
      <c r="B3333" s="112"/>
      <c r="D3333" s="112"/>
      <c r="E3333" s="417"/>
      <c r="F3333" s="418"/>
    </row>
    <row r="3334" spans="2:6" x14ac:dyDescent="0.25">
      <c r="B3334" s="112"/>
      <c r="D3334" s="112"/>
      <c r="E3334" s="417"/>
      <c r="F3334" s="418"/>
    </row>
    <row r="3335" spans="2:6" x14ac:dyDescent="0.25">
      <c r="B3335" s="112"/>
      <c r="D3335" s="112"/>
      <c r="E3335" s="417"/>
      <c r="F3335" s="418"/>
    </row>
    <row r="3336" spans="2:6" x14ac:dyDescent="0.25">
      <c r="B3336" s="112"/>
      <c r="D3336" s="112"/>
      <c r="E3336" s="417"/>
      <c r="F3336" s="418"/>
    </row>
    <row r="3337" spans="2:6" x14ac:dyDescent="0.25">
      <c r="B3337" s="112"/>
      <c r="D3337" s="112"/>
      <c r="E3337" s="417"/>
      <c r="F3337" s="418"/>
    </row>
    <row r="3338" spans="2:6" x14ac:dyDescent="0.25">
      <c r="B3338" s="112"/>
      <c r="D3338" s="112"/>
      <c r="E3338" s="417"/>
      <c r="F3338" s="418"/>
    </row>
    <row r="3339" spans="2:6" x14ac:dyDescent="0.25">
      <c r="B3339" s="112"/>
      <c r="D3339" s="112"/>
      <c r="E3339" s="417"/>
      <c r="F3339" s="418"/>
    </row>
    <row r="3340" spans="2:6" x14ac:dyDescent="0.25">
      <c r="B3340" s="112"/>
      <c r="D3340" s="112"/>
      <c r="E3340" s="417"/>
      <c r="F3340" s="418"/>
    </row>
    <row r="3341" spans="2:6" x14ac:dyDescent="0.25">
      <c r="B3341" s="112"/>
      <c r="D3341" s="112"/>
      <c r="E3341" s="417"/>
      <c r="F3341" s="418"/>
    </row>
    <row r="3342" spans="2:6" x14ac:dyDescent="0.25">
      <c r="B3342" s="112"/>
      <c r="D3342" s="112"/>
      <c r="E3342" s="417"/>
      <c r="F3342" s="418"/>
    </row>
    <row r="3343" spans="2:6" x14ac:dyDescent="0.25">
      <c r="B3343" s="112"/>
      <c r="D3343" s="112"/>
      <c r="E3343" s="417"/>
      <c r="F3343" s="418"/>
    </row>
    <row r="3344" spans="2:6" x14ac:dyDescent="0.25">
      <c r="B3344" s="112"/>
      <c r="D3344" s="112"/>
      <c r="E3344" s="417"/>
      <c r="F3344" s="418"/>
    </row>
    <row r="3345" spans="2:6" x14ac:dyDescent="0.25">
      <c r="B3345" s="112"/>
      <c r="D3345" s="112"/>
      <c r="E3345" s="417"/>
      <c r="F3345" s="418"/>
    </row>
    <row r="3346" spans="2:6" x14ac:dyDescent="0.25">
      <c r="B3346" s="112"/>
      <c r="D3346" s="112"/>
      <c r="E3346" s="417"/>
      <c r="F3346" s="418"/>
    </row>
    <row r="3347" spans="2:6" x14ac:dyDescent="0.25">
      <c r="B3347" s="112"/>
      <c r="D3347" s="112"/>
      <c r="E3347" s="417"/>
      <c r="F3347" s="418"/>
    </row>
    <row r="3348" spans="2:6" x14ac:dyDescent="0.25">
      <c r="B3348" s="112"/>
      <c r="D3348" s="112"/>
      <c r="E3348" s="417"/>
      <c r="F3348" s="418"/>
    </row>
    <row r="3349" spans="2:6" x14ac:dyDescent="0.25">
      <c r="B3349" s="112"/>
      <c r="D3349" s="112"/>
      <c r="E3349" s="417"/>
      <c r="F3349" s="418"/>
    </row>
    <row r="3350" spans="2:6" x14ac:dyDescent="0.25">
      <c r="B3350" s="112"/>
      <c r="D3350" s="112"/>
      <c r="E3350" s="417"/>
      <c r="F3350" s="418"/>
    </row>
    <row r="3351" spans="2:6" x14ac:dyDescent="0.25">
      <c r="B3351" s="112"/>
      <c r="D3351" s="112"/>
      <c r="E3351" s="417"/>
      <c r="F3351" s="418"/>
    </row>
    <row r="3352" spans="2:6" x14ac:dyDescent="0.25">
      <c r="B3352" s="112"/>
      <c r="D3352" s="112"/>
      <c r="E3352" s="417"/>
      <c r="F3352" s="418"/>
    </row>
    <row r="3353" spans="2:6" x14ac:dyDescent="0.25">
      <c r="B3353" s="112"/>
      <c r="D3353" s="112"/>
      <c r="E3353" s="417"/>
      <c r="F3353" s="418"/>
    </row>
    <row r="3354" spans="2:6" x14ac:dyDescent="0.25">
      <c r="B3354" s="112"/>
      <c r="D3354" s="112"/>
      <c r="E3354" s="417"/>
      <c r="F3354" s="418"/>
    </row>
    <row r="3355" spans="2:6" x14ac:dyDescent="0.25">
      <c r="B3355" s="112"/>
      <c r="D3355" s="112"/>
      <c r="E3355" s="417"/>
      <c r="F3355" s="418"/>
    </row>
    <row r="3356" spans="2:6" x14ac:dyDescent="0.25">
      <c r="B3356" s="112"/>
      <c r="D3356" s="112"/>
      <c r="E3356" s="417"/>
      <c r="F3356" s="418"/>
    </row>
    <row r="3357" spans="2:6" x14ac:dyDescent="0.25">
      <c r="B3357" s="112"/>
      <c r="D3357" s="112"/>
      <c r="E3357" s="417"/>
      <c r="F3357" s="418"/>
    </row>
    <row r="3358" spans="2:6" x14ac:dyDescent="0.25">
      <c r="B3358" s="112"/>
      <c r="D3358" s="112"/>
      <c r="E3358" s="417"/>
      <c r="F3358" s="418"/>
    </row>
    <row r="3359" spans="2:6" x14ac:dyDescent="0.25">
      <c r="B3359" s="112"/>
      <c r="D3359" s="112"/>
      <c r="E3359" s="417"/>
      <c r="F3359" s="418"/>
    </row>
    <row r="3360" spans="2:6" x14ac:dyDescent="0.25">
      <c r="B3360" s="112"/>
      <c r="D3360" s="112"/>
      <c r="E3360" s="417"/>
      <c r="F3360" s="418"/>
    </row>
    <row r="3361" spans="2:6" x14ac:dyDescent="0.25">
      <c r="B3361" s="112"/>
      <c r="D3361" s="112"/>
      <c r="E3361" s="417"/>
      <c r="F3361" s="418"/>
    </row>
    <row r="3362" spans="2:6" x14ac:dyDescent="0.25">
      <c r="B3362" s="112"/>
      <c r="D3362" s="112"/>
      <c r="E3362" s="417"/>
      <c r="F3362" s="418"/>
    </row>
    <row r="3363" spans="2:6" x14ac:dyDescent="0.25">
      <c r="B3363" s="112"/>
      <c r="D3363" s="112"/>
      <c r="E3363" s="417"/>
      <c r="F3363" s="418"/>
    </row>
    <row r="3364" spans="2:6" x14ac:dyDescent="0.25">
      <c r="B3364" s="112"/>
      <c r="D3364" s="112"/>
      <c r="E3364" s="417"/>
      <c r="F3364" s="418"/>
    </row>
    <row r="3365" spans="2:6" x14ac:dyDescent="0.25">
      <c r="B3365" s="112"/>
      <c r="D3365" s="112"/>
      <c r="E3365" s="417"/>
      <c r="F3365" s="418"/>
    </row>
    <row r="3366" spans="2:6" x14ac:dyDescent="0.25">
      <c r="B3366" s="112"/>
      <c r="D3366" s="112"/>
      <c r="E3366" s="417"/>
      <c r="F3366" s="418"/>
    </row>
    <row r="3367" spans="2:6" x14ac:dyDescent="0.25">
      <c r="B3367" s="112"/>
      <c r="D3367" s="112"/>
      <c r="E3367" s="417"/>
      <c r="F3367" s="418"/>
    </row>
    <row r="3368" spans="2:6" x14ac:dyDescent="0.25">
      <c r="B3368" s="112"/>
      <c r="D3368" s="112"/>
      <c r="E3368" s="417"/>
      <c r="F3368" s="418"/>
    </row>
    <row r="3369" spans="2:6" x14ac:dyDescent="0.25">
      <c r="B3369" s="112"/>
      <c r="D3369" s="112"/>
      <c r="E3369" s="417"/>
      <c r="F3369" s="418"/>
    </row>
    <row r="3370" spans="2:6" x14ac:dyDescent="0.25">
      <c r="B3370" s="112"/>
      <c r="D3370" s="112"/>
      <c r="E3370" s="417"/>
      <c r="F3370" s="418"/>
    </row>
    <row r="3371" spans="2:6" x14ac:dyDescent="0.25">
      <c r="B3371" s="112"/>
      <c r="D3371" s="112"/>
      <c r="E3371" s="417"/>
      <c r="F3371" s="418"/>
    </row>
    <row r="3372" spans="2:6" x14ac:dyDescent="0.25">
      <c r="B3372" s="112"/>
      <c r="D3372" s="112"/>
      <c r="E3372" s="417"/>
      <c r="F3372" s="418"/>
    </row>
    <row r="3373" spans="2:6" x14ac:dyDescent="0.25">
      <c r="B3373" s="112"/>
      <c r="D3373" s="112"/>
      <c r="E3373" s="417"/>
      <c r="F3373" s="418"/>
    </row>
    <row r="3374" spans="2:6" x14ac:dyDescent="0.25">
      <c r="B3374" s="112"/>
      <c r="D3374" s="112"/>
      <c r="E3374" s="417"/>
      <c r="F3374" s="418"/>
    </row>
    <row r="3375" spans="2:6" x14ac:dyDescent="0.25">
      <c r="B3375" s="112"/>
      <c r="D3375" s="112"/>
      <c r="E3375" s="417"/>
      <c r="F3375" s="418"/>
    </row>
    <row r="3376" spans="2:6" x14ac:dyDescent="0.25">
      <c r="B3376" s="112"/>
      <c r="D3376" s="112"/>
      <c r="E3376" s="417"/>
      <c r="F3376" s="418"/>
    </row>
    <row r="3377" spans="2:6" x14ac:dyDescent="0.25">
      <c r="B3377" s="112"/>
      <c r="D3377" s="112"/>
      <c r="E3377" s="417"/>
      <c r="F3377" s="418"/>
    </row>
    <row r="3378" spans="2:6" x14ac:dyDescent="0.25">
      <c r="B3378" s="112"/>
      <c r="D3378" s="112"/>
      <c r="E3378" s="417"/>
      <c r="F3378" s="418"/>
    </row>
    <row r="3379" spans="2:6" x14ac:dyDescent="0.25">
      <c r="B3379" s="112"/>
      <c r="D3379" s="112"/>
      <c r="E3379" s="417"/>
      <c r="F3379" s="418"/>
    </row>
    <row r="3380" spans="2:6" x14ac:dyDescent="0.25">
      <c r="B3380" s="112"/>
      <c r="D3380" s="112"/>
      <c r="E3380" s="417"/>
      <c r="F3380" s="418"/>
    </row>
    <row r="3381" spans="2:6" x14ac:dyDescent="0.25">
      <c r="B3381" s="112"/>
      <c r="D3381" s="112"/>
      <c r="E3381" s="417"/>
      <c r="F3381" s="418"/>
    </row>
    <row r="3382" spans="2:6" x14ac:dyDescent="0.25">
      <c r="B3382" s="112"/>
      <c r="D3382" s="112"/>
      <c r="E3382" s="417"/>
      <c r="F3382" s="418"/>
    </row>
    <row r="3383" spans="2:6" x14ac:dyDescent="0.25">
      <c r="B3383" s="112"/>
      <c r="D3383" s="112"/>
      <c r="E3383" s="417"/>
      <c r="F3383" s="418"/>
    </row>
    <row r="3384" spans="2:6" x14ac:dyDescent="0.25">
      <c r="B3384" s="112"/>
      <c r="D3384" s="112"/>
      <c r="E3384" s="417"/>
      <c r="F3384" s="418"/>
    </row>
    <row r="3385" spans="2:6" x14ac:dyDescent="0.25">
      <c r="B3385" s="112"/>
      <c r="D3385" s="112"/>
      <c r="E3385" s="417"/>
      <c r="F3385" s="418"/>
    </row>
    <row r="3386" spans="2:6" x14ac:dyDescent="0.25">
      <c r="B3386" s="112"/>
      <c r="D3386" s="112"/>
      <c r="E3386" s="417"/>
      <c r="F3386" s="418"/>
    </row>
    <row r="3387" spans="2:6" x14ac:dyDescent="0.25">
      <c r="B3387" s="112"/>
      <c r="D3387" s="112"/>
      <c r="E3387" s="417"/>
      <c r="F3387" s="418"/>
    </row>
    <row r="3388" spans="2:6" x14ac:dyDescent="0.25">
      <c r="B3388" s="112"/>
      <c r="D3388" s="112"/>
      <c r="E3388" s="417"/>
      <c r="F3388" s="418"/>
    </row>
    <row r="3389" spans="2:6" x14ac:dyDescent="0.25">
      <c r="B3389" s="112"/>
      <c r="D3389" s="112"/>
      <c r="E3389" s="417"/>
      <c r="F3389" s="418"/>
    </row>
    <row r="3390" spans="2:6" x14ac:dyDescent="0.25">
      <c r="B3390" s="112"/>
      <c r="D3390" s="112"/>
      <c r="E3390" s="417"/>
      <c r="F3390" s="418"/>
    </row>
    <row r="3391" spans="2:6" x14ac:dyDescent="0.25">
      <c r="B3391" s="112"/>
      <c r="D3391" s="112"/>
      <c r="E3391" s="417"/>
      <c r="F3391" s="418"/>
    </row>
    <row r="3392" spans="2:6" x14ac:dyDescent="0.25">
      <c r="B3392" s="112"/>
      <c r="D3392" s="112"/>
      <c r="E3392" s="417"/>
      <c r="F3392" s="418"/>
    </row>
    <row r="3393" spans="2:6" x14ac:dyDescent="0.25">
      <c r="B3393" s="112"/>
      <c r="D3393" s="112"/>
      <c r="E3393" s="417"/>
      <c r="F3393" s="418"/>
    </row>
    <row r="3394" spans="2:6" x14ac:dyDescent="0.25">
      <c r="B3394" s="112"/>
      <c r="D3394" s="112"/>
      <c r="E3394" s="417"/>
      <c r="F3394" s="418"/>
    </row>
    <row r="3395" spans="2:6" x14ac:dyDescent="0.25">
      <c r="B3395" s="112"/>
      <c r="D3395" s="112"/>
      <c r="E3395" s="417"/>
      <c r="F3395" s="418"/>
    </row>
    <row r="3396" spans="2:6" x14ac:dyDescent="0.25">
      <c r="B3396" s="112"/>
      <c r="D3396" s="112"/>
      <c r="E3396" s="417"/>
      <c r="F3396" s="418"/>
    </row>
    <row r="3397" spans="2:6" x14ac:dyDescent="0.25">
      <c r="B3397" s="112"/>
      <c r="D3397" s="112"/>
      <c r="E3397" s="417"/>
      <c r="F3397" s="418"/>
    </row>
    <row r="3398" spans="2:6" x14ac:dyDescent="0.25">
      <c r="B3398" s="112"/>
      <c r="D3398" s="112"/>
      <c r="E3398" s="417"/>
      <c r="F3398" s="418"/>
    </row>
    <row r="3399" spans="2:6" x14ac:dyDescent="0.25">
      <c r="B3399" s="112"/>
      <c r="D3399" s="112"/>
      <c r="E3399" s="417"/>
      <c r="F3399" s="418"/>
    </row>
    <row r="3400" spans="2:6" x14ac:dyDescent="0.25">
      <c r="B3400" s="112"/>
      <c r="D3400" s="112"/>
      <c r="E3400" s="417"/>
      <c r="F3400" s="418"/>
    </row>
    <row r="3401" spans="2:6" x14ac:dyDescent="0.25">
      <c r="B3401" s="112"/>
      <c r="D3401" s="112"/>
      <c r="E3401" s="417"/>
      <c r="F3401" s="418"/>
    </row>
    <row r="3402" spans="2:6" x14ac:dyDescent="0.25">
      <c r="B3402" s="112"/>
      <c r="D3402" s="112"/>
      <c r="E3402" s="417"/>
      <c r="F3402" s="418"/>
    </row>
    <row r="3403" spans="2:6" x14ac:dyDescent="0.25">
      <c r="B3403" s="112"/>
      <c r="D3403" s="112"/>
      <c r="E3403" s="417"/>
      <c r="F3403" s="418"/>
    </row>
    <row r="3404" spans="2:6" x14ac:dyDescent="0.25">
      <c r="B3404" s="112"/>
      <c r="D3404" s="112"/>
      <c r="E3404" s="417"/>
      <c r="F3404" s="418"/>
    </row>
    <row r="3405" spans="2:6" x14ac:dyDescent="0.25">
      <c r="B3405" s="112"/>
      <c r="D3405" s="112"/>
      <c r="E3405" s="417"/>
      <c r="F3405" s="418"/>
    </row>
    <row r="3406" spans="2:6" x14ac:dyDescent="0.25">
      <c r="B3406" s="112"/>
      <c r="D3406" s="112"/>
      <c r="E3406" s="417"/>
      <c r="F3406" s="418"/>
    </row>
    <row r="3407" spans="2:6" x14ac:dyDescent="0.25">
      <c r="B3407" s="112"/>
      <c r="D3407" s="112"/>
      <c r="E3407" s="417"/>
      <c r="F3407" s="418"/>
    </row>
    <row r="3408" spans="2:6" x14ac:dyDescent="0.25">
      <c r="B3408" s="112"/>
      <c r="D3408" s="112"/>
      <c r="E3408" s="417"/>
      <c r="F3408" s="418"/>
    </row>
    <row r="3409" spans="2:6" x14ac:dyDescent="0.25">
      <c r="B3409" s="112"/>
      <c r="D3409" s="112"/>
      <c r="E3409" s="417"/>
      <c r="F3409" s="418"/>
    </row>
    <row r="3410" spans="2:6" x14ac:dyDescent="0.25">
      <c r="B3410" s="112"/>
      <c r="D3410" s="112"/>
      <c r="E3410" s="417"/>
      <c r="F3410" s="418"/>
    </row>
    <row r="3411" spans="2:6" x14ac:dyDescent="0.25">
      <c r="B3411" s="112"/>
      <c r="D3411" s="112"/>
      <c r="E3411" s="417"/>
      <c r="F3411" s="418"/>
    </row>
    <row r="3412" spans="2:6" x14ac:dyDescent="0.25">
      <c r="B3412" s="112"/>
      <c r="D3412" s="112"/>
      <c r="E3412" s="417"/>
      <c r="F3412" s="418"/>
    </row>
    <row r="3413" spans="2:6" x14ac:dyDescent="0.25">
      <c r="B3413" s="112"/>
      <c r="D3413" s="112"/>
      <c r="E3413" s="417"/>
      <c r="F3413" s="418"/>
    </row>
    <row r="3414" spans="2:6" x14ac:dyDescent="0.25">
      <c r="B3414" s="112"/>
      <c r="D3414" s="112"/>
      <c r="E3414" s="417"/>
      <c r="F3414" s="418"/>
    </row>
    <row r="3415" spans="2:6" x14ac:dyDescent="0.25">
      <c r="B3415" s="112"/>
      <c r="D3415" s="112"/>
      <c r="E3415" s="417"/>
      <c r="F3415" s="418"/>
    </row>
    <row r="3416" spans="2:6" x14ac:dyDescent="0.25">
      <c r="B3416" s="112"/>
      <c r="D3416" s="112"/>
      <c r="E3416" s="417"/>
      <c r="F3416" s="418"/>
    </row>
    <row r="3417" spans="2:6" x14ac:dyDescent="0.25">
      <c r="B3417" s="112"/>
      <c r="D3417" s="112"/>
      <c r="E3417" s="417"/>
      <c r="F3417" s="418"/>
    </row>
    <row r="3418" spans="2:6" x14ac:dyDescent="0.25">
      <c r="B3418" s="112"/>
      <c r="D3418" s="112"/>
      <c r="E3418" s="417"/>
      <c r="F3418" s="418"/>
    </row>
    <row r="3419" spans="2:6" x14ac:dyDescent="0.25">
      <c r="B3419" s="112"/>
      <c r="D3419" s="112"/>
      <c r="E3419" s="417"/>
      <c r="F3419" s="418"/>
    </row>
    <row r="3420" spans="2:6" x14ac:dyDescent="0.25">
      <c r="B3420" s="112"/>
      <c r="D3420" s="112"/>
      <c r="E3420" s="417"/>
      <c r="F3420" s="418"/>
    </row>
    <row r="3421" spans="2:6" x14ac:dyDescent="0.25">
      <c r="B3421" s="112"/>
      <c r="D3421" s="112"/>
      <c r="E3421" s="417"/>
      <c r="F3421" s="418"/>
    </row>
    <row r="3422" spans="2:6" x14ac:dyDescent="0.25">
      <c r="B3422" s="112"/>
      <c r="D3422" s="112"/>
      <c r="E3422" s="417"/>
      <c r="F3422" s="418"/>
    </row>
    <row r="3423" spans="2:6" x14ac:dyDescent="0.25">
      <c r="B3423" s="112"/>
      <c r="D3423" s="112"/>
      <c r="E3423" s="417"/>
      <c r="F3423" s="418"/>
    </row>
    <row r="3424" spans="2:6" x14ac:dyDescent="0.25">
      <c r="B3424" s="112"/>
      <c r="D3424" s="112"/>
      <c r="E3424" s="417"/>
      <c r="F3424" s="418"/>
    </row>
    <row r="3425" spans="2:6" x14ac:dyDescent="0.25">
      <c r="B3425" s="112"/>
      <c r="D3425" s="112"/>
      <c r="E3425" s="417"/>
      <c r="F3425" s="418"/>
    </row>
    <row r="3426" spans="2:6" x14ac:dyDescent="0.25">
      <c r="B3426" s="112"/>
      <c r="D3426" s="112"/>
      <c r="E3426" s="417"/>
      <c r="F3426" s="418"/>
    </row>
    <row r="3427" spans="2:6" x14ac:dyDescent="0.25">
      <c r="B3427" s="112"/>
      <c r="D3427" s="112"/>
      <c r="E3427" s="417"/>
      <c r="F3427" s="418"/>
    </row>
    <row r="3428" spans="2:6" x14ac:dyDescent="0.25">
      <c r="B3428" s="112"/>
      <c r="D3428" s="112"/>
      <c r="E3428" s="417"/>
      <c r="F3428" s="418"/>
    </row>
    <row r="3429" spans="2:6" x14ac:dyDescent="0.25">
      <c r="B3429" s="112"/>
      <c r="D3429" s="112"/>
      <c r="E3429" s="417"/>
      <c r="F3429" s="418"/>
    </row>
    <row r="3430" spans="2:6" x14ac:dyDescent="0.25">
      <c r="B3430" s="112"/>
      <c r="D3430" s="112"/>
      <c r="E3430" s="417"/>
      <c r="F3430" s="418"/>
    </row>
    <row r="3431" spans="2:6" x14ac:dyDescent="0.25">
      <c r="B3431" s="112"/>
      <c r="D3431" s="112"/>
      <c r="E3431" s="417"/>
      <c r="F3431" s="418"/>
    </row>
    <row r="3432" spans="2:6" x14ac:dyDescent="0.25">
      <c r="B3432" s="112"/>
      <c r="D3432" s="112"/>
      <c r="E3432" s="417"/>
      <c r="F3432" s="418"/>
    </row>
    <row r="3433" spans="2:6" x14ac:dyDescent="0.25">
      <c r="B3433" s="112"/>
      <c r="D3433" s="112"/>
      <c r="E3433" s="417"/>
      <c r="F3433" s="418"/>
    </row>
    <row r="3434" spans="2:6" x14ac:dyDescent="0.25">
      <c r="B3434" s="112"/>
      <c r="D3434" s="112"/>
      <c r="E3434" s="417"/>
      <c r="F3434" s="418"/>
    </row>
    <row r="3435" spans="2:6" x14ac:dyDescent="0.25">
      <c r="B3435" s="112"/>
      <c r="D3435" s="112"/>
      <c r="E3435" s="417"/>
      <c r="F3435" s="418"/>
    </row>
    <row r="3436" spans="2:6" x14ac:dyDescent="0.25">
      <c r="B3436" s="112"/>
      <c r="D3436" s="112"/>
      <c r="E3436" s="417"/>
      <c r="F3436" s="418"/>
    </row>
    <row r="3437" spans="2:6" x14ac:dyDescent="0.25">
      <c r="B3437" s="112"/>
      <c r="D3437" s="112"/>
      <c r="E3437" s="417"/>
      <c r="F3437" s="418"/>
    </row>
    <row r="3438" spans="2:6" x14ac:dyDescent="0.25">
      <c r="B3438" s="112"/>
      <c r="D3438" s="112"/>
      <c r="E3438" s="417"/>
      <c r="F3438" s="418"/>
    </row>
    <row r="3439" spans="2:6" x14ac:dyDescent="0.25">
      <c r="B3439" s="112"/>
      <c r="D3439" s="112"/>
      <c r="E3439" s="417"/>
      <c r="F3439" s="418"/>
    </row>
    <row r="3440" spans="2:6" x14ac:dyDescent="0.25">
      <c r="B3440" s="112"/>
      <c r="D3440" s="112"/>
      <c r="E3440" s="417"/>
      <c r="F3440" s="418"/>
    </row>
    <row r="3441" spans="2:6" x14ac:dyDescent="0.25">
      <c r="B3441" s="112"/>
      <c r="D3441" s="112"/>
      <c r="E3441" s="417"/>
      <c r="F3441" s="418"/>
    </row>
    <row r="3442" spans="2:6" x14ac:dyDescent="0.25">
      <c r="B3442" s="112"/>
      <c r="D3442" s="112"/>
      <c r="E3442" s="417"/>
      <c r="F3442" s="418"/>
    </row>
    <row r="3443" spans="2:6" x14ac:dyDescent="0.25">
      <c r="B3443" s="112"/>
      <c r="D3443" s="112"/>
      <c r="E3443" s="417"/>
      <c r="F3443" s="418"/>
    </row>
    <row r="3444" spans="2:6" x14ac:dyDescent="0.25">
      <c r="B3444" s="112"/>
      <c r="D3444" s="112"/>
      <c r="E3444" s="417"/>
      <c r="F3444" s="418"/>
    </row>
    <row r="3445" spans="2:6" x14ac:dyDescent="0.25">
      <c r="B3445" s="112"/>
      <c r="D3445" s="112"/>
      <c r="E3445" s="417"/>
      <c r="F3445" s="418"/>
    </row>
    <row r="3446" spans="2:6" x14ac:dyDescent="0.25">
      <c r="B3446" s="112"/>
      <c r="D3446" s="112"/>
      <c r="E3446" s="417"/>
      <c r="F3446" s="418"/>
    </row>
    <row r="3447" spans="2:6" x14ac:dyDescent="0.25">
      <c r="B3447" s="112"/>
      <c r="D3447" s="112"/>
      <c r="E3447" s="417"/>
      <c r="F3447" s="418"/>
    </row>
    <row r="3448" spans="2:6" x14ac:dyDescent="0.25">
      <c r="B3448" s="112"/>
      <c r="D3448" s="112"/>
      <c r="E3448" s="417"/>
      <c r="F3448" s="418"/>
    </row>
    <row r="3449" spans="2:6" x14ac:dyDescent="0.25">
      <c r="B3449" s="112"/>
      <c r="D3449" s="112"/>
      <c r="E3449" s="417"/>
      <c r="F3449" s="418"/>
    </row>
    <row r="3450" spans="2:6" x14ac:dyDescent="0.25">
      <c r="B3450" s="112"/>
      <c r="D3450" s="112"/>
      <c r="E3450" s="417"/>
      <c r="F3450" s="418"/>
    </row>
    <row r="3451" spans="2:6" x14ac:dyDescent="0.25">
      <c r="B3451" s="112"/>
      <c r="D3451" s="112"/>
      <c r="E3451" s="417"/>
      <c r="F3451" s="418"/>
    </row>
    <row r="3452" spans="2:6" x14ac:dyDescent="0.25">
      <c r="B3452" s="112"/>
      <c r="D3452" s="112"/>
      <c r="E3452" s="417"/>
      <c r="F3452" s="418"/>
    </row>
    <row r="3453" spans="2:6" x14ac:dyDescent="0.25">
      <c r="B3453" s="112"/>
      <c r="D3453" s="112"/>
      <c r="E3453" s="417"/>
      <c r="F3453" s="418"/>
    </row>
    <row r="3454" spans="2:6" x14ac:dyDescent="0.25">
      <c r="B3454" s="112"/>
      <c r="D3454" s="112"/>
      <c r="E3454" s="417"/>
      <c r="F3454" s="418"/>
    </row>
    <row r="3455" spans="2:6" x14ac:dyDescent="0.25">
      <c r="B3455" s="112"/>
      <c r="D3455" s="112"/>
      <c r="E3455" s="417"/>
      <c r="F3455" s="418"/>
    </row>
    <row r="3456" spans="2:6" x14ac:dyDescent="0.25">
      <c r="B3456" s="112"/>
      <c r="D3456" s="112"/>
      <c r="E3456" s="417"/>
      <c r="F3456" s="418"/>
    </row>
    <row r="3457" spans="2:6" x14ac:dyDescent="0.25">
      <c r="B3457" s="112"/>
      <c r="D3457" s="112"/>
      <c r="E3457" s="417"/>
      <c r="F3457" s="418"/>
    </row>
    <row r="3458" spans="2:6" x14ac:dyDescent="0.25">
      <c r="B3458" s="112"/>
      <c r="D3458" s="112"/>
      <c r="E3458" s="417"/>
      <c r="F3458" s="418"/>
    </row>
    <row r="3459" spans="2:6" x14ac:dyDescent="0.25">
      <c r="B3459" s="112"/>
      <c r="D3459" s="112"/>
      <c r="E3459" s="417"/>
      <c r="F3459" s="418"/>
    </row>
    <row r="3460" spans="2:6" x14ac:dyDescent="0.25">
      <c r="B3460" s="112"/>
      <c r="D3460" s="112"/>
      <c r="E3460" s="417"/>
      <c r="F3460" s="418"/>
    </row>
    <row r="3461" spans="2:6" x14ac:dyDescent="0.25">
      <c r="B3461" s="112"/>
      <c r="D3461" s="112"/>
      <c r="E3461" s="417"/>
      <c r="F3461" s="418"/>
    </row>
    <row r="3462" spans="2:6" x14ac:dyDescent="0.25">
      <c r="B3462" s="112"/>
      <c r="D3462" s="112"/>
      <c r="E3462" s="417"/>
      <c r="F3462" s="418"/>
    </row>
    <row r="3463" spans="2:6" x14ac:dyDescent="0.25">
      <c r="B3463" s="112"/>
      <c r="D3463" s="112"/>
      <c r="E3463" s="417"/>
      <c r="F3463" s="418"/>
    </row>
    <row r="3464" spans="2:6" x14ac:dyDescent="0.25">
      <c r="B3464" s="112"/>
      <c r="D3464" s="112"/>
      <c r="E3464" s="417"/>
      <c r="F3464" s="418"/>
    </row>
    <row r="3465" spans="2:6" x14ac:dyDescent="0.25">
      <c r="B3465" s="112"/>
      <c r="D3465" s="112"/>
      <c r="E3465" s="417"/>
      <c r="F3465" s="418"/>
    </row>
    <row r="3466" spans="2:6" x14ac:dyDescent="0.25">
      <c r="B3466" s="112"/>
      <c r="D3466" s="112"/>
      <c r="E3466" s="417"/>
      <c r="F3466" s="418"/>
    </row>
    <row r="3467" spans="2:6" x14ac:dyDescent="0.25">
      <c r="B3467" s="112"/>
      <c r="D3467" s="112"/>
      <c r="E3467" s="417"/>
      <c r="F3467" s="418"/>
    </row>
    <row r="3468" spans="2:6" x14ac:dyDescent="0.25">
      <c r="B3468" s="112"/>
      <c r="D3468" s="112"/>
      <c r="E3468" s="417"/>
      <c r="F3468" s="418"/>
    </row>
    <row r="3469" spans="2:6" x14ac:dyDescent="0.25">
      <c r="B3469" s="112"/>
      <c r="D3469" s="112"/>
      <c r="E3469" s="417"/>
      <c r="F3469" s="418"/>
    </row>
    <row r="3470" spans="2:6" x14ac:dyDescent="0.25">
      <c r="B3470" s="112"/>
      <c r="D3470" s="112"/>
      <c r="E3470" s="417"/>
      <c r="F3470" s="418"/>
    </row>
    <row r="3471" spans="2:6" x14ac:dyDescent="0.25">
      <c r="B3471" s="112"/>
      <c r="D3471" s="112"/>
      <c r="E3471" s="417"/>
      <c r="F3471" s="418"/>
    </row>
    <row r="3472" spans="2:6" x14ac:dyDescent="0.25">
      <c r="B3472" s="112"/>
      <c r="D3472" s="112"/>
      <c r="E3472" s="417"/>
      <c r="F3472" s="418"/>
    </row>
    <row r="3473" spans="2:6" x14ac:dyDescent="0.25">
      <c r="B3473" s="112"/>
      <c r="D3473" s="112"/>
      <c r="E3473" s="417"/>
      <c r="F3473" s="418"/>
    </row>
    <row r="3474" spans="2:6" x14ac:dyDescent="0.25">
      <c r="B3474" s="112"/>
      <c r="D3474" s="112"/>
      <c r="E3474" s="417"/>
      <c r="F3474" s="418"/>
    </row>
    <row r="3475" spans="2:6" x14ac:dyDescent="0.25">
      <c r="B3475" s="112"/>
      <c r="D3475" s="112"/>
      <c r="E3475" s="417"/>
      <c r="F3475" s="418"/>
    </row>
    <row r="3476" spans="2:6" x14ac:dyDescent="0.25">
      <c r="B3476" s="112"/>
      <c r="D3476" s="112"/>
      <c r="E3476" s="417"/>
      <c r="F3476" s="418"/>
    </row>
    <row r="3477" spans="2:6" x14ac:dyDescent="0.25">
      <c r="B3477" s="112"/>
      <c r="D3477" s="112"/>
      <c r="E3477" s="417"/>
      <c r="F3477" s="418"/>
    </row>
    <row r="3478" spans="2:6" x14ac:dyDescent="0.25">
      <c r="B3478" s="112"/>
      <c r="D3478" s="112"/>
      <c r="E3478" s="417"/>
      <c r="F3478" s="418"/>
    </row>
    <row r="3479" spans="2:6" x14ac:dyDescent="0.25">
      <c r="B3479" s="112"/>
      <c r="D3479" s="112"/>
      <c r="E3479" s="417"/>
      <c r="F3479" s="418"/>
    </row>
    <row r="3480" spans="2:6" x14ac:dyDescent="0.25">
      <c r="B3480" s="112"/>
      <c r="D3480" s="112"/>
      <c r="E3480" s="417"/>
      <c r="F3480" s="418"/>
    </row>
    <row r="3481" spans="2:6" x14ac:dyDescent="0.25">
      <c r="B3481" s="112"/>
      <c r="D3481" s="112"/>
      <c r="E3481" s="417"/>
      <c r="F3481" s="418"/>
    </row>
    <row r="3482" spans="2:6" x14ac:dyDescent="0.25">
      <c r="B3482" s="112"/>
      <c r="D3482" s="112"/>
      <c r="E3482" s="417"/>
      <c r="F3482" s="418"/>
    </row>
    <row r="3483" spans="2:6" x14ac:dyDescent="0.25">
      <c r="B3483" s="112"/>
      <c r="D3483" s="112"/>
      <c r="E3483" s="417"/>
      <c r="F3483" s="418"/>
    </row>
    <row r="3484" spans="2:6" x14ac:dyDescent="0.25">
      <c r="B3484" s="112"/>
      <c r="D3484" s="112"/>
      <c r="E3484" s="417"/>
      <c r="F3484" s="418"/>
    </row>
    <row r="3485" spans="2:6" x14ac:dyDescent="0.25">
      <c r="B3485" s="112"/>
      <c r="D3485" s="112"/>
      <c r="E3485" s="417"/>
      <c r="F3485" s="418"/>
    </row>
    <row r="3486" spans="2:6" x14ac:dyDescent="0.25">
      <c r="B3486" s="112"/>
      <c r="D3486" s="112"/>
      <c r="E3486" s="417"/>
      <c r="F3486" s="418"/>
    </row>
    <row r="3487" spans="2:6" x14ac:dyDescent="0.25">
      <c r="B3487" s="112"/>
      <c r="D3487" s="112"/>
      <c r="E3487" s="417"/>
      <c r="F3487" s="418"/>
    </row>
    <row r="3488" spans="2:6" x14ac:dyDescent="0.25">
      <c r="B3488" s="112"/>
      <c r="D3488" s="112"/>
      <c r="E3488" s="417"/>
      <c r="F3488" s="418"/>
    </row>
    <row r="3489" spans="2:6" x14ac:dyDescent="0.25">
      <c r="B3489" s="112"/>
      <c r="D3489" s="112"/>
      <c r="E3489" s="417"/>
      <c r="F3489" s="418"/>
    </row>
    <row r="3490" spans="2:6" x14ac:dyDescent="0.25">
      <c r="B3490" s="112"/>
      <c r="D3490" s="112"/>
      <c r="E3490" s="417"/>
      <c r="F3490" s="418"/>
    </row>
    <row r="3491" spans="2:6" x14ac:dyDescent="0.25">
      <c r="B3491" s="112"/>
      <c r="D3491" s="112"/>
      <c r="E3491" s="417"/>
      <c r="F3491" s="418"/>
    </row>
    <row r="3492" spans="2:6" x14ac:dyDescent="0.25">
      <c r="B3492" s="112"/>
      <c r="D3492" s="112"/>
      <c r="E3492" s="417"/>
      <c r="F3492" s="418"/>
    </row>
    <row r="3493" spans="2:6" x14ac:dyDescent="0.25">
      <c r="B3493" s="112"/>
      <c r="D3493" s="112"/>
      <c r="E3493" s="417"/>
      <c r="F3493" s="418"/>
    </row>
    <row r="3494" spans="2:6" x14ac:dyDescent="0.25">
      <c r="B3494" s="112"/>
      <c r="D3494" s="112"/>
      <c r="E3494" s="417"/>
      <c r="F3494" s="418"/>
    </row>
    <row r="3495" spans="2:6" x14ac:dyDescent="0.25">
      <c r="B3495" s="112"/>
      <c r="D3495" s="112"/>
      <c r="E3495" s="417"/>
      <c r="F3495" s="418"/>
    </row>
    <row r="3496" spans="2:6" x14ac:dyDescent="0.25">
      <c r="B3496" s="112"/>
      <c r="D3496" s="112"/>
      <c r="E3496" s="417"/>
      <c r="F3496" s="418"/>
    </row>
    <row r="3497" spans="2:6" x14ac:dyDescent="0.25">
      <c r="B3497" s="112"/>
      <c r="D3497" s="112"/>
      <c r="E3497" s="417"/>
      <c r="F3497" s="418"/>
    </row>
    <row r="3498" spans="2:6" x14ac:dyDescent="0.25">
      <c r="B3498" s="112"/>
      <c r="D3498" s="112"/>
      <c r="E3498" s="417"/>
      <c r="F3498" s="418"/>
    </row>
    <row r="3499" spans="2:6" x14ac:dyDescent="0.25">
      <c r="B3499" s="112"/>
      <c r="D3499" s="112"/>
      <c r="E3499" s="417"/>
      <c r="F3499" s="418"/>
    </row>
    <row r="3500" spans="2:6" x14ac:dyDescent="0.25">
      <c r="B3500" s="112"/>
      <c r="D3500" s="112"/>
      <c r="E3500" s="417"/>
      <c r="F3500" s="418"/>
    </row>
    <row r="3501" spans="2:6" x14ac:dyDescent="0.25">
      <c r="B3501" s="112"/>
      <c r="D3501" s="112"/>
      <c r="E3501" s="417"/>
      <c r="F3501" s="418"/>
    </row>
    <row r="3502" spans="2:6" x14ac:dyDescent="0.25">
      <c r="B3502" s="112"/>
      <c r="D3502" s="112"/>
      <c r="E3502" s="417"/>
      <c r="F3502" s="418"/>
    </row>
    <row r="3503" spans="2:6" x14ac:dyDescent="0.25">
      <c r="B3503" s="112"/>
      <c r="D3503" s="112"/>
      <c r="E3503" s="417"/>
      <c r="F3503" s="418"/>
    </row>
    <row r="3504" spans="2:6" x14ac:dyDescent="0.25">
      <c r="B3504" s="112"/>
      <c r="D3504" s="112"/>
      <c r="E3504" s="417"/>
      <c r="F3504" s="418"/>
    </row>
    <row r="3505" spans="2:6" x14ac:dyDescent="0.25">
      <c r="B3505" s="112"/>
      <c r="D3505" s="112"/>
      <c r="E3505" s="417"/>
      <c r="F3505" s="418"/>
    </row>
    <row r="3506" spans="2:6" x14ac:dyDescent="0.25">
      <c r="B3506" s="112"/>
      <c r="D3506" s="112"/>
      <c r="E3506" s="417"/>
      <c r="F3506" s="418"/>
    </row>
    <row r="3507" spans="2:6" x14ac:dyDescent="0.25">
      <c r="B3507" s="112"/>
      <c r="D3507" s="112"/>
      <c r="E3507" s="417"/>
      <c r="F3507" s="418"/>
    </row>
    <row r="3508" spans="2:6" x14ac:dyDescent="0.25">
      <c r="B3508" s="112"/>
      <c r="D3508" s="112"/>
      <c r="E3508" s="417"/>
      <c r="F3508" s="418"/>
    </row>
    <row r="3509" spans="2:6" x14ac:dyDescent="0.25">
      <c r="B3509" s="112"/>
      <c r="D3509" s="112"/>
      <c r="E3509" s="417"/>
      <c r="F3509" s="418"/>
    </row>
    <row r="3510" spans="2:6" x14ac:dyDescent="0.25">
      <c r="B3510" s="112"/>
      <c r="D3510" s="112"/>
      <c r="E3510" s="417"/>
      <c r="F3510" s="418"/>
    </row>
    <row r="3511" spans="2:6" x14ac:dyDescent="0.25">
      <c r="B3511" s="112"/>
      <c r="D3511" s="112"/>
      <c r="E3511" s="417"/>
      <c r="F3511" s="418"/>
    </row>
    <row r="3512" spans="2:6" x14ac:dyDescent="0.25">
      <c r="B3512" s="112"/>
      <c r="D3512" s="112"/>
      <c r="E3512" s="417"/>
      <c r="F3512" s="418"/>
    </row>
    <row r="3513" spans="2:6" x14ac:dyDescent="0.25">
      <c r="B3513" s="112"/>
      <c r="D3513" s="112"/>
      <c r="E3513" s="417"/>
      <c r="F3513" s="418"/>
    </row>
    <row r="3514" spans="2:6" x14ac:dyDescent="0.25">
      <c r="B3514" s="112"/>
      <c r="D3514" s="112"/>
      <c r="E3514" s="417"/>
      <c r="F3514" s="418"/>
    </row>
    <row r="3515" spans="2:6" x14ac:dyDescent="0.25">
      <c r="B3515" s="112"/>
      <c r="D3515" s="112"/>
      <c r="E3515" s="417"/>
      <c r="F3515" s="418"/>
    </row>
    <row r="3516" spans="2:6" x14ac:dyDescent="0.25">
      <c r="B3516" s="112"/>
      <c r="D3516" s="112"/>
      <c r="E3516" s="417"/>
      <c r="F3516" s="418"/>
    </row>
    <row r="3517" spans="2:6" x14ac:dyDescent="0.25">
      <c r="B3517" s="112"/>
      <c r="D3517" s="112"/>
      <c r="E3517" s="417"/>
      <c r="F3517" s="418"/>
    </row>
    <row r="3518" spans="2:6" x14ac:dyDescent="0.25">
      <c r="B3518" s="112"/>
      <c r="D3518" s="112"/>
      <c r="E3518" s="417"/>
      <c r="F3518" s="418"/>
    </row>
    <row r="3519" spans="2:6" x14ac:dyDescent="0.25">
      <c r="B3519" s="112"/>
      <c r="D3519" s="112"/>
      <c r="E3519" s="417"/>
      <c r="F3519" s="418"/>
    </row>
    <row r="3520" spans="2:6" x14ac:dyDescent="0.25">
      <c r="B3520" s="112"/>
      <c r="D3520" s="112"/>
      <c r="E3520" s="417"/>
      <c r="F3520" s="418"/>
    </row>
    <row r="3521" spans="2:6" x14ac:dyDescent="0.25">
      <c r="B3521" s="112"/>
      <c r="D3521" s="112"/>
      <c r="E3521" s="417"/>
      <c r="F3521" s="418"/>
    </row>
    <row r="3522" spans="2:6" x14ac:dyDescent="0.25">
      <c r="B3522" s="112"/>
      <c r="D3522" s="112"/>
      <c r="E3522" s="417"/>
      <c r="F3522" s="418"/>
    </row>
    <row r="3523" spans="2:6" x14ac:dyDescent="0.25">
      <c r="B3523" s="112"/>
      <c r="D3523" s="112"/>
      <c r="E3523" s="417"/>
      <c r="F3523" s="418"/>
    </row>
    <row r="3524" spans="2:6" x14ac:dyDescent="0.25">
      <c r="B3524" s="112"/>
      <c r="D3524" s="112"/>
      <c r="E3524" s="417"/>
      <c r="F3524" s="418"/>
    </row>
    <row r="3525" spans="2:6" x14ac:dyDescent="0.25">
      <c r="B3525" s="112"/>
      <c r="D3525" s="112"/>
      <c r="E3525" s="417"/>
      <c r="F3525" s="418"/>
    </row>
    <row r="3526" spans="2:6" x14ac:dyDescent="0.25">
      <c r="B3526" s="112"/>
      <c r="D3526" s="112"/>
      <c r="E3526" s="417"/>
      <c r="F3526" s="418"/>
    </row>
    <row r="3527" spans="2:6" x14ac:dyDescent="0.25">
      <c r="B3527" s="112"/>
      <c r="D3527" s="112"/>
      <c r="E3527" s="417"/>
      <c r="F3527" s="418"/>
    </row>
    <row r="3528" spans="2:6" x14ac:dyDescent="0.25">
      <c r="B3528" s="112"/>
      <c r="D3528" s="112"/>
      <c r="E3528" s="417"/>
      <c r="F3528" s="418"/>
    </row>
    <row r="3529" spans="2:6" x14ac:dyDescent="0.25">
      <c r="B3529" s="112"/>
      <c r="D3529" s="112"/>
      <c r="E3529" s="417"/>
      <c r="F3529" s="418"/>
    </row>
    <row r="3530" spans="2:6" x14ac:dyDescent="0.25">
      <c r="B3530" s="112"/>
      <c r="D3530" s="112"/>
      <c r="E3530" s="417"/>
      <c r="F3530" s="418"/>
    </row>
    <row r="3531" spans="2:6" x14ac:dyDescent="0.25">
      <c r="B3531" s="112"/>
      <c r="D3531" s="112"/>
      <c r="E3531" s="417"/>
      <c r="F3531" s="418"/>
    </row>
    <row r="3532" spans="2:6" x14ac:dyDescent="0.25">
      <c r="B3532" s="112"/>
      <c r="D3532" s="112"/>
      <c r="E3532" s="417"/>
      <c r="F3532" s="418"/>
    </row>
    <row r="3533" spans="2:6" x14ac:dyDescent="0.25">
      <c r="B3533" s="112"/>
      <c r="D3533" s="112"/>
      <c r="E3533" s="417"/>
      <c r="F3533" s="418"/>
    </row>
    <row r="3534" spans="2:6" x14ac:dyDescent="0.25">
      <c r="B3534" s="112"/>
      <c r="D3534" s="112"/>
      <c r="E3534" s="417"/>
      <c r="F3534" s="418"/>
    </row>
    <row r="3535" spans="2:6" x14ac:dyDescent="0.25">
      <c r="B3535" s="112"/>
      <c r="D3535" s="112"/>
      <c r="E3535" s="417"/>
      <c r="F3535" s="418"/>
    </row>
    <row r="3536" spans="2:6" x14ac:dyDescent="0.25">
      <c r="B3536" s="112"/>
      <c r="D3536" s="112"/>
      <c r="E3536" s="417"/>
      <c r="F3536" s="418"/>
    </row>
    <row r="3537" spans="2:6" x14ac:dyDescent="0.25">
      <c r="B3537" s="112"/>
      <c r="D3537" s="112"/>
      <c r="E3537" s="417"/>
      <c r="F3537" s="418"/>
    </row>
    <row r="3538" spans="2:6" x14ac:dyDescent="0.25">
      <c r="B3538" s="112"/>
      <c r="D3538" s="112"/>
      <c r="E3538" s="417"/>
      <c r="F3538" s="418"/>
    </row>
    <row r="3539" spans="2:6" x14ac:dyDescent="0.25">
      <c r="B3539" s="112"/>
      <c r="D3539" s="112"/>
      <c r="E3539" s="417"/>
      <c r="F3539" s="418"/>
    </row>
    <row r="3540" spans="2:6" x14ac:dyDescent="0.25">
      <c r="B3540" s="112"/>
      <c r="D3540" s="112"/>
      <c r="E3540" s="417"/>
      <c r="F3540" s="418"/>
    </row>
    <row r="3541" spans="2:6" x14ac:dyDescent="0.25">
      <c r="B3541" s="112"/>
      <c r="D3541" s="112"/>
      <c r="E3541" s="417"/>
      <c r="F3541" s="418"/>
    </row>
    <row r="3542" spans="2:6" x14ac:dyDescent="0.25">
      <c r="B3542" s="112"/>
      <c r="D3542" s="112"/>
      <c r="E3542" s="417"/>
      <c r="F3542" s="418"/>
    </row>
    <row r="3543" spans="2:6" x14ac:dyDescent="0.25">
      <c r="B3543" s="112"/>
      <c r="D3543" s="112"/>
      <c r="E3543" s="417"/>
      <c r="F3543" s="418"/>
    </row>
    <row r="3544" spans="2:6" x14ac:dyDescent="0.25">
      <c r="B3544" s="112"/>
      <c r="D3544" s="112"/>
      <c r="E3544" s="417"/>
      <c r="F3544" s="418"/>
    </row>
    <row r="3545" spans="2:6" x14ac:dyDescent="0.25">
      <c r="B3545" s="112"/>
      <c r="D3545" s="112"/>
      <c r="E3545" s="417"/>
      <c r="F3545" s="418"/>
    </row>
    <row r="3546" spans="2:6" x14ac:dyDescent="0.25">
      <c r="B3546" s="112"/>
      <c r="D3546" s="112"/>
      <c r="E3546" s="417"/>
      <c r="F3546" s="418"/>
    </row>
    <row r="3547" spans="2:6" x14ac:dyDescent="0.25">
      <c r="B3547" s="112"/>
      <c r="D3547" s="112"/>
      <c r="E3547" s="417"/>
      <c r="F3547" s="418"/>
    </row>
    <row r="3548" spans="2:6" x14ac:dyDescent="0.25">
      <c r="B3548" s="112"/>
      <c r="D3548" s="112"/>
      <c r="E3548" s="417"/>
      <c r="F3548" s="418"/>
    </row>
    <row r="3549" spans="2:6" x14ac:dyDescent="0.25">
      <c r="B3549" s="112"/>
      <c r="D3549" s="112"/>
      <c r="E3549" s="417"/>
      <c r="F3549" s="418"/>
    </row>
    <row r="3550" spans="2:6" x14ac:dyDescent="0.25">
      <c r="B3550" s="112"/>
      <c r="D3550" s="112"/>
      <c r="E3550" s="417"/>
      <c r="F3550" s="418"/>
    </row>
    <row r="3551" spans="2:6" x14ac:dyDescent="0.25">
      <c r="B3551" s="112"/>
      <c r="D3551" s="112"/>
      <c r="E3551" s="417"/>
      <c r="F3551" s="418"/>
    </row>
    <row r="3552" spans="2:6" x14ac:dyDescent="0.25">
      <c r="B3552" s="112"/>
      <c r="D3552" s="112"/>
      <c r="E3552" s="417"/>
      <c r="F3552" s="418"/>
    </row>
    <row r="3553" spans="2:6" x14ac:dyDescent="0.25">
      <c r="B3553" s="112"/>
      <c r="D3553" s="112"/>
      <c r="E3553" s="417"/>
      <c r="F3553" s="418"/>
    </row>
    <row r="3554" spans="2:6" x14ac:dyDescent="0.25">
      <c r="B3554" s="112"/>
      <c r="D3554" s="112"/>
      <c r="E3554" s="417"/>
      <c r="F3554" s="418"/>
    </row>
    <row r="3555" spans="2:6" x14ac:dyDescent="0.25">
      <c r="B3555" s="112"/>
      <c r="D3555" s="112"/>
      <c r="E3555" s="417"/>
      <c r="F3555" s="418"/>
    </row>
    <row r="3556" spans="2:6" x14ac:dyDescent="0.25">
      <c r="B3556" s="112"/>
      <c r="D3556" s="112"/>
      <c r="E3556" s="417"/>
      <c r="F3556" s="418"/>
    </row>
    <row r="3557" spans="2:6" x14ac:dyDescent="0.25">
      <c r="B3557" s="112"/>
      <c r="D3557" s="112"/>
      <c r="E3557" s="417"/>
      <c r="F3557" s="418"/>
    </row>
    <row r="3558" spans="2:6" x14ac:dyDescent="0.25">
      <c r="B3558" s="112"/>
      <c r="D3558" s="112"/>
      <c r="E3558" s="417"/>
      <c r="F3558" s="418"/>
    </row>
    <row r="3559" spans="2:6" x14ac:dyDescent="0.25">
      <c r="B3559" s="112"/>
      <c r="D3559" s="112"/>
      <c r="E3559" s="417"/>
      <c r="F3559" s="418"/>
    </row>
    <row r="3560" spans="2:6" x14ac:dyDescent="0.25">
      <c r="B3560" s="112"/>
      <c r="D3560" s="112"/>
      <c r="E3560" s="417"/>
      <c r="F3560" s="418"/>
    </row>
    <row r="3561" spans="2:6" x14ac:dyDescent="0.25">
      <c r="B3561" s="112"/>
      <c r="D3561" s="112"/>
      <c r="E3561" s="417"/>
      <c r="F3561" s="418"/>
    </row>
    <row r="3562" spans="2:6" x14ac:dyDescent="0.25">
      <c r="B3562" s="112"/>
      <c r="D3562" s="112"/>
      <c r="E3562" s="417"/>
      <c r="F3562" s="418"/>
    </row>
    <row r="3563" spans="2:6" x14ac:dyDescent="0.25">
      <c r="B3563" s="112"/>
      <c r="D3563" s="112"/>
      <c r="E3563" s="417"/>
      <c r="F3563" s="418"/>
    </row>
    <row r="3564" spans="2:6" x14ac:dyDescent="0.25">
      <c r="B3564" s="112"/>
      <c r="D3564" s="112"/>
      <c r="E3564" s="417"/>
      <c r="F3564" s="418"/>
    </row>
    <row r="3565" spans="2:6" x14ac:dyDescent="0.25">
      <c r="B3565" s="112"/>
      <c r="D3565" s="112"/>
      <c r="E3565" s="417"/>
      <c r="F3565" s="418"/>
    </row>
    <row r="3566" spans="2:6" x14ac:dyDescent="0.25">
      <c r="B3566" s="112"/>
      <c r="D3566" s="112"/>
      <c r="E3566" s="417"/>
      <c r="F3566" s="418"/>
    </row>
    <row r="3567" spans="2:6" x14ac:dyDescent="0.25">
      <c r="B3567" s="112"/>
      <c r="D3567" s="112"/>
      <c r="E3567" s="417"/>
      <c r="F3567" s="418"/>
    </row>
    <row r="3568" spans="2:6" x14ac:dyDescent="0.25">
      <c r="B3568" s="112"/>
      <c r="D3568" s="112"/>
      <c r="E3568" s="417"/>
      <c r="F3568" s="418"/>
    </row>
    <row r="3569" spans="2:6" x14ac:dyDescent="0.25">
      <c r="B3569" s="112"/>
      <c r="D3569" s="112"/>
      <c r="E3569" s="417"/>
      <c r="F3569" s="418"/>
    </row>
    <row r="3570" spans="2:6" x14ac:dyDescent="0.25">
      <c r="B3570" s="112"/>
      <c r="D3570" s="112"/>
      <c r="E3570" s="417"/>
      <c r="F3570" s="418"/>
    </row>
    <row r="3571" spans="2:6" x14ac:dyDescent="0.25">
      <c r="B3571" s="112"/>
      <c r="D3571" s="112"/>
      <c r="E3571" s="417"/>
      <c r="F3571" s="418"/>
    </row>
    <row r="3572" spans="2:6" x14ac:dyDescent="0.25">
      <c r="B3572" s="112"/>
      <c r="D3572" s="112"/>
      <c r="E3572" s="417"/>
      <c r="F3572" s="418"/>
    </row>
    <row r="3573" spans="2:6" x14ac:dyDescent="0.25">
      <c r="B3573" s="112"/>
      <c r="D3573" s="112"/>
      <c r="E3573" s="417"/>
      <c r="F3573" s="418"/>
    </row>
    <row r="3574" spans="2:6" x14ac:dyDescent="0.25">
      <c r="B3574" s="112"/>
      <c r="D3574" s="112"/>
      <c r="E3574" s="417"/>
      <c r="F3574" s="418"/>
    </row>
    <row r="3575" spans="2:6" x14ac:dyDescent="0.25">
      <c r="B3575" s="112"/>
      <c r="D3575" s="112"/>
      <c r="E3575" s="417"/>
      <c r="F3575" s="418"/>
    </row>
    <row r="3576" spans="2:6" x14ac:dyDescent="0.25">
      <c r="B3576" s="112"/>
      <c r="D3576" s="112"/>
      <c r="E3576" s="417"/>
      <c r="F3576" s="418"/>
    </row>
    <row r="3577" spans="2:6" x14ac:dyDescent="0.25">
      <c r="B3577" s="112"/>
      <c r="D3577" s="112"/>
      <c r="E3577" s="417"/>
      <c r="F3577" s="418"/>
    </row>
    <row r="3578" spans="2:6" x14ac:dyDescent="0.25">
      <c r="B3578" s="112"/>
      <c r="D3578" s="112"/>
      <c r="E3578" s="417"/>
      <c r="F3578" s="418"/>
    </row>
    <row r="3579" spans="2:6" x14ac:dyDescent="0.25">
      <c r="B3579" s="112"/>
      <c r="D3579" s="112"/>
      <c r="E3579" s="417"/>
      <c r="F3579" s="418"/>
    </row>
    <row r="3580" spans="2:6" x14ac:dyDescent="0.25">
      <c r="B3580" s="112"/>
      <c r="D3580" s="112"/>
      <c r="E3580" s="417"/>
      <c r="F3580" s="418"/>
    </row>
    <row r="3581" spans="2:6" x14ac:dyDescent="0.25">
      <c r="B3581" s="112"/>
      <c r="D3581" s="112"/>
      <c r="E3581" s="417"/>
      <c r="F3581" s="418"/>
    </row>
    <row r="3582" spans="2:6" x14ac:dyDescent="0.25">
      <c r="B3582" s="112"/>
      <c r="D3582" s="112"/>
      <c r="E3582" s="417"/>
      <c r="F3582" s="418"/>
    </row>
    <row r="3583" spans="2:6" x14ac:dyDescent="0.25">
      <c r="B3583" s="112"/>
      <c r="D3583" s="112"/>
      <c r="E3583" s="417"/>
      <c r="F3583" s="418"/>
    </row>
    <row r="3584" spans="2:6" x14ac:dyDescent="0.25">
      <c r="B3584" s="112"/>
      <c r="D3584" s="112"/>
      <c r="E3584" s="417"/>
      <c r="F3584" s="418"/>
    </row>
    <row r="3585" spans="2:6" x14ac:dyDescent="0.25">
      <c r="B3585" s="112"/>
      <c r="D3585" s="112"/>
      <c r="E3585" s="417"/>
      <c r="F3585" s="418"/>
    </row>
    <row r="3586" spans="2:6" x14ac:dyDescent="0.25">
      <c r="B3586" s="112"/>
      <c r="D3586" s="112"/>
      <c r="E3586" s="417"/>
      <c r="F3586" s="418"/>
    </row>
    <row r="3587" spans="2:6" x14ac:dyDescent="0.25">
      <c r="B3587" s="112"/>
      <c r="D3587" s="112"/>
      <c r="E3587" s="417"/>
      <c r="F3587" s="418"/>
    </row>
    <row r="3588" spans="2:6" x14ac:dyDescent="0.25">
      <c r="B3588" s="112"/>
      <c r="D3588" s="112"/>
      <c r="E3588" s="417"/>
      <c r="F3588" s="418"/>
    </row>
    <row r="3589" spans="2:6" x14ac:dyDescent="0.25">
      <c r="B3589" s="112"/>
      <c r="D3589" s="112"/>
      <c r="E3589" s="417"/>
      <c r="F3589" s="418"/>
    </row>
    <row r="3590" spans="2:6" x14ac:dyDescent="0.25">
      <c r="B3590" s="112"/>
      <c r="D3590" s="112"/>
      <c r="E3590" s="417"/>
      <c r="F3590" s="418"/>
    </row>
    <row r="3591" spans="2:6" x14ac:dyDescent="0.25">
      <c r="B3591" s="112"/>
      <c r="D3591" s="112"/>
      <c r="E3591" s="417"/>
      <c r="F3591" s="418"/>
    </row>
    <row r="3592" spans="2:6" x14ac:dyDescent="0.25">
      <c r="B3592" s="112"/>
      <c r="D3592" s="112"/>
      <c r="E3592" s="417"/>
      <c r="F3592" s="418"/>
    </row>
    <row r="3593" spans="2:6" x14ac:dyDescent="0.25">
      <c r="B3593" s="112"/>
      <c r="D3593" s="112"/>
      <c r="E3593" s="417"/>
      <c r="F3593" s="418"/>
    </row>
    <row r="3594" spans="2:6" x14ac:dyDescent="0.25">
      <c r="B3594" s="112"/>
      <c r="D3594" s="112"/>
      <c r="E3594" s="417"/>
      <c r="F3594" s="418"/>
    </row>
    <row r="3595" spans="2:6" x14ac:dyDescent="0.25">
      <c r="B3595" s="112"/>
      <c r="D3595" s="112"/>
      <c r="E3595" s="417"/>
      <c r="F3595" s="418"/>
    </row>
    <row r="3596" spans="2:6" x14ac:dyDescent="0.25">
      <c r="B3596" s="112"/>
      <c r="D3596" s="112"/>
      <c r="E3596" s="417"/>
      <c r="F3596" s="418"/>
    </row>
    <row r="3597" spans="2:6" x14ac:dyDescent="0.25">
      <c r="B3597" s="112"/>
      <c r="D3597" s="112"/>
      <c r="E3597" s="417"/>
      <c r="F3597" s="418"/>
    </row>
    <row r="3598" spans="2:6" x14ac:dyDescent="0.25">
      <c r="B3598" s="112"/>
      <c r="D3598" s="112"/>
      <c r="E3598" s="417"/>
      <c r="F3598" s="418"/>
    </row>
    <row r="3599" spans="2:6" x14ac:dyDescent="0.25">
      <c r="B3599" s="112"/>
      <c r="D3599" s="112"/>
      <c r="E3599" s="417"/>
      <c r="F3599" s="418"/>
    </row>
    <row r="3600" spans="2:6" x14ac:dyDescent="0.25">
      <c r="B3600" s="112"/>
      <c r="D3600" s="112"/>
      <c r="E3600" s="417"/>
      <c r="F3600" s="418"/>
    </row>
    <row r="3601" spans="2:6" x14ac:dyDescent="0.25">
      <c r="B3601" s="112"/>
      <c r="D3601" s="112"/>
      <c r="E3601" s="417"/>
      <c r="F3601" s="418"/>
    </row>
    <row r="3602" spans="2:6" x14ac:dyDescent="0.25">
      <c r="B3602" s="112"/>
      <c r="D3602" s="112"/>
      <c r="E3602" s="417"/>
      <c r="F3602" s="418"/>
    </row>
    <row r="3603" spans="2:6" x14ac:dyDescent="0.25">
      <c r="B3603" s="112"/>
      <c r="D3603" s="112"/>
      <c r="E3603" s="417"/>
      <c r="F3603" s="418"/>
    </row>
    <row r="3604" spans="2:6" x14ac:dyDescent="0.25">
      <c r="B3604" s="112"/>
      <c r="D3604" s="112"/>
      <c r="E3604" s="417"/>
      <c r="F3604" s="418"/>
    </row>
    <row r="3605" spans="2:6" x14ac:dyDescent="0.25">
      <c r="B3605" s="112"/>
      <c r="D3605" s="112"/>
      <c r="E3605" s="417"/>
      <c r="F3605" s="418"/>
    </row>
    <row r="3606" spans="2:6" x14ac:dyDescent="0.25">
      <c r="B3606" s="112"/>
      <c r="D3606" s="112"/>
      <c r="E3606" s="417"/>
      <c r="F3606" s="418"/>
    </row>
    <row r="3607" spans="2:6" x14ac:dyDescent="0.25">
      <c r="B3607" s="112"/>
      <c r="D3607" s="112"/>
      <c r="E3607" s="417"/>
      <c r="F3607" s="418"/>
    </row>
    <row r="3608" spans="2:6" x14ac:dyDescent="0.25">
      <c r="B3608" s="112"/>
      <c r="D3608" s="112"/>
      <c r="E3608" s="417"/>
      <c r="F3608" s="418"/>
    </row>
    <row r="3609" spans="2:6" x14ac:dyDescent="0.25">
      <c r="B3609" s="112"/>
      <c r="D3609" s="112"/>
      <c r="E3609" s="417"/>
      <c r="F3609" s="418"/>
    </row>
    <row r="3610" spans="2:6" x14ac:dyDescent="0.25">
      <c r="B3610" s="112"/>
      <c r="D3610" s="112"/>
      <c r="E3610" s="417"/>
      <c r="F3610" s="418"/>
    </row>
    <row r="3611" spans="2:6" x14ac:dyDescent="0.25">
      <c r="B3611" s="112"/>
      <c r="D3611" s="112"/>
      <c r="E3611" s="417"/>
      <c r="F3611" s="418"/>
    </row>
    <row r="3612" spans="2:6" x14ac:dyDescent="0.25">
      <c r="B3612" s="112"/>
      <c r="D3612" s="112"/>
      <c r="E3612" s="417"/>
      <c r="F3612" s="418"/>
    </row>
    <row r="3613" spans="2:6" x14ac:dyDescent="0.25">
      <c r="B3613" s="112"/>
      <c r="D3613" s="112"/>
      <c r="E3613" s="417"/>
      <c r="F3613" s="418"/>
    </row>
    <row r="3614" spans="2:6" x14ac:dyDescent="0.25">
      <c r="B3614" s="112"/>
      <c r="D3614" s="112"/>
      <c r="E3614" s="417"/>
      <c r="F3614" s="418"/>
    </row>
    <row r="3615" spans="2:6" x14ac:dyDescent="0.25">
      <c r="B3615" s="112"/>
      <c r="D3615" s="112"/>
      <c r="E3615" s="417"/>
      <c r="F3615" s="418"/>
    </row>
    <row r="3616" spans="2:6" x14ac:dyDescent="0.25">
      <c r="B3616" s="112"/>
      <c r="D3616" s="112"/>
      <c r="E3616" s="417"/>
      <c r="F3616" s="418"/>
    </row>
    <row r="3617" spans="2:6" x14ac:dyDescent="0.25">
      <c r="B3617" s="112"/>
      <c r="D3617" s="112"/>
      <c r="E3617" s="417"/>
      <c r="F3617" s="418"/>
    </row>
    <row r="3618" spans="2:6" x14ac:dyDescent="0.25">
      <c r="B3618" s="112"/>
      <c r="D3618" s="112"/>
      <c r="E3618" s="417"/>
      <c r="F3618" s="418"/>
    </row>
    <row r="3619" spans="2:6" x14ac:dyDescent="0.25">
      <c r="B3619" s="112"/>
      <c r="D3619" s="112"/>
      <c r="E3619" s="417"/>
      <c r="F3619" s="418"/>
    </row>
    <row r="3620" spans="2:6" x14ac:dyDescent="0.25">
      <c r="B3620" s="112"/>
      <c r="D3620" s="112"/>
      <c r="E3620" s="417"/>
      <c r="F3620" s="418"/>
    </row>
    <row r="3621" spans="2:6" x14ac:dyDescent="0.25">
      <c r="B3621" s="112"/>
      <c r="D3621" s="112"/>
      <c r="E3621" s="417"/>
      <c r="F3621" s="418"/>
    </row>
    <row r="3622" spans="2:6" x14ac:dyDescent="0.25">
      <c r="B3622" s="112"/>
      <c r="D3622" s="112"/>
      <c r="E3622" s="417"/>
      <c r="F3622" s="418"/>
    </row>
    <row r="3623" spans="2:6" x14ac:dyDescent="0.25">
      <c r="B3623" s="112"/>
      <c r="D3623" s="112"/>
      <c r="E3623" s="417"/>
      <c r="F3623" s="418"/>
    </row>
    <row r="3624" spans="2:6" x14ac:dyDescent="0.25">
      <c r="B3624" s="112"/>
      <c r="D3624" s="112"/>
      <c r="E3624" s="417"/>
      <c r="F3624" s="418"/>
    </row>
    <row r="3625" spans="2:6" x14ac:dyDescent="0.25">
      <c r="B3625" s="112"/>
      <c r="D3625" s="112"/>
      <c r="E3625" s="417"/>
      <c r="F3625" s="418"/>
    </row>
    <row r="3626" spans="2:6" x14ac:dyDescent="0.25">
      <c r="B3626" s="112"/>
      <c r="D3626" s="112"/>
      <c r="E3626" s="417"/>
      <c r="F3626" s="418"/>
    </row>
    <row r="3627" spans="2:6" x14ac:dyDescent="0.25">
      <c r="B3627" s="112"/>
      <c r="D3627" s="112"/>
      <c r="E3627" s="417"/>
      <c r="F3627" s="418"/>
    </row>
    <row r="3628" spans="2:6" x14ac:dyDescent="0.25">
      <c r="B3628" s="112"/>
      <c r="D3628" s="112"/>
      <c r="E3628" s="417"/>
      <c r="F3628" s="418"/>
    </row>
    <row r="3629" spans="2:6" x14ac:dyDescent="0.25">
      <c r="B3629" s="112"/>
      <c r="D3629" s="112"/>
      <c r="E3629" s="417"/>
      <c r="F3629" s="418"/>
    </row>
    <row r="3630" spans="2:6" x14ac:dyDescent="0.25">
      <c r="B3630" s="112"/>
      <c r="D3630" s="112"/>
      <c r="E3630" s="417"/>
      <c r="F3630" s="418"/>
    </row>
    <row r="3631" spans="2:6" x14ac:dyDescent="0.25">
      <c r="B3631" s="112"/>
      <c r="D3631" s="112"/>
      <c r="E3631" s="417"/>
      <c r="F3631" s="418"/>
    </row>
    <row r="3632" spans="2:6" x14ac:dyDescent="0.25">
      <c r="B3632" s="112"/>
      <c r="D3632" s="112"/>
      <c r="E3632" s="417"/>
      <c r="F3632" s="418"/>
    </row>
    <row r="3633" spans="2:6" x14ac:dyDescent="0.25">
      <c r="B3633" s="112"/>
      <c r="D3633" s="112"/>
      <c r="E3633" s="417"/>
      <c r="F3633" s="418"/>
    </row>
    <row r="3634" spans="2:6" x14ac:dyDescent="0.25">
      <c r="B3634" s="112"/>
      <c r="D3634" s="112"/>
      <c r="E3634" s="417"/>
      <c r="F3634" s="418"/>
    </row>
    <row r="3635" spans="2:6" x14ac:dyDescent="0.25">
      <c r="B3635" s="112"/>
      <c r="D3635" s="112"/>
      <c r="E3635" s="417"/>
      <c r="F3635" s="418"/>
    </row>
    <row r="3636" spans="2:6" x14ac:dyDescent="0.25">
      <c r="B3636" s="112"/>
      <c r="D3636" s="112"/>
      <c r="E3636" s="417"/>
      <c r="F3636" s="418"/>
    </row>
    <row r="3637" spans="2:6" x14ac:dyDescent="0.25">
      <c r="B3637" s="112"/>
      <c r="D3637" s="112"/>
      <c r="E3637" s="417"/>
      <c r="F3637" s="418"/>
    </row>
    <row r="3638" spans="2:6" x14ac:dyDescent="0.25">
      <c r="B3638" s="112"/>
      <c r="D3638" s="112"/>
      <c r="E3638" s="417"/>
      <c r="F3638" s="418"/>
    </row>
    <row r="3639" spans="2:6" x14ac:dyDescent="0.25">
      <c r="B3639" s="112"/>
      <c r="D3639" s="112"/>
      <c r="E3639" s="417"/>
      <c r="F3639" s="418"/>
    </row>
    <row r="3640" spans="2:6" x14ac:dyDescent="0.25">
      <c r="B3640" s="112"/>
      <c r="D3640" s="112"/>
      <c r="E3640" s="417"/>
      <c r="F3640" s="418"/>
    </row>
    <row r="3641" spans="2:6" x14ac:dyDescent="0.25">
      <c r="B3641" s="112"/>
      <c r="D3641" s="112"/>
      <c r="E3641" s="417"/>
      <c r="F3641" s="418"/>
    </row>
    <row r="3642" spans="2:6" x14ac:dyDescent="0.25">
      <c r="B3642" s="112"/>
      <c r="D3642" s="112"/>
      <c r="E3642" s="417"/>
      <c r="F3642" s="418"/>
    </row>
    <row r="3643" spans="2:6" x14ac:dyDescent="0.25">
      <c r="B3643" s="112"/>
      <c r="D3643" s="112"/>
      <c r="E3643" s="417"/>
      <c r="F3643" s="418"/>
    </row>
    <row r="3644" spans="2:6" x14ac:dyDescent="0.25">
      <c r="B3644" s="112"/>
      <c r="D3644" s="112"/>
      <c r="E3644" s="417"/>
      <c r="F3644" s="418"/>
    </row>
    <row r="3645" spans="2:6" x14ac:dyDescent="0.25">
      <c r="B3645" s="112"/>
      <c r="D3645" s="112"/>
      <c r="E3645" s="417"/>
      <c r="F3645" s="418"/>
    </row>
    <row r="3646" spans="2:6" x14ac:dyDescent="0.25">
      <c r="B3646" s="112"/>
      <c r="D3646" s="112"/>
      <c r="E3646" s="417"/>
      <c r="F3646" s="418"/>
    </row>
    <row r="3647" spans="2:6" x14ac:dyDescent="0.25">
      <c r="B3647" s="112"/>
      <c r="D3647" s="112"/>
      <c r="E3647" s="417"/>
      <c r="F3647" s="418"/>
    </row>
    <row r="3648" spans="2:6" x14ac:dyDescent="0.25">
      <c r="B3648" s="112"/>
      <c r="D3648" s="112"/>
      <c r="E3648" s="417"/>
      <c r="F3648" s="418"/>
    </row>
    <row r="3649" spans="2:6" x14ac:dyDescent="0.25">
      <c r="B3649" s="112"/>
      <c r="D3649" s="112"/>
      <c r="E3649" s="417"/>
      <c r="F3649" s="418"/>
    </row>
    <row r="3650" spans="2:6" x14ac:dyDescent="0.25">
      <c r="B3650" s="112"/>
      <c r="D3650" s="112"/>
      <c r="E3650" s="417"/>
      <c r="F3650" s="418"/>
    </row>
    <row r="3651" spans="2:6" x14ac:dyDescent="0.25">
      <c r="B3651" s="112"/>
      <c r="D3651" s="112"/>
      <c r="E3651" s="417"/>
      <c r="F3651" s="418"/>
    </row>
    <row r="3652" spans="2:6" x14ac:dyDescent="0.25">
      <c r="B3652" s="112"/>
      <c r="D3652" s="112"/>
      <c r="E3652" s="417"/>
      <c r="F3652" s="418"/>
    </row>
    <row r="3653" spans="2:6" x14ac:dyDescent="0.25">
      <c r="B3653" s="112"/>
      <c r="D3653" s="112"/>
      <c r="E3653" s="417"/>
      <c r="F3653" s="418"/>
    </row>
    <row r="3654" spans="2:6" x14ac:dyDescent="0.25">
      <c r="B3654" s="112"/>
      <c r="D3654" s="112"/>
      <c r="E3654" s="417"/>
      <c r="F3654" s="418"/>
    </row>
    <row r="3655" spans="2:6" x14ac:dyDescent="0.25">
      <c r="B3655" s="112"/>
      <c r="D3655" s="112"/>
      <c r="E3655" s="417"/>
      <c r="F3655" s="418"/>
    </row>
    <row r="3656" spans="2:6" x14ac:dyDescent="0.25">
      <c r="B3656" s="112"/>
      <c r="D3656" s="112"/>
      <c r="E3656" s="417"/>
      <c r="F3656" s="418"/>
    </row>
    <row r="3657" spans="2:6" x14ac:dyDescent="0.25">
      <c r="B3657" s="112"/>
      <c r="D3657" s="112"/>
      <c r="E3657" s="417"/>
      <c r="F3657" s="418"/>
    </row>
    <row r="3658" spans="2:6" x14ac:dyDescent="0.25">
      <c r="B3658" s="112"/>
      <c r="D3658" s="112"/>
      <c r="E3658" s="417"/>
      <c r="F3658" s="418"/>
    </row>
    <row r="3659" spans="2:6" x14ac:dyDescent="0.25">
      <c r="B3659" s="112"/>
      <c r="D3659" s="112"/>
      <c r="E3659" s="417"/>
      <c r="F3659" s="418"/>
    </row>
    <row r="3660" spans="2:6" x14ac:dyDescent="0.25">
      <c r="B3660" s="112"/>
      <c r="D3660" s="112"/>
      <c r="E3660" s="417"/>
      <c r="F3660" s="418"/>
    </row>
    <row r="3661" spans="2:6" x14ac:dyDescent="0.25">
      <c r="B3661" s="112"/>
      <c r="D3661" s="112"/>
      <c r="E3661" s="417"/>
      <c r="F3661" s="418"/>
    </row>
    <row r="3662" spans="2:6" x14ac:dyDescent="0.25">
      <c r="B3662" s="112"/>
      <c r="D3662" s="112"/>
      <c r="E3662" s="417"/>
      <c r="F3662" s="418"/>
    </row>
    <row r="3663" spans="2:6" x14ac:dyDescent="0.25">
      <c r="B3663" s="112"/>
      <c r="D3663" s="112"/>
      <c r="E3663" s="417"/>
      <c r="F3663" s="418"/>
    </row>
    <row r="3664" spans="2:6" x14ac:dyDescent="0.25">
      <c r="B3664" s="112"/>
      <c r="D3664" s="112"/>
      <c r="E3664" s="417"/>
      <c r="F3664" s="418"/>
    </row>
    <row r="3665" spans="2:6" x14ac:dyDescent="0.25">
      <c r="B3665" s="112"/>
      <c r="D3665" s="112"/>
      <c r="E3665" s="417"/>
      <c r="F3665" s="418"/>
    </row>
    <row r="3666" spans="2:6" x14ac:dyDescent="0.25">
      <c r="B3666" s="112"/>
      <c r="D3666" s="112"/>
      <c r="E3666" s="417"/>
      <c r="F3666" s="418"/>
    </row>
    <row r="3667" spans="2:6" x14ac:dyDescent="0.25">
      <c r="B3667" s="112"/>
      <c r="D3667" s="112"/>
      <c r="E3667" s="417"/>
      <c r="F3667" s="418"/>
    </row>
    <row r="3668" spans="2:6" x14ac:dyDescent="0.25">
      <c r="B3668" s="112"/>
      <c r="D3668" s="112"/>
      <c r="E3668" s="417"/>
      <c r="F3668" s="418"/>
    </row>
    <row r="3669" spans="2:6" x14ac:dyDescent="0.25">
      <c r="B3669" s="112"/>
      <c r="D3669" s="112"/>
      <c r="E3669" s="417"/>
      <c r="F3669" s="418"/>
    </row>
    <row r="3670" spans="2:6" x14ac:dyDescent="0.25">
      <c r="B3670" s="112"/>
      <c r="D3670" s="112"/>
      <c r="E3670" s="417"/>
      <c r="F3670" s="418"/>
    </row>
    <row r="3671" spans="2:6" x14ac:dyDescent="0.25">
      <c r="B3671" s="112"/>
      <c r="D3671" s="112"/>
      <c r="E3671" s="417"/>
      <c r="F3671" s="418"/>
    </row>
    <row r="3672" spans="2:6" x14ac:dyDescent="0.25">
      <c r="B3672" s="112"/>
      <c r="D3672" s="112"/>
      <c r="E3672" s="417"/>
      <c r="F3672" s="418"/>
    </row>
    <row r="3673" spans="2:6" x14ac:dyDescent="0.25">
      <c r="B3673" s="112"/>
      <c r="D3673" s="112"/>
      <c r="E3673" s="417"/>
      <c r="F3673" s="418"/>
    </row>
    <row r="3674" spans="2:6" x14ac:dyDescent="0.25">
      <c r="B3674" s="112"/>
      <c r="D3674" s="112"/>
      <c r="E3674" s="417"/>
      <c r="F3674" s="418"/>
    </row>
    <row r="3675" spans="2:6" x14ac:dyDescent="0.25">
      <c r="B3675" s="112"/>
      <c r="D3675" s="112"/>
      <c r="E3675" s="417"/>
      <c r="F3675" s="418"/>
    </row>
    <row r="3676" spans="2:6" x14ac:dyDescent="0.25">
      <c r="B3676" s="112"/>
      <c r="D3676" s="112"/>
      <c r="E3676" s="417"/>
      <c r="F3676" s="418"/>
    </row>
    <row r="3677" spans="2:6" x14ac:dyDescent="0.25">
      <c r="B3677" s="112"/>
      <c r="D3677" s="112"/>
      <c r="E3677" s="417"/>
      <c r="F3677" s="418"/>
    </row>
    <row r="3678" spans="2:6" x14ac:dyDescent="0.25">
      <c r="B3678" s="112"/>
      <c r="D3678" s="112"/>
      <c r="E3678" s="417"/>
      <c r="F3678" s="418"/>
    </row>
    <row r="3679" spans="2:6" x14ac:dyDescent="0.25">
      <c r="B3679" s="112"/>
      <c r="D3679" s="112"/>
      <c r="E3679" s="417"/>
      <c r="F3679" s="418"/>
    </row>
    <row r="3680" spans="2:6" x14ac:dyDescent="0.25">
      <c r="B3680" s="112"/>
      <c r="D3680" s="112"/>
      <c r="E3680" s="417"/>
      <c r="F3680" s="418"/>
    </row>
    <row r="3681" spans="2:6" x14ac:dyDescent="0.25">
      <c r="B3681" s="112"/>
      <c r="D3681" s="112"/>
      <c r="E3681" s="417"/>
      <c r="F3681" s="418"/>
    </row>
    <row r="3682" spans="2:6" x14ac:dyDescent="0.25">
      <c r="B3682" s="112"/>
      <c r="D3682" s="112"/>
      <c r="E3682" s="417"/>
      <c r="F3682" s="418"/>
    </row>
    <row r="3683" spans="2:6" x14ac:dyDescent="0.25">
      <c r="B3683" s="112"/>
      <c r="D3683" s="112"/>
      <c r="E3683" s="417"/>
      <c r="F3683" s="418"/>
    </row>
    <row r="3684" spans="2:6" x14ac:dyDescent="0.25">
      <c r="B3684" s="112"/>
      <c r="D3684" s="112"/>
      <c r="E3684" s="417"/>
      <c r="F3684" s="418"/>
    </row>
    <row r="3685" spans="2:6" x14ac:dyDescent="0.25">
      <c r="B3685" s="112"/>
      <c r="D3685" s="112"/>
      <c r="E3685" s="417"/>
      <c r="F3685" s="418"/>
    </row>
    <row r="3686" spans="2:6" x14ac:dyDescent="0.25">
      <c r="B3686" s="112"/>
      <c r="D3686" s="112"/>
      <c r="E3686" s="417"/>
      <c r="F3686" s="418"/>
    </row>
    <row r="3687" spans="2:6" x14ac:dyDescent="0.25">
      <c r="B3687" s="112"/>
      <c r="D3687" s="112"/>
      <c r="E3687" s="417"/>
      <c r="F3687" s="418"/>
    </row>
    <row r="3688" spans="2:6" x14ac:dyDescent="0.25">
      <c r="B3688" s="112"/>
      <c r="D3688" s="112"/>
      <c r="E3688" s="417"/>
      <c r="F3688" s="418"/>
    </row>
    <row r="3689" spans="2:6" x14ac:dyDescent="0.25">
      <c r="B3689" s="112"/>
      <c r="D3689" s="112"/>
      <c r="E3689" s="417"/>
      <c r="F3689" s="418"/>
    </row>
    <row r="3690" spans="2:6" x14ac:dyDescent="0.25">
      <c r="B3690" s="112"/>
      <c r="D3690" s="112"/>
      <c r="E3690" s="417"/>
      <c r="F3690" s="418"/>
    </row>
    <row r="3691" spans="2:6" x14ac:dyDescent="0.25">
      <c r="B3691" s="112"/>
      <c r="D3691" s="112"/>
      <c r="E3691" s="417"/>
      <c r="F3691" s="418"/>
    </row>
    <row r="3692" spans="2:6" x14ac:dyDescent="0.25">
      <c r="B3692" s="112"/>
      <c r="D3692" s="112"/>
      <c r="E3692" s="417"/>
      <c r="F3692" s="418"/>
    </row>
    <row r="3693" spans="2:6" x14ac:dyDescent="0.25">
      <c r="B3693" s="112"/>
      <c r="D3693" s="112"/>
      <c r="E3693" s="417"/>
      <c r="F3693" s="418"/>
    </row>
    <row r="3694" spans="2:6" x14ac:dyDescent="0.25">
      <c r="B3694" s="112"/>
      <c r="D3694" s="112"/>
      <c r="E3694" s="417"/>
      <c r="F3694" s="418"/>
    </row>
    <row r="3695" spans="2:6" x14ac:dyDescent="0.25">
      <c r="B3695" s="112"/>
      <c r="D3695" s="112"/>
      <c r="E3695" s="417"/>
      <c r="F3695" s="418"/>
    </row>
  </sheetData>
  <dataValidations count="4">
    <dataValidation type="list" allowBlank="1" showInputMessage="1" showErrorMessage="1" sqref="F6">
      <formula1>"Linear,Spline,MonotoneConvex"</formula1>
    </dataValidation>
    <dataValidation type="list" allowBlank="1" showInputMessage="1" showErrorMessage="1" sqref="F7">
      <formula1>"TRUE,FALSE"</formula1>
    </dataValidation>
    <dataValidation type="list" allowBlank="1" showInputMessage="1" showErrorMessage="1" sqref="F14">
      <formula1>"Up,Down,Central"</formula1>
    </dataValidation>
    <dataValidation type="list" allowBlank="1" showInputMessage="1" showErrorMessage="1" sqref="F10">
      <formula1>"AUTOMATIC,MANUAL"</formula1>
    </dataValidation>
  </dataValidation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C00000"/>
  </sheetPr>
  <dimension ref="B2:P90"/>
  <sheetViews>
    <sheetView showGridLines="0" workbookViewId="0"/>
  </sheetViews>
  <sheetFormatPr defaultRowHeight="15" x14ac:dyDescent="0.25"/>
  <cols>
    <col min="1" max="1" width="10.7109375" customWidth="1"/>
    <col min="2" max="2" width="2.7109375" customWidth="1"/>
    <col min="3" max="3" width="110.7109375" style="125" hidden="1" customWidth="1"/>
    <col min="4" max="4" width="4.7109375" style="125" hidden="1" customWidth="1"/>
    <col min="5" max="5" width="25.140625" style="197" bestFit="1" customWidth="1"/>
    <col min="6" max="6" width="32.7109375" style="207" customWidth="1"/>
    <col min="7" max="7" width="4.7109375" style="125" customWidth="1"/>
    <col min="8" max="10" width="10.7109375" customWidth="1"/>
    <col min="11" max="11" width="13.7109375" customWidth="1"/>
    <col min="12" max="12" width="18.28515625" customWidth="1"/>
    <col min="13" max="13" width="4.7109375" style="125" customWidth="1"/>
    <col min="14" max="15" width="10.7109375" customWidth="1"/>
    <col min="16" max="16" width="2.7109375" customWidth="1"/>
  </cols>
  <sheetData>
    <row r="2" spans="2:16" ht="23.25" x14ac:dyDescent="0.35">
      <c r="B2" s="227" t="s">
        <v>323</v>
      </c>
      <c r="C2" s="151"/>
      <c r="D2" s="151"/>
    </row>
    <row r="3" spans="2:16" ht="23.25" x14ac:dyDescent="0.35">
      <c r="B3" s="228" t="s">
        <v>322</v>
      </c>
      <c r="C3" s="151"/>
      <c r="D3" s="151"/>
    </row>
    <row r="4" spans="2:16" x14ac:dyDescent="0.25">
      <c r="B4" s="44"/>
      <c r="C4" s="151"/>
      <c r="D4" s="151"/>
    </row>
    <row r="5" spans="2:16" x14ac:dyDescent="0.25">
      <c r="B5" s="44" t="s">
        <v>235</v>
      </c>
      <c r="C5" s="151"/>
      <c r="D5" s="151"/>
    </row>
    <row r="6" spans="2:16" x14ac:dyDescent="0.25">
      <c r="B6" s="1"/>
      <c r="C6" s="127"/>
      <c r="D6" s="127"/>
      <c r="E6" s="213"/>
      <c r="F6" s="141"/>
      <c r="G6" s="141"/>
      <c r="H6" s="2"/>
      <c r="I6" s="2"/>
      <c r="J6" s="2"/>
      <c r="K6" s="2"/>
      <c r="L6" s="2"/>
      <c r="M6" s="127"/>
      <c r="N6" s="2"/>
      <c r="O6" s="2"/>
      <c r="P6" s="3"/>
    </row>
    <row r="7" spans="2:16" x14ac:dyDescent="0.25">
      <c r="B7" s="4"/>
      <c r="C7" s="144"/>
      <c r="D7" s="130"/>
      <c r="E7" s="214" t="s">
        <v>235</v>
      </c>
      <c r="F7" s="149" t="str">
        <f ca="1">IF(NOW(),_xll.meCurveCalibrateOIS(Curve.CollectionName,Curve.MarketDataTable,Curve.OISIndexName,Curve.BuildProperties,OIS.Conventions,OIS.MarketData,OIS.FixingTable,LiborOISBasis.Conventions,LiborOISBasis.MarketData,LiborSwap.Conventions,LiborSwap.MarketData),"Error Building OIS Curve")</f>
        <v>EURYC OIS Curve has been set (0.03100 sec)</v>
      </c>
      <c r="G7" s="182"/>
      <c r="H7" s="43"/>
      <c r="I7" s="5"/>
      <c r="J7" s="5"/>
      <c r="K7" s="5"/>
      <c r="L7" s="5"/>
      <c r="M7" s="130"/>
      <c r="N7" s="5"/>
      <c r="O7" s="5"/>
      <c r="P7" s="6"/>
    </row>
    <row r="8" spans="2:16" x14ac:dyDescent="0.25">
      <c r="B8" s="4"/>
      <c r="C8" s="130"/>
      <c r="D8" s="130"/>
      <c r="E8" s="215" t="s">
        <v>167</v>
      </c>
      <c r="F8" s="171" t="b">
        <f ca="1">LEFT(F7,5)=Curve.CollectionName</f>
        <v>1</v>
      </c>
      <c r="G8" s="171"/>
      <c r="H8" s="5"/>
      <c r="I8" s="5"/>
      <c r="J8" s="5"/>
      <c r="K8" s="5"/>
      <c r="L8" s="5"/>
      <c r="M8" s="130"/>
      <c r="N8" s="5"/>
      <c r="O8" s="5"/>
      <c r="P8" s="6"/>
    </row>
    <row r="9" spans="2:16" x14ac:dyDescent="0.25">
      <c r="B9" s="4"/>
      <c r="C9" s="130"/>
      <c r="D9" s="130"/>
      <c r="E9" s="216"/>
      <c r="F9" s="148"/>
      <c r="G9" s="148"/>
      <c r="H9" s="5"/>
      <c r="I9" s="5"/>
      <c r="J9" s="5"/>
      <c r="K9" s="5"/>
      <c r="L9" s="5"/>
      <c r="M9" s="130"/>
      <c r="N9" s="5"/>
      <c r="O9" s="5"/>
      <c r="P9" s="6"/>
    </row>
    <row r="10" spans="2:16" x14ac:dyDescent="0.25">
      <c r="B10" s="4"/>
      <c r="C10" s="134"/>
      <c r="D10" s="130"/>
      <c r="E10" s="217" t="s">
        <v>0</v>
      </c>
      <c r="F10" s="147"/>
      <c r="G10" s="183"/>
      <c r="H10" s="5"/>
      <c r="I10" s="5"/>
      <c r="J10" s="5"/>
      <c r="K10" s="5"/>
      <c r="L10" s="5"/>
      <c r="M10" s="130"/>
      <c r="N10" s="5"/>
      <c r="O10" s="5"/>
      <c r="P10" s="6"/>
    </row>
    <row r="11" spans="2:16" ht="30" x14ac:dyDescent="0.25">
      <c r="B11" s="4"/>
      <c r="C11" s="175" t="s">
        <v>243</v>
      </c>
      <c r="D11" s="130"/>
      <c r="E11" s="218" t="s">
        <v>80</v>
      </c>
      <c r="F11" s="165" t="s">
        <v>78</v>
      </c>
      <c r="G11" s="183"/>
      <c r="H11" s="5"/>
      <c r="I11" s="5"/>
      <c r="J11" s="5"/>
      <c r="K11" s="5"/>
      <c r="L11" s="5"/>
      <c r="M11" s="130"/>
      <c r="N11" s="5"/>
      <c r="O11" s="5"/>
      <c r="P11" s="6"/>
    </row>
    <row r="12" spans="2:16" ht="30" x14ac:dyDescent="0.25">
      <c r="B12" s="4"/>
      <c r="C12" s="175" t="s">
        <v>319</v>
      </c>
      <c r="D12" s="130"/>
      <c r="E12" s="219" t="s">
        <v>79</v>
      </c>
      <c r="F12" s="166" t="s">
        <v>9</v>
      </c>
      <c r="G12" s="183"/>
      <c r="H12" s="5"/>
      <c r="I12" s="5"/>
      <c r="J12" s="5"/>
      <c r="K12" s="5"/>
      <c r="L12" s="5"/>
      <c r="M12" s="130"/>
      <c r="N12" s="5"/>
      <c r="O12" s="5"/>
      <c r="P12" s="6"/>
    </row>
    <row r="13" spans="2:16" ht="30" x14ac:dyDescent="0.25">
      <c r="B13" s="4"/>
      <c r="C13" s="175" t="s">
        <v>320</v>
      </c>
      <c r="D13" s="130"/>
      <c r="E13" s="221" t="s">
        <v>81</v>
      </c>
      <c r="F13" s="167" t="s">
        <v>163</v>
      </c>
      <c r="G13" s="183"/>
      <c r="H13" s="5"/>
      <c r="I13" s="5"/>
      <c r="J13" s="5" t="s">
        <v>4</v>
      </c>
      <c r="K13" s="5" t="s">
        <v>4</v>
      </c>
      <c r="L13" s="5" t="s">
        <v>4</v>
      </c>
      <c r="M13" s="130"/>
      <c r="N13" s="5" t="s">
        <v>4</v>
      </c>
      <c r="O13" s="5" t="s">
        <v>4</v>
      </c>
      <c r="P13" s="6" t="s">
        <v>4</v>
      </c>
    </row>
    <row r="14" spans="2:16" x14ac:dyDescent="0.25">
      <c r="B14" s="9"/>
      <c r="C14" s="134"/>
      <c r="D14" s="134"/>
      <c r="E14" s="200"/>
      <c r="F14" s="208"/>
      <c r="G14" s="134"/>
      <c r="H14" s="10"/>
      <c r="I14" s="10"/>
      <c r="J14" s="10"/>
      <c r="K14" s="10"/>
      <c r="L14" s="10"/>
      <c r="M14" s="134"/>
      <c r="N14" s="10"/>
      <c r="O14" s="10"/>
      <c r="P14" s="11"/>
    </row>
    <row r="17" spans="2:16" x14ac:dyDescent="0.25">
      <c r="B17" s="40" t="s">
        <v>68</v>
      </c>
      <c r="C17" s="146"/>
      <c r="D17" s="146"/>
    </row>
    <row r="18" spans="2:16" x14ac:dyDescent="0.25">
      <c r="B18" s="1"/>
      <c r="C18" s="127"/>
      <c r="D18" s="127"/>
      <c r="E18" s="213"/>
      <c r="F18" s="141"/>
      <c r="G18" s="141"/>
      <c r="H18" s="2"/>
      <c r="I18" s="2"/>
      <c r="J18" s="45"/>
      <c r="K18" s="2"/>
      <c r="L18" s="2"/>
      <c r="M18" s="127"/>
      <c r="N18" s="2"/>
      <c r="O18" s="2"/>
      <c r="P18" s="3"/>
    </row>
    <row r="19" spans="2:16" x14ac:dyDescent="0.25">
      <c r="B19" s="4"/>
      <c r="C19" s="130"/>
      <c r="D19" s="130"/>
      <c r="E19" s="217" t="s">
        <v>68</v>
      </c>
      <c r="F19" s="142"/>
      <c r="G19" s="184"/>
      <c r="H19" s="5"/>
      <c r="I19" s="5"/>
      <c r="J19" s="5"/>
      <c r="K19" s="5"/>
      <c r="L19" s="5"/>
      <c r="M19" s="130"/>
      <c r="N19" s="5"/>
      <c r="O19" s="5"/>
      <c r="P19" s="6"/>
    </row>
    <row r="20" spans="2:16" ht="30" x14ac:dyDescent="0.25">
      <c r="B20" s="4"/>
      <c r="C20" s="175" t="s">
        <v>244</v>
      </c>
      <c r="D20" s="129"/>
      <c r="E20" s="218" t="s">
        <v>10</v>
      </c>
      <c r="F20" s="165">
        <f>COB</f>
        <v>42521</v>
      </c>
      <c r="G20" s="184"/>
      <c r="H20" s="5"/>
      <c r="I20" s="5"/>
      <c r="J20" s="5"/>
      <c r="K20" s="5"/>
      <c r="L20" s="5"/>
      <c r="M20" s="130"/>
      <c r="N20" s="5"/>
      <c r="O20" s="5"/>
      <c r="P20" s="6"/>
    </row>
    <row r="21" spans="2:16" ht="30" x14ac:dyDescent="0.25">
      <c r="B21" s="4"/>
      <c r="C21" s="175" t="s">
        <v>245</v>
      </c>
      <c r="D21" s="129"/>
      <c r="E21" s="219" t="s">
        <v>16</v>
      </c>
      <c r="F21" s="166" t="s">
        <v>17</v>
      </c>
      <c r="G21" s="184"/>
      <c r="H21" s="5"/>
      <c r="I21" s="5"/>
      <c r="J21" s="5"/>
      <c r="K21" s="5"/>
      <c r="L21" s="5"/>
      <c r="M21" s="130"/>
      <c r="N21" s="5"/>
      <c r="O21" s="5"/>
      <c r="P21" s="6"/>
    </row>
    <row r="22" spans="2:16" ht="30" x14ac:dyDescent="0.25">
      <c r="B22" s="4"/>
      <c r="C22" s="175" t="s">
        <v>246</v>
      </c>
      <c r="D22" s="129"/>
      <c r="E22" s="219" t="s">
        <v>83</v>
      </c>
      <c r="F22" s="168" t="str">
        <f>interpolationFunction</f>
        <v>fn_SplineInterpolation</v>
      </c>
      <c r="G22" s="184"/>
      <c r="H22" s="5"/>
      <c r="I22" s="5"/>
      <c r="J22" s="5"/>
      <c r="K22" s="5"/>
      <c r="L22" s="5"/>
      <c r="M22" s="130"/>
      <c r="N22" s="5"/>
      <c r="O22" s="5"/>
      <c r="P22" s="6"/>
    </row>
    <row r="23" spans="2:16" ht="30" x14ac:dyDescent="0.25">
      <c r="B23" s="4"/>
      <c r="C23" s="180" t="s">
        <v>321</v>
      </c>
      <c r="D23" s="129"/>
      <c r="E23" s="219" t="s">
        <v>24</v>
      </c>
      <c r="F23" s="168" t="str">
        <f>interpolationFunction</f>
        <v>fn_SplineInterpolation</v>
      </c>
      <c r="G23" s="184"/>
      <c r="H23" s="5"/>
      <c r="I23" s="5"/>
      <c r="J23" s="5"/>
      <c r="K23" s="5"/>
      <c r="L23" s="5"/>
      <c r="M23" s="130"/>
      <c r="N23" s="5"/>
      <c r="O23" s="5"/>
      <c r="P23" s="6"/>
    </row>
    <row r="24" spans="2:16" x14ac:dyDescent="0.25">
      <c r="B24" s="4"/>
      <c r="C24" s="181"/>
      <c r="D24" s="130"/>
      <c r="E24" s="221"/>
      <c r="F24" s="167"/>
      <c r="G24" s="184"/>
      <c r="H24" s="5"/>
      <c r="I24" s="5"/>
      <c r="J24" s="5"/>
      <c r="K24" s="5"/>
      <c r="L24" s="5"/>
      <c r="M24" s="130"/>
      <c r="N24" s="5"/>
      <c r="O24" s="5"/>
      <c r="P24" s="6"/>
    </row>
    <row r="25" spans="2:16" x14ac:dyDescent="0.25">
      <c r="B25" s="9"/>
      <c r="C25" s="134"/>
      <c r="D25" s="134"/>
      <c r="E25" s="200"/>
      <c r="F25" s="208"/>
      <c r="G25" s="134"/>
      <c r="H25" s="10"/>
      <c r="I25" s="10"/>
      <c r="J25" s="10"/>
      <c r="K25" s="10"/>
      <c r="L25" s="10"/>
      <c r="M25" s="134"/>
      <c r="N25" s="10"/>
      <c r="O25" s="10"/>
      <c r="P25" s="11"/>
    </row>
    <row r="27" spans="2:16" x14ac:dyDescent="0.25">
      <c r="H27" s="46"/>
    </row>
    <row r="28" spans="2:16" x14ac:dyDescent="0.25">
      <c r="B28" s="40" t="s">
        <v>77</v>
      </c>
      <c r="C28" s="146"/>
      <c r="D28" s="146"/>
    </row>
    <row r="29" spans="2:16" x14ac:dyDescent="0.25">
      <c r="B29" s="1"/>
      <c r="C29" s="127"/>
      <c r="D29" s="127"/>
      <c r="E29" s="198"/>
      <c r="F29" s="209"/>
      <c r="G29" s="127"/>
      <c r="H29" s="2"/>
      <c r="I29" s="2"/>
      <c r="J29" s="2"/>
      <c r="K29" s="2"/>
      <c r="L29" s="2"/>
      <c r="M29" s="127"/>
      <c r="N29" s="2"/>
      <c r="O29" s="2"/>
      <c r="P29" s="3"/>
    </row>
    <row r="30" spans="2:16" x14ac:dyDescent="0.25">
      <c r="B30" s="4"/>
      <c r="C30" s="130"/>
      <c r="D30" s="130"/>
      <c r="E30" s="223" t="s">
        <v>5</v>
      </c>
      <c r="F30" s="210"/>
      <c r="G30" s="132"/>
      <c r="H30" s="34" t="s">
        <v>70</v>
      </c>
      <c r="I30" s="8"/>
      <c r="J30" s="8"/>
      <c r="K30" s="8"/>
      <c r="L30" s="8"/>
      <c r="M30" s="132"/>
      <c r="N30" s="34" t="s">
        <v>72</v>
      </c>
      <c r="O30" s="8"/>
      <c r="P30" s="39"/>
    </row>
    <row r="31" spans="2:16" ht="30" x14ac:dyDescent="0.25">
      <c r="B31" s="4"/>
      <c r="C31" s="176" t="s">
        <v>248</v>
      </c>
      <c r="D31" s="129"/>
      <c r="E31" s="218" t="s">
        <v>3</v>
      </c>
      <c r="F31" s="137" t="s">
        <v>2</v>
      </c>
      <c r="G31" s="132"/>
      <c r="H31" s="41" t="s">
        <v>11</v>
      </c>
      <c r="I31" s="41" t="s">
        <v>12</v>
      </c>
      <c r="J31" s="41" t="s">
        <v>13</v>
      </c>
      <c r="K31" s="41" t="s">
        <v>14</v>
      </c>
      <c r="L31" s="41" t="s">
        <v>8</v>
      </c>
      <c r="M31" s="132"/>
      <c r="N31" s="41" t="s">
        <v>73</v>
      </c>
      <c r="O31" s="41" t="s">
        <v>12</v>
      </c>
      <c r="P31" s="39"/>
    </row>
    <row r="32" spans="2:16" ht="30" x14ac:dyDescent="0.25">
      <c r="B32" s="4"/>
      <c r="C32" s="176" t="s">
        <v>247</v>
      </c>
      <c r="D32" s="129"/>
      <c r="E32" s="219" t="s">
        <v>7</v>
      </c>
      <c r="F32" s="138" t="s">
        <v>6</v>
      </c>
      <c r="G32" s="132"/>
      <c r="H32" s="14" t="s">
        <v>46</v>
      </c>
      <c r="I32" s="12">
        <v>-3.4499999999999999E-3</v>
      </c>
      <c r="J32" s="13" t="s">
        <v>37</v>
      </c>
      <c r="K32" s="13" t="s">
        <v>37</v>
      </c>
      <c r="L32" s="31" t="b">
        <v>1</v>
      </c>
      <c r="M32" s="132"/>
      <c r="N32" s="37"/>
      <c r="O32" s="35"/>
      <c r="P32" s="39"/>
    </row>
    <row r="33" spans="2:16" ht="30" x14ac:dyDescent="0.25">
      <c r="B33" s="4"/>
      <c r="C33" s="176" t="s">
        <v>249</v>
      </c>
      <c r="D33" s="129"/>
      <c r="E33" s="219" t="s">
        <v>25</v>
      </c>
      <c r="F33" s="138" t="s">
        <v>26</v>
      </c>
      <c r="G33" s="132"/>
      <c r="H33" s="229" t="s">
        <v>48</v>
      </c>
      <c r="I33" s="230">
        <v>-3.4000000000000002E-3</v>
      </c>
      <c r="J33" s="231">
        <v>42523</v>
      </c>
      <c r="K33" s="231">
        <v>42572</v>
      </c>
      <c r="L33" s="232" t="b">
        <v>1</v>
      </c>
      <c r="M33" s="132"/>
      <c r="N33" s="37"/>
      <c r="O33" s="35"/>
      <c r="P33" s="39"/>
    </row>
    <row r="34" spans="2:16" ht="30" x14ac:dyDescent="0.25">
      <c r="B34" s="4"/>
      <c r="C34" s="176" t="s">
        <v>250</v>
      </c>
      <c r="D34" s="129"/>
      <c r="E34" s="219" t="s">
        <v>15</v>
      </c>
      <c r="F34" s="138" t="s">
        <v>30</v>
      </c>
      <c r="G34" s="132"/>
      <c r="H34" s="229" t="s">
        <v>49</v>
      </c>
      <c r="I34" s="230">
        <v>-3.4999999999999996E-3</v>
      </c>
      <c r="J34" s="231">
        <v>42572</v>
      </c>
      <c r="K34" s="231">
        <v>42621</v>
      </c>
      <c r="L34" s="232" t="b">
        <v>1</v>
      </c>
      <c r="M34" s="132"/>
      <c r="N34" s="37"/>
      <c r="O34" s="35"/>
      <c r="P34" s="39"/>
    </row>
    <row r="35" spans="2:16" ht="30" x14ac:dyDescent="0.25">
      <c r="B35" s="4"/>
      <c r="C35" s="176" t="s">
        <v>273</v>
      </c>
      <c r="D35" s="129"/>
      <c r="E35" s="219" t="s">
        <v>23</v>
      </c>
      <c r="F35" s="138" t="s">
        <v>22</v>
      </c>
      <c r="G35" s="132"/>
      <c r="H35" s="229" t="s">
        <v>51</v>
      </c>
      <c r="I35" s="230">
        <v>-3.7099999999999998E-3</v>
      </c>
      <c r="J35" s="231">
        <v>42621</v>
      </c>
      <c r="K35" s="231">
        <v>42663</v>
      </c>
      <c r="L35" s="232" t="b">
        <v>1</v>
      </c>
      <c r="M35" s="132"/>
      <c r="N35" s="37"/>
      <c r="O35" s="35"/>
      <c r="P35" s="39"/>
    </row>
    <row r="36" spans="2:16" ht="30" x14ac:dyDescent="0.25">
      <c r="B36" s="4"/>
      <c r="C36" s="176" t="s">
        <v>251</v>
      </c>
      <c r="D36" s="129"/>
      <c r="E36" s="219" t="s">
        <v>31</v>
      </c>
      <c r="F36" s="138" t="b">
        <v>1</v>
      </c>
      <c r="G36" s="132"/>
      <c r="H36" s="229" t="s">
        <v>53</v>
      </c>
      <c r="I36" s="230">
        <v>-3.82E-3</v>
      </c>
      <c r="J36" s="231">
        <v>42663</v>
      </c>
      <c r="K36" s="231">
        <v>42712</v>
      </c>
      <c r="L36" s="232" t="b">
        <v>1</v>
      </c>
      <c r="M36" s="132"/>
      <c r="N36" s="37"/>
      <c r="O36" s="35"/>
      <c r="P36" s="39"/>
    </row>
    <row r="37" spans="2:16" ht="30" x14ac:dyDescent="0.25">
      <c r="B37" s="4"/>
      <c r="C37" s="176" t="s">
        <v>252</v>
      </c>
      <c r="D37" s="129"/>
      <c r="E37" s="219" t="s">
        <v>32</v>
      </c>
      <c r="F37" s="139">
        <v>31</v>
      </c>
      <c r="G37" s="132"/>
      <c r="H37" s="14" t="s">
        <v>56</v>
      </c>
      <c r="I37" s="12">
        <v>-3.82E-3</v>
      </c>
      <c r="J37" s="13" t="s">
        <v>37</v>
      </c>
      <c r="K37" s="13" t="s">
        <v>37</v>
      </c>
      <c r="L37" s="31" t="b">
        <v>1</v>
      </c>
      <c r="M37" s="132"/>
      <c r="N37" s="37"/>
      <c r="O37" s="35"/>
      <c r="P37" s="39"/>
    </row>
    <row r="38" spans="2:16" ht="30" x14ac:dyDescent="0.25">
      <c r="B38" s="4"/>
      <c r="C38" s="176" t="s">
        <v>253</v>
      </c>
      <c r="D38" s="129"/>
      <c r="E38" s="219" t="s">
        <v>33</v>
      </c>
      <c r="F38" s="138" t="s">
        <v>34</v>
      </c>
      <c r="G38" s="132"/>
      <c r="H38" s="14" t="s">
        <v>58</v>
      </c>
      <c r="I38" s="12">
        <v>-3.9500000000000004E-3</v>
      </c>
      <c r="J38" s="13" t="s">
        <v>37</v>
      </c>
      <c r="K38" s="13" t="s">
        <v>37</v>
      </c>
      <c r="L38" s="31" t="b">
        <v>1</v>
      </c>
      <c r="M38" s="132"/>
      <c r="N38" s="37"/>
      <c r="O38" s="35"/>
      <c r="P38" s="39"/>
    </row>
    <row r="39" spans="2:16" ht="45" x14ac:dyDescent="0.25">
      <c r="B39" s="4"/>
      <c r="C39" s="176" t="s">
        <v>278</v>
      </c>
      <c r="D39" s="129"/>
      <c r="E39" s="219" t="s">
        <v>35</v>
      </c>
      <c r="F39" s="138" t="s">
        <v>36</v>
      </c>
      <c r="G39" s="132"/>
      <c r="H39" s="14" t="s">
        <v>47</v>
      </c>
      <c r="I39" s="12">
        <v>-4.0100000000000005E-3</v>
      </c>
      <c r="J39" s="13" t="s">
        <v>37</v>
      </c>
      <c r="K39" s="13" t="s">
        <v>37</v>
      </c>
      <c r="L39" s="31" t="b">
        <v>1</v>
      </c>
      <c r="M39" s="132"/>
      <c r="N39" s="37"/>
      <c r="O39" s="35"/>
      <c r="P39" s="39"/>
    </row>
    <row r="40" spans="2:16" ht="45" x14ac:dyDescent="0.25">
      <c r="B40" s="4"/>
      <c r="C40" s="176" t="s">
        <v>254</v>
      </c>
      <c r="D40" s="129"/>
      <c r="E40" s="219" t="s">
        <v>38</v>
      </c>
      <c r="F40" s="138" t="s">
        <v>39</v>
      </c>
      <c r="G40" s="132"/>
      <c r="H40" s="14" t="s">
        <v>43</v>
      </c>
      <c r="I40" s="12">
        <v>-3.8500000000000001E-3</v>
      </c>
      <c r="J40" s="13" t="s">
        <v>37</v>
      </c>
      <c r="K40" s="13" t="s">
        <v>37</v>
      </c>
      <c r="L40" s="31" t="b">
        <v>1</v>
      </c>
      <c r="M40" s="132"/>
      <c r="N40" s="37"/>
      <c r="O40" s="35"/>
      <c r="P40" s="39"/>
    </row>
    <row r="41" spans="2:16" ht="45" x14ac:dyDescent="0.25">
      <c r="B41" s="4"/>
      <c r="C41" s="176" t="s">
        <v>256</v>
      </c>
      <c r="D41" s="129"/>
      <c r="E41" s="219" t="s">
        <v>40</v>
      </c>
      <c r="F41" s="138" t="s">
        <v>41</v>
      </c>
      <c r="G41" s="132"/>
      <c r="H41" s="14" t="s">
        <v>50</v>
      </c>
      <c r="I41" s="12">
        <v>-3.4200000000000003E-3</v>
      </c>
      <c r="J41" s="13" t="s">
        <v>37</v>
      </c>
      <c r="K41" s="13" t="s">
        <v>37</v>
      </c>
      <c r="L41" s="31" t="b">
        <v>1</v>
      </c>
      <c r="M41" s="132"/>
      <c r="N41" s="37"/>
      <c r="O41" s="35"/>
      <c r="P41" s="39"/>
    </row>
    <row r="42" spans="2:16" ht="30" x14ac:dyDescent="0.25">
      <c r="B42" s="4"/>
      <c r="C42" s="176" t="s">
        <v>255</v>
      </c>
      <c r="D42" s="129"/>
      <c r="E42" s="219" t="s">
        <v>42</v>
      </c>
      <c r="F42" s="138" t="s">
        <v>43</v>
      </c>
      <c r="G42" s="132"/>
      <c r="H42" s="14" t="s">
        <v>52</v>
      </c>
      <c r="I42" s="12">
        <v>-2.7100000000000002E-3</v>
      </c>
      <c r="J42" s="13" t="s">
        <v>37</v>
      </c>
      <c r="K42" s="13" t="s">
        <v>37</v>
      </c>
      <c r="L42" s="31" t="b">
        <v>1</v>
      </c>
      <c r="M42" s="132"/>
      <c r="N42" s="37"/>
      <c r="O42" s="35"/>
      <c r="P42" s="39"/>
    </row>
    <row r="43" spans="2:16" ht="45" x14ac:dyDescent="0.25">
      <c r="B43" s="4"/>
      <c r="C43" s="176" t="s">
        <v>257</v>
      </c>
      <c r="D43" s="129"/>
      <c r="E43" s="219" t="s">
        <v>44</v>
      </c>
      <c r="F43" s="138" t="s">
        <v>45</v>
      </c>
      <c r="G43" s="132"/>
      <c r="H43" s="14" t="s">
        <v>54</v>
      </c>
      <c r="I43" s="12">
        <v>-1.7599999999999998E-3</v>
      </c>
      <c r="J43" s="13" t="s">
        <v>37</v>
      </c>
      <c r="K43" s="13" t="s">
        <v>37</v>
      </c>
      <c r="L43" s="31" t="b">
        <v>1</v>
      </c>
      <c r="M43" s="132"/>
      <c r="N43" s="37"/>
      <c r="O43" s="35"/>
      <c r="P43" s="39"/>
    </row>
    <row r="44" spans="2:16" ht="30" x14ac:dyDescent="0.25">
      <c r="B44" s="4"/>
      <c r="C44" s="176" t="s">
        <v>258</v>
      </c>
      <c r="D44" s="129"/>
      <c r="E44" s="219" t="s">
        <v>113</v>
      </c>
      <c r="F44" s="140">
        <v>1E-10</v>
      </c>
      <c r="G44" s="132"/>
      <c r="H44" s="14" t="s">
        <v>55</v>
      </c>
      <c r="I44" s="12">
        <v>-6.6E-4</v>
      </c>
      <c r="J44" s="13" t="s">
        <v>37</v>
      </c>
      <c r="K44" s="13" t="s">
        <v>37</v>
      </c>
      <c r="L44" s="31" t="b">
        <v>1</v>
      </c>
      <c r="M44" s="132"/>
      <c r="N44" s="37"/>
      <c r="O44" s="35"/>
      <c r="P44" s="39"/>
    </row>
    <row r="45" spans="2:16" ht="30" x14ac:dyDescent="0.25">
      <c r="B45" s="4"/>
      <c r="C45" s="176" t="s">
        <v>259</v>
      </c>
      <c r="D45" s="129"/>
      <c r="E45" s="219" t="s">
        <v>114</v>
      </c>
      <c r="F45" s="164">
        <v>1000</v>
      </c>
      <c r="G45" s="132"/>
      <c r="H45" s="14" t="s">
        <v>57</v>
      </c>
      <c r="I45" s="12">
        <v>5.5000000000000003E-4</v>
      </c>
      <c r="J45" s="13" t="s">
        <v>37</v>
      </c>
      <c r="K45" s="13" t="s">
        <v>37</v>
      </c>
      <c r="L45" s="31" t="b">
        <v>1</v>
      </c>
      <c r="M45" s="132"/>
      <c r="N45" s="37"/>
      <c r="O45" s="35"/>
      <c r="P45" s="39"/>
    </row>
    <row r="46" spans="2:16" ht="60" x14ac:dyDescent="0.25">
      <c r="B46" s="4"/>
      <c r="C46" s="177" t="s">
        <v>260</v>
      </c>
      <c r="D46" s="129"/>
      <c r="E46" s="219" t="s">
        <v>199</v>
      </c>
      <c r="F46" s="138" t="b">
        <v>1</v>
      </c>
      <c r="G46" s="132"/>
      <c r="H46" s="14" t="s">
        <v>59</v>
      </c>
      <c r="I46" s="12">
        <v>1.7499999999999998E-3</v>
      </c>
      <c r="J46" s="13" t="s">
        <v>37</v>
      </c>
      <c r="K46" s="13" t="s">
        <v>37</v>
      </c>
      <c r="L46" s="31" t="b">
        <v>1</v>
      </c>
      <c r="M46" s="132"/>
      <c r="N46" s="37"/>
      <c r="O46" s="35"/>
      <c r="P46" s="39"/>
    </row>
    <row r="47" spans="2:16" x14ac:dyDescent="0.25">
      <c r="B47" s="4"/>
      <c r="C47" s="178"/>
      <c r="D47" s="129"/>
      <c r="E47" s="224"/>
      <c r="F47" s="138"/>
      <c r="G47" s="132"/>
      <c r="H47" s="14" t="s">
        <v>60</v>
      </c>
      <c r="I47" s="12">
        <v>2.8399999999999996E-3</v>
      </c>
      <c r="J47" s="13" t="s">
        <v>37</v>
      </c>
      <c r="K47" s="13" t="s">
        <v>37</v>
      </c>
      <c r="L47" s="31" t="b">
        <v>1</v>
      </c>
      <c r="M47" s="132"/>
      <c r="N47" s="37"/>
      <c r="O47" s="35"/>
      <c r="P47" s="39"/>
    </row>
    <row r="48" spans="2:16" x14ac:dyDescent="0.25">
      <c r="B48" s="4"/>
      <c r="C48" s="178"/>
      <c r="D48" s="129"/>
      <c r="E48" s="224"/>
      <c r="F48" s="211"/>
      <c r="G48" s="132"/>
      <c r="H48" s="14" t="s">
        <v>61</v>
      </c>
      <c r="I48" s="12">
        <v>3.8600000000000001E-3</v>
      </c>
      <c r="J48" s="13" t="s">
        <v>37</v>
      </c>
      <c r="K48" s="13" t="s">
        <v>37</v>
      </c>
      <c r="L48" s="31" t="b">
        <v>1</v>
      </c>
      <c r="M48" s="132"/>
      <c r="N48" s="37"/>
      <c r="O48" s="35"/>
      <c r="P48" s="39"/>
    </row>
    <row r="49" spans="2:16" x14ac:dyDescent="0.25">
      <c r="B49" s="4"/>
      <c r="C49" s="178" t="s">
        <v>264</v>
      </c>
      <c r="D49" s="129"/>
      <c r="E49" s="224"/>
      <c r="F49" s="211"/>
      <c r="G49" s="132"/>
      <c r="H49" s="14" t="s">
        <v>62</v>
      </c>
      <c r="I49" s="12">
        <v>4.7699999999999999E-3</v>
      </c>
      <c r="J49" s="13" t="s">
        <v>37</v>
      </c>
      <c r="K49" s="13" t="s">
        <v>37</v>
      </c>
      <c r="L49" s="31" t="b">
        <v>1</v>
      </c>
      <c r="M49" s="132"/>
      <c r="N49" s="37"/>
      <c r="O49" s="35"/>
      <c r="P49" s="39"/>
    </row>
    <row r="50" spans="2:16" x14ac:dyDescent="0.25">
      <c r="B50" s="4"/>
      <c r="C50" s="185" t="s">
        <v>261</v>
      </c>
      <c r="D50" s="129"/>
      <c r="E50" s="224"/>
      <c r="F50" s="211"/>
      <c r="G50" s="132"/>
      <c r="H50" s="14" t="s">
        <v>63</v>
      </c>
      <c r="I50" s="12">
        <v>6.8799999999999998E-3</v>
      </c>
      <c r="J50" s="13" t="s">
        <v>37</v>
      </c>
      <c r="K50" s="13" t="s">
        <v>37</v>
      </c>
      <c r="L50" s="31" t="b">
        <v>1</v>
      </c>
      <c r="M50" s="132"/>
      <c r="N50" s="37"/>
      <c r="O50" s="35"/>
      <c r="P50" s="39"/>
    </row>
    <row r="51" spans="2:16" x14ac:dyDescent="0.25">
      <c r="B51" s="4"/>
      <c r="C51" s="185" t="s">
        <v>262</v>
      </c>
      <c r="D51" s="129"/>
      <c r="E51" s="224"/>
      <c r="F51" s="211"/>
      <c r="G51" s="132"/>
      <c r="H51" s="14" t="s">
        <v>64</v>
      </c>
      <c r="I51" s="12">
        <v>8.7100000000000007E-3</v>
      </c>
      <c r="J51" s="13" t="s">
        <v>37</v>
      </c>
      <c r="K51" s="13" t="s">
        <v>37</v>
      </c>
      <c r="L51" s="31" t="b">
        <v>1</v>
      </c>
      <c r="M51" s="132"/>
      <c r="N51" s="37"/>
      <c r="O51" s="35"/>
      <c r="P51" s="39"/>
    </row>
    <row r="52" spans="2:16" x14ac:dyDescent="0.25">
      <c r="B52" s="4"/>
      <c r="C52" s="185" t="s">
        <v>263</v>
      </c>
      <c r="D52" s="129"/>
      <c r="E52" s="224"/>
      <c r="F52" s="211"/>
      <c r="G52" s="132"/>
      <c r="H52" s="14" t="s">
        <v>65</v>
      </c>
      <c r="I52" s="12">
        <v>9.3600000000000003E-3</v>
      </c>
      <c r="J52" s="13" t="s">
        <v>37</v>
      </c>
      <c r="K52" s="13" t="s">
        <v>37</v>
      </c>
      <c r="L52" s="31" t="b">
        <v>1</v>
      </c>
      <c r="M52" s="132"/>
      <c r="N52" s="37"/>
      <c r="O52" s="35"/>
      <c r="P52" s="39"/>
    </row>
    <row r="53" spans="2:16" x14ac:dyDescent="0.25">
      <c r="B53" s="4"/>
      <c r="C53" s="178"/>
      <c r="D53" s="129"/>
      <c r="E53" s="224"/>
      <c r="F53" s="211"/>
      <c r="G53" s="132"/>
      <c r="H53" s="14" t="s">
        <v>66</v>
      </c>
      <c r="I53" s="12">
        <v>9.6100000000000005E-3</v>
      </c>
      <c r="J53" s="13" t="s">
        <v>37</v>
      </c>
      <c r="K53" s="13" t="s">
        <v>37</v>
      </c>
      <c r="L53" s="31" t="b">
        <v>1</v>
      </c>
      <c r="M53" s="132"/>
      <c r="N53" s="37"/>
      <c r="O53" s="35"/>
      <c r="P53" s="39"/>
    </row>
    <row r="54" spans="2:16" x14ac:dyDescent="0.25">
      <c r="B54" s="4"/>
      <c r="C54" s="178"/>
      <c r="D54" s="129"/>
      <c r="E54" s="224"/>
      <c r="F54" s="211"/>
      <c r="G54" s="132"/>
      <c r="H54" s="14" t="s">
        <v>67</v>
      </c>
      <c r="I54" s="12">
        <v>9.7299999999999991E-3</v>
      </c>
      <c r="J54" s="13" t="s">
        <v>37</v>
      </c>
      <c r="K54" s="13" t="s">
        <v>37</v>
      </c>
      <c r="L54" s="31" t="b">
        <v>1</v>
      </c>
      <c r="M54" s="132"/>
      <c r="N54" s="37"/>
      <c r="O54" s="35"/>
      <c r="P54" s="39"/>
    </row>
    <row r="55" spans="2:16" x14ac:dyDescent="0.25">
      <c r="B55" s="4"/>
      <c r="C55" s="178"/>
      <c r="D55" s="129"/>
      <c r="E55" s="224"/>
      <c r="F55" s="211"/>
      <c r="G55" s="132"/>
      <c r="H55" s="14" t="s">
        <v>204</v>
      </c>
      <c r="I55" s="12">
        <v>9.3200000000000002E-3</v>
      </c>
      <c r="J55" s="13" t="s">
        <v>37</v>
      </c>
      <c r="K55" s="13" t="s">
        <v>37</v>
      </c>
      <c r="L55" s="31" t="b">
        <v>1</v>
      </c>
      <c r="M55" s="132"/>
      <c r="N55" s="37"/>
      <c r="O55" s="35"/>
      <c r="P55" s="39"/>
    </row>
    <row r="56" spans="2:16" x14ac:dyDescent="0.25">
      <c r="B56" s="4"/>
      <c r="C56" s="178"/>
      <c r="D56" s="129"/>
      <c r="E56" s="224"/>
      <c r="F56" s="211"/>
      <c r="G56" s="132"/>
      <c r="H56" s="14"/>
      <c r="I56" s="12"/>
      <c r="J56" s="13"/>
      <c r="K56" s="13"/>
      <c r="L56" s="31"/>
      <c r="M56" s="132"/>
      <c r="N56" s="37"/>
      <c r="O56" s="35"/>
      <c r="P56" s="39"/>
    </row>
    <row r="57" spans="2:16" x14ac:dyDescent="0.25">
      <c r="B57" s="4"/>
      <c r="C57" s="179"/>
      <c r="D57" s="129"/>
      <c r="E57" s="225"/>
      <c r="F57" s="212"/>
      <c r="G57" s="132"/>
      <c r="H57" s="15"/>
      <c r="I57" s="16"/>
      <c r="J57" s="32"/>
      <c r="K57" s="32"/>
      <c r="L57" s="33"/>
      <c r="M57" s="132"/>
      <c r="N57" s="38"/>
      <c r="O57" s="36"/>
      <c r="P57" s="39"/>
    </row>
    <row r="58" spans="2:16" x14ac:dyDescent="0.25">
      <c r="B58" s="9"/>
      <c r="C58" s="134"/>
      <c r="D58" s="134"/>
      <c r="E58" s="200"/>
      <c r="F58" s="208"/>
      <c r="G58" s="134"/>
      <c r="H58" s="10"/>
      <c r="I58" s="10"/>
      <c r="J58" s="10"/>
      <c r="K58" s="10"/>
      <c r="L58" s="10"/>
      <c r="M58" s="134"/>
      <c r="N58" s="10"/>
      <c r="O58" s="10"/>
      <c r="P58" s="11"/>
    </row>
    <row r="61" spans="2:16" x14ac:dyDescent="0.25">
      <c r="B61" s="40" t="s">
        <v>76</v>
      </c>
      <c r="C61" s="146"/>
      <c r="D61" s="146"/>
    </row>
    <row r="62" spans="2:16" x14ac:dyDescent="0.25">
      <c r="B62" s="1"/>
      <c r="C62" s="127"/>
      <c r="D62" s="127"/>
      <c r="E62" s="198"/>
      <c r="F62" s="209"/>
      <c r="G62" s="127"/>
      <c r="H62" s="2"/>
      <c r="I62" s="2"/>
      <c r="J62" s="2"/>
      <c r="K62" s="2"/>
      <c r="L62" s="2"/>
      <c r="M62" s="127"/>
      <c r="N62" s="2"/>
      <c r="O62" s="2"/>
      <c r="P62" s="3"/>
    </row>
    <row r="63" spans="2:16" x14ac:dyDescent="0.25">
      <c r="B63" s="4"/>
      <c r="C63" s="130"/>
      <c r="D63" s="130"/>
      <c r="E63" s="223" t="s">
        <v>69</v>
      </c>
      <c r="F63" s="210"/>
      <c r="G63" s="132"/>
      <c r="H63" s="34" t="s">
        <v>71</v>
      </c>
      <c r="I63" s="8"/>
      <c r="J63" s="8"/>
      <c r="K63" s="34" t="s">
        <v>74</v>
      </c>
      <c r="L63" s="8"/>
      <c r="M63" s="132"/>
      <c r="N63" s="34" t="s">
        <v>75</v>
      </c>
      <c r="O63" s="8"/>
      <c r="P63" s="39"/>
    </row>
    <row r="64" spans="2:16" ht="30" x14ac:dyDescent="0.25">
      <c r="B64" s="4"/>
      <c r="C64" s="176" t="s">
        <v>248</v>
      </c>
      <c r="D64" s="129"/>
      <c r="E64" s="218" t="s">
        <v>1</v>
      </c>
      <c r="F64" s="137" t="s">
        <v>2</v>
      </c>
      <c r="G64" s="132"/>
      <c r="H64" s="41" t="s">
        <v>11</v>
      </c>
      <c r="I64" s="41" t="s">
        <v>12</v>
      </c>
      <c r="J64" s="8"/>
      <c r="K64" s="17" t="s">
        <v>3</v>
      </c>
      <c r="L64" s="24" t="s">
        <v>2</v>
      </c>
      <c r="M64" s="132"/>
      <c r="N64" s="41" t="s">
        <v>11</v>
      </c>
      <c r="O64" s="41" t="s">
        <v>12</v>
      </c>
      <c r="P64" s="39"/>
    </row>
    <row r="65" spans="2:16" ht="30" x14ac:dyDescent="0.25">
      <c r="B65" s="4"/>
      <c r="C65" s="176" t="s">
        <v>247</v>
      </c>
      <c r="D65" s="129"/>
      <c r="E65" s="219" t="s">
        <v>18</v>
      </c>
      <c r="F65" s="138" t="s">
        <v>6</v>
      </c>
      <c r="G65" s="132"/>
      <c r="H65" s="14" t="s">
        <v>47</v>
      </c>
      <c r="I65" s="35">
        <v>1.1099999999999999E-3</v>
      </c>
      <c r="J65" s="8"/>
      <c r="K65" s="18" t="s">
        <v>19</v>
      </c>
      <c r="L65" s="25" t="s">
        <v>20</v>
      </c>
      <c r="M65" s="132"/>
      <c r="N65" s="14" t="s">
        <v>47</v>
      </c>
      <c r="O65" s="35">
        <v>-2.9299999999999999E-3</v>
      </c>
      <c r="P65" s="39"/>
    </row>
    <row r="66" spans="2:16" ht="30" x14ac:dyDescent="0.25">
      <c r="B66" s="4"/>
      <c r="C66" s="176" t="s">
        <v>249</v>
      </c>
      <c r="D66" s="129"/>
      <c r="E66" s="219" t="s">
        <v>27</v>
      </c>
      <c r="F66" s="138" t="s">
        <v>28</v>
      </c>
      <c r="G66" s="132"/>
      <c r="H66" s="14" t="s">
        <v>43</v>
      </c>
      <c r="I66" s="35">
        <v>1.1800000000000001E-3</v>
      </c>
      <c r="J66" s="8"/>
      <c r="K66" s="18" t="s">
        <v>29</v>
      </c>
      <c r="L66" s="25" t="s">
        <v>26</v>
      </c>
      <c r="M66" s="132"/>
      <c r="N66" s="14" t="s">
        <v>43</v>
      </c>
      <c r="O66" s="35">
        <v>-2.7100000000000002E-3</v>
      </c>
      <c r="P66" s="39"/>
    </row>
    <row r="67" spans="2:16" ht="30" x14ac:dyDescent="0.25">
      <c r="B67" s="4"/>
      <c r="C67" s="176" t="s">
        <v>273</v>
      </c>
      <c r="D67" s="129"/>
      <c r="E67" s="219" t="s">
        <v>21</v>
      </c>
      <c r="F67" s="138" t="s">
        <v>22</v>
      </c>
      <c r="G67" s="132"/>
      <c r="H67" s="14" t="s">
        <v>50</v>
      </c>
      <c r="I67" s="35">
        <v>1.24E-3</v>
      </c>
      <c r="J67" s="8"/>
      <c r="K67" s="18" t="s">
        <v>23</v>
      </c>
      <c r="L67" s="25" t="s">
        <v>22</v>
      </c>
      <c r="M67" s="132"/>
      <c r="N67" s="14" t="s">
        <v>50</v>
      </c>
      <c r="O67" s="35">
        <v>-2.2200000000000002E-3</v>
      </c>
      <c r="P67" s="39"/>
    </row>
    <row r="68" spans="2:16" x14ac:dyDescent="0.25">
      <c r="B68" s="4"/>
      <c r="C68" s="178"/>
      <c r="D68" s="129"/>
      <c r="E68" s="219"/>
      <c r="F68" s="138"/>
      <c r="G68" s="132"/>
      <c r="H68" s="14" t="s">
        <v>52</v>
      </c>
      <c r="I68" s="35">
        <v>1.2600000000000001E-3</v>
      </c>
      <c r="J68" s="8"/>
      <c r="K68" s="18"/>
      <c r="L68" s="25"/>
      <c r="M68" s="132"/>
      <c r="N68" s="14" t="s">
        <v>52</v>
      </c>
      <c r="O68" s="35">
        <v>-1.48E-3</v>
      </c>
      <c r="P68" s="39"/>
    </row>
    <row r="69" spans="2:16" x14ac:dyDescent="0.25">
      <c r="B69" s="4"/>
      <c r="C69" s="178"/>
      <c r="D69" s="129"/>
      <c r="E69" s="219"/>
      <c r="F69" s="138"/>
      <c r="G69" s="132"/>
      <c r="H69" s="14" t="s">
        <v>54</v>
      </c>
      <c r="I69" s="35">
        <v>1.2600000000000001E-3</v>
      </c>
      <c r="J69" s="8"/>
      <c r="K69" s="19"/>
      <c r="L69" s="25"/>
      <c r="M69" s="132"/>
      <c r="N69" s="14" t="s">
        <v>54</v>
      </c>
      <c r="O69" s="35">
        <v>-5.0999999999999993E-4</v>
      </c>
      <c r="P69" s="39"/>
    </row>
    <row r="70" spans="2:16" x14ac:dyDescent="0.25">
      <c r="B70" s="4"/>
      <c r="C70" s="178"/>
      <c r="D70" s="129"/>
      <c r="E70" s="219"/>
      <c r="F70" s="139"/>
      <c r="G70" s="132"/>
      <c r="H70" s="14" t="s">
        <v>55</v>
      </c>
      <c r="I70" s="35">
        <v>1.25E-3</v>
      </c>
      <c r="J70" s="8"/>
      <c r="K70" s="20"/>
      <c r="L70" s="26"/>
      <c r="M70" s="132"/>
      <c r="N70" s="14" t="s">
        <v>55</v>
      </c>
      <c r="O70" s="35">
        <v>5.9999999999999995E-4</v>
      </c>
      <c r="P70" s="39"/>
    </row>
    <row r="71" spans="2:16" x14ac:dyDescent="0.25">
      <c r="B71" s="4"/>
      <c r="C71" s="178"/>
      <c r="D71" s="129"/>
      <c r="E71" s="219"/>
      <c r="F71" s="138"/>
      <c r="G71" s="132"/>
      <c r="H71" s="14" t="s">
        <v>57</v>
      </c>
      <c r="I71" s="35">
        <v>1.2199999999999999E-3</v>
      </c>
      <c r="J71" s="8"/>
      <c r="K71" s="18"/>
      <c r="L71" s="25"/>
      <c r="M71" s="132"/>
      <c r="N71" s="14" t="s">
        <v>57</v>
      </c>
      <c r="O71" s="35">
        <v>1.8E-3</v>
      </c>
      <c r="P71" s="39"/>
    </row>
    <row r="72" spans="2:16" x14ac:dyDescent="0.25">
      <c r="B72" s="4"/>
      <c r="C72" s="178"/>
      <c r="D72" s="129"/>
      <c r="E72" s="219"/>
      <c r="F72" s="138"/>
      <c r="G72" s="132"/>
      <c r="H72" s="14" t="s">
        <v>59</v>
      </c>
      <c r="I72" s="35">
        <v>1.1900000000000001E-3</v>
      </c>
      <c r="J72" s="8"/>
      <c r="K72" s="18"/>
      <c r="L72" s="25"/>
      <c r="M72" s="132"/>
      <c r="N72" s="14" t="s">
        <v>59</v>
      </c>
      <c r="O72" s="35">
        <v>2.98E-3</v>
      </c>
      <c r="P72" s="39"/>
    </row>
    <row r="73" spans="2:16" x14ac:dyDescent="0.25">
      <c r="B73" s="4"/>
      <c r="C73" s="178"/>
      <c r="D73" s="129"/>
      <c r="E73" s="219"/>
      <c r="F73" s="138"/>
      <c r="G73" s="132"/>
      <c r="H73" s="14" t="s">
        <v>60</v>
      </c>
      <c r="I73" s="35">
        <v>1.1800000000000001E-3</v>
      </c>
      <c r="J73" s="8"/>
      <c r="K73" s="18"/>
      <c r="L73" s="25"/>
      <c r="M73" s="132"/>
      <c r="N73" s="14" t="s">
        <v>60</v>
      </c>
      <c r="O73" s="35">
        <v>4.0799999999999994E-3</v>
      </c>
      <c r="P73" s="39"/>
    </row>
    <row r="74" spans="2:16" x14ac:dyDescent="0.25">
      <c r="B74" s="4"/>
      <c r="C74" s="178"/>
      <c r="D74" s="129"/>
      <c r="E74" s="219"/>
      <c r="F74" s="138"/>
      <c r="G74" s="132"/>
      <c r="H74" s="14" t="s">
        <v>61</v>
      </c>
      <c r="I74" s="35">
        <v>1.16E-3</v>
      </c>
      <c r="J74" s="8"/>
      <c r="K74" s="18"/>
      <c r="L74" s="25"/>
      <c r="M74" s="132"/>
      <c r="N74" s="14" t="s">
        <v>61</v>
      </c>
      <c r="O74" s="35">
        <v>5.1000000000000004E-3</v>
      </c>
      <c r="P74" s="39"/>
    </row>
    <row r="75" spans="2:16" x14ac:dyDescent="0.25">
      <c r="B75" s="4"/>
      <c r="C75" s="178" t="s">
        <v>264</v>
      </c>
      <c r="D75" s="129"/>
      <c r="E75" s="219"/>
      <c r="F75" s="138"/>
      <c r="G75" s="132"/>
      <c r="H75" s="14" t="s">
        <v>62</v>
      </c>
      <c r="I75" s="35">
        <v>1.15E-3</v>
      </c>
      <c r="J75" s="8"/>
      <c r="K75" s="18"/>
      <c r="L75" s="25"/>
      <c r="M75" s="132"/>
      <c r="N75" s="14" t="s">
        <v>62</v>
      </c>
      <c r="O75" s="35">
        <v>6.0099999999999997E-3</v>
      </c>
      <c r="P75" s="39"/>
    </row>
    <row r="76" spans="2:16" x14ac:dyDescent="0.25">
      <c r="B76" s="4"/>
      <c r="C76" s="185" t="s">
        <v>265</v>
      </c>
      <c r="D76" s="129"/>
      <c r="E76" s="219"/>
      <c r="F76" s="138"/>
      <c r="G76" s="132"/>
      <c r="H76" s="14" t="s">
        <v>63</v>
      </c>
      <c r="I76" s="35">
        <v>1.08E-3</v>
      </c>
      <c r="J76" s="8"/>
      <c r="K76" s="19"/>
      <c r="L76" s="25"/>
      <c r="M76" s="132"/>
      <c r="N76" s="14" t="s">
        <v>63</v>
      </c>
      <c r="O76" s="35">
        <v>8.0700000000000008E-3</v>
      </c>
      <c r="P76" s="39"/>
    </row>
    <row r="77" spans="2:16" x14ac:dyDescent="0.25">
      <c r="B77" s="4"/>
      <c r="C77" s="185" t="s">
        <v>266</v>
      </c>
      <c r="D77" s="129"/>
      <c r="E77" s="226"/>
      <c r="F77" s="211"/>
      <c r="G77" s="132"/>
      <c r="H77" s="14" t="s">
        <v>64</v>
      </c>
      <c r="I77" s="35">
        <v>9.5999999999999992E-4</v>
      </c>
      <c r="J77" s="8"/>
      <c r="K77" s="21"/>
      <c r="L77" s="27"/>
      <c r="M77" s="132"/>
      <c r="N77" s="14" t="s">
        <v>64</v>
      </c>
      <c r="O77" s="35">
        <v>9.8099999999999993E-3</v>
      </c>
      <c r="P77" s="39"/>
    </row>
    <row r="78" spans="2:16" x14ac:dyDescent="0.25">
      <c r="B78" s="4"/>
      <c r="C78" s="185"/>
      <c r="D78" s="129"/>
      <c r="E78" s="226"/>
      <c r="F78" s="140"/>
      <c r="G78" s="132"/>
      <c r="H78" s="14" t="s">
        <v>65</v>
      </c>
      <c r="I78" s="35">
        <v>8.5999999999999998E-4</v>
      </c>
      <c r="J78" s="8"/>
      <c r="K78" s="21"/>
      <c r="L78" s="28"/>
      <c r="M78" s="132"/>
      <c r="N78" s="14" t="s">
        <v>65</v>
      </c>
      <c r="O78" s="35">
        <v>1.0369999999999999E-2</v>
      </c>
      <c r="P78" s="39"/>
    </row>
    <row r="79" spans="2:16" x14ac:dyDescent="0.25">
      <c r="B79" s="4"/>
      <c r="C79" s="178"/>
      <c r="D79" s="129"/>
      <c r="E79" s="226"/>
      <c r="F79" s="211"/>
      <c r="G79" s="132"/>
      <c r="H79" s="14" t="s">
        <v>66</v>
      </c>
      <c r="I79" s="35">
        <v>7.7000000000000007E-4</v>
      </c>
      <c r="J79" s="8"/>
      <c r="K79" s="21"/>
      <c r="L79" s="27"/>
      <c r="M79" s="132"/>
      <c r="N79" s="14" t="s">
        <v>66</v>
      </c>
      <c r="O79" s="35">
        <v>1.0529999999999999E-2</v>
      </c>
      <c r="P79" s="39"/>
    </row>
    <row r="80" spans="2:16" x14ac:dyDescent="0.25">
      <c r="B80" s="4"/>
      <c r="C80" s="178"/>
      <c r="D80" s="129"/>
      <c r="E80" s="224"/>
      <c r="F80" s="138"/>
      <c r="G80" s="132"/>
      <c r="H80" s="14" t="s">
        <v>67</v>
      </c>
      <c r="I80" s="35">
        <v>6.4000000000000005E-4</v>
      </c>
      <c r="J80" s="8"/>
      <c r="K80" s="22"/>
      <c r="L80" s="25"/>
      <c r="M80" s="132"/>
      <c r="N80" s="14" t="s">
        <v>67</v>
      </c>
      <c r="O80" s="35">
        <v>1.0529999999999999E-2</v>
      </c>
      <c r="P80" s="39"/>
    </row>
    <row r="81" spans="2:16" x14ac:dyDescent="0.25">
      <c r="B81" s="4"/>
      <c r="C81" s="178"/>
      <c r="D81" s="129"/>
      <c r="E81" s="224"/>
      <c r="F81" s="211"/>
      <c r="G81" s="132"/>
      <c r="H81" s="14" t="s">
        <v>204</v>
      </c>
      <c r="I81" s="35">
        <v>5.5999999999999995E-4</v>
      </c>
      <c r="J81" s="8"/>
      <c r="K81" s="22"/>
      <c r="L81" s="29"/>
      <c r="M81" s="132"/>
      <c r="N81" s="14" t="s">
        <v>204</v>
      </c>
      <c r="O81" s="35">
        <v>1.0029999999999999E-2</v>
      </c>
      <c r="P81" s="39"/>
    </row>
    <row r="82" spans="2:16" x14ac:dyDescent="0.25">
      <c r="B82" s="4"/>
      <c r="C82" s="178"/>
      <c r="D82" s="129"/>
      <c r="E82" s="224"/>
      <c r="F82" s="211"/>
      <c r="G82" s="132"/>
      <c r="H82" s="14"/>
      <c r="I82" s="35"/>
      <c r="J82" s="8"/>
      <c r="K82" s="22"/>
      <c r="L82" s="29"/>
      <c r="M82" s="132"/>
      <c r="N82" s="14"/>
      <c r="O82" s="35"/>
      <c r="P82" s="39"/>
    </row>
    <row r="83" spans="2:16" x14ac:dyDescent="0.25">
      <c r="B83" s="4"/>
      <c r="C83" s="178"/>
      <c r="D83" s="129"/>
      <c r="E83" s="224"/>
      <c r="F83" s="211"/>
      <c r="G83" s="132"/>
      <c r="H83" s="14"/>
      <c r="I83" s="35"/>
      <c r="J83" s="8"/>
      <c r="K83" s="22"/>
      <c r="L83" s="29"/>
      <c r="M83" s="132"/>
      <c r="N83" s="14"/>
      <c r="O83" s="35"/>
      <c r="P83" s="39"/>
    </row>
    <row r="84" spans="2:16" x14ac:dyDescent="0.25">
      <c r="B84" s="4"/>
      <c r="C84" s="178"/>
      <c r="D84" s="129"/>
      <c r="E84" s="224"/>
      <c r="F84" s="211"/>
      <c r="G84" s="132"/>
      <c r="H84" s="14"/>
      <c r="I84" s="35"/>
      <c r="J84" s="8"/>
      <c r="K84" s="22"/>
      <c r="L84" s="29"/>
      <c r="M84" s="132"/>
      <c r="N84" s="14"/>
      <c r="O84" s="35"/>
      <c r="P84" s="39"/>
    </row>
    <row r="85" spans="2:16" x14ac:dyDescent="0.25">
      <c r="B85" s="4"/>
      <c r="C85" s="178"/>
      <c r="D85" s="129"/>
      <c r="E85" s="224"/>
      <c r="F85" s="211"/>
      <c r="G85" s="132"/>
      <c r="H85" s="14"/>
      <c r="I85" s="35"/>
      <c r="J85" s="8"/>
      <c r="K85" s="22"/>
      <c r="L85" s="29"/>
      <c r="M85" s="132"/>
      <c r="N85" s="14"/>
      <c r="O85" s="35"/>
      <c r="P85" s="39"/>
    </row>
    <row r="86" spans="2:16" x14ac:dyDescent="0.25">
      <c r="B86" s="4"/>
      <c r="C86" s="178"/>
      <c r="D86" s="129"/>
      <c r="E86" s="224"/>
      <c r="F86" s="211"/>
      <c r="G86" s="132"/>
      <c r="H86" s="14"/>
      <c r="I86" s="35"/>
      <c r="J86" s="8"/>
      <c r="K86" s="22"/>
      <c r="L86" s="29"/>
      <c r="M86" s="132"/>
      <c r="N86" s="14"/>
      <c r="O86" s="35"/>
      <c r="P86" s="39"/>
    </row>
    <row r="87" spans="2:16" x14ac:dyDescent="0.25">
      <c r="B87" s="4"/>
      <c r="C87" s="178"/>
      <c r="D87" s="129"/>
      <c r="E87" s="224"/>
      <c r="F87" s="211"/>
      <c r="G87" s="132"/>
      <c r="H87" s="14"/>
      <c r="I87" s="35"/>
      <c r="J87" s="8"/>
      <c r="K87" s="22"/>
      <c r="L87" s="29"/>
      <c r="M87" s="132"/>
      <c r="N87" s="14"/>
      <c r="O87" s="35"/>
      <c r="P87" s="39"/>
    </row>
    <row r="88" spans="2:16" x14ac:dyDescent="0.25">
      <c r="B88" s="4"/>
      <c r="C88" s="178"/>
      <c r="D88" s="129"/>
      <c r="E88" s="224"/>
      <c r="F88" s="211"/>
      <c r="G88" s="132"/>
      <c r="H88" s="14"/>
      <c r="I88" s="35"/>
      <c r="J88" s="8"/>
      <c r="K88" s="22"/>
      <c r="L88" s="29"/>
      <c r="M88" s="132"/>
      <c r="N88" s="14"/>
      <c r="O88" s="35"/>
      <c r="P88" s="39"/>
    </row>
    <row r="89" spans="2:16" x14ac:dyDescent="0.25">
      <c r="B89" s="4"/>
      <c r="C89" s="179"/>
      <c r="D89" s="129"/>
      <c r="E89" s="225"/>
      <c r="F89" s="212"/>
      <c r="G89" s="132"/>
      <c r="H89" s="15"/>
      <c r="I89" s="36"/>
      <c r="J89" s="8"/>
      <c r="K89" s="23"/>
      <c r="L89" s="30"/>
      <c r="M89" s="132"/>
      <c r="N89" s="15"/>
      <c r="O89" s="36"/>
      <c r="P89" s="39"/>
    </row>
    <row r="90" spans="2:16" x14ac:dyDescent="0.25">
      <c r="B90" s="9"/>
      <c r="C90" s="134"/>
      <c r="D90" s="134"/>
      <c r="E90" s="200"/>
      <c r="F90" s="208"/>
      <c r="G90" s="134"/>
      <c r="H90" s="10"/>
      <c r="I90" s="10"/>
      <c r="J90" s="10"/>
      <c r="K90" s="10"/>
      <c r="L90" s="10"/>
      <c r="M90" s="134"/>
      <c r="N90" s="10"/>
      <c r="O90" s="10"/>
      <c r="P90" s="11"/>
    </row>
  </sheetData>
  <dataValidations disablePrompts="1" count="1">
    <dataValidation type="list" allowBlank="1" showInputMessage="1" showErrorMessage="1" sqref="F22:F23 G19:G24">
      <formula1>"fn_StepInterpolation,fn_LinearInterpolation,fn_MonotoneConvexInterpolation,fn_SplineInterpolation,fn_ConstrainedSplineInterpolation"</formula1>
    </dataValidation>
  </dataValidations>
  <pageMargins left="0.7" right="0.7" top="0.75" bottom="0.75" header="0.3" footer="0.3"/>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C00000"/>
  </sheetPr>
  <dimension ref="A1:R113"/>
  <sheetViews>
    <sheetView showGridLines="0" workbookViewId="0"/>
  </sheetViews>
  <sheetFormatPr defaultRowHeight="15" x14ac:dyDescent="0.25"/>
  <cols>
    <col min="2" max="2" width="2.7109375" customWidth="1"/>
    <col min="3" max="3" width="110.7109375" style="123" hidden="1" customWidth="1"/>
    <col min="4" max="4" width="4.7109375" style="125" hidden="1" customWidth="1"/>
    <col min="5" max="5" width="21.85546875" style="197" customWidth="1"/>
    <col min="6" max="6" width="32.7109375" style="207" customWidth="1"/>
    <col min="8" max="9" width="18.7109375" customWidth="1"/>
    <col min="10" max="10" width="12.7109375" customWidth="1"/>
    <col min="11" max="11" width="14.28515625" customWidth="1"/>
    <col min="12" max="12" width="15.140625" customWidth="1"/>
    <col min="13" max="14" width="18.7109375" customWidth="1"/>
    <col min="15" max="15" width="4.7109375" customWidth="1"/>
    <col min="17" max="17" width="10.5703125" customWidth="1"/>
    <col min="18" max="18" width="9.7109375" bestFit="1" customWidth="1"/>
  </cols>
  <sheetData>
    <row r="1" spans="1:15" x14ac:dyDescent="0.25">
      <c r="A1" s="125"/>
    </row>
    <row r="2" spans="1:15" ht="23.25" x14ac:dyDescent="0.35">
      <c r="A2" s="125"/>
      <c r="B2" s="281" t="s">
        <v>360</v>
      </c>
      <c r="C2" s="124"/>
      <c r="D2" s="146"/>
    </row>
    <row r="3" spans="1:15" ht="23.25" x14ac:dyDescent="0.35">
      <c r="B3" s="242" t="s">
        <v>325</v>
      </c>
    </row>
    <row r="4" spans="1:15" ht="23.25" x14ac:dyDescent="0.35">
      <c r="B4" s="242" t="s">
        <v>324</v>
      </c>
    </row>
    <row r="5" spans="1:15" s="253" customFormat="1" x14ac:dyDescent="0.25">
      <c r="C5" s="254"/>
      <c r="E5" s="255"/>
      <c r="F5" s="256"/>
    </row>
    <row r="6" spans="1:15" x14ac:dyDescent="0.25">
      <c r="B6" s="40" t="s">
        <v>236</v>
      </c>
      <c r="C6" s="124"/>
      <c r="D6" s="146"/>
    </row>
    <row r="7" spans="1:15" x14ac:dyDescent="0.25">
      <c r="B7" s="1"/>
      <c r="C7" s="127"/>
      <c r="D7" s="127"/>
      <c r="E7" s="213"/>
      <c r="F7" s="141"/>
      <c r="G7" s="2"/>
      <c r="H7" s="2"/>
      <c r="I7" s="2"/>
      <c r="J7" s="2"/>
      <c r="K7" s="2"/>
      <c r="L7" s="2"/>
      <c r="M7" s="2"/>
      <c r="N7" s="2"/>
      <c r="O7" s="3"/>
    </row>
    <row r="8" spans="1:15" x14ac:dyDescent="0.25">
      <c r="B8" s="4"/>
      <c r="C8" s="144"/>
      <c r="D8" s="130"/>
      <c r="E8" s="214" t="s">
        <v>236</v>
      </c>
      <c r="F8" s="149" t="str">
        <f ca="1">IF(AND(isEUROISLoaded,NOW()),_xll.meCurveCalibrateSwap(STDCurve.CollectionName,STDCurve.StaticDataTable,STDCurve.IndexName,STDCurve.Buildproperties,MoneyMarket.Conventions,Libor.Conventions,Libor.MarketData,Swap.Conventions,Swap.MarketData,FRA.Conventions,FRA.MarketDataX3,FRA.MarketDataX6,Futures.Conventions,Futures.MarketData,,),"Error Building Swap Curve")</f>
        <v>EURYC STD Curve has been set (0.00000 sec)</v>
      </c>
      <c r="G8" s="42"/>
      <c r="H8" s="43"/>
      <c r="I8" s="5"/>
      <c r="J8" s="5"/>
      <c r="K8" s="5"/>
      <c r="L8" s="5"/>
      <c r="M8" s="5"/>
      <c r="N8" s="5"/>
      <c r="O8" s="6"/>
    </row>
    <row r="9" spans="1:15" x14ac:dyDescent="0.25">
      <c r="B9" s="4"/>
      <c r="C9" s="130"/>
      <c r="D9" s="130"/>
      <c r="E9" s="215" t="s">
        <v>167</v>
      </c>
      <c r="F9" s="171" t="b">
        <f ca="1">LEFT(F8,5)=STDCurve.CollectionName</f>
        <v>1</v>
      </c>
      <c r="G9" s="5"/>
      <c r="H9" s="5"/>
      <c r="I9" s="5"/>
      <c r="J9" s="5"/>
      <c r="K9" s="5"/>
      <c r="L9" s="5"/>
      <c r="M9" s="5"/>
      <c r="N9" s="5"/>
      <c r="O9" s="6"/>
    </row>
    <row r="10" spans="1:15" x14ac:dyDescent="0.25">
      <c r="B10" s="4"/>
      <c r="C10" s="130"/>
      <c r="D10" s="130"/>
      <c r="E10" s="199"/>
      <c r="F10" s="148"/>
      <c r="G10" s="5"/>
      <c r="H10" s="5"/>
      <c r="I10" s="5"/>
      <c r="J10" s="5"/>
      <c r="K10" s="5"/>
      <c r="L10" s="5"/>
      <c r="M10" s="5"/>
      <c r="N10" s="5"/>
      <c r="O10" s="6"/>
    </row>
    <row r="11" spans="1:15" x14ac:dyDescent="0.25">
      <c r="B11" s="4"/>
      <c r="C11" s="130"/>
      <c r="D11" s="130"/>
      <c r="E11" s="216"/>
      <c r="F11" s="148"/>
      <c r="G11" s="5"/>
      <c r="H11" s="5"/>
      <c r="I11" s="5"/>
      <c r="J11" s="5"/>
      <c r="K11" s="5"/>
      <c r="L11" s="5"/>
      <c r="M11" s="5"/>
      <c r="N11" s="5"/>
      <c r="O11" s="6"/>
    </row>
    <row r="12" spans="1:15" x14ac:dyDescent="0.25">
      <c r="B12" s="4"/>
      <c r="C12" s="130"/>
      <c r="D12" s="130"/>
      <c r="E12" s="217" t="s">
        <v>0</v>
      </c>
      <c r="F12" s="147"/>
      <c r="G12" s="5"/>
      <c r="H12" s="5"/>
      <c r="I12" s="5"/>
      <c r="J12" s="5"/>
      <c r="K12" s="5"/>
      <c r="L12" s="5"/>
      <c r="M12" s="5"/>
      <c r="N12" s="5"/>
      <c r="O12" s="6"/>
    </row>
    <row r="13" spans="1:15" ht="30" x14ac:dyDescent="0.25">
      <c r="B13" s="4"/>
      <c r="C13" s="175" t="s">
        <v>243</v>
      </c>
      <c r="D13" s="130"/>
      <c r="E13" s="218" t="s">
        <v>80</v>
      </c>
      <c r="F13" s="165" t="s">
        <v>78</v>
      </c>
      <c r="G13" s="5"/>
      <c r="H13" s="5"/>
      <c r="I13" s="5"/>
      <c r="J13" s="5"/>
      <c r="K13" s="5"/>
      <c r="L13" s="5"/>
      <c r="M13" s="5"/>
      <c r="N13" s="5"/>
      <c r="O13" s="6"/>
    </row>
    <row r="14" spans="1:15" ht="30" x14ac:dyDescent="0.25">
      <c r="B14" s="4"/>
      <c r="C14" s="175" t="s">
        <v>319</v>
      </c>
      <c r="D14" s="130"/>
      <c r="E14" s="219" t="s">
        <v>79</v>
      </c>
      <c r="F14" s="166" t="s">
        <v>82</v>
      </c>
      <c r="G14" s="5"/>
      <c r="H14" s="5"/>
      <c r="I14" s="5"/>
      <c r="J14" s="5"/>
      <c r="K14" s="5"/>
      <c r="L14" s="5"/>
      <c r="M14" s="5"/>
      <c r="N14" s="5"/>
      <c r="O14" s="6"/>
    </row>
    <row r="15" spans="1:15" ht="30" x14ac:dyDescent="0.25">
      <c r="B15" s="4"/>
      <c r="C15" s="175" t="s">
        <v>320</v>
      </c>
      <c r="D15" s="130"/>
      <c r="E15" s="221" t="s">
        <v>81</v>
      </c>
      <c r="F15" s="167" t="s">
        <v>187</v>
      </c>
      <c r="G15" s="5"/>
      <c r="H15" s="5"/>
      <c r="I15" s="5"/>
      <c r="J15" s="5" t="s">
        <v>4</v>
      </c>
      <c r="K15" s="5" t="s">
        <v>4</v>
      </c>
      <c r="L15" s="5" t="s">
        <v>4</v>
      </c>
      <c r="M15" s="5"/>
      <c r="N15" s="5"/>
      <c r="O15" s="6" t="s">
        <v>4</v>
      </c>
    </row>
    <row r="16" spans="1:15" x14ac:dyDescent="0.25">
      <c r="B16" s="9"/>
      <c r="C16" s="134"/>
      <c r="D16" s="134"/>
      <c r="E16" s="200"/>
      <c r="F16" s="208"/>
      <c r="G16" s="10"/>
      <c r="H16" s="10"/>
      <c r="I16" s="10"/>
      <c r="J16" s="10"/>
      <c r="K16" s="10"/>
      <c r="L16" s="10"/>
      <c r="M16" s="10"/>
      <c r="N16" s="10"/>
      <c r="O16" s="11"/>
    </row>
    <row r="19" spans="2:15" x14ac:dyDescent="0.25">
      <c r="B19" s="40" t="s">
        <v>68</v>
      </c>
      <c r="C19" s="124"/>
      <c r="D19" s="146"/>
    </row>
    <row r="20" spans="2:15" x14ac:dyDescent="0.25">
      <c r="B20" s="1"/>
      <c r="C20" s="127"/>
      <c r="D20" s="127"/>
      <c r="E20" s="213"/>
      <c r="F20" s="141"/>
      <c r="G20" s="2"/>
      <c r="H20" s="2"/>
      <c r="I20" s="2"/>
      <c r="J20" s="45"/>
      <c r="K20" s="2"/>
      <c r="L20" s="2"/>
      <c r="M20" s="2"/>
      <c r="N20" s="2"/>
      <c r="O20" s="3"/>
    </row>
    <row r="21" spans="2:15" x14ac:dyDescent="0.25">
      <c r="B21" s="4"/>
      <c r="C21" s="130"/>
      <c r="D21" s="130"/>
      <c r="E21" s="217" t="s">
        <v>68</v>
      </c>
      <c r="F21" s="142"/>
      <c r="G21" s="5"/>
      <c r="H21" s="5"/>
      <c r="I21" s="5"/>
      <c r="J21" s="5"/>
      <c r="K21" s="5"/>
      <c r="L21" s="5"/>
      <c r="M21" s="5"/>
      <c r="N21" s="5"/>
      <c r="O21" s="6"/>
    </row>
    <row r="22" spans="2:15" ht="30" x14ac:dyDescent="0.25">
      <c r="B22" s="4"/>
      <c r="C22" s="175" t="s">
        <v>244</v>
      </c>
      <c r="D22" s="130"/>
      <c r="E22" s="218" t="s">
        <v>10</v>
      </c>
      <c r="F22" s="165">
        <f>COB</f>
        <v>42521</v>
      </c>
      <c r="G22" s="5"/>
      <c r="H22" s="5"/>
      <c r="I22" s="5"/>
      <c r="J22" s="5"/>
      <c r="K22" s="5"/>
      <c r="L22" s="5"/>
      <c r="M22" s="5"/>
      <c r="N22" s="5"/>
      <c r="O22" s="6"/>
    </row>
    <row r="23" spans="2:15" ht="30" x14ac:dyDescent="0.25">
      <c r="B23" s="4"/>
      <c r="C23" s="175" t="s">
        <v>245</v>
      </c>
      <c r="D23" s="130"/>
      <c r="E23" s="219" t="s">
        <v>16</v>
      </c>
      <c r="F23" s="166" t="s">
        <v>17</v>
      </c>
      <c r="G23" s="5"/>
      <c r="H23" s="5"/>
      <c r="I23" s="5"/>
      <c r="J23" s="5"/>
      <c r="K23" s="5"/>
      <c r="L23" s="5"/>
      <c r="M23" s="5"/>
      <c r="N23" s="5"/>
      <c r="O23" s="6"/>
    </row>
    <row r="24" spans="2:15" ht="30" x14ac:dyDescent="0.25">
      <c r="B24" s="4"/>
      <c r="C24" s="175" t="s">
        <v>246</v>
      </c>
      <c r="D24" s="130"/>
      <c r="E24" s="219" t="s">
        <v>83</v>
      </c>
      <c r="F24" s="168" t="str">
        <f>interpolationFunction</f>
        <v>fn_SplineInterpolation</v>
      </c>
      <c r="G24" s="5"/>
      <c r="H24" s="5"/>
      <c r="I24" s="5"/>
      <c r="J24" s="5"/>
      <c r="K24" s="5"/>
      <c r="L24" s="5"/>
      <c r="M24" s="5"/>
      <c r="N24" s="5"/>
      <c r="O24" s="6"/>
    </row>
    <row r="25" spans="2:15" ht="30" x14ac:dyDescent="0.25">
      <c r="B25" s="4"/>
      <c r="C25" s="180" t="s">
        <v>321</v>
      </c>
      <c r="D25" s="130"/>
      <c r="E25" s="219" t="s">
        <v>24</v>
      </c>
      <c r="F25" s="168" t="str">
        <f>interpolationFunction</f>
        <v>fn_SplineInterpolation</v>
      </c>
      <c r="G25" s="5"/>
      <c r="H25" s="5"/>
      <c r="I25" s="5"/>
      <c r="J25" s="5"/>
      <c r="K25" s="5"/>
      <c r="L25" s="5"/>
      <c r="M25" s="5"/>
      <c r="N25" s="5"/>
      <c r="O25" s="6"/>
    </row>
    <row r="26" spans="2:15" ht="30" x14ac:dyDescent="0.25">
      <c r="B26" s="4"/>
      <c r="C26" s="180" t="s">
        <v>267</v>
      </c>
      <c r="D26" s="130"/>
      <c r="E26" s="219" t="s">
        <v>85</v>
      </c>
      <c r="F26" s="166" t="b">
        <v>0</v>
      </c>
      <c r="G26" s="5"/>
      <c r="H26" s="5"/>
      <c r="I26" s="5"/>
      <c r="J26" s="5"/>
      <c r="K26" s="5"/>
      <c r="L26" s="5"/>
      <c r="M26" s="5"/>
      <c r="N26" s="5"/>
      <c r="O26" s="6"/>
    </row>
    <row r="27" spans="2:15" ht="30" x14ac:dyDescent="0.25">
      <c r="B27" s="4"/>
      <c r="C27" s="180" t="s">
        <v>268</v>
      </c>
      <c r="D27" s="130"/>
      <c r="E27" s="219" t="s">
        <v>84</v>
      </c>
      <c r="F27" s="166" t="b">
        <v>1</v>
      </c>
      <c r="G27" s="5"/>
      <c r="H27" s="5"/>
      <c r="I27" s="5"/>
      <c r="J27" s="5"/>
      <c r="K27" s="5"/>
      <c r="L27" s="5"/>
      <c r="M27" s="5"/>
      <c r="N27" s="5"/>
      <c r="O27" s="6"/>
    </row>
    <row r="28" spans="2:15" ht="30" x14ac:dyDescent="0.25">
      <c r="B28" s="4"/>
      <c r="C28" s="176" t="s">
        <v>269</v>
      </c>
      <c r="D28" s="130"/>
      <c r="E28" s="219" t="s">
        <v>27</v>
      </c>
      <c r="F28" s="166" t="s">
        <v>28</v>
      </c>
      <c r="G28" s="5"/>
      <c r="H28" s="5"/>
      <c r="I28" s="5"/>
      <c r="J28" s="5"/>
      <c r="K28" s="5"/>
      <c r="L28" s="5"/>
      <c r="M28" s="5"/>
      <c r="N28" s="5"/>
      <c r="O28" s="6"/>
    </row>
    <row r="29" spans="2:15" ht="45" x14ac:dyDescent="0.25">
      <c r="B29" s="4"/>
      <c r="C29" s="180" t="s">
        <v>270</v>
      </c>
      <c r="D29" s="130"/>
      <c r="E29" s="219" t="s">
        <v>86</v>
      </c>
      <c r="F29" s="166" t="s">
        <v>9</v>
      </c>
      <c r="G29" s="5"/>
      <c r="H29" s="5"/>
      <c r="I29" s="5"/>
      <c r="J29" s="5"/>
      <c r="K29" s="5"/>
      <c r="L29" s="5"/>
      <c r="M29" s="5"/>
      <c r="N29" s="5"/>
      <c r="O29" s="6"/>
    </row>
    <row r="30" spans="2:15" x14ac:dyDescent="0.25">
      <c r="B30" s="4"/>
      <c r="C30" s="185"/>
      <c r="D30" s="130"/>
      <c r="E30" s="219"/>
      <c r="F30" s="166"/>
      <c r="G30" s="5"/>
      <c r="H30" s="5"/>
      <c r="I30" s="5"/>
      <c r="J30" s="5"/>
      <c r="K30" s="5"/>
      <c r="L30" s="5"/>
      <c r="M30" s="5"/>
      <c r="N30" s="5"/>
      <c r="O30" s="6"/>
    </row>
    <row r="31" spans="2:15" x14ac:dyDescent="0.25">
      <c r="B31" s="4"/>
      <c r="C31" s="181"/>
      <c r="D31" s="130"/>
      <c r="E31" s="221"/>
      <c r="F31" s="167"/>
      <c r="G31" s="5"/>
      <c r="H31" s="5"/>
      <c r="I31" s="5"/>
      <c r="J31" s="5"/>
      <c r="K31" s="5"/>
      <c r="L31" s="5"/>
      <c r="M31" s="5"/>
      <c r="N31" s="5"/>
      <c r="O31" s="6"/>
    </row>
    <row r="32" spans="2:15" x14ac:dyDescent="0.25">
      <c r="B32" s="9"/>
      <c r="C32" s="134"/>
      <c r="D32" s="134"/>
      <c r="E32" s="200"/>
      <c r="F32" s="208"/>
      <c r="G32" s="10"/>
      <c r="H32" s="10"/>
      <c r="I32" s="10"/>
      <c r="J32" s="10"/>
      <c r="K32" s="10"/>
      <c r="L32" s="10"/>
      <c r="M32" s="10"/>
      <c r="N32" s="10"/>
      <c r="O32" s="11"/>
    </row>
    <row r="35" spans="2:15" x14ac:dyDescent="0.25">
      <c r="B35" s="40" t="s">
        <v>87</v>
      </c>
      <c r="C35" s="124"/>
      <c r="D35" s="146"/>
    </row>
    <row r="36" spans="2:15" x14ac:dyDescent="0.25">
      <c r="B36" s="1"/>
      <c r="C36" s="127"/>
      <c r="D36" s="127"/>
      <c r="E36" s="198"/>
      <c r="F36" s="209"/>
      <c r="G36" s="2"/>
      <c r="H36" s="2"/>
      <c r="I36" s="2"/>
      <c r="J36" s="2"/>
      <c r="K36" s="2"/>
      <c r="L36" s="2"/>
      <c r="M36" s="2"/>
      <c r="N36" s="2"/>
      <c r="O36" s="3"/>
    </row>
    <row r="37" spans="2:15" x14ac:dyDescent="0.25">
      <c r="B37" s="4"/>
      <c r="C37" s="130"/>
      <c r="D37" s="130"/>
      <c r="E37" s="223" t="s">
        <v>206</v>
      </c>
      <c r="F37" s="210"/>
      <c r="G37" s="8"/>
      <c r="H37" s="34" t="s">
        <v>207</v>
      </c>
      <c r="I37" s="8"/>
      <c r="J37" s="8"/>
      <c r="K37" s="34" t="s">
        <v>205</v>
      </c>
      <c r="L37" s="8"/>
      <c r="M37" s="8"/>
      <c r="N37" s="8"/>
      <c r="O37" s="39"/>
    </row>
    <row r="38" spans="2:15" ht="30" x14ac:dyDescent="0.25">
      <c r="B38" s="4"/>
      <c r="C38" s="176" t="s">
        <v>248</v>
      </c>
      <c r="D38" s="130"/>
      <c r="E38" s="218" t="s">
        <v>1</v>
      </c>
      <c r="F38" s="137" t="s">
        <v>2</v>
      </c>
      <c r="G38" s="5"/>
      <c r="H38" s="186" t="s">
        <v>1</v>
      </c>
      <c r="I38" s="137" t="s">
        <v>2</v>
      </c>
      <c r="J38" s="8"/>
      <c r="K38" s="53" t="s">
        <v>11</v>
      </c>
      <c r="L38" s="53" t="s">
        <v>12</v>
      </c>
      <c r="M38" s="53"/>
      <c r="N38" s="53"/>
      <c r="O38" s="39"/>
    </row>
    <row r="39" spans="2:15" ht="30" x14ac:dyDescent="0.25">
      <c r="B39" s="4"/>
      <c r="C39" s="176" t="s">
        <v>247</v>
      </c>
      <c r="D39" s="130"/>
      <c r="E39" s="219" t="s">
        <v>88</v>
      </c>
      <c r="F39" s="138" t="s">
        <v>6</v>
      </c>
      <c r="G39" s="7"/>
      <c r="H39" s="122" t="s">
        <v>18</v>
      </c>
      <c r="I39" s="153" t="s">
        <v>6</v>
      </c>
      <c r="J39" s="8"/>
      <c r="K39" s="47" t="s">
        <v>161</v>
      </c>
      <c r="L39" s="50">
        <v>-3.49E-3</v>
      </c>
      <c r="M39" s="53"/>
      <c r="N39" s="53"/>
      <c r="O39" s="39"/>
    </row>
    <row r="40" spans="2:15" ht="30" x14ac:dyDescent="0.25">
      <c r="B40" s="4"/>
      <c r="C40" s="177" t="s">
        <v>273</v>
      </c>
      <c r="D40" s="130"/>
      <c r="E40" s="219" t="s">
        <v>89</v>
      </c>
      <c r="F40" s="138" t="s">
        <v>90</v>
      </c>
      <c r="G40" s="7"/>
      <c r="H40" s="122" t="s">
        <v>27</v>
      </c>
      <c r="I40" s="138" t="s">
        <v>91</v>
      </c>
      <c r="J40" s="8"/>
      <c r="K40" s="48" t="s">
        <v>145</v>
      </c>
      <c r="L40" s="51">
        <v>-2.6099999999999999E-3</v>
      </c>
      <c r="M40" s="53"/>
      <c r="N40" s="53"/>
      <c r="O40" s="39"/>
    </row>
    <row r="41" spans="2:15" x14ac:dyDescent="0.25">
      <c r="B41" s="4"/>
      <c r="C41" s="178"/>
      <c r="D41" s="130"/>
      <c r="E41" s="219"/>
      <c r="F41" s="138"/>
      <c r="G41" s="7"/>
      <c r="H41" s="122" t="s">
        <v>92</v>
      </c>
      <c r="I41" s="153">
        <v>2</v>
      </c>
      <c r="J41" s="8"/>
      <c r="K41" s="48" t="s">
        <v>94</v>
      </c>
      <c r="L41" s="51">
        <v>-1.5299999999999999E-3</v>
      </c>
      <c r="M41" s="53"/>
      <c r="N41" s="53"/>
      <c r="O41" s="39"/>
    </row>
    <row r="42" spans="2:15" x14ac:dyDescent="0.25">
      <c r="B42" s="4"/>
      <c r="C42" s="178"/>
      <c r="D42" s="130"/>
      <c r="E42" s="219"/>
      <c r="F42" s="138"/>
      <c r="G42" s="7"/>
      <c r="H42" s="122" t="s">
        <v>21</v>
      </c>
      <c r="I42" s="153" t="s">
        <v>22</v>
      </c>
      <c r="J42" s="8"/>
      <c r="K42" s="48" t="s">
        <v>56</v>
      </c>
      <c r="L42" s="51">
        <v>-1.4999999999999999E-4</v>
      </c>
      <c r="M42" s="53"/>
      <c r="N42" s="53"/>
      <c r="O42" s="39"/>
    </row>
    <row r="43" spans="2:15" x14ac:dyDescent="0.25">
      <c r="B43" s="4"/>
      <c r="C43" s="179"/>
      <c r="D43" s="130"/>
      <c r="E43" s="225"/>
      <c r="F43" s="212"/>
      <c r="G43" s="7"/>
      <c r="H43" s="187"/>
      <c r="I43" s="154"/>
      <c r="J43" s="8"/>
      <c r="K43" s="49"/>
      <c r="L43" s="52"/>
      <c r="M43" s="53"/>
      <c r="N43" s="53"/>
      <c r="O43" s="39"/>
    </row>
    <row r="44" spans="2:15" x14ac:dyDescent="0.25">
      <c r="B44" s="4"/>
      <c r="C44" s="130"/>
      <c r="D44" s="130"/>
      <c r="E44" s="202"/>
      <c r="F44" s="234"/>
      <c r="G44" s="7"/>
      <c r="H44" s="8"/>
      <c r="I44" s="8"/>
      <c r="J44" s="8"/>
      <c r="K44" s="111" t="s">
        <v>327</v>
      </c>
      <c r="L44" s="8"/>
      <c r="M44" s="8"/>
      <c r="N44" s="8"/>
      <c r="O44" s="39"/>
    </row>
    <row r="45" spans="2:15" x14ac:dyDescent="0.25">
      <c r="B45" s="9"/>
      <c r="C45" s="134"/>
      <c r="D45" s="134"/>
      <c r="E45" s="200"/>
      <c r="F45" s="208"/>
      <c r="G45" s="10"/>
      <c r="H45" s="10"/>
      <c r="I45" s="10"/>
      <c r="J45" s="10"/>
      <c r="K45" s="10"/>
      <c r="L45" s="10"/>
      <c r="M45" s="10"/>
      <c r="N45" s="10"/>
      <c r="O45" s="11"/>
    </row>
    <row r="48" spans="2:15" x14ac:dyDescent="0.25">
      <c r="B48" s="40" t="s">
        <v>95</v>
      </c>
      <c r="C48" s="124"/>
      <c r="D48" s="146"/>
    </row>
    <row r="49" spans="2:15" x14ac:dyDescent="0.25">
      <c r="B49" s="1"/>
      <c r="C49" s="127"/>
      <c r="D49" s="127"/>
      <c r="E49" s="198"/>
      <c r="F49" s="209"/>
      <c r="G49" s="2"/>
      <c r="H49" s="2"/>
      <c r="I49" s="2"/>
      <c r="J49" s="2"/>
      <c r="K49" s="2"/>
      <c r="L49" s="2"/>
      <c r="M49" s="2"/>
      <c r="N49" s="2"/>
      <c r="O49" s="3"/>
    </row>
    <row r="50" spans="2:15" x14ac:dyDescent="0.25">
      <c r="B50" s="4"/>
      <c r="C50" s="130"/>
      <c r="D50" s="130"/>
      <c r="E50" s="223" t="s">
        <v>96</v>
      </c>
      <c r="F50" s="210"/>
      <c r="G50" s="8"/>
      <c r="H50" s="34" t="s">
        <v>115</v>
      </c>
      <c r="I50" s="8"/>
      <c r="J50" s="8"/>
      <c r="K50" s="34" t="s">
        <v>116</v>
      </c>
      <c r="L50" s="8"/>
      <c r="M50" s="8"/>
      <c r="N50" s="8"/>
      <c r="O50" s="39"/>
    </row>
    <row r="51" spans="2:15" x14ac:dyDescent="0.25">
      <c r="B51" s="4"/>
      <c r="C51" s="130"/>
      <c r="D51" s="130"/>
      <c r="E51" s="218"/>
      <c r="F51" s="137"/>
      <c r="G51" s="5"/>
      <c r="H51" s="53" t="s">
        <v>11</v>
      </c>
      <c r="I51" s="53" t="s">
        <v>12</v>
      </c>
      <c r="J51" s="8"/>
      <c r="K51" s="53" t="s">
        <v>11</v>
      </c>
      <c r="L51" s="53" t="s">
        <v>12</v>
      </c>
      <c r="M51" s="53"/>
      <c r="N51" s="53"/>
      <c r="O51" s="39"/>
    </row>
    <row r="52" spans="2:15" x14ac:dyDescent="0.25">
      <c r="B52" s="4"/>
      <c r="C52" s="130"/>
      <c r="D52" s="130"/>
      <c r="E52" s="219"/>
      <c r="F52" s="138"/>
      <c r="G52" s="7"/>
      <c r="H52" s="47"/>
      <c r="I52" s="50"/>
      <c r="J52" s="8"/>
      <c r="K52" s="47"/>
      <c r="L52" s="50"/>
      <c r="M52" s="53"/>
      <c r="N52" s="53"/>
      <c r="O52" s="39"/>
    </row>
    <row r="53" spans="2:15" x14ac:dyDescent="0.25">
      <c r="B53" s="4"/>
      <c r="C53" s="130"/>
      <c r="D53" s="130"/>
      <c r="E53" s="219"/>
      <c r="F53" s="138"/>
      <c r="G53" s="7"/>
      <c r="H53" s="48"/>
      <c r="I53" s="51"/>
      <c r="J53" s="8"/>
      <c r="K53" s="48"/>
      <c r="L53" s="51"/>
      <c r="M53" s="53"/>
      <c r="N53" s="53"/>
      <c r="O53" s="39"/>
    </row>
    <row r="54" spans="2:15" x14ac:dyDescent="0.25">
      <c r="B54" s="4"/>
      <c r="C54" s="130"/>
      <c r="D54" s="130"/>
      <c r="E54" s="219"/>
      <c r="F54" s="138"/>
      <c r="G54" s="7"/>
      <c r="H54" s="48"/>
      <c r="I54" s="51"/>
      <c r="J54" s="8"/>
      <c r="K54" s="48"/>
      <c r="L54" s="51"/>
      <c r="M54" s="53"/>
      <c r="N54" s="53"/>
      <c r="O54" s="39"/>
    </row>
    <row r="55" spans="2:15" x14ac:dyDescent="0.25">
      <c r="B55" s="4"/>
      <c r="C55" s="130"/>
      <c r="D55" s="130"/>
      <c r="E55" s="219"/>
      <c r="F55" s="138"/>
      <c r="G55" s="7"/>
      <c r="H55" s="48"/>
      <c r="I55" s="51"/>
      <c r="J55" s="8"/>
      <c r="K55" s="48"/>
      <c r="L55" s="51"/>
      <c r="M55" s="53"/>
      <c r="N55" s="53"/>
      <c r="O55" s="39"/>
    </row>
    <row r="56" spans="2:15" x14ac:dyDescent="0.25">
      <c r="B56" s="4"/>
      <c r="C56" s="130"/>
      <c r="D56" s="130"/>
      <c r="E56" s="219"/>
      <c r="F56" s="138"/>
      <c r="G56" s="7"/>
      <c r="H56" s="48"/>
      <c r="I56" s="51"/>
      <c r="J56" s="8"/>
      <c r="K56" s="48"/>
      <c r="L56" s="51"/>
      <c r="M56" s="53"/>
      <c r="N56" s="53"/>
      <c r="O56" s="39"/>
    </row>
    <row r="57" spans="2:15" x14ac:dyDescent="0.25">
      <c r="B57" s="4"/>
      <c r="C57" s="130"/>
      <c r="D57" s="130"/>
      <c r="E57" s="219"/>
      <c r="F57" s="138"/>
      <c r="G57" s="7"/>
      <c r="H57" s="48"/>
      <c r="I57" s="51"/>
      <c r="J57" s="8"/>
      <c r="K57" s="48"/>
      <c r="L57" s="51"/>
      <c r="M57" s="53"/>
      <c r="N57" s="53"/>
      <c r="O57" s="39"/>
    </row>
    <row r="58" spans="2:15" x14ac:dyDescent="0.25">
      <c r="B58" s="4"/>
      <c r="C58" s="130"/>
      <c r="D58" s="130"/>
      <c r="E58" s="219"/>
      <c r="F58" s="138"/>
      <c r="G58" s="7"/>
      <c r="H58" s="48"/>
      <c r="I58" s="51"/>
      <c r="J58" s="8"/>
      <c r="K58" s="48"/>
      <c r="L58" s="51"/>
      <c r="M58" s="53"/>
      <c r="N58" s="53"/>
      <c r="O58" s="39"/>
    </row>
    <row r="59" spans="2:15" x14ac:dyDescent="0.25">
      <c r="B59" s="4"/>
      <c r="C59" s="130"/>
      <c r="D59" s="130"/>
      <c r="E59" s="219"/>
      <c r="F59" s="138"/>
      <c r="G59" s="7"/>
      <c r="H59" s="48"/>
      <c r="I59" s="51"/>
      <c r="J59" s="8"/>
      <c r="K59" s="48"/>
      <c r="L59" s="51"/>
      <c r="M59" s="53"/>
      <c r="N59" s="53"/>
      <c r="O59" s="39"/>
    </row>
    <row r="60" spans="2:15" x14ac:dyDescent="0.25">
      <c r="B60" s="4"/>
      <c r="C60" s="130"/>
      <c r="D60" s="130"/>
      <c r="E60" s="219"/>
      <c r="F60" s="138"/>
      <c r="G60" s="7"/>
      <c r="H60" s="48"/>
      <c r="I60" s="51"/>
      <c r="J60" s="8"/>
      <c r="K60" s="48"/>
      <c r="L60" s="51"/>
      <c r="M60" s="53"/>
      <c r="N60" s="53"/>
      <c r="O60" s="39"/>
    </row>
    <row r="61" spans="2:15" x14ac:dyDescent="0.25">
      <c r="B61" s="4"/>
      <c r="C61" s="130"/>
      <c r="D61" s="130"/>
      <c r="E61" s="219"/>
      <c r="F61" s="138"/>
      <c r="G61" s="7"/>
      <c r="H61" s="48"/>
      <c r="I61" s="51"/>
      <c r="J61" s="8"/>
      <c r="K61" s="48"/>
      <c r="L61" s="51"/>
      <c r="M61" s="53"/>
      <c r="N61" s="53"/>
      <c r="O61" s="39"/>
    </row>
    <row r="62" spans="2:15" x14ac:dyDescent="0.25">
      <c r="B62" s="4"/>
      <c r="C62" s="130"/>
      <c r="D62" s="130"/>
      <c r="E62" s="219"/>
      <c r="F62" s="138"/>
      <c r="G62" s="7"/>
      <c r="H62" s="48"/>
      <c r="I62" s="51"/>
      <c r="J62" s="8"/>
      <c r="K62" s="48"/>
      <c r="L62" s="51"/>
      <c r="M62" s="53"/>
      <c r="N62" s="53"/>
      <c r="O62" s="39"/>
    </row>
    <row r="63" spans="2:15" x14ac:dyDescent="0.25">
      <c r="B63" s="4"/>
      <c r="C63" s="130"/>
      <c r="D63" s="130"/>
      <c r="E63" s="219"/>
      <c r="F63" s="138"/>
      <c r="G63" s="7"/>
      <c r="H63" s="48"/>
      <c r="I63" s="51"/>
      <c r="J63" s="8"/>
      <c r="K63" s="48"/>
      <c r="L63" s="51"/>
      <c r="M63" s="53"/>
      <c r="N63" s="53"/>
      <c r="O63" s="39"/>
    </row>
    <row r="64" spans="2:15" x14ac:dyDescent="0.25">
      <c r="B64" s="4"/>
      <c r="C64" s="130"/>
      <c r="D64" s="130"/>
      <c r="E64" s="225"/>
      <c r="F64" s="212"/>
      <c r="G64" s="7"/>
      <c r="H64" s="49"/>
      <c r="I64" s="52"/>
      <c r="J64" s="8"/>
      <c r="K64" s="49"/>
      <c r="L64" s="52"/>
      <c r="M64" s="53"/>
      <c r="N64" s="53"/>
      <c r="O64" s="39"/>
    </row>
    <row r="65" spans="2:15" x14ac:dyDescent="0.25">
      <c r="B65" s="4"/>
      <c r="C65" s="130"/>
      <c r="D65" s="130"/>
      <c r="E65" s="202"/>
      <c r="F65" s="234"/>
      <c r="G65" s="7"/>
      <c r="H65" s="8"/>
      <c r="I65" s="8"/>
      <c r="J65" s="8"/>
      <c r="K65" s="8"/>
      <c r="L65" s="8"/>
      <c r="M65" s="53"/>
      <c r="N65" s="53"/>
      <c r="O65" s="39"/>
    </row>
    <row r="66" spans="2:15" x14ac:dyDescent="0.25">
      <c r="B66" s="9"/>
      <c r="C66" s="134"/>
      <c r="D66" s="134"/>
      <c r="E66" s="200"/>
      <c r="F66" s="208"/>
      <c r="G66" s="10"/>
      <c r="H66" s="10"/>
      <c r="I66" s="10"/>
      <c r="J66" s="10"/>
      <c r="K66" s="10"/>
      <c r="L66" s="10"/>
      <c r="M66" s="10"/>
      <c r="N66" s="10"/>
      <c r="O66" s="11"/>
    </row>
    <row r="69" spans="2:15" x14ac:dyDescent="0.25">
      <c r="B69" s="40" t="s">
        <v>99</v>
      </c>
      <c r="C69" s="124"/>
      <c r="D69" s="146"/>
    </row>
    <row r="70" spans="2:15" x14ac:dyDescent="0.25">
      <c r="B70" s="1"/>
      <c r="C70" s="127"/>
      <c r="D70" s="127"/>
      <c r="E70" s="198"/>
      <c r="F70" s="209"/>
      <c r="G70" s="2"/>
      <c r="H70" s="2"/>
      <c r="I70" s="2"/>
      <c r="J70" s="2"/>
      <c r="K70" s="2"/>
      <c r="L70" s="2"/>
      <c r="M70" s="2"/>
      <c r="N70" s="2"/>
      <c r="O70" s="3"/>
    </row>
    <row r="71" spans="2:15" x14ac:dyDescent="0.25">
      <c r="B71" s="4"/>
      <c r="C71" s="130"/>
      <c r="D71" s="130"/>
      <c r="E71" s="223" t="s">
        <v>100</v>
      </c>
      <c r="F71" s="210"/>
      <c r="G71" s="8"/>
      <c r="H71" s="34" t="s">
        <v>103</v>
      </c>
      <c r="I71" s="8"/>
      <c r="J71" s="8"/>
      <c r="K71" s="8"/>
      <c r="L71" s="8"/>
      <c r="M71" s="8"/>
      <c r="N71" s="8"/>
      <c r="O71" s="39"/>
    </row>
    <row r="72" spans="2:15" ht="30" x14ac:dyDescent="0.25">
      <c r="B72" s="4"/>
      <c r="C72" s="176" t="s">
        <v>248</v>
      </c>
      <c r="D72" s="130"/>
      <c r="E72" s="218" t="s">
        <v>3</v>
      </c>
      <c r="F72" s="137" t="s">
        <v>2</v>
      </c>
      <c r="G72" s="5"/>
      <c r="H72" s="72" t="s">
        <v>117</v>
      </c>
      <c r="I72" s="72" t="s">
        <v>13</v>
      </c>
      <c r="J72" s="72" t="s">
        <v>14</v>
      </c>
      <c r="K72" s="72" t="s">
        <v>12</v>
      </c>
      <c r="L72" s="72" t="s">
        <v>102</v>
      </c>
      <c r="M72" s="78"/>
      <c r="N72" s="78"/>
      <c r="O72" s="39"/>
    </row>
    <row r="73" spans="2:15" ht="30" x14ac:dyDescent="0.25">
      <c r="B73" s="4"/>
      <c r="C73" s="176" t="s">
        <v>247</v>
      </c>
      <c r="D73" s="130"/>
      <c r="E73" s="219" t="s">
        <v>7</v>
      </c>
      <c r="F73" s="138" t="s">
        <v>124</v>
      </c>
      <c r="G73" s="116">
        <v>4</v>
      </c>
      <c r="H73" s="54" t="s">
        <v>188</v>
      </c>
      <c r="I73" s="55">
        <v>42634</v>
      </c>
      <c r="J73" s="55">
        <v>42725</v>
      </c>
      <c r="K73" s="56">
        <v>100.28</v>
      </c>
      <c r="L73" s="57">
        <v>5.1399999999999996E-3</v>
      </c>
      <c r="M73" s="78"/>
      <c r="N73" s="78"/>
      <c r="O73" s="39"/>
    </row>
    <row r="74" spans="2:15" ht="30" x14ac:dyDescent="0.25">
      <c r="B74" s="4"/>
      <c r="C74" s="176" t="s">
        <v>250</v>
      </c>
      <c r="D74" s="130"/>
      <c r="E74" s="219" t="s">
        <v>15</v>
      </c>
      <c r="F74" s="138" t="s">
        <v>101</v>
      </c>
      <c r="G74" s="116">
        <f>G73+1</f>
        <v>5</v>
      </c>
      <c r="H74" s="58" t="s">
        <v>189</v>
      </c>
      <c r="I74" s="55">
        <v>42662</v>
      </c>
      <c r="J74" s="55">
        <v>42753</v>
      </c>
      <c r="K74" s="56">
        <v>100.285</v>
      </c>
      <c r="L74" s="57">
        <v>5.1399999999999996E-3</v>
      </c>
      <c r="M74" s="78"/>
      <c r="N74" s="78"/>
      <c r="O74" s="39"/>
    </row>
    <row r="75" spans="2:15" ht="30" x14ac:dyDescent="0.25">
      <c r="B75" s="4"/>
      <c r="C75" s="176" t="s">
        <v>273</v>
      </c>
      <c r="D75" s="130"/>
      <c r="E75" s="219" t="s">
        <v>23</v>
      </c>
      <c r="F75" s="163" t="s">
        <v>22</v>
      </c>
      <c r="G75" s="116">
        <f t="shared" ref="G75:G81" si="0">G74+1</f>
        <v>6</v>
      </c>
      <c r="H75" s="59" t="s">
        <v>190</v>
      </c>
      <c r="I75" s="60">
        <v>42690</v>
      </c>
      <c r="J75" s="60">
        <v>42781</v>
      </c>
      <c r="K75" s="61">
        <v>100.29</v>
      </c>
      <c r="L75" s="62">
        <v>5.1399999999999996E-3</v>
      </c>
      <c r="M75" s="78"/>
      <c r="N75" s="78"/>
      <c r="O75" s="39"/>
    </row>
    <row r="76" spans="2:15" ht="45" x14ac:dyDescent="0.25">
      <c r="B76" s="4"/>
      <c r="C76" s="176" t="s">
        <v>275</v>
      </c>
      <c r="D76" s="130"/>
      <c r="E76" s="219" t="s">
        <v>164</v>
      </c>
      <c r="F76" s="158">
        <v>0.03</v>
      </c>
      <c r="G76" s="116">
        <f t="shared" si="0"/>
        <v>7</v>
      </c>
      <c r="H76" s="59" t="s">
        <v>191</v>
      </c>
      <c r="I76" s="60">
        <v>42725</v>
      </c>
      <c r="J76" s="60">
        <v>42809</v>
      </c>
      <c r="K76" s="61">
        <v>100.295</v>
      </c>
      <c r="L76" s="62">
        <v>5.1399999999999996E-3</v>
      </c>
      <c r="M76" s="78"/>
      <c r="N76" s="78"/>
      <c r="O76" s="39"/>
    </row>
    <row r="77" spans="2:15" ht="30" x14ac:dyDescent="0.25">
      <c r="B77" s="4"/>
      <c r="C77" s="176" t="s">
        <v>276</v>
      </c>
      <c r="D77" s="130"/>
      <c r="E77" s="219" t="s">
        <v>97</v>
      </c>
      <c r="F77" s="138" t="b">
        <f>ApplyTension</f>
        <v>1</v>
      </c>
      <c r="G77" s="116">
        <f t="shared" si="0"/>
        <v>8</v>
      </c>
      <c r="H77" s="59" t="s">
        <v>192</v>
      </c>
      <c r="I77" s="60">
        <v>42809</v>
      </c>
      <c r="J77" s="60">
        <v>42907</v>
      </c>
      <c r="K77" s="61">
        <v>100.3</v>
      </c>
      <c r="L77" s="62">
        <v>5.1399999999999996E-3</v>
      </c>
      <c r="M77" s="78"/>
      <c r="N77" s="78"/>
      <c r="O77" s="39"/>
    </row>
    <row r="78" spans="2:15" ht="30" x14ac:dyDescent="0.25">
      <c r="B78" s="4"/>
      <c r="C78" s="177" t="s">
        <v>277</v>
      </c>
      <c r="D78" s="130"/>
      <c r="E78" s="219" t="s">
        <v>98</v>
      </c>
      <c r="F78" s="138">
        <v>2</v>
      </c>
      <c r="G78" s="116">
        <f t="shared" si="0"/>
        <v>9</v>
      </c>
      <c r="H78" s="59" t="s">
        <v>193</v>
      </c>
      <c r="I78" s="60">
        <v>42907</v>
      </c>
      <c r="J78" s="60">
        <v>42998</v>
      </c>
      <c r="K78" s="61">
        <v>100.30500000000001</v>
      </c>
      <c r="L78" s="62">
        <v>5.1399999999999996E-3</v>
      </c>
      <c r="M78" s="78"/>
      <c r="N78" s="78"/>
      <c r="O78" s="39"/>
    </row>
    <row r="79" spans="2:15" x14ac:dyDescent="0.25">
      <c r="B79" s="4"/>
      <c r="C79" s="178"/>
      <c r="D79" s="130"/>
      <c r="E79" s="219"/>
      <c r="F79" s="138"/>
      <c r="G79" s="116">
        <f t="shared" si="0"/>
        <v>10</v>
      </c>
      <c r="H79" s="59" t="s">
        <v>194</v>
      </c>
      <c r="I79" s="60">
        <v>42998</v>
      </c>
      <c r="J79" s="60">
        <v>43089</v>
      </c>
      <c r="K79" s="61">
        <v>100.30500000000001</v>
      </c>
      <c r="L79" s="62">
        <v>5.1399999999999996E-3</v>
      </c>
      <c r="M79" s="78"/>
      <c r="N79" s="78"/>
      <c r="O79" s="39"/>
    </row>
    <row r="80" spans="2:15" x14ac:dyDescent="0.25">
      <c r="B80" s="4"/>
      <c r="C80" s="178"/>
      <c r="D80" s="130"/>
      <c r="E80" s="219"/>
      <c r="F80" s="138"/>
      <c r="G80" s="116">
        <f t="shared" si="0"/>
        <v>11</v>
      </c>
      <c r="H80" s="59" t="s">
        <v>195</v>
      </c>
      <c r="I80" s="60">
        <v>43089</v>
      </c>
      <c r="J80" s="60">
        <v>43180</v>
      </c>
      <c r="K80" s="61">
        <v>100.3</v>
      </c>
      <c r="L80" s="62">
        <v>5.1399999999999996E-3</v>
      </c>
      <c r="M80" s="78"/>
      <c r="N80" s="78"/>
      <c r="O80" s="39"/>
    </row>
    <row r="81" spans="2:18" x14ac:dyDescent="0.25">
      <c r="B81" s="4"/>
      <c r="C81" s="178"/>
      <c r="D81" s="130"/>
      <c r="E81" s="219"/>
      <c r="F81" s="138"/>
      <c r="G81" s="116">
        <f t="shared" si="0"/>
        <v>12</v>
      </c>
      <c r="H81" s="59" t="s">
        <v>196</v>
      </c>
      <c r="I81" s="60">
        <v>43180</v>
      </c>
      <c r="J81" s="60">
        <v>43271</v>
      </c>
      <c r="K81" s="61">
        <v>100.285</v>
      </c>
      <c r="L81" s="62">
        <v>5.1399999999999996E-3</v>
      </c>
      <c r="M81" s="78"/>
      <c r="N81" s="78"/>
      <c r="O81" s="39"/>
    </row>
    <row r="82" spans="2:18" x14ac:dyDescent="0.25">
      <c r="B82" s="4"/>
      <c r="C82" s="178"/>
      <c r="D82" s="130"/>
      <c r="E82" s="219"/>
      <c r="F82" s="138"/>
      <c r="G82" s="7"/>
      <c r="H82" s="63"/>
      <c r="I82" s="60"/>
      <c r="J82" s="60"/>
      <c r="K82" s="64"/>
      <c r="L82" s="62"/>
      <c r="M82" s="78"/>
      <c r="N82" s="78"/>
      <c r="O82" s="39"/>
    </row>
    <row r="83" spans="2:18" x14ac:dyDescent="0.25">
      <c r="B83" s="4"/>
      <c r="C83" s="178"/>
      <c r="D83" s="130"/>
      <c r="E83" s="219"/>
      <c r="F83" s="138"/>
      <c r="G83" s="7"/>
      <c r="H83" s="65"/>
      <c r="I83" s="66"/>
      <c r="J83" s="66"/>
      <c r="K83" s="64"/>
      <c r="L83" s="67"/>
      <c r="M83" s="78"/>
      <c r="N83" s="78"/>
      <c r="O83" s="39"/>
      <c r="Q83" s="112"/>
      <c r="R83" s="112"/>
    </row>
    <row r="84" spans="2:18" x14ac:dyDescent="0.25">
      <c r="B84" s="4"/>
      <c r="C84" s="178"/>
      <c r="D84" s="130"/>
      <c r="E84" s="219"/>
      <c r="F84" s="138"/>
      <c r="G84" s="7"/>
      <c r="H84" s="65"/>
      <c r="I84" s="66"/>
      <c r="J84" s="66"/>
      <c r="K84" s="64"/>
      <c r="L84" s="67"/>
      <c r="M84" s="78"/>
      <c r="N84" s="78"/>
      <c r="O84" s="39"/>
    </row>
    <row r="85" spans="2:18" x14ac:dyDescent="0.25">
      <c r="B85" s="4"/>
      <c r="C85" s="179"/>
      <c r="D85" s="130"/>
      <c r="E85" s="225"/>
      <c r="F85" s="235"/>
      <c r="G85" s="7"/>
      <c r="H85" s="68"/>
      <c r="I85" s="69"/>
      <c r="J85" s="69"/>
      <c r="K85" s="70"/>
      <c r="L85" s="71"/>
      <c r="M85" s="78"/>
      <c r="N85" s="78"/>
      <c r="O85" s="39"/>
    </row>
    <row r="86" spans="2:18" x14ac:dyDescent="0.25">
      <c r="B86" s="4"/>
      <c r="C86" s="130"/>
      <c r="D86" s="130"/>
      <c r="E86" s="202"/>
      <c r="F86" s="234"/>
      <c r="G86" s="7"/>
      <c r="H86" s="8"/>
      <c r="I86" s="8"/>
      <c r="J86" s="8"/>
      <c r="K86" s="8"/>
      <c r="L86" s="8"/>
      <c r="M86" s="78"/>
      <c r="N86" s="78"/>
      <c r="O86" s="39"/>
    </row>
    <row r="87" spans="2:18" x14ac:dyDescent="0.25">
      <c r="B87" s="9"/>
      <c r="C87" s="134"/>
      <c r="D87" s="134"/>
      <c r="E87" s="200"/>
      <c r="F87" s="208"/>
      <c r="G87" s="10"/>
      <c r="H87" s="10"/>
      <c r="I87" s="10"/>
      <c r="J87" s="10"/>
      <c r="K87" s="10"/>
      <c r="L87" s="10"/>
      <c r="M87" s="10"/>
      <c r="N87" s="10"/>
      <c r="O87" s="11"/>
    </row>
    <row r="90" spans="2:18" x14ac:dyDescent="0.25">
      <c r="B90" s="40" t="s">
        <v>104</v>
      </c>
      <c r="C90" s="124"/>
      <c r="D90" s="146"/>
    </row>
    <row r="91" spans="2:18" x14ac:dyDescent="0.25">
      <c r="B91" s="1"/>
      <c r="C91" s="127"/>
      <c r="D91" s="127"/>
      <c r="E91" s="198"/>
      <c r="F91" s="209"/>
      <c r="G91" s="2"/>
      <c r="H91" s="2"/>
      <c r="I91" s="2"/>
      <c r="J91" s="2"/>
      <c r="K91" s="2"/>
      <c r="L91" s="2"/>
      <c r="M91" s="2"/>
      <c r="N91" s="2"/>
      <c r="O91" s="3"/>
    </row>
    <row r="92" spans="2:18" x14ac:dyDescent="0.25">
      <c r="B92" s="4"/>
      <c r="C92" s="130"/>
      <c r="D92" s="130"/>
      <c r="E92" s="223" t="s">
        <v>105</v>
      </c>
      <c r="F92" s="210"/>
      <c r="G92" s="8"/>
      <c r="H92" s="34" t="s">
        <v>106</v>
      </c>
      <c r="I92" s="8"/>
      <c r="J92" s="8"/>
      <c r="K92" s="8"/>
      <c r="L92" s="8"/>
      <c r="M92" s="8"/>
      <c r="N92" s="8"/>
      <c r="O92" s="39"/>
    </row>
    <row r="93" spans="2:18" ht="30" x14ac:dyDescent="0.25">
      <c r="B93" s="4"/>
      <c r="C93" s="176" t="s">
        <v>248</v>
      </c>
      <c r="D93" s="130"/>
      <c r="E93" s="233" t="s">
        <v>1</v>
      </c>
      <c r="F93" s="137" t="s">
        <v>2</v>
      </c>
      <c r="G93" s="5"/>
      <c r="H93" s="53" t="s">
        <v>11</v>
      </c>
      <c r="I93" s="53" t="s">
        <v>12</v>
      </c>
      <c r="J93" s="53" t="s">
        <v>8</v>
      </c>
      <c r="K93" s="8"/>
      <c r="L93" s="8"/>
      <c r="M93" s="8"/>
      <c r="N93" s="8"/>
      <c r="O93" s="39"/>
    </row>
    <row r="94" spans="2:18" ht="30" x14ac:dyDescent="0.25">
      <c r="B94" s="4"/>
      <c r="C94" s="176" t="s">
        <v>247</v>
      </c>
      <c r="D94" s="130"/>
      <c r="E94" s="220" t="s">
        <v>88</v>
      </c>
      <c r="F94" s="138" t="s">
        <v>20</v>
      </c>
      <c r="G94" s="7"/>
      <c r="H94" s="76" t="s">
        <v>43</v>
      </c>
      <c r="I94" s="73">
        <v>-2.65E-3</v>
      </c>
      <c r="J94" s="50" t="b">
        <v>1</v>
      </c>
      <c r="K94" s="117"/>
      <c r="L94" s="117"/>
      <c r="M94" s="117"/>
      <c r="N94" s="117"/>
      <c r="O94" s="39"/>
    </row>
    <row r="95" spans="2:18" ht="30" x14ac:dyDescent="0.25">
      <c r="B95" s="4"/>
      <c r="C95" s="176" t="s">
        <v>271</v>
      </c>
      <c r="D95" s="130"/>
      <c r="E95" s="220" t="s">
        <v>107</v>
      </c>
      <c r="F95" s="138" t="s">
        <v>6</v>
      </c>
      <c r="G95" s="7"/>
      <c r="H95" s="14" t="s">
        <v>50</v>
      </c>
      <c r="I95" s="74">
        <v>-2.0500000000000002E-3</v>
      </c>
      <c r="J95" s="51" t="b">
        <v>1</v>
      </c>
      <c r="K95" s="117"/>
      <c r="L95" s="117"/>
      <c r="M95" s="117"/>
      <c r="N95" s="117"/>
      <c r="O95" s="39"/>
    </row>
    <row r="96" spans="2:18" ht="30" x14ac:dyDescent="0.25">
      <c r="B96" s="4"/>
      <c r="C96" s="176" t="s">
        <v>249</v>
      </c>
      <c r="D96" s="130"/>
      <c r="E96" s="220" t="s">
        <v>27</v>
      </c>
      <c r="F96" s="138" t="s">
        <v>26</v>
      </c>
      <c r="G96" s="7"/>
      <c r="H96" s="14" t="s">
        <v>52</v>
      </c>
      <c r="I96" s="74">
        <v>-1.2475000000000001E-3</v>
      </c>
      <c r="J96" s="51" t="b">
        <v>1</v>
      </c>
      <c r="K96" s="117"/>
      <c r="L96" s="117"/>
      <c r="M96" s="117"/>
      <c r="N96" s="117"/>
      <c r="O96" s="39"/>
    </row>
    <row r="97" spans="2:17" ht="30" x14ac:dyDescent="0.25">
      <c r="B97" s="4"/>
      <c r="C97" s="176" t="s">
        <v>272</v>
      </c>
      <c r="D97" s="130"/>
      <c r="E97" s="220" t="s">
        <v>109</v>
      </c>
      <c r="F97" s="138" t="s">
        <v>28</v>
      </c>
      <c r="G97" s="7"/>
      <c r="H97" s="14" t="s">
        <v>54</v>
      </c>
      <c r="I97" s="74">
        <v>-2.4750000000000011E-4</v>
      </c>
      <c r="J97" s="51" t="b">
        <v>1</v>
      </c>
      <c r="K97" s="117"/>
      <c r="L97" s="117"/>
      <c r="M97" s="117"/>
      <c r="N97" s="117"/>
      <c r="O97" s="39"/>
    </row>
    <row r="98" spans="2:17" ht="30" x14ac:dyDescent="0.25">
      <c r="B98" s="4"/>
      <c r="C98" s="175" t="s">
        <v>246</v>
      </c>
      <c r="D98" s="130"/>
      <c r="E98" s="220" t="s">
        <v>110</v>
      </c>
      <c r="F98" s="168" t="str">
        <f>interpolationFunction</f>
        <v>fn_SplineInterpolation</v>
      </c>
      <c r="G98" s="7"/>
      <c r="H98" s="14" t="s">
        <v>55</v>
      </c>
      <c r="I98" s="74">
        <v>9.0249999999999966E-4</v>
      </c>
      <c r="J98" s="51" t="b">
        <v>1</v>
      </c>
      <c r="K98" s="117"/>
      <c r="L98" s="117"/>
      <c r="M98" s="117"/>
      <c r="N98" s="117"/>
      <c r="O98" s="39"/>
    </row>
    <row r="99" spans="2:17" ht="30" x14ac:dyDescent="0.25">
      <c r="B99" s="4"/>
      <c r="C99" s="176" t="s">
        <v>251</v>
      </c>
      <c r="D99" s="130"/>
      <c r="E99" s="220" t="s">
        <v>93</v>
      </c>
      <c r="F99" s="138" t="b">
        <v>1</v>
      </c>
      <c r="G99" s="7"/>
      <c r="H99" s="14" t="s">
        <v>57</v>
      </c>
      <c r="I99" s="74">
        <v>2.1275000000000001E-3</v>
      </c>
      <c r="J99" s="51" t="b">
        <v>1</v>
      </c>
      <c r="K99" s="117"/>
      <c r="L99" s="117"/>
      <c r="M99" s="117"/>
      <c r="N99" s="117"/>
      <c r="O99" s="39"/>
    </row>
    <row r="100" spans="2:17" ht="30" x14ac:dyDescent="0.25">
      <c r="B100" s="4"/>
      <c r="C100" s="176" t="s">
        <v>252</v>
      </c>
      <c r="D100" s="130"/>
      <c r="E100" s="220" t="s">
        <v>197</v>
      </c>
      <c r="F100" s="138">
        <v>31</v>
      </c>
      <c r="G100" s="7"/>
      <c r="H100" s="14" t="s">
        <v>59</v>
      </c>
      <c r="I100" s="74">
        <v>3.3224999999999999E-3</v>
      </c>
      <c r="J100" s="51" t="b">
        <v>1</v>
      </c>
      <c r="K100" s="117"/>
      <c r="L100" s="117"/>
      <c r="M100" s="117"/>
      <c r="N100" s="117"/>
      <c r="O100" s="39"/>
    </row>
    <row r="101" spans="2:17" ht="30" x14ac:dyDescent="0.25">
      <c r="B101" s="4"/>
      <c r="C101" s="176" t="s">
        <v>250</v>
      </c>
      <c r="D101" s="130"/>
      <c r="E101" s="220" t="s">
        <v>92</v>
      </c>
      <c r="F101" s="138">
        <v>2</v>
      </c>
      <c r="G101" s="7"/>
      <c r="H101" s="14" t="s">
        <v>60</v>
      </c>
      <c r="I101" s="74">
        <v>4.4425000000000003E-3</v>
      </c>
      <c r="J101" s="51" t="b">
        <v>1</v>
      </c>
      <c r="K101" s="117"/>
      <c r="L101" s="117"/>
      <c r="M101" s="117"/>
      <c r="N101" s="117"/>
      <c r="O101" s="39"/>
    </row>
    <row r="102" spans="2:17" ht="30" x14ac:dyDescent="0.25">
      <c r="B102" s="4"/>
      <c r="C102" s="176" t="s">
        <v>273</v>
      </c>
      <c r="D102" s="130"/>
      <c r="E102" s="220" t="s">
        <v>21</v>
      </c>
      <c r="F102" s="152" t="s">
        <v>22</v>
      </c>
      <c r="G102" s="7"/>
      <c r="H102" s="14" t="s">
        <v>61</v>
      </c>
      <c r="I102" s="74">
        <v>5.43334E-3</v>
      </c>
      <c r="J102" s="51" t="b">
        <v>1</v>
      </c>
      <c r="K102" s="117"/>
      <c r="L102" s="117"/>
      <c r="M102" s="117"/>
      <c r="N102" s="117"/>
      <c r="O102" s="39"/>
    </row>
    <row r="103" spans="2:17" ht="30" x14ac:dyDescent="0.25">
      <c r="B103" s="4"/>
      <c r="C103" s="176" t="s">
        <v>274</v>
      </c>
      <c r="D103" s="130"/>
      <c r="E103" s="220" t="s">
        <v>111</v>
      </c>
      <c r="F103" s="138" t="b">
        <v>1</v>
      </c>
      <c r="G103" s="7"/>
      <c r="H103" s="14" t="s">
        <v>62</v>
      </c>
      <c r="I103" s="74">
        <v>6.3458400000000002E-3</v>
      </c>
      <c r="J103" s="51" t="b">
        <v>1</v>
      </c>
      <c r="K103" s="117"/>
      <c r="L103" s="117"/>
      <c r="M103" s="117"/>
      <c r="N103" s="117"/>
      <c r="O103" s="39"/>
    </row>
    <row r="104" spans="2:17" ht="30" x14ac:dyDescent="0.25">
      <c r="B104" s="4"/>
      <c r="C104" s="176" t="s">
        <v>312</v>
      </c>
      <c r="D104" s="130"/>
      <c r="E104" s="220" t="s">
        <v>112</v>
      </c>
      <c r="F104" s="138" t="b">
        <v>1</v>
      </c>
      <c r="G104" s="7"/>
      <c r="H104" s="14" t="s">
        <v>63</v>
      </c>
      <c r="I104" s="74">
        <v>8.432499999999999E-3</v>
      </c>
      <c r="J104" s="51" t="b">
        <v>1</v>
      </c>
      <c r="K104" s="117"/>
      <c r="L104" s="117"/>
      <c r="M104" s="117"/>
      <c r="N104" s="117"/>
      <c r="O104" s="39"/>
    </row>
    <row r="105" spans="2:17" ht="30" x14ac:dyDescent="0.25">
      <c r="B105" s="4"/>
      <c r="C105" s="176" t="s">
        <v>258</v>
      </c>
      <c r="D105" s="130"/>
      <c r="E105" s="220" t="s">
        <v>113</v>
      </c>
      <c r="F105" s="140">
        <v>1.0000000000000001E-9</v>
      </c>
      <c r="G105" s="7"/>
      <c r="H105" s="14" t="s">
        <v>64</v>
      </c>
      <c r="I105" s="74">
        <v>1.0167500000000001E-2</v>
      </c>
      <c r="J105" s="51" t="b">
        <v>1</v>
      </c>
      <c r="K105" s="117"/>
      <c r="L105" s="117"/>
      <c r="M105" s="117"/>
      <c r="N105" s="117"/>
      <c r="O105" s="39"/>
    </row>
    <row r="106" spans="2:17" ht="30" x14ac:dyDescent="0.25">
      <c r="B106" s="4"/>
      <c r="C106" s="177" t="s">
        <v>259</v>
      </c>
      <c r="D106" s="130"/>
      <c r="E106" s="220" t="s">
        <v>114</v>
      </c>
      <c r="F106" s="164">
        <v>1000</v>
      </c>
      <c r="G106" s="7"/>
      <c r="H106" s="14" t="s">
        <v>65</v>
      </c>
      <c r="I106" s="74">
        <v>1.069667E-2</v>
      </c>
      <c r="J106" s="51" t="b">
        <v>1</v>
      </c>
      <c r="K106" s="117"/>
      <c r="L106" s="117"/>
      <c r="M106" s="117"/>
      <c r="N106" s="117"/>
      <c r="O106" s="39"/>
    </row>
    <row r="107" spans="2:17" x14ac:dyDescent="0.25">
      <c r="B107" s="4"/>
      <c r="C107" s="178"/>
      <c r="D107" s="130"/>
      <c r="E107" s="220"/>
      <c r="F107" s="138"/>
      <c r="G107" s="7"/>
      <c r="H107" s="14" t="s">
        <v>66</v>
      </c>
      <c r="I107" s="74">
        <v>1.08675E-2</v>
      </c>
      <c r="J107" s="51" t="b">
        <v>1</v>
      </c>
      <c r="K107" s="117"/>
      <c r="L107" s="117"/>
      <c r="M107" s="117"/>
      <c r="N107" s="117"/>
      <c r="O107" s="39"/>
    </row>
    <row r="108" spans="2:17" x14ac:dyDescent="0.25">
      <c r="B108" s="4"/>
      <c r="C108" s="178"/>
      <c r="D108" s="130"/>
      <c r="E108" s="220"/>
      <c r="F108" s="138"/>
      <c r="G108" s="7"/>
      <c r="H108" s="14"/>
      <c r="I108" s="74"/>
      <c r="J108" s="51"/>
      <c r="K108" s="53"/>
      <c r="L108" s="118"/>
      <c r="M108" s="118"/>
      <c r="N108" s="118"/>
      <c r="O108" s="39"/>
    </row>
    <row r="109" spans="2:17" x14ac:dyDescent="0.25">
      <c r="B109" s="4"/>
      <c r="C109" s="178"/>
      <c r="D109" s="130"/>
      <c r="E109" s="220"/>
      <c r="F109" s="138"/>
      <c r="G109" s="7"/>
      <c r="H109" s="14"/>
      <c r="I109" s="74"/>
      <c r="J109" s="51"/>
      <c r="K109" s="53"/>
      <c r="L109" s="118"/>
      <c r="M109" s="118"/>
      <c r="N109" s="118"/>
      <c r="O109" s="39"/>
    </row>
    <row r="110" spans="2:17" x14ac:dyDescent="0.25">
      <c r="B110" s="4"/>
      <c r="C110" s="178"/>
      <c r="D110" s="130"/>
      <c r="E110" s="220"/>
      <c r="F110" s="138"/>
      <c r="G110" s="7"/>
      <c r="H110" s="14"/>
      <c r="I110" s="74"/>
      <c r="J110" s="51"/>
      <c r="K110" s="53"/>
      <c r="L110" s="8"/>
      <c r="M110" s="8"/>
      <c r="N110" s="8"/>
      <c r="O110" s="39"/>
      <c r="Q110" s="114"/>
    </row>
    <row r="111" spans="2:17" x14ac:dyDescent="0.25">
      <c r="B111" s="4"/>
      <c r="C111" s="179"/>
      <c r="D111" s="130"/>
      <c r="E111" s="222"/>
      <c r="F111" s="235"/>
      <c r="G111" s="7"/>
      <c r="H111" s="15"/>
      <c r="I111" s="75"/>
      <c r="J111" s="52"/>
      <c r="K111" s="53"/>
      <c r="L111" s="8"/>
      <c r="M111" s="8"/>
      <c r="N111" s="8"/>
      <c r="O111" s="39"/>
    </row>
    <row r="112" spans="2:17" x14ac:dyDescent="0.25">
      <c r="B112" s="4"/>
      <c r="C112" s="130"/>
      <c r="D112" s="130"/>
      <c r="E112" s="202"/>
      <c r="F112" s="234"/>
      <c r="G112" s="7"/>
      <c r="H112" s="8"/>
      <c r="I112" s="8"/>
      <c r="J112" s="8"/>
      <c r="K112" s="8"/>
      <c r="L112" s="8"/>
      <c r="M112" s="8"/>
      <c r="N112" s="8"/>
      <c r="O112" s="39"/>
    </row>
    <row r="113" spans="2:15" x14ac:dyDescent="0.25">
      <c r="B113" s="9"/>
      <c r="C113" s="134"/>
      <c r="D113" s="134"/>
      <c r="E113" s="200"/>
      <c r="F113" s="208"/>
      <c r="G113" s="10"/>
      <c r="H113" s="10"/>
      <c r="I113" s="10"/>
      <c r="J113" s="10"/>
      <c r="K113" s="10"/>
      <c r="L113" s="10"/>
      <c r="M113" s="10"/>
      <c r="N113" s="10"/>
      <c r="O113" s="11"/>
    </row>
  </sheetData>
  <dataValidations count="3">
    <dataValidation type="list" allowBlank="1" showInputMessage="1" showErrorMessage="1" sqref="F98 F24:F25">
      <formula1>"fn_StepInterpolation,fn_LinearInterpolation,fn_MonotoneConvexInterpolation,fn_SplineInterpolation,fn_ConstrainedSplineInterpolation"</formula1>
    </dataValidation>
    <dataValidation type="list" allowBlank="1" showInputMessage="1" showErrorMessage="1" sqref="F75 F102">
      <formula1>"FOLLOWING,MOD_FOLLOWING,PRECEDING,MOD_PRECEEDING,NO_CHANGE"</formula1>
    </dataValidation>
    <dataValidation type="list" allowBlank="1" showInputMessage="1" showErrorMessage="1" sqref="F77">
      <formula1>"TRUE,FALSE"</formula1>
    </dataValidation>
  </dataValidations>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C00000"/>
  </sheetPr>
  <dimension ref="A1:P78"/>
  <sheetViews>
    <sheetView showGridLines="0" workbookViewId="0"/>
  </sheetViews>
  <sheetFormatPr defaultRowHeight="15" x14ac:dyDescent="0.25"/>
  <cols>
    <col min="2" max="2" width="2.7109375" customWidth="1"/>
    <col min="3" max="3" width="110.7109375" style="125" hidden="1" customWidth="1"/>
    <col min="4" max="4" width="4.7109375" style="125" hidden="1" customWidth="1"/>
    <col min="5" max="5" width="13" style="125" customWidth="1"/>
    <col min="6" max="6" width="26.7109375" style="197" customWidth="1"/>
    <col min="7" max="7" width="32.7109375" style="207" customWidth="1"/>
    <col min="8" max="8" width="4.7109375" style="197" customWidth="1"/>
    <col min="9" max="11" width="12.7109375" customWidth="1"/>
    <col min="12" max="13" width="18.7109375" customWidth="1"/>
    <col min="14" max="14" width="2.7109375" customWidth="1"/>
    <col min="15" max="16" width="9.140625" customWidth="1"/>
  </cols>
  <sheetData>
    <row r="1" spans="1:14" x14ac:dyDescent="0.25">
      <c r="A1" s="125"/>
    </row>
    <row r="2" spans="1:14" s="242" customFormat="1" ht="23.25" x14ac:dyDescent="0.35">
      <c r="B2" s="281" t="s">
        <v>361</v>
      </c>
      <c r="F2" s="282"/>
      <c r="G2" s="283"/>
      <c r="H2" s="282"/>
    </row>
    <row r="3" spans="1:14" s="242" customFormat="1" ht="23.25" x14ac:dyDescent="0.35">
      <c r="B3" s="103" t="s">
        <v>326</v>
      </c>
      <c r="F3" s="282"/>
      <c r="G3" s="283"/>
      <c r="H3" s="282"/>
    </row>
    <row r="5" spans="1:14" x14ac:dyDescent="0.25">
      <c r="B5" s="40" t="s">
        <v>237</v>
      </c>
      <c r="C5" s="146"/>
      <c r="D5" s="146"/>
      <c r="E5" s="146"/>
    </row>
    <row r="6" spans="1:14" x14ac:dyDescent="0.25">
      <c r="B6" s="1"/>
      <c r="C6" s="127"/>
      <c r="D6" s="127"/>
      <c r="E6" s="127"/>
      <c r="F6" s="213"/>
      <c r="G6" s="141"/>
      <c r="H6" s="198"/>
      <c r="I6" s="2"/>
      <c r="J6" s="2"/>
      <c r="K6" s="2"/>
      <c r="L6" s="2"/>
      <c r="M6" s="2"/>
      <c r="N6" s="3"/>
    </row>
    <row r="7" spans="1:14" x14ac:dyDescent="0.25">
      <c r="B7" s="4"/>
      <c r="C7" s="144"/>
      <c r="D7" s="130"/>
      <c r="E7" s="130"/>
      <c r="F7" s="214" t="s">
        <v>237</v>
      </c>
      <c r="G7" s="149" t="str">
        <f ca="1">IF(AND(isEUR3MLLoaded,NOW()),_xll.meCurveCalibrateBasis(TenorBasisCurve3M6M.CollectionName,TenorBasisCurve3M6M.StaticDataTable,TenorBasisCurve3M6M.IndexName,TenorBasisCurve6M6M.BuildProperties,TenorBasisSwap3M6M.Conventions,TenorBasisCurve.EUR3ML.ForwardStarting),"Error Building Tenor Basis Curve")</f>
        <v>EURYC 3M6MBASIS Curve has been set (0.01500 sec)</v>
      </c>
      <c r="H7" s="182"/>
      <c r="I7" s="43"/>
      <c r="J7" s="5"/>
      <c r="K7" s="5"/>
      <c r="L7" s="5"/>
      <c r="M7" s="5"/>
      <c r="N7" s="6"/>
    </row>
    <row r="8" spans="1:14" x14ac:dyDescent="0.25">
      <c r="B8" s="4"/>
      <c r="C8" s="130"/>
      <c r="D8" s="130"/>
      <c r="E8" s="130"/>
      <c r="F8" s="215" t="s">
        <v>167</v>
      </c>
      <c r="G8" s="171" t="b">
        <f ca="1">LEFT(G7,5)=TenorBasisCurve3M6M.CollectionName</f>
        <v>1</v>
      </c>
      <c r="H8" s="199"/>
      <c r="I8" s="5"/>
      <c r="J8" s="5"/>
      <c r="K8" s="5"/>
      <c r="L8" s="5"/>
      <c r="M8" s="5"/>
      <c r="N8" s="6"/>
    </row>
    <row r="9" spans="1:14" x14ac:dyDescent="0.25">
      <c r="B9" s="4"/>
      <c r="C9" s="130"/>
      <c r="D9" s="130"/>
      <c r="E9" s="130"/>
      <c r="F9" s="216"/>
      <c r="G9" s="148"/>
      <c r="H9" s="199"/>
      <c r="I9" s="5"/>
      <c r="J9" s="5"/>
      <c r="K9" s="5"/>
      <c r="L9" s="5"/>
      <c r="M9" s="5"/>
      <c r="N9" s="6"/>
    </row>
    <row r="10" spans="1:14" x14ac:dyDescent="0.25">
      <c r="B10" s="4"/>
      <c r="C10" s="130"/>
      <c r="D10" s="130"/>
      <c r="E10" s="130"/>
      <c r="F10" s="216"/>
      <c r="G10" s="148"/>
      <c r="H10" s="199"/>
      <c r="I10" s="5"/>
      <c r="J10" s="5"/>
      <c r="K10" s="5"/>
      <c r="L10" s="5"/>
      <c r="M10" s="5"/>
      <c r="N10" s="6"/>
    </row>
    <row r="11" spans="1:14" x14ac:dyDescent="0.25">
      <c r="B11" s="4"/>
      <c r="C11" s="130"/>
      <c r="D11" s="130"/>
      <c r="E11" s="130"/>
      <c r="F11" s="217" t="s">
        <v>0</v>
      </c>
      <c r="G11" s="147"/>
      <c r="H11" s="199"/>
      <c r="I11" s="5"/>
      <c r="J11" s="5"/>
      <c r="K11" s="5"/>
      <c r="L11" s="5"/>
      <c r="M11" s="5"/>
      <c r="N11" s="6"/>
    </row>
    <row r="12" spans="1:14" ht="30" x14ac:dyDescent="0.25">
      <c r="B12" s="4"/>
      <c r="C12" s="175" t="s">
        <v>243</v>
      </c>
      <c r="D12" s="130"/>
      <c r="E12" s="130"/>
      <c r="F12" s="218" t="s">
        <v>80</v>
      </c>
      <c r="G12" s="165" t="s">
        <v>78</v>
      </c>
      <c r="H12" s="199"/>
      <c r="I12" s="5"/>
      <c r="J12" s="5"/>
      <c r="K12" s="5"/>
      <c r="L12" s="5"/>
      <c r="M12" s="5"/>
      <c r="N12" s="6"/>
    </row>
    <row r="13" spans="1:14" ht="30" x14ac:dyDescent="0.25">
      <c r="B13" s="4"/>
      <c r="C13" s="175" t="s">
        <v>319</v>
      </c>
      <c r="D13" s="130"/>
      <c r="E13" s="130"/>
      <c r="F13" s="219" t="s">
        <v>79</v>
      </c>
      <c r="G13" s="166" t="s">
        <v>348</v>
      </c>
      <c r="H13" s="199"/>
      <c r="I13" s="5"/>
      <c r="J13" s="5"/>
      <c r="K13" s="5"/>
      <c r="L13" s="5"/>
      <c r="M13" s="5"/>
      <c r="N13" s="6"/>
    </row>
    <row r="14" spans="1:14" ht="30" x14ac:dyDescent="0.25">
      <c r="B14" s="4"/>
      <c r="C14" s="175" t="s">
        <v>320</v>
      </c>
      <c r="D14" s="130"/>
      <c r="E14" s="130"/>
      <c r="F14" s="221" t="s">
        <v>81</v>
      </c>
      <c r="G14" s="167" t="s">
        <v>349</v>
      </c>
      <c r="H14" s="199"/>
      <c r="I14" s="5"/>
      <c r="J14" s="5"/>
      <c r="K14" s="5"/>
      <c r="L14" s="5"/>
      <c r="M14" s="5"/>
      <c r="N14" s="6" t="s">
        <v>4</v>
      </c>
    </row>
    <row r="15" spans="1:14" x14ac:dyDescent="0.25">
      <c r="B15" s="9"/>
      <c r="C15" s="134"/>
      <c r="D15" s="134"/>
      <c r="E15" s="134"/>
      <c r="F15" s="200"/>
      <c r="G15" s="208"/>
      <c r="H15" s="200"/>
      <c r="I15" s="10"/>
      <c r="J15" s="10"/>
      <c r="K15" s="10"/>
      <c r="L15" s="10"/>
      <c r="M15" s="10"/>
      <c r="N15" s="11"/>
    </row>
    <row r="18" spans="2:14" x14ac:dyDescent="0.25">
      <c r="B18" s="40" t="s">
        <v>68</v>
      </c>
      <c r="C18" s="146"/>
      <c r="D18" s="146"/>
      <c r="E18" s="146"/>
    </row>
    <row r="19" spans="2:14" x14ac:dyDescent="0.25">
      <c r="B19" s="1"/>
      <c r="C19" s="127"/>
      <c r="D19" s="127"/>
      <c r="E19" s="127"/>
      <c r="F19" s="213"/>
      <c r="G19" s="141"/>
      <c r="H19" s="198"/>
      <c r="I19" s="2"/>
      <c r="J19" s="2"/>
      <c r="K19" s="2"/>
      <c r="L19" s="2"/>
      <c r="M19" s="2"/>
      <c r="N19" s="3"/>
    </row>
    <row r="20" spans="2:14" x14ac:dyDescent="0.25">
      <c r="B20" s="4"/>
      <c r="C20" s="130"/>
      <c r="D20" s="130"/>
      <c r="E20" s="130"/>
      <c r="F20" s="217" t="s">
        <v>68</v>
      </c>
      <c r="G20" s="142"/>
      <c r="H20" s="199"/>
      <c r="I20" s="5"/>
      <c r="J20" s="5"/>
      <c r="K20" s="5"/>
      <c r="L20" s="5"/>
      <c r="M20" s="5"/>
      <c r="N20" s="6"/>
    </row>
    <row r="21" spans="2:14" ht="30" x14ac:dyDescent="0.25">
      <c r="B21" s="4"/>
      <c r="C21" s="175" t="s">
        <v>244</v>
      </c>
      <c r="D21" s="130"/>
      <c r="E21" s="130"/>
      <c r="F21" s="218" t="s">
        <v>10</v>
      </c>
      <c r="G21" s="165">
        <f>COB</f>
        <v>42521</v>
      </c>
      <c r="H21" s="199"/>
      <c r="I21" s="5"/>
      <c r="J21" s="5"/>
      <c r="K21" s="5"/>
      <c r="L21" s="5"/>
      <c r="M21" s="5"/>
      <c r="N21" s="6"/>
    </row>
    <row r="22" spans="2:14" ht="30" x14ac:dyDescent="0.25">
      <c r="B22" s="4"/>
      <c r="C22" s="175" t="s">
        <v>245</v>
      </c>
      <c r="D22" s="130"/>
      <c r="E22" s="130"/>
      <c r="F22" s="219" t="s">
        <v>16</v>
      </c>
      <c r="G22" s="166" t="s">
        <v>17</v>
      </c>
      <c r="H22" s="199"/>
      <c r="I22" s="5"/>
      <c r="J22" s="5"/>
      <c r="K22" s="5"/>
      <c r="L22" s="5"/>
      <c r="M22" s="5"/>
      <c r="N22" s="6"/>
    </row>
    <row r="23" spans="2:14" ht="45" x14ac:dyDescent="0.25">
      <c r="B23" s="4"/>
      <c r="C23" s="175" t="s">
        <v>280</v>
      </c>
      <c r="D23" s="130"/>
      <c r="E23" s="130"/>
      <c r="F23" s="219" t="s">
        <v>234</v>
      </c>
      <c r="G23" s="168" t="str">
        <f>interpolationFunction</f>
        <v>fn_SplineInterpolation</v>
      </c>
      <c r="H23" s="199"/>
      <c r="I23" s="5"/>
      <c r="J23" s="5"/>
      <c r="K23" s="5"/>
      <c r="L23" s="5"/>
      <c r="M23" s="5"/>
      <c r="N23" s="6"/>
    </row>
    <row r="24" spans="2:14" ht="45" x14ac:dyDescent="0.25">
      <c r="B24" s="4"/>
      <c r="C24" s="176" t="s">
        <v>279</v>
      </c>
      <c r="D24" s="130"/>
      <c r="E24" s="130"/>
      <c r="F24" s="219" t="s">
        <v>178</v>
      </c>
      <c r="G24" s="166" t="b">
        <v>1</v>
      </c>
      <c r="H24" s="199"/>
      <c r="I24" s="5"/>
      <c r="J24" s="5"/>
      <c r="K24" s="5"/>
      <c r="L24" s="5"/>
      <c r="M24" s="5"/>
      <c r="N24" s="6"/>
    </row>
    <row r="25" spans="2:14" ht="45" x14ac:dyDescent="0.25">
      <c r="B25" s="4"/>
      <c r="C25" s="180" t="s">
        <v>270</v>
      </c>
      <c r="D25" s="130"/>
      <c r="E25" s="130"/>
      <c r="F25" s="219" t="s">
        <v>177</v>
      </c>
      <c r="G25" s="166" t="s">
        <v>9</v>
      </c>
      <c r="H25" s="199"/>
      <c r="I25" s="5"/>
      <c r="J25" s="5"/>
      <c r="K25" s="5"/>
      <c r="L25" s="5"/>
      <c r="M25" s="5"/>
      <c r="N25" s="6"/>
    </row>
    <row r="26" spans="2:14" x14ac:dyDescent="0.25">
      <c r="B26" s="4"/>
      <c r="C26" s="185"/>
      <c r="D26" s="130"/>
      <c r="E26" s="130"/>
      <c r="F26" s="219"/>
      <c r="G26" s="166"/>
      <c r="H26" s="199"/>
      <c r="I26" s="5"/>
      <c r="J26" s="5"/>
      <c r="K26" s="5"/>
      <c r="L26" s="5"/>
      <c r="M26" s="5"/>
      <c r="N26" s="6"/>
    </row>
    <row r="27" spans="2:14" x14ac:dyDescent="0.25">
      <c r="B27" s="4"/>
      <c r="C27" s="181"/>
      <c r="D27" s="130"/>
      <c r="E27" s="130"/>
      <c r="F27" s="221"/>
      <c r="G27" s="167"/>
      <c r="H27" s="199"/>
      <c r="I27" s="5"/>
      <c r="J27" s="5"/>
      <c r="K27" s="5"/>
      <c r="L27" s="5"/>
      <c r="M27" s="5"/>
      <c r="N27" s="6"/>
    </row>
    <row r="28" spans="2:14" x14ac:dyDescent="0.25">
      <c r="B28" s="9"/>
      <c r="C28" s="134"/>
      <c r="D28" s="134"/>
      <c r="E28" s="134"/>
      <c r="F28" s="200"/>
      <c r="G28" s="208"/>
      <c r="H28" s="200"/>
      <c r="I28" s="10"/>
      <c r="J28" s="10"/>
      <c r="K28" s="10"/>
      <c r="L28" s="10"/>
      <c r="M28" s="10"/>
      <c r="N28" s="11"/>
    </row>
    <row r="31" spans="2:14" x14ac:dyDescent="0.25">
      <c r="B31" s="40" t="s">
        <v>118</v>
      </c>
      <c r="C31" s="146"/>
      <c r="D31" s="146"/>
      <c r="E31" s="146"/>
      <c r="L31" s="13"/>
    </row>
    <row r="32" spans="2:14" x14ac:dyDescent="0.25">
      <c r="B32" s="1"/>
      <c r="C32" s="127"/>
      <c r="D32" s="127"/>
      <c r="E32" s="127"/>
      <c r="F32" s="198"/>
      <c r="G32" s="209"/>
      <c r="H32" s="198"/>
      <c r="I32" s="113" t="s">
        <v>186</v>
      </c>
      <c r="J32" s="113"/>
      <c r="K32" s="2"/>
      <c r="L32" s="2"/>
      <c r="M32" s="2"/>
      <c r="N32" s="3"/>
    </row>
    <row r="33" spans="2:14" x14ac:dyDescent="0.25">
      <c r="B33" s="4"/>
      <c r="C33" s="130"/>
      <c r="D33" s="130"/>
      <c r="E33" s="130"/>
      <c r="F33" s="223" t="s">
        <v>160</v>
      </c>
      <c r="G33" s="210"/>
      <c r="H33" s="201"/>
      <c r="I33" s="143" t="s">
        <v>212</v>
      </c>
      <c r="J33" s="132"/>
      <c r="K33" s="8"/>
      <c r="L33" s="8"/>
      <c r="M33" s="8"/>
      <c r="N33" s="39"/>
    </row>
    <row r="34" spans="2:14" ht="45" x14ac:dyDescent="0.25">
      <c r="B34" s="4"/>
      <c r="C34" s="175" t="s">
        <v>281</v>
      </c>
      <c r="D34" s="130"/>
      <c r="E34" s="170"/>
      <c r="F34" s="218" t="s">
        <v>119</v>
      </c>
      <c r="G34" s="137" t="s">
        <v>120</v>
      </c>
      <c r="H34" s="201"/>
      <c r="I34" s="53" t="s">
        <v>11</v>
      </c>
      <c r="J34" s="53" t="s">
        <v>12</v>
      </c>
      <c r="K34" s="53" t="s">
        <v>233</v>
      </c>
      <c r="L34" s="53" t="s">
        <v>184</v>
      </c>
      <c r="M34" s="53" t="s">
        <v>185</v>
      </c>
      <c r="N34" s="39"/>
    </row>
    <row r="35" spans="2:14" ht="45" x14ac:dyDescent="0.25">
      <c r="B35" s="4"/>
      <c r="C35" s="175" t="s">
        <v>282</v>
      </c>
      <c r="D35" s="130"/>
      <c r="E35" s="444" t="s">
        <v>165</v>
      </c>
      <c r="F35" s="236" t="s">
        <v>121</v>
      </c>
      <c r="G35" s="169" t="b">
        <v>1</v>
      </c>
      <c r="H35" s="201"/>
      <c r="I35" s="47" t="s">
        <v>94</v>
      </c>
      <c r="J35" s="73">
        <v>1.2999999999999999E-3</v>
      </c>
      <c r="K35" s="188" t="b">
        <v>1</v>
      </c>
      <c r="L35" s="189">
        <v>42523</v>
      </c>
      <c r="M35" s="190">
        <v>42706</v>
      </c>
      <c r="N35" s="39"/>
    </row>
    <row r="36" spans="2:14" ht="30" x14ac:dyDescent="0.25">
      <c r="B36" s="4"/>
      <c r="C36" s="175" t="s">
        <v>283</v>
      </c>
      <c r="D36" s="130"/>
      <c r="E36" s="445"/>
      <c r="F36" s="219" t="s">
        <v>122</v>
      </c>
      <c r="G36" s="138" t="s">
        <v>2</v>
      </c>
      <c r="H36" s="201"/>
      <c r="I36" s="48" t="s">
        <v>94</v>
      </c>
      <c r="J36" s="74">
        <v>1.2999999999999999E-3</v>
      </c>
      <c r="K36" s="191" t="b">
        <v>1</v>
      </c>
      <c r="L36" s="192">
        <v>42706</v>
      </c>
      <c r="M36" s="193">
        <v>42888</v>
      </c>
      <c r="N36" s="39"/>
    </row>
    <row r="37" spans="2:14" ht="30" x14ac:dyDescent="0.25">
      <c r="B37" s="4"/>
      <c r="C37" s="175" t="s">
        <v>284</v>
      </c>
      <c r="D37" s="130"/>
      <c r="E37" s="445"/>
      <c r="F37" s="219" t="s">
        <v>123</v>
      </c>
      <c r="G37" s="138" t="s">
        <v>124</v>
      </c>
      <c r="H37" s="201"/>
      <c r="I37" s="48" t="s">
        <v>94</v>
      </c>
      <c r="J37" s="74">
        <v>1.2999999999999999E-3</v>
      </c>
      <c r="K37" s="191" t="b">
        <v>1</v>
      </c>
      <c r="L37" s="192">
        <v>42888</v>
      </c>
      <c r="M37" s="193">
        <v>43073</v>
      </c>
      <c r="N37" s="39"/>
    </row>
    <row r="38" spans="2:14" ht="30" x14ac:dyDescent="0.25">
      <c r="B38" s="4"/>
      <c r="C38" s="175" t="s">
        <v>285</v>
      </c>
      <c r="D38" s="130"/>
      <c r="E38" s="445"/>
      <c r="F38" s="219" t="s">
        <v>125</v>
      </c>
      <c r="G38" s="152" t="s">
        <v>28</v>
      </c>
      <c r="H38" s="201"/>
      <c r="I38" s="48" t="s">
        <v>94</v>
      </c>
      <c r="J38" s="74">
        <v>1.2999999999999999E-3</v>
      </c>
      <c r="K38" s="191" t="b">
        <v>1</v>
      </c>
      <c r="L38" s="192">
        <v>43073</v>
      </c>
      <c r="M38" s="193">
        <v>43255</v>
      </c>
      <c r="N38" s="39"/>
    </row>
    <row r="39" spans="2:14" ht="30" x14ac:dyDescent="0.25">
      <c r="B39" s="4"/>
      <c r="C39" s="175" t="s">
        <v>286</v>
      </c>
      <c r="D39" s="130"/>
      <c r="E39" s="445"/>
      <c r="F39" s="219" t="s">
        <v>126</v>
      </c>
      <c r="G39" s="152" t="s">
        <v>22</v>
      </c>
      <c r="H39" s="201"/>
      <c r="I39" s="48" t="s">
        <v>43</v>
      </c>
      <c r="J39" s="74">
        <v>1.2999999999999999E-3</v>
      </c>
      <c r="K39" s="191" t="b">
        <f>ISNUMBER(L39)</f>
        <v>0</v>
      </c>
      <c r="L39" s="192" t="s">
        <v>181</v>
      </c>
      <c r="M39" s="193" t="str">
        <f>I39</f>
        <v>3Y</v>
      </c>
      <c r="N39" s="39"/>
    </row>
    <row r="40" spans="2:14" ht="30" x14ac:dyDescent="0.25">
      <c r="B40" s="4"/>
      <c r="C40" s="175" t="s">
        <v>296</v>
      </c>
      <c r="D40" s="130"/>
      <c r="E40" s="445"/>
      <c r="F40" s="219" t="s">
        <v>127</v>
      </c>
      <c r="G40" s="138" t="s">
        <v>101</v>
      </c>
      <c r="H40" s="201"/>
      <c r="I40" s="48" t="s">
        <v>50</v>
      </c>
      <c r="J40" s="74">
        <v>1.3499999999999999E-3</v>
      </c>
      <c r="K40" s="191" t="b">
        <f t="shared" ref="K40:K52" si="0">ISNUMBER(L40)</f>
        <v>0</v>
      </c>
      <c r="L40" s="192" t="s">
        <v>181</v>
      </c>
      <c r="M40" s="193" t="str">
        <f t="shared" ref="M40:M52" si="1">I40</f>
        <v>4Y</v>
      </c>
      <c r="N40" s="39"/>
    </row>
    <row r="41" spans="2:14" ht="30" x14ac:dyDescent="0.25">
      <c r="B41" s="4"/>
      <c r="C41" s="175" t="s">
        <v>288</v>
      </c>
      <c r="D41" s="130"/>
      <c r="E41" s="445"/>
      <c r="F41" s="219" t="s">
        <v>128</v>
      </c>
      <c r="G41" s="138" t="s">
        <v>9</v>
      </c>
      <c r="H41" s="201"/>
      <c r="I41" s="48" t="s">
        <v>52</v>
      </c>
      <c r="J41" s="74">
        <v>1.39E-3</v>
      </c>
      <c r="K41" s="191" t="b">
        <f t="shared" si="0"/>
        <v>0</v>
      </c>
      <c r="L41" s="192" t="s">
        <v>181</v>
      </c>
      <c r="M41" s="193" t="str">
        <f t="shared" si="1"/>
        <v>5Y</v>
      </c>
      <c r="N41" s="39"/>
    </row>
    <row r="42" spans="2:14" ht="30" x14ac:dyDescent="0.25">
      <c r="B42" s="4"/>
      <c r="C42" s="175" t="s">
        <v>287</v>
      </c>
      <c r="D42" s="130"/>
      <c r="E42" s="445"/>
      <c r="F42" s="219" t="s">
        <v>129</v>
      </c>
      <c r="G42" s="138" t="s">
        <v>170</v>
      </c>
      <c r="H42" s="201"/>
      <c r="I42" s="48" t="s">
        <v>54</v>
      </c>
      <c r="J42" s="74">
        <v>1.39E-3</v>
      </c>
      <c r="K42" s="191" t="b">
        <f t="shared" si="0"/>
        <v>0</v>
      </c>
      <c r="L42" s="192" t="s">
        <v>181</v>
      </c>
      <c r="M42" s="193" t="str">
        <f t="shared" si="1"/>
        <v>6Y</v>
      </c>
      <c r="N42" s="39"/>
    </row>
    <row r="43" spans="2:14" ht="30" x14ac:dyDescent="0.25">
      <c r="B43" s="4"/>
      <c r="C43" s="175" t="s">
        <v>289</v>
      </c>
      <c r="D43" s="130"/>
      <c r="E43" s="445"/>
      <c r="F43" s="219" t="s">
        <v>130</v>
      </c>
      <c r="G43" s="152" t="s">
        <v>145</v>
      </c>
      <c r="H43" s="201"/>
      <c r="I43" s="48" t="s">
        <v>55</v>
      </c>
      <c r="J43" s="74">
        <v>1.3699999999999999E-3</v>
      </c>
      <c r="K43" s="191" t="b">
        <f t="shared" si="0"/>
        <v>0</v>
      </c>
      <c r="L43" s="192" t="s">
        <v>181</v>
      </c>
      <c r="M43" s="193" t="str">
        <f t="shared" si="1"/>
        <v>7Y</v>
      </c>
      <c r="N43" s="39"/>
    </row>
    <row r="44" spans="2:14" ht="30" x14ac:dyDescent="0.25">
      <c r="B44" s="4"/>
      <c r="C44" s="175" t="s">
        <v>290</v>
      </c>
      <c r="D44" s="130"/>
      <c r="E44" s="445"/>
      <c r="F44" s="219" t="s">
        <v>131</v>
      </c>
      <c r="G44" s="138" t="s">
        <v>124</v>
      </c>
      <c r="H44" s="201"/>
      <c r="I44" s="48" t="s">
        <v>57</v>
      </c>
      <c r="J44" s="74">
        <v>1.3249999999999998E-3</v>
      </c>
      <c r="K44" s="191" t="b">
        <f t="shared" si="0"/>
        <v>0</v>
      </c>
      <c r="L44" s="192" t="s">
        <v>181</v>
      </c>
      <c r="M44" s="193" t="str">
        <f t="shared" si="1"/>
        <v>8Y</v>
      </c>
      <c r="N44" s="39"/>
    </row>
    <row r="45" spans="2:14" ht="30" x14ac:dyDescent="0.25">
      <c r="B45" s="4"/>
      <c r="C45" s="175" t="s">
        <v>291</v>
      </c>
      <c r="D45" s="130"/>
      <c r="E45" s="445"/>
      <c r="F45" s="219" t="s">
        <v>132</v>
      </c>
      <c r="G45" s="138" t="s">
        <v>2</v>
      </c>
      <c r="H45" s="201"/>
      <c r="I45" s="48" t="s">
        <v>59</v>
      </c>
      <c r="J45" s="74">
        <v>1.2599999999999998E-3</v>
      </c>
      <c r="K45" s="191" t="b">
        <f t="shared" si="0"/>
        <v>0</v>
      </c>
      <c r="L45" s="192" t="s">
        <v>181</v>
      </c>
      <c r="M45" s="193" t="str">
        <f t="shared" si="1"/>
        <v>9Y</v>
      </c>
      <c r="N45" s="39"/>
    </row>
    <row r="46" spans="2:14" ht="30" x14ac:dyDescent="0.25">
      <c r="B46" s="4"/>
      <c r="C46" s="175" t="s">
        <v>292</v>
      </c>
      <c r="D46" s="130"/>
      <c r="E46" s="445"/>
      <c r="F46" s="219" t="s">
        <v>133</v>
      </c>
      <c r="G46" s="138" t="s">
        <v>91</v>
      </c>
      <c r="H46" s="201"/>
      <c r="I46" s="48" t="s">
        <v>60</v>
      </c>
      <c r="J46" s="74">
        <v>1.1899999999999999E-3</v>
      </c>
      <c r="K46" s="191" t="b">
        <f t="shared" si="0"/>
        <v>0</v>
      </c>
      <c r="L46" s="192" t="s">
        <v>181</v>
      </c>
      <c r="M46" s="193" t="str">
        <f t="shared" si="1"/>
        <v>10Y</v>
      </c>
      <c r="N46" s="39"/>
    </row>
    <row r="47" spans="2:14" ht="30" x14ac:dyDescent="0.25">
      <c r="B47" s="4"/>
      <c r="C47" s="175" t="s">
        <v>293</v>
      </c>
      <c r="D47" s="130"/>
      <c r="E47" s="445"/>
      <c r="F47" s="219" t="s">
        <v>134</v>
      </c>
      <c r="G47" s="138" t="s">
        <v>2</v>
      </c>
      <c r="H47" s="201"/>
      <c r="I47" s="48" t="s">
        <v>61</v>
      </c>
      <c r="J47" s="74">
        <v>1.1249999999999999E-3</v>
      </c>
      <c r="K47" s="191" t="b">
        <f t="shared" si="0"/>
        <v>0</v>
      </c>
      <c r="L47" s="192" t="s">
        <v>181</v>
      </c>
      <c r="M47" s="193" t="str">
        <f t="shared" si="1"/>
        <v>11Y</v>
      </c>
      <c r="N47" s="39"/>
    </row>
    <row r="48" spans="2:14" ht="30" x14ac:dyDescent="0.25">
      <c r="B48" s="4"/>
      <c r="C48" s="175" t="s">
        <v>294</v>
      </c>
      <c r="D48" s="130"/>
      <c r="E48" s="445"/>
      <c r="F48" s="219" t="s">
        <v>135</v>
      </c>
      <c r="G48" s="138">
        <v>2</v>
      </c>
      <c r="H48" s="201"/>
      <c r="I48" s="48" t="s">
        <v>62</v>
      </c>
      <c r="J48" s="74">
        <v>1.0649999999999998E-3</v>
      </c>
      <c r="K48" s="191" t="b">
        <f t="shared" si="0"/>
        <v>0</v>
      </c>
      <c r="L48" s="192" t="s">
        <v>181</v>
      </c>
      <c r="M48" s="193" t="str">
        <f t="shared" si="1"/>
        <v>12Y</v>
      </c>
      <c r="N48" s="39"/>
    </row>
    <row r="49" spans="2:16" ht="30" x14ac:dyDescent="0.25">
      <c r="B49" s="4"/>
      <c r="C49" s="175" t="s">
        <v>295</v>
      </c>
      <c r="D49" s="130"/>
      <c r="E49" s="446"/>
      <c r="F49" s="237" t="s">
        <v>136</v>
      </c>
      <c r="G49" s="152" t="s">
        <v>22</v>
      </c>
      <c r="H49" s="201"/>
      <c r="I49" s="48" t="s">
        <v>63</v>
      </c>
      <c r="J49" s="74">
        <v>9.0999999999999978E-4</v>
      </c>
      <c r="K49" s="191" t="b">
        <f t="shared" si="0"/>
        <v>0</v>
      </c>
      <c r="L49" s="192" t="s">
        <v>181</v>
      </c>
      <c r="M49" s="193" t="str">
        <f t="shared" si="1"/>
        <v>15Y</v>
      </c>
      <c r="N49" s="39"/>
    </row>
    <row r="50" spans="2:16" ht="30" x14ac:dyDescent="0.25">
      <c r="B50" s="4"/>
      <c r="C50" s="175" t="s">
        <v>297</v>
      </c>
      <c r="D50" s="130"/>
      <c r="E50" s="447" t="s">
        <v>166</v>
      </c>
      <c r="F50" s="236" t="s">
        <v>137</v>
      </c>
      <c r="G50" s="169" t="s">
        <v>2</v>
      </c>
      <c r="H50" s="201"/>
      <c r="I50" s="48" t="s">
        <v>64</v>
      </c>
      <c r="J50" s="74">
        <v>7.099999999999998E-4</v>
      </c>
      <c r="K50" s="191" t="b">
        <f t="shared" si="0"/>
        <v>0</v>
      </c>
      <c r="L50" s="192" t="s">
        <v>181</v>
      </c>
      <c r="M50" s="193" t="str">
        <f t="shared" si="1"/>
        <v>20Y</v>
      </c>
      <c r="N50" s="39"/>
    </row>
    <row r="51" spans="2:16" ht="30" x14ac:dyDescent="0.25">
      <c r="B51" s="4"/>
      <c r="C51" s="175" t="s">
        <v>298</v>
      </c>
      <c r="D51" s="130"/>
      <c r="E51" s="448"/>
      <c r="F51" s="219" t="s">
        <v>138</v>
      </c>
      <c r="G51" s="138" t="s">
        <v>124</v>
      </c>
      <c r="H51" s="201"/>
      <c r="I51" s="48" t="s">
        <v>65</v>
      </c>
      <c r="J51" s="74">
        <v>5.8249999999999979E-4</v>
      </c>
      <c r="K51" s="191" t="b">
        <f t="shared" si="0"/>
        <v>0</v>
      </c>
      <c r="L51" s="192" t="s">
        <v>181</v>
      </c>
      <c r="M51" s="193" t="str">
        <f t="shared" si="1"/>
        <v>25Y</v>
      </c>
      <c r="N51" s="39"/>
    </row>
    <row r="52" spans="2:16" ht="30" x14ac:dyDescent="0.25">
      <c r="B52" s="4"/>
      <c r="C52" s="175" t="s">
        <v>299</v>
      </c>
      <c r="D52" s="130"/>
      <c r="E52" s="448"/>
      <c r="F52" s="219" t="s">
        <v>139</v>
      </c>
      <c r="G52" s="152" t="s">
        <v>108</v>
      </c>
      <c r="H52" s="201"/>
      <c r="I52" s="48" t="s">
        <v>66</v>
      </c>
      <c r="J52" s="74">
        <v>4.8999999999999988E-4</v>
      </c>
      <c r="K52" s="191" t="b">
        <f t="shared" si="0"/>
        <v>0</v>
      </c>
      <c r="L52" s="192" t="s">
        <v>181</v>
      </c>
      <c r="M52" s="193" t="str">
        <f t="shared" si="1"/>
        <v>30Y</v>
      </c>
      <c r="N52" s="39"/>
    </row>
    <row r="53" spans="2:16" ht="30" x14ac:dyDescent="0.25">
      <c r="B53" s="4"/>
      <c r="C53" s="175" t="s">
        <v>300</v>
      </c>
      <c r="D53" s="130"/>
      <c r="E53" s="448"/>
      <c r="F53" s="219" t="s">
        <v>140</v>
      </c>
      <c r="G53" s="152" t="s">
        <v>22</v>
      </c>
      <c r="H53" s="201"/>
      <c r="I53" s="48"/>
      <c r="J53" s="74"/>
      <c r="K53" s="191"/>
      <c r="L53" s="192"/>
      <c r="M53" s="193"/>
      <c r="N53" s="39"/>
    </row>
    <row r="54" spans="2:16" ht="30" x14ac:dyDescent="0.25">
      <c r="B54" s="4"/>
      <c r="C54" s="175" t="s">
        <v>301</v>
      </c>
      <c r="D54" s="130"/>
      <c r="E54" s="448"/>
      <c r="F54" s="219" t="s">
        <v>141</v>
      </c>
      <c r="G54" s="138" t="s">
        <v>101</v>
      </c>
      <c r="H54" s="202"/>
      <c r="I54" s="48"/>
      <c r="J54" s="74"/>
      <c r="K54" s="191"/>
      <c r="L54" s="192"/>
      <c r="M54" s="193"/>
      <c r="N54" s="39"/>
    </row>
    <row r="55" spans="2:16" ht="30" x14ac:dyDescent="0.25">
      <c r="B55" s="4"/>
      <c r="C55" s="175" t="s">
        <v>302</v>
      </c>
      <c r="D55" s="130"/>
      <c r="E55" s="448"/>
      <c r="F55" s="219" t="s">
        <v>142</v>
      </c>
      <c r="G55" s="138" t="s">
        <v>9</v>
      </c>
      <c r="H55" s="202"/>
      <c r="I55" s="48"/>
      <c r="J55" s="74"/>
      <c r="K55" s="191"/>
      <c r="L55" s="192"/>
      <c r="M55" s="193"/>
      <c r="N55" s="39"/>
    </row>
    <row r="56" spans="2:16" ht="30" x14ac:dyDescent="0.25">
      <c r="B56" s="4"/>
      <c r="C56" s="175" t="s">
        <v>303</v>
      </c>
      <c r="D56" s="130"/>
      <c r="E56" s="448"/>
      <c r="F56" s="219" t="s">
        <v>143</v>
      </c>
      <c r="G56" s="205" t="s">
        <v>82</v>
      </c>
      <c r="H56" s="203" t="s">
        <v>182</v>
      </c>
      <c r="I56" s="48"/>
      <c r="J56" s="74"/>
      <c r="K56" s="191"/>
      <c r="L56" s="192"/>
      <c r="M56" s="193"/>
      <c r="N56" s="39"/>
    </row>
    <row r="57" spans="2:16" ht="30" x14ac:dyDescent="0.25">
      <c r="B57" s="4"/>
      <c r="C57" s="175" t="s">
        <v>304</v>
      </c>
      <c r="D57" s="130"/>
      <c r="E57" s="448"/>
      <c r="F57" s="219" t="s">
        <v>144</v>
      </c>
      <c r="G57" s="152" t="s">
        <v>94</v>
      </c>
      <c r="H57" s="202"/>
      <c r="I57" s="48"/>
      <c r="J57" s="74"/>
      <c r="K57" s="191"/>
      <c r="L57" s="192"/>
      <c r="M57" s="193"/>
      <c r="N57" s="39"/>
      <c r="P57" s="115"/>
    </row>
    <row r="58" spans="2:16" ht="30" x14ac:dyDescent="0.25">
      <c r="B58" s="4"/>
      <c r="C58" s="175" t="s">
        <v>305</v>
      </c>
      <c r="D58" s="130"/>
      <c r="E58" s="448"/>
      <c r="F58" s="219" t="s">
        <v>146</v>
      </c>
      <c r="G58" s="138" t="s">
        <v>124</v>
      </c>
      <c r="H58" s="202"/>
      <c r="I58" s="48"/>
      <c r="J58" s="74"/>
      <c r="K58" s="191"/>
      <c r="L58" s="192"/>
      <c r="M58" s="193"/>
      <c r="N58" s="39"/>
      <c r="P58" s="115"/>
    </row>
    <row r="59" spans="2:16" ht="30" x14ac:dyDescent="0.25">
      <c r="B59" s="4"/>
      <c r="C59" s="175" t="s">
        <v>306</v>
      </c>
      <c r="D59" s="130"/>
      <c r="E59" s="448"/>
      <c r="F59" s="219" t="s">
        <v>147</v>
      </c>
      <c r="G59" s="138" t="s">
        <v>2</v>
      </c>
      <c r="H59" s="202"/>
      <c r="I59" s="48"/>
      <c r="J59" s="74"/>
      <c r="K59" s="191"/>
      <c r="L59" s="192"/>
      <c r="M59" s="193"/>
      <c r="N59" s="39"/>
      <c r="P59" s="115"/>
    </row>
    <row r="60" spans="2:16" ht="30" x14ac:dyDescent="0.25">
      <c r="B60" s="4"/>
      <c r="C60" s="175" t="s">
        <v>307</v>
      </c>
      <c r="D60" s="130"/>
      <c r="E60" s="448"/>
      <c r="F60" s="219" t="s">
        <v>148</v>
      </c>
      <c r="G60" s="138" t="s">
        <v>91</v>
      </c>
      <c r="H60" s="202"/>
      <c r="I60" s="48"/>
      <c r="J60" s="74"/>
      <c r="K60" s="191"/>
      <c r="L60" s="192"/>
      <c r="M60" s="193"/>
      <c r="N60" s="39"/>
      <c r="P60" s="115"/>
    </row>
    <row r="61" spans="2:16" ht="30" x14ac:dyDescent="0.25">
      <c r="B61" s="4"/>
      <c r="C61" s="175" t="s">
        <v>308</v>
      </c>
      <c r="D61" s="130"/>
      <c r="E61" s="448"/>
      <c r="F61" s="219" t="s">
        <v>149</v>
      </c>
      <c r="G61" s="138" t="s">
        <v>2</v>
      </c>
      <c r="H61" s="202"/>
      <c r="I61" s="48"/>
      <c r="J61" s="74"/>
      <c r="K61" s="191"/>
      <c r="L61" s="192"/>
      <c r="M61" s="193"/>
      <c r="N61" s="39"/>
      <c r="P61" s="115"/>
    </row>
    <row r="62" spans="2:16" ht="30" x14ac:dyDescent="0.25">
      <c r="B62" s="4"/>
      <c r="C62" s="175" t="s">
        <v>309</v>
      </c>
      <c r="D62" s="130"/>
      <c r="E62" s="448"/>
      <c r="F62" s="219" t="s">
        <v>150</v>
      </c>
      <c r="G62" s="138">
        <v>2</v>
      </c>
      <c r="H62" s="202"/>
      <c r="I62" s="48"/>
      <c r="J62" s="74"/>
      <c r="K62" s="191"/>
      <c r="L62" s="192"/>
      <c r="M62" s="193"/>
      <c r="N62" s="39"/>
      <c r="P62" s="115"/>
    </row>
    <row r="63" spans="2:16" ht="30" x14ac:dyDescent="0.25">
      <c r="B63" s="4"/>
      <c r="C63" s="175" t="s">
        <v>310</v>
      </c>
      <c r="D63" s="130"/>
      <c r="E63" s="449"/>
      <c r="F63" s="237" t="s">
        <v>151</v>
      </c>
      <c r="G63" s="152" t="s">
        <v>22</v>
      </c>
      <c r="H63" s="202"/>
      <c r="I63" s="48"/>
      <c r="J63" s="74"/>
      <c r="K63" s="191"/>
      <c r="L63" s="192"/>
      <c r="M63" s="193"/>
      <c r="N63" s="39"/>
      <c r="P63" s="115"/>
    </row>
    <row r="64" spans="2:16" ht="30" x14ac:dyDescent="0.25">
      <c r="B64" s="4"/>
      <c r="C64" s="175" t="s">
        <v>311</v>
      </c>
      <c r="D64" s="130"/>
      <c r="E64" s="450" t="str">
        <f>"Solving For :"&amp;CHAR(32)&amp;$H$64</f>
        <v>Solving For : &lt;--- Solver: Target</v>
      </c>
      <c r="F64" s="238" t="s">
        <v>152</v>
      </c>
      <c r="G64" s="204" t="s">
        <v>153</v>
      </c>
      <c r="H64" s="203" t="s">
        <v>183</v>
      </c>
      <c r="I64" s="48"/>
      <c r="J64" s="74"/>
      <c r="K64" s="191"/>
      <c r="L64" s="192"/>
      <c r="M64" s="193"/>
      <c r="N64" s="39"/>
      <c r="P64" s="115"/>
    </row>
    <row r="65" spans="2:16" ht="30" x14ac:dyDescent="0.25">
      <c r="B65" s="4"/>
      <c r="C65" s="176" t="s">
        <v>313</v>
      </c>
      <c r="D65" s="130"/>
      <c r="E65" s="451"/>
      <c r="F65" s="219" t="s">
        <v>112</v>
      </c>
      <c r="G65" s="138" t="b">
        <v>1</v>
      </c>
      <c r="H65" s="202"/>
      <c r="I65" s="48"/>
      <c r="J65" s="74"/>
      <c r="K65" s="191"/>
      <c r="L65" s="192"/>
      <c r="M65" s="193"/>
      <c r="N65" s="39"/>
      <c r="P65" s="115"/>
    </row>
    <row r="66" spans="2:16" ht="30" x14ac:dyDescent="0.25">
      <c r="B66" s="4"/>
      <c r="C66" s="176" t="s">
        <v>314</v>
      </c>
      <c r="D66" s="130"/>
      <c r="E66" s="451"/>
      <c r="F66" s="219" t="s">
        <v>154</v>
      </c>
      <c r="G66" s="168" t="str">
        <f>interpolationFunction</f>
        <v>fn_SplineInterpolation</v>
      </c>
      <c r="H66" s="202"/>
      <c r="I66" s="48"/>
      <c r="J66" s="74"/>
      <c r="K66" s="191"/>
      <c r="L66" s="192"/>
      <c r="M66" s="193"/>
      <c r="N66" s="39"/>
      <c r="P66" s="115"/>
    </row>
    <row r="67" spans="2:16" ht="45" x14ac:dyDescent="0.25">
      <c r="B67" s="4"/>
      <c r="C67" s="176" t="s">
        <v>315</v>
      </c>
      <c r="D67" s="130"/>
      <c r="E67" s="451"/>
      <c r="F67" s="219" t="s">
        <v>155</v>
      </c>
      <c r="G67" s="138" t="b">
        <v>1</v>
      </c>
      <c r="H67" s="202"/>
      <c r="I67" s="48"/>
      <c r="J67" s="74"/>
      <c r="K67" s="191"/>
      <c r="L67" s="192"/>
      <c r="M67" s="193"/>
      <c r="N67" s="39"/>
      <c r="P67" s="115"/>
    </row>
    <row r="68" spans="2:16" ht="45" x14ac:dyDescent="0.25">
      <c r="B68" s="4"/>
      <c r="C68" s="176" t="s">
        <v>316</v>
      </c>
      <c r="D68" s="130"/>
      <c r="E68" s="451"/>
      <c r="F68" s="219" t="s">
        <v>156</v>
      </c>
      <c r="G68" s="138" t="b">
        <v>1</v>
      </c>
      <c r="H68" s="202"/>
      <c r="I68" s="48"/>
      <c r="J68" s="74"/>
      <c r="K68" s="191"/>
      <c r="L68" s="192"/>
      <c r="M68" s="193"/>
      <c r="N68" s="39"/>
      <c r="P68" s="115"/>
    </row>
    <row r="69" spans="2:16" ht="45" x14ac:dyDescent="0.25">
      <c r="B69" s="4"/>
      <c r="C69" s="176" t="s">
        <v>317</v>
      </c>
      <c r="D69" s="130"/>
      <c r="E69" s="451"/>
      <c r="F69" s="219" t="s">
        <v>157</v>
      </c>
      <c r="G69" s="152" t="s">
        <v>94</v>
      </c>
      <c r="H69" s="202"/>
      <c r="I69" s="48"/>
      <c r="J69" s="74"/>
      <c r="K69" s="191"/>
      <c r="L69" s="192"/>
      <c r="M69" s="193"/>
      <c r="N69" s="39"/>
    </row>
    <row r="70" spans="2:16" ht="30" x14ac:dyDescent="0.25">
      <c r="B70" s="4"/>
      <c r="C70" s="176" t="s">
        <v>318</v>
      </c>
      <c r="D70" s="130"/>
      <c r="E70" s="451"/>
      <c r="F70" s="219" t="s">
        <v>158</v>
      </c>
      <c r="G70" s="138" t="b">
        <v>0</v>
      </c>
      <c r="H70" s="202"/>
      <c r="I70" s="48"/>
      <c r="J70" s="74"/>
      <c r="K70" s="191"/>
      <c r="L70" s="192"/>
      <c r="M70" s="193"/>
      <c r="N70" s="39"/>
    </row>
    <row r="71" spans="2:16" ht="30" x14ac:dyDescent="0.25">
      <c r="B71" s="4"/>
      <c r="C71" s="176" t="s">
        <v>258</v>
      </c>
      <c r="D71" s="130"/>
      <c r="E71" s="451"/>
      <c r="F71" s="219" t="s">
        <v>113</v>
      </c>
      <c r="G71" s="140">
        <v>1.0000000000000001E-9</v>
      </c>
      <c r="H71" s="202"/>
      <c r="I71" s="48"/>
      <c r="J71" s="74"/>
      <c r="K71" s="191"/>
      <c r="L71" s="192"/>
      <c r="M71" s="193"/>
      <c r="N71" s="39"/>
    </row>
    <row r="72" spans="2:16" ht="30" x14ac:dyDescent="0.25">
      <c r="B72" s="4"/>
      <c r="C72" s="177" t="s">
        <v>259</v>
      </c>
      <c r="D72" s="130"/>
      <c r="E72" s="451"/>
      <c r="F72" s="219" t="s">
        <v>114</v>
      </c>
      <c r="G72" s="164">
        <v>1000</v>
      </c>
      <c r="H72" s="202"/>
      <c r="I72" s="48"/>
      <c r="J72" s="74"/>
      <c r="K72" s="191"/>
      <c r="L72" s="192"/>
      <c r="M72" s="193"/>
      <c r="N72" s="39"/>
    </row>
    <row r="73" spans="2:16" x14ac:dyDescent="0.25">
      <c r="B73" s="4"/>
      <c r="C73" s="173"/>
      <c r="D73" s="130"/>
      <c r="E73" s="451"/>
      <c r="F73" s="219"/>
      <c r="G73" s="138"/>
      <c r="H73" s="202"/>
      <c r="I73" s="48"/>
      <c r="J73" s="74"/>
      <c r="K73" s="191"/>
      <c r="L73" s="192"/>
      <c r="M73" s="193"/>
      <c r="N73" s="39"/>
    </row>
    <row r="74" spans="2:16" x14ac:dyDescent="0.25">
      <c r="B74" s="4"/>
      <c r="C74" s="173"/>
      <c r="D74" s="130"/>
      <c r="E74" s="451"/>
      <c r="F74" s="219"/>
      <c r="G74" s="138"/>
      <c r="H74" s="202"/>
      <c r="I74" s="48"/>
      <c r="J74" s="74"/>
      <c r="K74" s="191"/>
      <c r="L74" s="192"/>
      <c r="M74" s="193"/>
      <c r="N74" s="39"/>
    </row>
    <row r="75" spans="2:16" x14ac:dyDescent="0.25">
      <c r="B75" s="4"/>
      <c r="C75" s="173"/>
      <c r="D75" s="130"/>
      <c r="E75" s="451"/>
      <c r="F75" s="219"/>
      <c r="G75" s="138"/>
      <c r="H75" s="202"/>
      <c r="I75" s="48"/>
      <c r="J75" s="74"/>
      <c r="K75" s="191"/>
      <c r="L75" s="192"/>
      <c r="M75" s="193"/>
      <c r="N75" s="39"/>
    </row>
    <row r="76" spans="2:16" x14ac:dyDescent="0.25">
      <c r="B76" s="4"/>
      <c r="C76" s="174"/>
      <c r="D76" s="130"/>
      <c r="E76" s="452"/>
      <c r="F76" s="225"/>
      <c r="G76" s="235"/>
      <c r="H76" s="202"/>
      <c r="I76" s="49"/>
      <c r="J76" s="75"/>
      <c r="K76" s="194"/>
      <c r="L76" s="195"/>
      <c r="M76" s="196"/>
      <c r="N76" s="39"/>
    </row>
    <row r="77" spans="2:16" x14ac:dyDescent="0.25">
      <c r="B77" s="4"/>
      <c r="C77" s="130"/>
      <c r="D77" s="130"/>
      <c r="E77" s="130"/>
      <c r="F77" s="202"/>
      <c r="G77" s="234"/>
      <c r="H77" s="202"/>
      <c r="I77" s="8" t="s">
        <v>4</v>
      </c>
      <c r="J77" s="8" t="s">
        <v>4</v>
      </c>
      <c r="K77" s="53" t="s">
        <v>4</v>
      </c>
      <c r="L77" s="109" t="s">
        <v>4</v>
      </c>
      <c r="M77" s="110" t="s">
        <v>4</v>
      </c>
      <c r="N77" s="39"/>
    </row>
    <row r="78" spans="2:16" x14ac:dyDescent="0.25">
      <c r="B78" s="9"/>
      <c r="C78" s="134"/>
      <c r="D78" s="134"/>
      <c r="E78" s="134"/>
      <c r="F78" s="200"/>
      <c r="G78" s="208"/>
      <c r="H78" s="200"/>
      <c r="I78" s="10"/>
      <c r="J78" s="10"/>
      <c r="K78" s="10"/>
      <c r="L78" s="10"/>
      <c r="M78" s="10"/>
      <c r="N78" s="11"/>
    </row>
  </sheetData>
  <mergeCells count="3">
    <mergeCell ref="E35:E49"/>
    <mergeCell ref="E50:E63"/>
    <mergeCell ref="E64:E76"/>
  </mergeCells>
  <dataValidations count="4">
    <dataValidation type="list" allowBlank="1" showInputMessage="1" showErrorMessage="1" sqref="G66 G23">
      <formula1>"fn_StepInterpolation,fn_LinearInterpolation,fn_MonotoneConvexInterpolation,fn_SplineInterpolation,fn_ConstrainedSplineInterpolation"</formula1>
    </dataValidation>
    <dataValidation type="list" allowBlank="1" showInputMessage="1" showErrorMessage="1" sqref="G37 G63 G53 G49 G39">
      <formula1>"FOLLOWING,MOD_FOLLOWING,PRECEDING,MOD_PRECEEDING,NO_CHANGE"</formula1>
    </dataValidation>
    <dataValidation type="list" allowBlank="1" showInputMessage="1" showErrorMessage="1" sqref="G38 G52">
      <formula1>"Annual,Semi-Annual,Quarterly,Monthly"</formula1>
    </dataValidation>
    <dataValidation type="list" allowBlank="1" showInputMessage="1" showErrorMessage="1" sqref="G24">
      <formula1>"TRUE,FALSE"</formula1>
    </dataValidation>
  </dataValidations>
  <pageMargins left="0.7" right="0.7" top="0.75" bottom="0.75" header="0.3" footer="0.3"/>
  <pageSetup paperSize="9" orientation="portrait" r:id="rId1"/>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C00000"/>
  </sheetPr>
  <dimension ref="B2:P78"/>
  <sheetViews>
    <sheetView showGridLines="0" workbookViewId="0"/>
  </sheetViews>
  <sheetFormatPr defaultRowHeight="15" x14ac:dyDescent="0.25"/>
  <cols>
    <col min="1" max="1" width="9.140625" style="125"/>
    <col min="2" max="2" width="2.7109375" style="125" customWidth="1"/>
    <col min="3" max="3" width="110.7109375" style="125" hidden="1" customWidth="1"/>
    <col min="4" max="4" width="4.7109375" style="125" hidden="1" customWidth="1"/>
    <col min="5" max="5" width="13" style="125" customWidth="1"/>
    <col min="6" max="6" width="26.7109375" style="197" customWidth="1"/>
    <col min="7" max="7" width="32.7109375" style="206" customWidth="1"/>
    <col min="8" max="8" width="4.7109375" style="197" customWidth="1"/>
    <col min="9" max="10" width="12.7109375" style="125" customWidth="1"/>
    <col min="11" max="13" width="18.7109375" style="125" customWidth="1"/>
    <col min="14" max="14" width="2.7109375" style="125" customWidth="1"/>
    <col min="15" max="16" width="9.140625" style="125" customWidth="1"/>
    <col min="17" max="16384" width="9.140625" style="125"/>
  </cols>
  <sheetData>
    <row r="2" spans="2:14" s="242" customFormat="1" ht="23.25" x14ac:dyDescent="0.35">
      <c r="B2" s="281" t="s">
        <v>361</v>
      </c>
      <c r="F2" s="282"/>
      <c r="G2" s="104"/>
      <c r="H2" s="282"/>
    </row>
    <row r="3" spans="2:14" s="242" customFormat="1" ht="23.25" x14ac:dyDescent="0.35">
      <c r="B3" s="103" t="s">
        <v>326</v>
      </c>
      <c r="F3" s="282"/>
      <c r="G3" s="104"/>
      <c r="H3" s="282"/>
    </row>
    <row r="5" spans="2:14" x14ac:dyDescent="0.25">
      <c r="B5" s="146" t="s">
        <v>237</v>
      </c>
      <c r="C5" s="146"/>
      <c r="D5" s="146"/>
      <c r="E5" s="146"/>
    </row>
    <row r="6" spans="2:14" x14ac:dyDescent="0.25">
      <c r="B6" s="126"/>
      <c r="C6" s="127"/>
      <c r="D6" s="127"/>
      <c r="E6" s="127"/>
      <c r="F6" s="213"/>
      <c r="G6" s="141"/>
      <c r="H6" s="198"/>
      <c r="I6" s="127"/>
      <c r="J6" s="127"/>
      <c r="K6" s="127"/>
      <c r="L6" s="127"/>
      <c r="M6" s="127"/>
      <c r="N6" s="128"/>
    </row>
    <row r="7" spans="2:14" x14ac:dyDescent="0.25">
      <c r="B7" s="129"/>
      <c r="C7" s="144"/>
      <c r="D7" s="130"/>
      <c r="E7" s="130"/>
      <c r="F7" s="214" t="s">
        <v>237</v>
      </c>
      <c r="G7" s="149" t="str">
        <f ca="1">IF(AND(isEUR3MLLoaded,NOW()),_xll.meCurveCalibrateBasis(TenorBasisCurve1M3M.CollectionName,TenorBasisCurve1M3M.StaticDataTable,TenorBasisCurve1M3M.IndexName,TenorBasisCurve1M3M.BuildProperties,TenorBasisSwap1M3M.Conventions,TenorBasisCurve.EUR1ML.ForwardStarting),"Error Building Tenor Basis Curve")</f>
        <v>EURYC 1M3MBASIS Curve has been set (0.01500 sec)</v>
      </c>
      <c r="H7" s="182"/>
      <c r="I7" s="150"/>
      <c r="J7" s="130"/>
      <c r="K7" s="130"/>
      <c r="L7" s="130"/>
      <c r="M7" s="130"/>
      <c r="N7" s="131"/>
    </row>
    <row r="8" spans="2:14" x14ac:dyDescent="0.25">
      <c r="B8" s="129"/>
      <c r="C8" s="130"/>
      <c r="D8" s="130"/>
      <c r="E8" s="130"/>
      <c r="F8" s="215" t="s">
        <v>167</v>
      </c>
      <c r="G8" s="171" t="b">
        <f ca="1">LEFT(G7,5)=TenorBasisCurve1M3M.CollectionName</f>
        <v>1</v>
      </c>
      <c r="H8" s="199"/>
      <c r="I8" s="130"/>
      <c r="J8" s="130"/>
      <c r="K8" s="130"/>
      <c r="L8" s="130"/>
      <c r="M8" s="130"/>
      <c r="N8" s="131"/>
    </row>
    <row r="9" spans="2:14" x14ac:dyDescent="0.25">
      <c r="B9" s="129"/>
      <c r="C9" s="130"/>
      <c r="D9" s="130"/>
      <c r="E9" s="130"/>
      <c r="F9" s="216"/>
      <c r="G9" s="148"/>
      <c r="H9" s="199"/>
      <c r="I9" s="130"/>
      <c r="J9" s="130"/>
      <c r="K9" s="130"/>
      <c r="L9" s="130"/>
      <c r="M9" s="130"/>
      <c r="N9" s="131"/>
    </row>
    <row r="10" spans="2:14" x14ac:dyDescent="0.25">
      <c r="B10" s="129"/>
      <c r="C10" s="130"/>
      <c r="D10" s="130"/>
      <c r="E10" s="130"/>
      <c r="F10" s="216"/>
      <c r="G10" s="148"/>
      <c r="H10" s="199"/>
      <c r="I10" s="130"/>
      <c r="J10" s="130"/>
      <c r="K10" s="130"/>
      <c r="L10" s="130"/>
      <c r="M10" s="130"/>
      <c r="N10" s="131"/>
    </row>
    <row r="11" spans="2:14" x14ac:dyDescent="0.25">
      <c r="B11" s="129"/>
      <c r="C11" s="130"/>
      <c r="D11" s="130"/>
      <c r="E11" s="130"/>
      <c r="F11" s="217" t="s">
        <v>0</v>
      </c>
      <c r="G11" s="147"/>
      <c r="H11" s="199"/>
      <c r="I11" s="130"/>
      <c r="J11" s="130"/>
      <c r="K11" s="130"/>
      <c r="L11" s="130"/>
      <c r="M11" s="130"/>
      <c r="N11" s="131"/>
    </row>
    <row r="12" spans="2:14" ht="30" x14ac:dyDescent="0.25">
      <c r="B12" s="129"/>
      <c r="C12" s="175" t="s">
        <v>243</v>
      </c>
      <c r="D12" s="130"/>
      <c r="E12" s="130"/>
      <c r="F12" s="218" t="s">
        <v>80</v>
      </c>
      <c r="G12" s="165" t="s">
        <v>78</v>
      </c>
      <c r="H12" s="199"/>
      <c r="I12" s="130"/>
      <c r="J12" s="130"/>
      <c r="K12" s="130"/>
      <c r="L12" s="130"/>
      <c r="M12" s="130"/>
      <c r="N12" s="131"/>
    </row>
    <row r="13" spans="2:14" ht="30" x14ac:dyDescent="0.25">
      <c r="B13" s="129"/>
      <c r="C13" s="175" t="s">
        <v>319</v>
      </c>
      <c r="D13" s="130"/>
      <c r="E13" s="130"/>
      <c r="F13" s="219" t="s">
        <v>79</v>
      </c>
      <c r="G13" s="166" t="s">
        <v>350</v>
      </c>
      <c r="H13" s="199"/>
      <c r="I13" s="130"/>
      <c r="J13" s="130"/>
      <c r="K13" s="130"/>
      <c r="L13" s="130"/>
      <c r="M13" s="130"/>
      <c r="N13" s="131"/>
    </row>
    <row r="14" spans="2:14" ht="30" x14ac:dyDescent="0.25">
      <c r="B14" s="129"/>
      <c r="C14" s="175" t="s">
        <v>320</v>
      </c>
      <c r="D14" s="130"/>
      <c r="E14" s="130"/>
      <c r="F14" s="221" t="s">
        <v>81</v>
      </c>
      <c r="G14" s="167" t="s">
        <v>351</v>
      </c>
      <c r="H14" s="199"/>
      <c r="I14" s="130"/>
      <c r="J14" s="130"/>
      <c r="K14" s="130"/>
      <c r="L14" s="130"/>
      <c r="M14" s="130"/>
      <c r="N14" s="131" t="s">
        <v>4</v>
      </c>
    </row>
    <row r="15" spans="2:14" x14ac:dyDescent="0.25">
      <c r="B15" s="133"/>
      <c r="C15" s="134"/>
      <c r="D15" s="134"/>
      <c r="E15" s="134"/>
      <c r="F15" s="200"/>
      <c r="G15" s="239"/>
      <c r="H15" s="200"/>
      <c r="I15" s="134"/>
      <c r="J15" s="134"/>
      <c r="K15" s="134"/>
      <c r="L15" s="134"/>
      <c r="M15" s="134"/>
      <c r="N15" s="135"/>
    </row>
    <row r="18" spans="2:14" x14ac:dyDescent="0.25">
      <c r="B18" s="146" t="s">
        <v>68</v>
      </c>
      <c r="C18" s="146"/>
      <c r="D18" s="146"/>
      <c r="E18" s="146"/>
    </row>
    <row r="19" spans="2:14" x14ac:dyDescent="0.25">
      <c r="B19" s="126"/>
      <c r="C19" s="127"/>
      <c r="D19" s="127"/>
      <c r="E19" s="127"/>
      <c r="F19" s="213"/>
      <c r="G19" s="141"/>
      <c r="H19" s="198"/>
      <c r="I19" s="127"/>
      <c r="J19" s="127"/>
      <c r="K19" s="127"/>
      <c r="L19" s="127"/>
      <c r="M19" s="127"/>
      <c r="N19" s="128"/>
    </row>
    <row r="20" spans="2:14" x14ac:dyDescent="0.25">
      <c r="B20" s="129"/>
      <c r="C20" s="130"/>
      <c r="D20" s="130"/>
      <c r="E20" s="130"/>
      <c r="F20" s="217" t="s">
        <v>68</v>
      </c>
      <c r="G20" s="142"/>
      <c r="H20" s="199"/>
      <c r="I20" s="130"/>
      <c r="J20" s="130"/>
      <c r="K20" s="130"/>
      <c r="L20" s="130"/>
      <c r="M20" s="130"/>
      <c r="N20" s="131"/>
    </row>
    <row r="21" spans="2:14" ht="30" x14ac:dyDescent="0.25">
      <c r="B21" s="129"/>
      <c r="C21" s="175" t="s">
        <v>244</v>
      </c>
      <c r="D21" s="130"/>
      <c r="E21" s="130"/>
      <c r="F21" s="218" t="s">
        <v>10</v>
      </c>
      <c r="G21" s="165">
        <f>COB</f>
        <v>42521</v>
      </c>
      <c r="H21" s="199"/>
      <c r="I21" s="130"/>
      <c r="J21" s="130"/>
      <c r="K21" s="130"/>
      <c r="L21" s="130"/>
      <c r="M21" s="130"/>
      <c r="N21" s="131"/>
    </row>
    <row r="22" spans="2:14" ht="30" x14ac:dyDescent="0.25">
      <c r="B22" s="129"/>
      <c r="C22" s="175" t="s">
        <v>245</v>
      </c>
      <c r="D22" s="130"/>
      <c r="E22" s="130"/>
      <c r="F22" s="219" t="s">
        <v>16</v>
      </c>
      <c r="G22" s="166" t="s">
        <v>17</v>
      </c>
      <c r="H22" s="199"/>
      <c r="I22" s="130"/>
      <c r="J22" s="130"/>
      <c r="K22" s="130"/>
      <c r="L22" s="130"/>
      <c r="M22" s="130"/>
      <c r="N22" s="131"/>
    </row>
    <row r="23" spans="2:14" ht="45" x14ac:dyDescent="0.25">
      <c r="B23" s="129"/>
      <c r="C23" s="175" t="s">
        <v>280</v>
      </c>
      <c r="D23" s="130"/>
      <c r="E23" s="130"/>
      <c r="F23" s="219" t="s">
        <v>234</v>
      </c>
      <c r="G23" s="168" t="str">
        <f>interpolationFunction</f>
        <v>fn_SplineInterpolation</v>
      </c>
      <c r="H23" s="199"/>
      <c r="I23" s="130"/>
      <c r="J23" s="130"/>
      <c r="K23" s="130"/>
      <c r="L23" s="130"/>
      <c r="M23" s="130"/>
      <c r="N23" s="131"/>
    </row>
    <row r="24" spans="2:14" ht="45" x14ac:dyDescent="0.25">
      <c r="B24" s="129"/>
      <c r="C24" s="176" t="s">
        <v>279</v>
      </c>
      <c r="D24" s="130"/>
      <c r="E24" s="130"/>
      <c r="F24" s="219" t="s">
        <v>178</v>
      </c>
      <c r="G24" s="166" t="b">
        <v>1</v>
      </c>
      <c r="H24" s="199"/>
      <c r="I24" s="130"/>
      <c r="J24" s="130"/>
      <c r="K24" s="130"/>
      <c r="L24" s="130"/>
      <c r="M24" s="130"/>
      <c r="N24" s="131"/>
    </row>
    <row r="25" spans="2:14" ht="45" x14ac:dyDescent="0.25">
      <c r="B25" s="129"/>
      <c r="C25" s="180" t="s">
        <v>270</v>
      </c>
      <c r="D25" s="130"/>
      <c r="E25" s="130"/>
      <c r="F25" s="219" t="s">
        <v>177</v>
      </c>
      <c r="G25" s="166" t="s">
        <v>9</v>
      </c>
      <c r="H25" s="199"/>
      <c r="I25" s="130"/>
      <c r="J25" s="130"/>
      <c r="K25" s="130"/>
      <c r="L25" s="130"/>
      <c r="M25" s="130"/>
      <c r="N25" s="131"/>
    </row>
    <row r="26" spans="2:14" x14ac:dyDescent="0.25">
      <c r="B26" s="129"/>
      <c r="C26" s="185"/>
      <c r="D26" s="130"/>
      <c r="E26" s="130"/>
      <c r="F26" s="219"/>
      <c r="G26" s="166"/>
      <c r="H26" s="199"/>
      <c r="I26" s="130"/>
      <c r="J26" s="130"/>
      <c r="K26" s="130"/>
      <c r="L26" s="130"/>
      <c r="M26" s="130"/>
      <c r="N26" s="131"/>
    </row>
    <row r="27" spans="2:14" x14ac:dyDescent="0.25">
      <c r="B27" s="129"/>
      <c r="C27" s="181"/>
      <c r="D27" s="130"/>
      <c r="E27" s="130"/>
      <c r="F27" s="221"/>
      <c r="G27" s="167"/>
      <c r="H27" s="199"/>
      <c r="I27" s="130"/>
      <c r="J27" s="130"/>
      <c r="K27" s="130"/>
      <c r="L27" s="130"/>
      <c r="M27" s="130"/>
      <c r="N27" s="131"/>
    </row>
    <row r="28" spans="2:14" x14ac:dyDescent="0.25">
      <c r="B28" s="133"/>
      <c r="C28" s="134"/>
      <c r="D28" s="134"/>
      <c r="E28" s="134"/>
      <c r="F28" s="200"/>
      <c r="G28" s="239"/>
      <c r="H28" s="200"/>
      <c r="I28" s="134"/>
      <c r="J28" s="134"/>
      <c r="K28" s="134"/>
      <c r="L28" s="134"/>
      <c r="M28" s="134"/>
      <c r="N28" s="135"/>
    </row>
    <row r="31" spans="2:14" x14ac:dyDescent="0.25">
      <c r="B31" s="146" t="s">
        <v>118</v>
      </c>
      <c r="C31" s="146"/>
      <c r="D31" s="146"/>
      <c r="E31" s="146"/>
      <c r="L31" s="136"/>
    </row>
    <row r="32" spans="2:14" x14ac:dyDescent="0.25">
      <c r="B32" s="126"/>
      <c r="C32" s="127"/>
      <c r="D32" s="127"/>
      <c r="E32" s="127"/>
      <c r="F32" s="198"/>
      <c r="G32" s="240"/>
      <c r="H32" s="198"/>
      <c r="I32" s="113" t="s">
        <v>186</v>
      </c>
      <c r="J32" s="113"/>
      <c r="K32" s="127"/>
      <c r="L32" s="127"/>
      <c r="M32" s="127"/>
      <c r="N32" s="128"/>
    </row>
    <row r="33" spans="2:14" x14ac:dyDescent="0.25">
      <c r="B33" s="129"/>
      <c r="C33" s="130"/>
      <c r="D33" s="130"/>
      <c r="E33" s="130"/>
      <c r="F33" s="223" t="s">
        <v>203</v>
      </c>
      <c r="G33" s="159"/>
      <c r="H33" s="201"/>
      <c r="I33" s="143" t="s">
        <v>212</v>
      </c>
      <c r="J33" s="132"/>
      <c r="K33" s="132"/>
      <c r="L33" s="132"/>
      <c r="M33" s="132"/>
      <c r="N33" s="145"/>
    </row>
    <row r="34" spans="2:14" ht="45" x14ac:dyDescent="0.25">
      <c r="B34" s="129"/>
      <c r="C34" s="175" t="s">
        <v>281</v>
      </c>
      <c r="D34" s="130"/>
      <c r="E34" s="170"/>
      <c r="F34" s="218" t="s">
        <v>119</v>
      </c>
      <c r="G34" s="137" t="s">
        <v>202</v>
      </c>
      <c r="H34" s="201"/>
      <c r="I34" s="159" t="s">
        <v>11</v>
      </c>
      <c r="J34" s="159" t="s">
        <v>12</v>
      </c>
      <c r="K34" s="159" t="s">
        <v>233</v>
      </c>
      <c r="L34" s="159" t="s">
        <v>184</v>
      </c>
      <c r="M34" s="159" t="s">
        <v>185</v>
      </c>
      <c r="N34" s="145"/>
    </row>
    <row r="35" spans="2:14" ht="45" x14ac:dyDescent="0.25">
      <c r="B35" s="129"/>
      <c r="C35" s="175" t="s">
        <v>282</v>
      </c>
      <c r="D35" s="130"/>
      <c r="E35" s="444" t="s">
        <v>165</v>
      </c>
      <c r="F35" s="236" t="s">
        <v>121</v>
      </c>
      <c r="G35" s="169" t="b">
        <v>0</v>
      </c>
      <c r="H35" s="201"/>
      <c r="I35" s="155" t="s">
        <v>159</v>
      </c>
      <c r="J35" s="160">
        <v>8.9999999999999998E-4</v>
      </c>
      <c r="K35" s="188" t="b">
        <v>0</v>
      </c>
      <c r="L35" s="189" t="s">
        <v>181</v>
      </c>
      <c r="M35" s="190" t="str">
        <f>I35</f>
        <v>1Y</v>
      </c>
      <c r="N35" s="145"/>
    </row>
    <row r="36" spans="2:14" ht="30" x14ac:dyDescent="0.25">
      <c r="B36" s="129"/>
      <c r="C36" s="175" t="s">
        <v>283</v>
      </c>
      <c r="D36" s="130"/>
      <c r="E36" s="445"/>
      <c r="F36" s="219" t="s">
        <v>122</v>
      </c>
      <c r="G36" s="138" t="s">
        <v>2</v>
      </c>
      <c r="H36" s="201"/>
      <c r="I36" s="156" t="s">
        <v>47</v>
      </c>
      <c r="J36" s="161">
        <v>9.2000000000000003E-4</v>
      </c>
      <c r="K36" s="191" t="b">
        <v>0</v>
      </c>
      <c r="L36" s="192" t="s">
        <v>181</v>
      </c>
      <c r="M36" s="193" t="str">
        <f>I36</f>
        <v>2Y</v>
      </c>
      <c r="N36" s="145"/>
    </row>
    <row r="37" spans="2:14" ht="30" x14ac:dyDescent="0.25">
      <c r="B37" s="129"/>
      <c r="C37" s="175" t="s">
        <v>284</v>
      </c>
      <c r="D37" s="130"/>
      <c r="E37" s="445"/>
      <c r="F37" s="219" t="s">
        <v>123</v>
      </c>
      <c r="G37" s="138" t="s">
        <v>124</v>
      </c>
      <c r="H37" s="201"/>
      <c r="I37" s="156" t="s">
        <v>43</v>
      </c>
      <c r="J37" s="161">
        <v>9.4000000000000008E-4</v>
      </c>
      <c r="K37" s="191" t="b">
        <v>0</v>
      </c>
      <c r="L37" s="192" t="s">
        <v>181</v>
      </c>
      <c r="M37" s="193" t="str">
        <f>I37</f>
        <v>3Y</v>
      </c>
      <c r="N37" s="145"/>
    </row>
    <row r="38" spans="2:14" ht="30" x14ac:dyDescent="0.25">
      <c r="B38" s="129"/>
      <c r="C38" s="175" t="s">
        <v>285</v>
      </c>
      <c r="D38" s="130"/>
      <c r="E38" s="445"/>
      <c r="F38" s="219" t="s">
        <v>125</v>
      </c>
      <c r="G38" s="152" t="s">
        <v>28</v>
      </c>
      <c r="H38" s="201"/>
      <c r="I38" s="156" t="s">
        <v>50</v>
      </c>
      <c r="J38" s="161">
        <v>9.8999999999999999E-4</v>
      </c>
      <c r="K38" s="191" t="b">
        <v>0</v>
      </c>
      <c r="L38" s="192" t="s">
        <v>181</v>
      </c>
      <c r="M38" s="193" t="str">
        <f t="shared" ref="M38:M48" si="0">I38</f>
        <v>4Y</v>
      </c>
      <c r="N38" s="145"/>
    </row>
    <row r="39" spans="2:14" ht="30" x14ac:dyDescent="0.25">
      <c r="B39" s="129"/>
      <c r="C39" s="175" t="s">
        <v>286</v>
      </c>
      <c r="D39" s="130"/>
      <c r="E39" s="445"/>
      <c r="F39" s="219" t="s">
        <v>126</v>
      </c>
      <c r="G39" s="152" t="s">
        <v>22</v>
      </c>
      <c r="H39" s="201"/>
      <c r="I39" s="156" t="s">
        <v>52</v>
      </c>
      <c r="J39" s="161">
        <v>9.8499999999999998E-4</v>
      </c>
      <c r="K39" s="191" t="b">
        <v>0</v>
      </c>
      <c r="L39" s="192" t="s">
        <v>181</v>
      </c>
      <c r="M39" s="193" t="str">
        <f t="shared" si="0"/>
        <v>5Y</v>
      </c>
      <c r="N39" s="145"/>
    </row>
    <row r="40" spans="2:14" ht="30" x14ac:dyDescent="0.25">
      <c r="B40" s="129"/>
      <c r="C40" s="175" t="s">
        <v>296</v>
      </c>
      <c r="D40" s="130"/>
      <c r="E40" s="445"/>
      <c r="F40" s="219" t="s">
        <v>127</v>
      </c>
      <c r="G40" s="138" t="s">
        <v>101</v>
      </c>
      <c r="H40" s="201"/>
      <c r="I40" s="156" t="s">
        <v>54</v>
      </c>
      <c r="J40" s="161">
        <v>9.8999999999999999E-4</v>
      </c>
      <c r="K40" s="191" t="b">
        <f t="shared" ref="K40:K48" si="1">ISNUMBER(L40)</f>
        <v>0</v>
      </c>
      <c r="L40" s="192" t="s">
        <v>181</v>
      </c>
      <c r="M40" s="193" t="str">
        <f t="shared" si="0"/>
        <v>6Y</v>
      </c>
      <c r="N40" s="145"/>
    </row>
    <row r="41" spans="2:14" ht="30" x14ac:dyDescent="0.25">
      <c r="B41" s="129"/>
      <c r="C41" s="175" t="s">
        <v>288</v>
      </c>
      <c r="D41" s="130"/>
      <c r="E41" s="445"/>
      <c r="F41" s="219" t="s">
        <v>128</v>
      </c>
      <c r="G41" s="138" t="s">
        <v>9</v>
      </c>
      <c r="H41" s="201"/>
      <c r="I41" s="156" t="s">
        <v>55</v>
      </c>
      <c r="J41" s="161">
        <v>9.8999999999999999E-4</v>
      </c>
      <c r="K41" s="191" t="b">
        <f t="shared" si="1"/>
        <v>0</v>
      </c>
      <c r="L41" s="192" t="s">
        <v>181</v>
      </c>
      <c r="M41" s="193" t="str">
        <f t="shared" si="0"/>
        <v>7Y</v>
      </c>
      <c r="N41" s="145"/>
    </row>
    <row r="42" spans="2:14" ht="30" x14ac:dyDescent="0.25">
      <c r="B42" s="129"/>
      <c r="C42" s="175" t="s">
        <v>287</v>
      </c>
      <c r="D42" s="130"/>
      <c r="E42" s="445"/>
      <c r="F42" s="219" t="s">
        <v>129</v>
      </c>
      <c r="G42" s="138" t="s">
        <v>170</v>
      </c>
      <c r="H42" s="201"/>
      <c r="I42" s="156" t="s">
        <v>57</v>
      </c>
      <c r="J42" s="161">
        <v>9.2000000000000003E-4</v>
      </c>
      <c r="K42" s="191" t="b">
        <f t="shared" si="1"/>
        <v>0</v>
      </c>
      <c r="L42" s="192" t="s">
        <v>181</v>
      </c>
      <c r="M42" s="193" t="str">
        <f t="shared" si="0"/>
        <v>8Y</v>
      </c>
      <c r="N42" s="145"/>
    </row>
    <row r="43" spans="2:14" ht="30" x14ac:dyDescent="0.25">
      <c r="B43" s="129"/>
      <c r="C43" s="175" t="s">
        <v>289</v>
      </c>
      <c r="D43" s="130"/>
      <c r="E43" s="445"/>
      <c r="F43" s="219" t="s">
        <v>130</v>
      </c>
      <c r="G43" s="152" t="s">
        <v>145</v>
      </c>
      <c r="H43" s="201"/>
      <c r="I43" s="156" t="s">
        <v>59</v>
      </c>
      <c r="J43" s="161">
        <v>9.2000000000000003E-4</v>
      </c>
      <c r="K43" s="191" t="b">
        <f t="shared" si="1"/>
        <v>0</v>
      </c>
      <c r="L43" s="192" t="s">
        <v>181</v>
      </c>
      <c r="M43" s="193" t="str">
        <f t="shared" si="0"/>
        <v>9Y</v>
      </c>
      <c r="N43" s="145"/>
    </row>
    <row r="44" spans="2:14" ht="30" x14ac:dyDescent="0.25">
      <c r="B44" s="129"/>
      <c r="C44" s="175" t="s">
        <v>290</v>
      </c>
      <c r="D44" s="130"/>
      <c r="E44" s="445"/>
      <c r="F44" s="219" t="s">
        <v>131</v>
      </c>
      <c r="G44" s="138" t="s">
        <v>124</v>
      </c>
      <c r="H44" s="201"/>
      <c r="I44" s="156" t="s">
        <v>60</v>
      </c>
      <c r="J44" s="161">
        <v>8.9000000000000006E-4</v>
      </c>
      <c r="K44" s="191" t="b">
        <f t="shared" si="1"/>
        <v>0</v>
      </c>
      <c r="L44" s="192" t="s">
        <v>181</v>
      </c>
      <c r="M44" s="193" t="str">
        <f t="shared" si="0"/>
        <v>10Y</v>
      </c>
      <c r="N44" s="145"/>
    </row>
    <row r="45" spans="2:14" ht="30" x14ac:dyDescent="0.25">
      <c r="B45" s="129"/>
      <c r="C45" s="175" t="s">
        <v>291</v>
      </c>
      <c r="D45" s="130"/>
      <c r="E45" s="445"/>
      <c r="F45" s="219" t="s">
        <v>132</v>
      </c>
      <c r="G45" s="138" t="s">
        <v>2</v>
      </c>
      <c r="H45" s="201"/>
      <c r="I45" s="156" t="s">
        <v>63</v>
      </c>
      <c r="J45" s="161">
        <v>7.3500000000000008E-4</v>
      </c>
      <c r="K45" s="191" t="b">
        <f t="shared" si="1"/>
        <v>0</v>
      </c>
      <c r="L45" s="192" t="s">
        <v>181</v>
      </c>
      <c r="M45" s="193" t="str">
        <f t="shared" si="0"/>
        <v>15Y</v>
      </c>
      <c r="N45" s="145"/>
    </row>
    <row r="46" spans="2:14" ht="30" x14ac:dyDescent="0.25">
      <c r="B46" s="129"/>
      <c r="C46" s="175" t="s">
        <v>292</v>
      </c>
      <c r="D46" s="130"/>
      <c r="E46" s="445"/>
      <c r="F46" s="219" t="s">
        <v>133</v>
      </c>
      <c r="G46" s="138" t="s">
        <v>91</v>
      </c>
      <c r="H46" s="201"/>
      <c r="I46" s="156" t="s">
        <v>64</v>
      </c>
      <c r="J46" s="161">
        <v>5.350000000000001E-4</v>
      </c>
      <c r="K46" s="191" t="b">
        <f t="shared" si="1"/>
        <v>0</v>
      </c>
      <c r="L46" s="192" t="s">
        <v>181</v>
      </c>
      <c r="M46" s="193" t="str">
        <f t="shared" si="0"/>
        <v>20Y</v>
      </c>
      <c r="N46" s="145"/>
    </row>
    <row r="47" spans="2:14" ht="30" x14ac:dyDescent="0.25">
      <c r="B47" s="129"/>
      <c r="C47" s="175" t="s">
        <v>293</v>
      </c>
      <c r="D47" s="130"/>
      <c r="E47" s="445"/>
      <c r="F47" s="219" t="s">
        <v>134</v>
      </c>
      <c r="G47" s="138" t="s">
        <v>2</v>
      </c>
      <c r="H47" s="201"/>
      <c r="I47" s="156" t="s">
        <v>65</v>
      </c>
      <c r="J47" s="161">
        <v>4.0750000000000009E-4</v>
      </c>
      <c r="K47" s="191" t="b">
        <f t="shared" si="1"/>
        <v>0</v>
      </c>
      <c r="L47" s="192" t="s">
        <v>181</v>
      </c>
      <c r="M47" s="193" t="str">
        <f t="shared" si="0"/>
        <v>25Y</v>
      </c>
      <c r="N47" s="145"/>
    </row>
    <row r="48" spans="2:14" ht="30" x14ac:dyDescent="0.25">
      <c r="B48" s="129"/>
      <c r="C48" s="175" t="s">
        <v>294</v>
      </c>
      <c r="D48" s="130"/>
      <c r="E48" s="445"/>
      <c r="F48" s="219" t="s">
        <v>135</v>
      </c>
      <c r="G48" s="138">
        <v>2</v>
      </c>
      <c r="H48" s="201"/>
      <c r="I48" s="156" t="s">
        <v>66</v>
      </c>
      <c r="J48" s="161">
        <v>3.1500000000000018E-4</v>
      </c>
      <c r="K48" s="191" t="b">
        <f t="shared" si="1"/>
        <v>0</v>
      </c>
      <c r="L48" s="192" t="s">
        <v>181</v>
      </c>
      <c r="M48" s="193" t="str">
        <f t="shared" si="0"/>
        <v>30Y</v>
      </c>
      <c r="N48" s="145"/>
    </row>
    <row r="49" spans="2:16" ht="30" x14ac:dyDescent="0.25">
      <c r="B49" s="129"/>
      <c r="C49" s="175" t="s">
        <v>295</v>
      </c>
      <c r="D49" s="130"/>
      <c r="E49" s="446"/>
      <c r="F49" s="237" t="s">
        <v>136</v>
      </c>
      <c r="G49" s="152" t="s">
        <v>22</v>
      </c>
      <c r="H49" s="201"/>
      <c r="I49" s="156"/>
      <c r="J49" s="161"/>
      <c r="K49" s="191"/>
      <c r="L49" s="192"/>
      <c r="M49" s="193"/>
      <c r="N49" s="145"/>
    </row>
    <row r="50" spans="2:16" ht="30" x14ac:dyDescent="0.25">
      <c r="B50" s="129"/>
      <c r="C50" s="175" t="s">
        <v>297</v>
      </c>
      <c r="D50" s="130"/>
      <c r="E50" s="447" t="s">
        <v>166</v>
      </c>
      <c r="F50" s="236" t="s">
        <v>137</v>
      </c>
      <c r="G50" s="169" t="s">
        <v>2</v>
      </c>
      <c r="H50" s="201"/>
      <c r="I50" s="156"/>
      <c r="J50" s="161"/>
      <c r="K50" s="191"/>
      <c r="L50" s="192"/>
      <c r="M50" s="193"/>
      <c r="N50" s="145"/>
    </row>
    <row r="51" spans="2:16" ht="30" x14ac:dyDescent="0.25">
      <c r="B51" s="129"/>
      <c r="C51" s="175" t="s">
        <v>298</v>
      </c>
      <c r="D51" s="130"/>
      <c r="E51" s="448"/>
      <c r="F51" s="219" t="s">
        <v>138</v>
      </c>
      <c r="G51" s="138" t="s">
        <v>124</v>
      </c>
      <c r="H51" s="201"/>
      <c r="I51" s="156"/>
      <c r="J51" s="161"/>
      <c r="K51" s="191"/>
      <c r="L51" s="192"/>
      <c r="M51" s="193"/>
      <c r="N51" s="145"/>
    </row>
    <row r="52" spans="2:16" ht="30" x14ac:dyDescent="0.25">
      <c r="B52" s="129"/>
      <c r="C52" s="175" t="s">
        <v>299</v>
      </c>
      <c r="D52" s="130"/>
      <c r="E52" s="448"/>
      <c r="F52" s="219" t="s">
        <v>139</v>
      </c>
      <c r="G52" s="152" t="s">
        <v>200</v>
      </c>
      <c r="H52" s="201"/>
      <c r="I52" s="156"/>
      <c r="J52" s="161"/>
      <c r="K52" s="191"/>
      <c r="L52" s="192"/>
      <c r="M52" s="193"/>
      <c r="N52" s="145"/>
    </row>
    <row r="53" spans="2:16" ht="30" x14ac:dyDescent="0.25">
      <c r="B53" s="129"/>
      <c r="C53" s="175" t="s">
        <v>300</v>
      </c>
      <c r="D53" s="130"/>
      <c r="E53" s="448"/>
      <c r="F53" s="219" t="s">
        <v>140</v>
      </c>
      <c r="G53" s="152" t="s">
        <v>22</v>
      </c>
      <c r="H53" s="201"/>
      <c r="I53" s="156"/>
      <c r="J53" s="161"/>
      <c r="K53" s="191"/>
      <c r="L53" s="192"/>
      <c r="M53" s="193"/>
      <c r="N53" s="145"/>
    </row>
    <row r="54" spans="2:16" ht="30" x14ac:dyDescent="0.25">
      <c r="B54" s="129"/>
      <c r="C54" s="175" t="s">
        <v>301</v>
      </c>
      <c r="D54" s="130"/>
      <c r="E54" s="448"/>
      <c r="F54" s="219" t="s">
        <v>141</v>
      </c>
      <c r="G54" s="138" t="s">
        <v>101</v>
      </c>
      <c r="H54" s="202"/>
      <c r="I54" s="156"/>
      <c r="J54" s="161"/>
      <c r="K54" s="191"/>
      <c r="L54" s="192"/>
      <c r="M54" s="193"/>
      <c r="N54" s="145"/>
    </row>
    <row r="55" spans="2:16" ht="30" x14ac:dyDescent="0.25">
      <c r="B55" s="129"/>
      <c r="C55" s="175" t="s">
        <v>302</v>
      </c>
      <c r="D55" s="130"/>
      <c r="E55" s="448"/>
      <c r="F55" s="219" t="s">
        <v>142</v>
      </c>
      <c r="G55" s="138" t="s">
        <v>9</v>
      </c>
      <c r="H55" s="202"/>
      <c r="I55" s="156"/>
      <c r="J55" s="161"/>
      <c r="K55" s="191"/>
      <c r="L55" s="192"/>
      <c r="M55" s="193"/>
      <c r="N55" s="145"/>
    </row>
    <row r="56" spans="2:16" ht="30" x14ac:dyDescent="0.25">
      <c r="B56" s="129"/>
      <c r="C56" s="175" t="s">
        <v>303</v>
      </c>
      <c r="D56" s="130"/>
      <c r="E56" s="448"/>
      <c r="F56" s="219" t="s">
        <v>143</v>
      </c>
      <c r="G56" s="205" t="s">
        <v>82</v>
      </c>
      <c r="H56" s="203" t="s">
        <v>182</v>
      </c>
      <c r="I56" s="156"/>
      <c r="J56" s="161"/>
      <c r="K56" s="191"/>
      <c r="L56" s="192"/>
      <c r="M56" s="193"/>
      <c r="N56" s="145"/>
    </row>
    <row r="57" spans="2:16" ht="30" x14ac:dyDescent="0.25">
      <c r="B57" s="129"/>
      <c r="C57" s="175" t="s">
        <v>304</v>
      </c>
      <c r="D57" s="130"/>
      <c r="E57" s="448"/>
      <c r="F57" s="219" t="s">
        <v>144</v>
      </c>
      <c r="G57" s="152" t="s">
        <v>161</v>
      </c>
      <c r="H57" s="202"/>
      <c r="I57" s="156"/>
      <c r="J57" s="161"/>
      <c r="K57" s="191"/>
      <c r="L57" s="192"/>
      <c r="M57" s="193"/>
      <c r="N57" s="145"/>
      <c r="P57" s="115"/>
    </row>
    <row r="58" spans="2:16" ht="30" x14ac:dyDescent="0.25">
      <c r="B58" s="129"/>
      <c r="C58" s="175" t="s">
        <v>305</v>
      </c>
      <c r="D58" s="130"/>
      <c r="E58" s="448"/>
      <c r="F58" s="219" t="s">
        <v>146</v>
      </c>
      <c r="G58" s="138" t="s">
        <v>124</v>
      </c>
      <c r="H58" s="202"/>
      <c r="I58" s="156"/>
      <c r="J58" s="161"/>
      <c r="K58" s="191"/>
      <c r="L58" s="192"/>
      <c r="M58" s="193"/>
      <c r="N58" s="145"/>
      <c r="P58" s="115"/>
    </row>
    <row r="59" spans="2:16" ht="30" x14ac:dyDescent="0.25">
      <c r="B59" s="129"/>
      <c r="C59" s="175" t="s">
        <v>306</v>
      </c>
      <c r="D59" s="130"/>
      <c r="E59" s="448"/>
      <c r="F59" s="219" t="s">
        <v>147</v>
      </c>
      <c r="G59" s="138" t="s">
        <v>2</v>
      </c>
      <c r="H59" s="202"/>
      <c r="I59" s="156"/>
      <c r="J59" s="161"/>
      <c r="K59" s="191"/>
      <c r="L59" s="192"/>
      <c r="M59" s="193"/>
      <c r="N59" s="145"/>
      <c r="P59" s="115"/>
    </row>
    <row r="60" spans="2:16" ht="30" x14ac:dyDescent="0.25">
      <c r="B60" s="129"/>
      <c r="C60" s="175" t="s">
        <v>307</v>
      </c>
      <c r="D60" s="130"/>
      <c r="E60" s="448"/>
      <c r="F60" s="219" t="s">
        <v>148</v>
      </c>
      <c r="G60" s="138" t="s">
        <v>91</v>
      </c>
      <c r="H60" s="202"/>
      <c r="I60" s="156"/>
      <c r="J60" s="161"/>
      <c r="K60" s="191"/>
      <c r="L60" s="192"/>
      <c r="M60" s="193"/>
      <c r="N60" s="145"/>
      <c r="P60" s="115"/>
    </row>
    <row r="61" spans="2:16" ht="30" x14ac:dyDescent="0.25">
      <c r="B61" s="129"/>
      <c r="C61" s="175" t="s">
        <v>308</v>
      </c>
      <c r="D61" s="130"/>
      <c r="E61" s="448"/>
      <c r="F61" s="219" t="s">
        <v>149</v>
      </c>
      <c r="G61" s="138" t="s">
        <v>2</v>
      </c>
      <c r="H61" s="202"/>
      <c r="I61" s="156"/>
      <c r="J61" s="161"/>
      <c r="K61" s="191"/>
      <c r="L61" s="192"/>
      <c r="M61" s="193"/>
      <c r="N61" s="145"/>
      <c r="P61" s="115"/>
    </row>
    <row r="62" spans="2:16" ht="30" x14ac:dyDescent="0.25">
      <c r="B62" s="129"/>
      <c r="C62" s="175" t="s">
        <v>309</v>
      </c>
      <c r="D62" s="130"/>
      <c r="E62" s="448"/>
      <c r="F62" s="219" t="s">
        <v>150</v>
      </c>
      <c r="G62" s="138">
        <v>2</v>
      </c>
      <c r="H62" s="202"/>
      <c r="I62" s="156"/>
      <c r="J62" s="161"/>
      <c r="K62" s="191"/>
      <c r="L62" s="192"/>
      <c r="M62" s="193"/>
      <c r="N62" s="145"/>
      <c r="P62" s="115"/>
    </row>
    <row r="63" spans="2:16" ht="30" x14ac:dyDescent="0.25">
      <c r="B63" s="129"/>
      <c r="C63" s="175" t="s">
        <v>310</v>
      </c>
      <c r="D63" s="130"/>
      <c r="E63" s="449"/>
      <c r="F63" s="237" t="s">
        <v>151</v>
      </c>
      <c r="G63" s="152" t="s">
        <v>22</v>
      </c>
      <c r="H63" s="202"/>
      <c r="I63" s="156"/>
      <c r="J63" s="161"/>
      <c r="K63" s="191"/>
      <c r="L63" s="192"/>
      <c r="M63" s="193"/>
      <c r="N63" s="145"/>
      <c r="P63" s="115"/>
    </row>
    <row r="64" spans="2:16" ht="30" x14ac:dyDescent="0.25">
      <c r="B64" s="129"/>
      <c r="C64" s="175" t="s">
        <v>311</v>
      </c>
      <c r="D64" s="130"/>
      <c r="E64" s="450" t="str">
        <f>"Solving For :"&amp;CHAR(32)&amp;$H$64</f>
        <v>Solving For : &lt;--- Solver: Target</v>
      </c>
      <c r="F64" s="238" t="s">
        <v>152</v>
      </c>
      <c r="G64" s="204" t="s">
        <v>153</v>
      </c>
      <c r="H64" s="203" t="s">
        <v>183</v>
      </c>
      <c r="I64" s="156"/>
      <c r="J64" s="161"/>
      <c r="K64" s="191"/>
      <c r="L64" s="192"/>
      <c r="M64" s="193"/>
      <c r="N64" s="145"/>
      <c r="P64" s="115"/>
    </row>
    <row r="65" spans="2:16" ht="30" x14ac:dyDescent="0.25">
      <c r="B65" s="129"/>
      <c r="C65" s="176" t="s">
        <v>313</v>
      </c>
      <c r="D65" s="130"/>
      <c r="E65" s="451"/>
      <c r="F65" s="219" t="s">
        <v>112</v>
      </c>
      <c r="G65" s="138" t="b">
        <v>1</v>
      </c>
      <c r="H65" s="202"/>
      <c r="I65" s="156"/>
      <c r="J65" s="161"/>
      <c r="K65" s="191"/>
      <c r="L65" s="192"/>
      <c r="M65" s="193"/>
      <c r="N65" s="145"/>
      <c r="P65" s="115"/>
    </row>
    <row r="66" spans="2:16" ht="30" x14ac:dyDescent="0.25">
      <c r="B66" s="129"/>
      <c r="C66" s="176" t="s">
        <v>314</v>
      </c>
      <c r="D66" s="130"/>
      <c r="E66" s="451"/>
      <c r="F66" s="219" t="s">
        <v>154</v>
      </c>
      <c r="G66" s="168" t="str">
        <f>interpolationFunction</f>
        <v>fn_SplineInterpolation</v>
      </c>
      <c r="H66" s="202"/>
      <c r="I66" s="156"/>
      <c r="J66" s="161"/>
      <c r="K66" s="191"/>
      <c r="L66" s="192"/>
      <c r="M66" s="193"/>
      <c r="N66" s="145"/>
      <c r="P66" s="115"/>
    </row>
    <row r="67" spans="2:16" ht="45" x14ac:dyDescent="0.25">
      <c r="B67" s="129"/>
      <c r="C67" s="176" t="s">
        <v>315</v>
      </c>
      <c r="D67" s="130"/>
      <c r="E67" s="451"/>
      <c r="F67" s="219" t="s">
        <v>155</v>
      </c>
      <c r="G67" s="138" t="b">
        <v>1</v>
      </c>
      <c r="H67" s="202"/>
      <c r="I67" s="156"/>
      <c r="J67" s="161"/>
      <c r="K67" s="191"/>
      <c r="L67" s="192"/>
      <c r="M67" s="193"/>
      <c r="N67" s="145"/>
      <c r="P67" s="115"/>
    </row>
    <row r="68" spans="2:16" ht="45" x14ac:dyDescent="0.25">
      <c r="B68" s="129"/>
      <c r="C68" s="176" t="s">
        <v>316</v>
      </c>
      <c r="D68" s="130"/>
      <c r="E68" s="451"/>
      <c r="F68" s="219" t="s">
        <v>156</v>
      </c>
      <c r="G68" s="138" t="b">
        <v>1</v>
      </c>
      <c r="H68" s="202"/>
      <c r="I68" s="156"/>
      <c r="J68" s="161"/>
      <c r="K68" s="191"/>
      <c r="L68" s="192"/>
      <c r="M68" s="193"/>
      <c r="N68" s="145"/>
      <c r="P68" s="115"/>
    </row>
    <row r="69" spans="2:16" ht="45" x14ac:dyDescent="0.25">
      <c r="B69" s="129"/>
      <c r="C69" s="176" t="s">
        <v>317</v>
      </c>
      <c r="D69" s="130"/>
      <c r="E69" s="451"/>
      <c r="F69" s="219" t="s">
        <v>157</v>
      </c>
      <c r="G69" s="152" t="s">
        <v>161</v>
      </c>
      <c r="H69" s="202"/>
      <c r="I69" s="156"/>
      <c r="J69" s="161"/>
      <c r="K69" s="191"/>
      <c r="L69" s="192"/>
      <c r="M69" s="193"/>
      <c r="N69" s="145"/>
    </row>
    <row r="70" spans="2:16" ht="30" x14ac:dyDescent="0.25">
      <c r="B70" s="129"/>
      <c r="C70" s="176" t="s">
        <v>318</v>
      </c>
      <c r="D70" s="130"/>
      <c r="E70" s="451"/>
      <c r="F70" s="219" t="s">
        <v>158</v>
      </c>
      <c r="G70" s="138" t="b">
        <v>0</v>
      </c>
      <c r="H70" s="202"/>
      <c r="I70" s="156"/>
      <c r="J70" s="161"/>
      <c r="K70" s="191"/>
      <c r="L70" s="192"/>
      <c r="M70" s="193"/>
      <c r="N70" s="145"/>
    </row>
    <row r="71" spans="2:16" ht="30" x14ac:dyDescent="0.25">
      <c r="B71" s="129"/>
      <c r="C71" s="176" t="s">
        <v>258</v>
      </c>
      <c r="D71" s="130"/>
      <c r="E71" s="451"/>
      <c r="F71" s="219" t="s">
        <v>113</v>
      </c>
      <c r="G71" s="140">
        <v>1.0000000000000001E-9</v>
      </c>
      <c r="H71" s="202"/>
      <c r="I71" s="156"/>
      <c r="J71" s="161"/>
      <c r="K71" s="191"/>
      <c r="L71" s="192"/>
      <c r="M71" s="193"/>
      <c r="N71" s="145"/>
    </row>
    <row r="72" spans="2:16" ht="30" x14ac:dyDescent="0.25">
      <c r="B72" s="129"/>
      <c r="C72" s="177" t="s">
        <v>259</v>
      </c>
      <c r="D72" s="130"/>
      <c r="E72" s="451"/>
      <c r="F72" s="219" t="s">
        <v>114</v>
      </c>
      <c r="G72" s="164">
        <v>1000</v>
      </c>
      <c r="H72" s="202"/>
      <c r="I72" s="156"/>
      <c r="J72" s="161"/>
      <c r="K72" s="191"/>
      <c r="L72" s="192"/>
      <c r="M72" s="193"/>
      <c r="N72" s="145"/>
    </row>
    <row r="73" spans="2:16" x14ac:dyDescent="0.25">
      <c r="B73" s="129"/>
      <c r="C73" s="173"/>
      <c r="D73" s="130"/>
      <c r="E73" s="451"/>
      <c r="F73" s="219"/>
      <c r="G73" s="138"/>
      <c r="H73" s="202"/>
      <c r="I73" s="156"/>
      <c r="J73" s="161"/>
      <c r="K73" s="191"/>
      <c r="L73" s="192"/>
      <c r="M73" s="193"/>
      <c r="N73" s="145"/>
    </row>
    <row r="74" spans="2:16" x14ac:dyDescent="0.25">
      <c r="B74" s="129"/>
      <c r="C74" s="173"/>
      <c r="D74" s="130"/>
      <c r="E74" s="451"/>
      <c r="F74" s="219"/>
      <c r="G74" s="138"/>
      <c r="H74" s="202"/>
      <c r="I74" s="156"/>
      <c r="J74" s="161"/>
      <c r="K74" s="191"/>
      <c r="L74" s="192"/>
      <c r="M74" s="193"/>
      <c r="N74" s="145"/>
    </row>
    <row r="75" spans="2:16" x14ac:dyDescent="0.25">
      <c r="B75" s="129"/>
      <c r="C75" s="173"/>
      <c r="D75" s="130"/>
      <c r="E75" s="451"/>
      <c r="F75" s="219"/>
      <c r="G75" s="138"/>
      <c r="H75" s="202"/>
      <c r="I75" s="156"/>
      <c r="J75" s="161"/>
      <c r="K75" s="191"/>
      <c r="L75" s="192"/>
      <c r="M75" s="193"/>
      <c r="N75" s="145"/>
    </row>
    <row r="76" spans="2:16" x14ac:dyDescent="0.25">
      <c r="B76" s="129"/>
      <c r="C76" s="174"/>
      <c r="D76" s="130"/>
      <c r="E76" s="452"/>
      <c r="F76" s="225"/>
      <c r="G76" s="235"/>
      <c r="H76" s="202"/>
      <c r="I76" s="157"/>
      <c r="J76" s="162"/>
      <c r="K76" s="194"/>
      <c r="L76" s="195"/>
      <c r="M76" s="196"/>
      <c r="N76" s="145"/>
    </row>
    <row r="77" spans="2:16" x14ac:dyDescent="0.25">
      <c r="B77" s="129"/>
      <c r="C77" s="130"/>
      <c r="D77" s="130"/>
      <c r="E77" s="130"/>
      <c r="F77" s="202"/>
      <c r="G77" s="241"/>
      <c r="H77" s="202"/>
      <c r="I77" s="132" t="s">
        <v>4</v>
      </c>
      <c r="J77" s="132" t="s">
        <v>4</v>
      </c>
      <c r="K77" s="159" t="s">
        <v>4</v>
      </c>
      <c r="L77" s="109" t="s">
        <v>4</v>
      </c>
      <c r="M77" s="110" t="s">
        <v>4</v>
      </c>
      <c r="N77" s="145"/>
    </row>
    <row r="78" spans="2:16" x14ac:dyDescent="0.25">
      <c r="B78" s="133"/>
      <c r="C78" s="134"/>
      <c r="D78" s="134"/>
      <c r="E78" s="134"/>
      <c r="F78" s="200"/>
      <c r="G78" s="239"/>
      <c r="H78" s="200"/>
      <c r="I78" s="134"/>
      <c r="J78" s="134"/>
      <c r="K78" s="134"/>
      <c r="L78" s="134"/>
      <c r="M78" s="134"/>
      <c r="N78" s="135"/>
    </row>
  </sheetData>
  <mergeCells count="3">
    <mergeCell ref="E35:E49"/>
    <mergeCell ref="E50:E63"/>
    <mergeCell ref="E64:E76"/>
  </mergeCells>
  <dataValidations count="4">
    <dataValidation type="list" allowBlank="1" showInputMessage="1" showErrorMessage="1" sqref="G24">
      <formula1>"TRUE,FALSE"</formula1>
    </dataValidation>
    <dataValidation type="list" allowBlank="1" showInputMessage="1" showErrorMessage="1" sqref="G52 G38">
      <formula1>"Annual,Semi-Annual,Quarterly,Monthly"</formula1>
    </dataValidation>
    <dataValidation type="list" allowBlank="1" showInputMessage="1" showErrorMessage="1" sqref="G37 G63 G53 G49 G39">
      <formula1>"FOLLOWING,MOD_FOLLOWING,PRECEDING,MOD_PRECEEDING,NO_CHANGE"</formula1>
    </dataValidation>
    <dataValidation type="list" allowBlank="1" showInputMessage="1" showErrorMessage="1" sqref="G66 G23">
      <formula1>"fn_StepInterpolation,fn_LinearInterpolation,fn_MonotoneConvexInterpolation,fn_SplineInterpolation,fn_ConstrainedSplineInterpolation"</formula1>
    </dataValidation>
  </dataValidations>
  <pageMargins left="0.7" right="0.7" top="0.75" bottom="0.75" header="0.3" footer="0.3"/>
  <pageSetup paperSize="9" orientation="portrait" r:id="rId1"/>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C00000"/>
  </sheetPr>
  <dimension ref="B2:P78"/>
  <sheetViews>
    <sheetView showGridLines="0" workbookViewId="0"/>
  </sheetViews>
  <sheetFormatPr defaultRowHeight="15" x14ac:dyDescent="0.25"/>
  <cols>
    <col min="1" max="1" width="9.140625" style="125"/>
    <col min="2" max="2" width="2.7109375" style="125" customWidth="1"/>
    <col min="3" max="3" width="110.7109375" style="125" hidden="1" customWidth="1"/>
    <col min="4" max="4" width="4.7109375" style="125" hidden="1" customWidth="1"/>
    <col min="5" max="5" width="13" style="125" customWidth="1"/>
    <col min="6" max="6" width="26.7109375" style="197" customWidth="1"/>
    <col min="7" max="7" width="32.7109375" style="206" customWidth="1"/>
    <col min="8" max="8" width="4.7109375" style="197" customWidth="1"/>
    <col min="9" max="10" width="12.7109375" style="125" customWidth="1"/>
    <col min="11" max="13" width="18.7109375" style="125" customWidth="1"/>
    <col min="14" max="14" width="2.7109375" style="125" customWidth="1"/>
    <col min="15" max="16" width="9.140625" style="125" customWidth="1"/>
    <col min="17" max="16384" width="9.140625" style="125"/>
  </cols>
  <sheetData>
    <row r="2" spans="2:14" s="242" customFormat="1" ht="23.25" x14ac:dyDescent="0.35">
      <c r="B2" s="281" t="s">
        <v>361</v>
      </c>
      <c r="F2" s="282"/>
      <c r="G2" s="104"/>
      <c r="H2" s="282"/>
    </row>
    <row r="3" spans="2:14" s="242" customFormat="1" ht="23.25" x14ac:dyDescent="0.35">
      <c r="B3" s="103" t="s">
        <v>326</v>
      </c>
      <c r="F3" s="282"/>
      <c r="G3" s="104"/>
      <c r="H3" s="282"/>
    </row>
    <row r="5" spans="2:14" x14ac:dyDescent="0.25">
      <c r="B5" s="146" t="s">
        <v>237</v>
      </c>
      <c r="C5" s="146"/>
      <c r="D5" s="146"/>
      <c r="E5" s="146"/>
    </row>
    <row r="6" spans="2:14" x14ac:dyDescent="0.25">
      <c r="B6" s="126"/>
      <c r="C6" s="127"/>
      <c r="D6" s="127"/>
      <c r="E6" s="127"/>
      <c r="F6" s="213"/>
      <c r="G6" s="141"/>
      <c r="H6" s="198"/>
      <c r="I6" s="127"/>
      <c r="J6" s="127"/>
      <c r="K6" s="127"/>
      <c r="L6" s="127"/>
      <c r="M6" s="127"/>
      <c r="N6" s="128"/>
    </row>
    <row r="7" spans="2:14" x14ac:dyDescent="0.25">
      <c r="B7" s="129"/>
      <c r="C7" s="144"/>
      <c r="D7" s="130"/>
      <c r="E7" s="130"/>
      <c r="F7" s="214" t="s">
        <v>237</v>
      </c>
      <c r="G7" s="149" t="str">
        <f ca="1">IF(AND(isEUR6MLLoaded,NOW()),_xll.meCurveCalibrateBasis(TenorBasisCurve6M12M.CollectionName,TenorBasisCurve6M12M.StaticDataTable,TenorBasisCurve6M12M.IndexName,TenorBasisCurve6M12M.BuildProperties,TenorBasisSwap6M12M.Conventions,TenorBasisCurve.EUR12ML.ForwardStarting),"Error Building Tenor Basis Curve")</f>
        <v>EURYC 6M12MBASIS Curve has been set (0.00000 sec)</v>
      </c>
      <c r="H7" s="182"/>
      <c r="I7" s="150"/>
      <c r="J7" s="130"/>
      <c r="K7" s="130"/>
      <c r="L7" s="130"/>
      <c r="M7" s="130"/>
      <c r="N7" s="131"/>
    </row>
    <row r="8" spans="2:14" x14ac:dyDescent="0.25">
      <c r="B8" s="129"/>
      <c r="C8" s="130"/>
      <c r="D8" s="130"/>
      <c r="E8" s="130"/>
      <c r="F8" s="215" t="s">
        <v>167</v>
      </c>
      <c r="G8" s="171" t="b">
        <f ca="1">LEFT(G7,5)=TenorBasisCurve6M12M.CollectionName</f>
        <v>1</v>
      </c>
      <c r="H8" s="199"/>
      <c r="I8" s="130"/>
      <c r="J8" s="130"/>
      <c r="K8" s="130"/>
      <c r="L8" s="130"/>
      <c r="M8" s="130"/>
      <c r="N8" s="131"/>
    </row>
    <row r="9" spans="2:14" x14ac:dyDescent="0.25">
      <c r="B9" s="129"/>
      <c r="C9" s="130"/>
      <c r="D9" s="130"/>
      <c r="E9" s="130"/>
      <c r="F9" s="216"/>
      <c r="G9" s="148"/>
      <c r="H9" s="199"/>
      <c r="I9" s="130"/>
      <c r="J9" s="130"/>
      <c r="K9" s="130"/>
      <c r="L9" s="130"/>
      <c r="M9" s="130"/>
      <c r="N9" s="131"/>
    </row>
    <row r="10" spans="2:14" x14ac:dyDescent="0.25">
      <c r="B10" s="129"/>
      <c r="C10" s="130"/>
      <c r="D10" s="130"/>
      <c r="E10" s="130"/>
      <c r="F10" s="216"/>
      <c r="G10" s="148"/>
      <c r="H10" s="199"/>
      <c r="I10" s="130"/>
      <c r="J10" s="130"/>
      <c r="K10" s="130"/>
      <c r="L10" s="130"/>
      <c r="M10" s="130"/>
      <c r="N10" s="131"/>
    </row>
    <row r="11" spans="2:14" x14ac:dyDescent="0.25">
      <c r="B11" s="129"/>
      <c r="C11" s="130"/>
      <c r="D11" s="130"/>
      <c r="E11" s="130"/>
      <c r="F11" s="217" t="s">
        <v>0</v>
      </c>
      <c r="G11" s="147"/>
      <c r="H11" s="199"/>
      <c r="I11" s="130"/>
      <c r="J11" s="130"/>
      <c r="K11" s="130"/>
      <c r="L11" s="130"/>
      <c r="M11" s="130"/>
      <c r="N11" s="131"/>
    </row>
    <row r="12" spans="2:14" ht="30" x14ac:dyDescent="0.25">
      <c r="B12" s="129"/>
      <c r="C12" s="175" t="s">
        <v>243</v>
      </c>
      <c r="D12" s="130"/>
      <c r="E12" s="130"/>
      <c r="F12" s="218" t="s">
        <v>80</v>
      </c>
      <c r="G12" s="165" t="s">
        <v>78</v>
      </c>
      <c r="H12" s="199"/>
      <c r="I12" s="130"/>
      <c r="J12" s="130"/>
      <c r="K12" s="130"/>
      <c r="L12" s="130"/>
      <c r="M12" s="130"/>
      <c r="N12" s="131"/>
    </row>
    <row r="13" spans="2:14" ht="30" x14ac:dyDescent="0.25">
      <c r="B13" s="129"/>
      <c r="C13" s="175" t="s">
        <v>319</v>
      </c>
      <c r="D13" s="130"/>
      <c r="E13" s="130"/>
      <c r="F13" s="219" t="s">
        <v>79</v>
      </c>
      <c r="G13" s="166" t="s">
        <v>352</v>
      </c>
      <c r="H13" s="199"/>
      <c r="I13" s="130"/>
      <c r="J13" s="130"/>
      <c r="K13" s="130"/>
      <c r="L13" s="130"/>
      <c r="M13" s="130"/>
      <c r="N13" s="131"/>
    </row>
    <row r="14" spans="2:14" ht="30" x14ac:dyDescent="0.25">
      <c r="B14" s="129"/>
      <c r="C14" s="175" t="s">
        <v>320</v>
      </c>
      <c r="D14" s="130"/>
      <c r="E14" s="130"/>
      <c r="F14" s="221" t="s">
        <v>81</v>
      </c>
      <c r="G14" s="167" t="s">
        <v>353</v>
      </c>
      <c r="H14" s="199"/>
      <c r="I14" s="130"/>
      <c r="J14" s="130"/>
      <c r="K14" s="130"/>
      <c r="L14" s="130"/>
      <c r="M14" s="130"/>
      <c r="N14" s="131" t="s">
        <v>4</v>
      </c>
    </row>
    <row r="15" spans="2:14" x14ac:dyDescent="0.25">
      <c r="B15" s="133"/>
      <c r="C15" s="134"/>
      <c r="D15" s="134"/>
      <c r="E15" s="134"/>
      <c r="F15" s="200"/>
      <c r="G15" s="239"/>
      <c r="H15" s="200"/>
      <c r="I15" s="134"/>
      <c r="J15" s="134"/>
      <c r="K15" s="134"/>
      <c r="L15" s="134"/>
      <c r="M15" s="134"/>
      <c r="N15" s="135"/>
    </row>
    <row r="18" spans="2:14" x14ac:dyDescent="0.25">
      <c r="B18" s="146" t="s">
        <v>68</v>
      </c>
      <c r="C18" s="146"/>
      <c r="D18" s="146"/>
      <c r="E18" s="146"/>
    </row>
    <row r="19" spans="2:14" x14ac:dyDescent="0.25">
      <c r="B19" s="126"/>
      <c r="C19" s="127"/>
      <c r="D19" s="127"/>
      <c r="E19" s="127"/>
      <c r="F19" s="213"/>
      <c r="G19" s="141"/>
      <c r="H19" s="198"/>
      <c r="I19" s="127"/>
      <c r="J19" s="127"/>
      <c r="K19" s="127"/>
      <c r="L19" s="127"/>
      <c r="M19" s="127"/>
      <c r="N19" s="128"/>
    </row>
    <row r="20" spans="2:14" x14ac:dyDescent="0.25">
      <c r="B20" s="129"/>
      <c r="C20" s="130"/>
      <c r="D20" s="130"/>
      <c r="E20" s="130"/>
      <c r="F20" s="217" t="s">
        <v>68</v>
      </c>
      <c r="G20" s="142"/>
      <c r="H20" s="199"/>
      <c r="I20" s="130"/>
      <c r="J20" s="130"/>
      <c r="K20" s="130"/>
      <c r="L20" s="130"/>
      <c r="M20" s="130"/>
      <c r="N20" s="131"/>
    </row>
    <row r="21" spans="2:14" ht="30" x14ac:dyDescent="0.25">
      <c r="B21" s="129"/>
      <c r="C21" s="175" t="s">
        <v>244</v>
      </c>
      <c r="D21" s="130"/>
      <c r="E21" s="130"/>
      <c r="F21" s="218" t="s">
        <v>10</v>
      </c>
      <c r="G21" s="165">
        <f>COB</f>
        <v>42521</v>
      </c>
      <c r="H21" s="199"/>
      <c r="I21" s="130"/>
      <c r="J21" s="130"/>
      <c r="K21" s="130"/>
      <c r="L21" s="130"/>
      <c r="M21" s="130"/>
      <c r="N21" s="131"/>
    </row>
    <row r="22" spans="2:14" ht="30" x14ac:dyDescent="0.25">
      <c r="B22" s="129"/>
      <c r="C22" s="175" t="s">
        <v>245</v>
      </c>
      <c r="D22" s="130"/>
      <c r="E22" s="130"/>
      <c r="F22" s="219" t="s">
        <v>16</v>
      </c>
      <c r="G22" s="166" t="s">
        <v>17</v>
      </c>
      <c r="H22" s="199"/>
      <c r="I22" s="130"/>
      <c r="J22" s="130"/>
      <c r="K22" s="130"/>
      <c r="L22" s="130"/>
      <c r="M22" s="130"/>
      <c r="N22" s="131"/>
    </row>
    <row r="23" spans="2:14" ht="45" x14ac:dyDescent="0.25">
      <c r="B23" s="129"/>
      <c r="C23" s="175" t="s">
        <v>280</v>
      </c>
      <c r="D23" s="130"/>
      <c r="E23" s="130"/>
      <c r="F23" s="219" t="s">
        <v>234</v>
      </c>
      <c r="G23" s="168" t="str">
        <f>interpolationFunction</f>
        <v>fn_SplineInterpolation</v>
      </c>
      <c r="H23" s="199"/>
      <c r="I23" s="130"/>
      <c r="J23" s="130"/>
      <c r="K23" s="130"/>
      <c r="L23" s="130"/>
      <c r="M23" s="130"/>
      <c r="N23" s="131"/>
    </row>
    <row r="24" spans="2:14" ht="45" x14ac:dyDescent="0.25">
      <c r="B24" s="129"/>
      <c r="C24" s="176" t="s">
        <v>279</v>
      </c>
      <c r="D24" s="130"/>
      <c r="E24" s="130"/>
      <c r="F24" s="219" t="s">
        <v>178</v>
      </c>
      <c r="G24" s="166" t="b">
        <v>1</v>
      </c>
      <c r="H24" s="199"/>
      <c r="I24" s="130"/>
      <c r="J24" s="130"/>
      <c r="K24" s="130"/>
      <c r="L24" s="130"/>
      <c r="M24" s="130"/>
      <c r="N24" s="131"/>
    </row>
    <row r="25" spans="2:14" ht="45" x14ac:dyDescent="0.25">
      <c r="B25" s="129"/>
      <c r="C25" s="180" t="s">
        <v>270</v>
      </c>
      <c r="D25" s="130"/>
      <c r="E25" s="130"/>
      <c r="F25" s="219" t="s">
        <v>177</v>
      </c>
      <c r="G25" s="166" t="s">
        <v>9</v>
      </c>
      <c r="H25" s="199"/>
      <c r="I25" s="130"/>
      <c r="J25" s="130"/>
      <c r="K25" s="130"/>
      <c r="L25" s="130"/>
      <c r="M25" s="130"/>
      <c r="N25" s="131"/>
    </row>
    <row r="26" spans="2:14" x14ac:dyDescent="0.25">
      <c r="B26" s="129"/>
      <c r="C26" s="185"/>
      <c r="D26" s="130"/>
      <c r="E26" s="130"/>
      <c r="F26" s="219"/>
      <c r="G26" s="166"/>
      <c r="H26" s="199"/>
      <c r="I26" s="130"/>
      <c r="J26" s="130"/>
      <c r="K26" s="130"/>
      <c r="L26" s="130"/>
      <c r="M26" s="130"/>
      <c r="N26" s="131"/>
    </row>
    <row r="27" spans="2:14" x14ac:dyDescent="0.25">
      <c r="B27" s="129"/>
      <c r="C27" s="181"/>
      <c r="D27" s="130"/>
      <c r="E27" s="130"/>
      <c r="F27" s="221"/>
      <c r="G27" s="167"/>
      <c r="H27" s="199"/>
      <c r="I27" s="130"/>
      <c r="J27" s="130"/>
      <c r="K27" s="130"/>
      <c r="L27" s="130"/>
      <c r="M27" s="130"/>
      <c r="N27" s="131"/>
    </row>
    <row r="28" spans="2:14" x14ac:dyDescent="0.25">
      <c r="B28" s="133"/>
      <c r="C28" s="134"/>
      <c r="D28" s="134"/>
      <c r="E28" s="134"/>
      <c r="F28" s="200"/>
      <c r="G28" s="239"/>
      <c r="H28" s="200"/>
      <c r="I28" s="134"/>
      <c r="J28" s="134"/>
      <c r="K28" s="134"/>
      <c r="L28" s="134"/>
      <c r="M28" s="134"/>
      <c r="N28" s="135"/>
    </row>
    <row r="31" spans="2:14" x14ac:dyDescent="0.25">
      <c r="B31" s="146" t="s">
        <v>118</v>
      </c>
      <c r="C31" s="146"/>
      <c r="D31" s="146"/>
      <c r="E31" s="146"/>
      <c r="L31" s="136"/>
    </row>
    <row r="32" spans="2:14" x14ac:dyDescent="0.25">
      <c r="B32" s="126"/>
      <c r="C32" s="127"/>
      <c r="D32" s="127"/>
      <c r="E32" s="127"/>
      <c r="F32" s="198"/>
      <c r="G32" s="240"/>
      <c r="H32" s="198"/>
      <c r="I32" s="113" t="s">
        <v>186</v>
      </c>
      <c r="J32" s="113"/>
      <c r="K32" s="127"/>
      <c r="L32" s="127"/>
      <c r="M32" s="127"/>
      <c r="N32" s="128"/>
    </row>
    <row r="33" spans="2:14" x14ac:dyDescent="0.25">
      <c r="B33" s="129"/>
      <c r="C33" s="130"/>
      <c r="D33" s="130"/>
      <c r="E33" s="130"/>
      <c r="F33" s="223" t="s">
        <v>211</v>
      </c>
      <c r="G33" s="159"/>
      <c r="H33" s="201"/>
      <c r="I33" s="143" t="s">
        <v>212</v>
      </c>
      <c r="J33" s="132"/>
      <c r="K33" s="132"/>
      <c r="L33" s="132"/>
      <c r="M33" s="132"/>
      <c r="N33" s="145"/>
    </row>
    <row r="34" spans="2:14" ht="45" x14ac:dyDescent="0.25">
      <c r="B34" s="129"/>
      <c r="C34" s="175" t="s">
        <v>281</v>
      </c>
      <c r="D34" s="130"/>
      <c r="E34" s="170"/>
      <c r="F34" s="218" t="s">
        <v>119</v>
      </c>
      <c r="G34" s="137" t="s">
        <v>210</v>
      </c>
      <c r="H34" s="201"/>
      <c r="I34" s="159" t="s">
        <v>11</v>
      </c>
      <c r="J34" s="159" t="s">
        <v>12</v>
      </c>
      <c r="K34" s="159" t="s">
        <v>233</v>
      </c>
      <c r="L34" s="159" t="s">
        <v>184</v>
      </c>
      <c r="M34" s="159" t="s">
        <v>185</v>
      </c>
      <c r="N34" s="145"/>
    </row>
    <row r="35" spans="2:14" ht="45" x14ac:dyDescent="0.25">
      <c r="B35" s="129"/>
      <c r="C35" s="175" t="s">
        <v>282</v>
      </c>
      <c r="D35" s="130"/>
      <c r="E35" s="444" t="s">
        <v>165</v>
      </c>
      <c r="F35" s="236" t="s">
        <v>121</v>
      </c>
      <c r="G35" s="169" t="b">
        <v>1</v>
      </c>
      <c r="H35" s="201"/>
      <c r="I35" s="155" t="s">
        <v>159</v>
      </c>
      <c r="J35" s="160">
        <v>1.4199999999999998E-3</v>
      </c>
      <c r="K35" s="188" t="b">
        <v>0</v>
      </c>
      <c r="L35" s="189" t="s">
        <v>181</v>
      </c>
      <c r="M35" s="190" t="str">
        <f>I35</f>
        <v>1Y</v>
      </c>
      <c r="N35" s="145"/>
    </row>
    <row r="36" spans="2:14" ht="30" x14ac:dyDescent="0.25">
      <c r="B36" s="129"/>
      <c r="C36" s="175" t="s">
        <v>283</v>
      </c>
      <c r="D36" s="130"/>
      <c r="E36" s="445"/>
      <c r="F36" s="219" t="s">
        <v>122</v>
      </c>
      <c r="G36" s="138" t="s">
        <v>2</v>
      </c>
      <c r="H36" s="201"/>
      <c r="I36" s="156" t="s">
        <v>47</v>
      </c>
      <c r="J36" s="161">
        <v>1.5E-3</v>
      </c>
      <c r="K36" s="191" t="b">
        <v>0</v>
      </c>
      <c r="L36" s="192" t="s">
        <v>181</v>
      </c>
      <c r="M36" s="193" t="str">
        <f>I36</f>
        <v>2Y</v>
      </c>
      <c r="N36" s="145"/>
    </row>
    <row r="37" spans="2:14" ht="30" x14ac:dyDescent="0.25">
      <c r="B37" s="129"/>
      <c r="C37" s="175" t="s">
        <v>284</v>
      </c>
      <c r="D37" s="130"/>
      <c r="E37" s="445"/>
      <c r="F37" s="219" t="s">
        <v>123</v>
      </c>
      <c r="G37" s="138" t="s">
        <v>124</v>
      </c>
      <c r="H37" s="201"/>
      <c r="I37" s="156" t="s">
        <v>43</v>
      </c>
      <c r="J37" s="161">
        <v>1.5300000000000001E-3</v>
      </c>
      <c r="K37" s="191" t="b">
        <v>0</v>
      </c>
      <c r="L37" s="192" t="s">
        <v>181</v>
      </c>
      <c r="M37" s="193" t="str">
        <f>I37</f>
        <v>3Y</v>
      </c>
      <c r="N37" s="145"/>
    </row>
    <row r="38" spans="2:14" ht="30" x14ac:dyDescent="0.25">
      <c r="B38" s="129"/>
      <c r="C38" s="175" t="s">
        <v>285</v>
      </c>
      <c r="D38" s="130"/>
      <c r="E38" s="445"/>
      <c r="F38" s="219" t="s">
        <v>125</v>
      </c>
      <c r="G38" s="152" t="s">
        <v>108</v>
      </c>
      <c r="H38" s="201"/>
      <c r="I38" s="156" t="s">
        <v>50</v>
      </c>
      <c r="J38" s="161">
        <v>1.5300000000000001E-3</v>
      </c>
      <c r="K38" s="191" t="b">
        <v>0</v>
      </c>
      <c r="L38" s="192" t="s">
        <v>181</v>
      </c>
      <c r="M38" s="193" t="str">
        <f t="shared" ref="M38:M48" si="0">I38</f>
        <v>4Y</v>
      </c>
      <c r="N38" s="145"/>
    </row>
    <row r="39" spans="2:14" ht="30" x14ac:dyDescent="0.25">
      <c r="B39" s="129"/>
      <c r="C39" s="175" t="s">
        <v>286</v>
      </c>
      <c r="D39" s="130"/>
      <c r="E39" s="445"/>
      <c r="F39" s="219" t="s">
        <v>126</v>
      </c>
      <c r="G39" s="152" t="s">
        <v>22</v>
      </c>
      <c r="H39" s="201"/>
      <c r="I39" s="156" t="s">
        <v>52</v>
      </c>
      <c r="J39" s="161">
        <v>1.5E-3</v>
      </c>
      <c r="K39" s="191" t="b">
        <v>0</v>
      </c>
      <c r="L39" s="192" t="s">
        <v>181</v>
      </c>
      <c r="M39" s="193" t="str">
        <f t="shared" si="0"/>
        <v>5Y</v>
      </c>
      <c r="N39" s="145"/>
    </row>
    <row r="40" spans="2:14" ht="30" x14ac:dyDescent="0.25">
      <c r="B40" s="129"/>
      <c r="C40" s="175" t="s">
        <v>296</v>
      </c>
      <c r="D40" s="130"/>
      <c r="E40" s="445"/>
      <c r="F40" s="219" t="s">
        <v>127</v>
      </c>
      <c r="G40" s="138" t="s">
        <v>101</v>
      </c>
      <c r="H40" s="201"/>
      <c r="I40" s="156" t="s">
        <v>54</v>
      </c>
      <c r="J40" s="161">
        <v>1.47E-3</v>
      </c>
      <c r="K40" s="191" t="b">
        <f t="shared" ref="K40:K48" si="1">ISNUMBER(L40)</f>
        <v>0</v>
      </c>
      <c r="L40" s="192" t="s">
        <v>181</v>
      </c>
      <c r="M40" s="193" t="str">
        <f t="shared" si="0"/>
        <v>6Y</v>
      </c>
      <c r="N40" s="145"/>
    </row>
    <row r="41" spans="2:14" ht="30" x14ac:dyDescent="0.25">
      <c r="B41" s="129"/>
      <c r="C41" s="175" t="s">
        <v>288</v>
      </c>
      <c r="D41" s="130"/>
      <c r="E41" s="445"/>
      <c r="F41" s="219" t="s">
        <v>128</v>
      </c>
      <c r="G41" s="138" t="s">
        <v>9</v>
      </c>
      <c r="H41" s="201"/>
      <c r="I41" s="156" t="s">
        <v>55</v>
      </c>
      <c r="J41" s="161">
        <v>1.41E-3</v>
      </c>
      <c r="K41" s="191" t="b">
        <f t="shared" si="1"/>
        <v>0</v>
      </c>
      <c r="L41" s="192" t="s">
        <v>181</v>
      </c>
      <c r="M41" s="193" t="str">
        <f t="shared" si="0"/>
        <v>7Y</v>
      </c>
      <c r="N41" s="145"/>
    </row>
    <row r="42" spans="2:14" ht="30" x14ac:dyDescent="0.25">
      <c r="B42" s="129"/>
      <c r="C42" s="175" t="s">
        <v>287</v>
      </c>
      <c r="D42" s="130"/>
      <c r="E42" s="445"/>
      <c r="F42" s="219" t="s">
        <v>129</v>
      </c>
      <c r="G42" s="138" t="s">
        <v>162</v>
      </c>
      <c r="H42" s="201"/>
      <c r="I42" s="156" t="s">
        <v>57</v>
      </c>
      <c r="J42" s="161">
        <v>1.34E-3</v>
      </c>
      <c r="K42" s="191" t="b">
        <f t="shared" si="1"/>
        <v>0</v>
      </c>
      <c r="L42" s="192" t="s">
        <v>181</v>
      </c>
      <c r="M42" s="193" t="str">
        <f t="shared" si="0"/>
        <v>8Y</v>
      </c>
      <c r="N42" s="145"/>
    </row>
    <row r="43" spans="2:14" ht="30" x14ac:dyDescent="0.25">
      <c r="B43" s="129"/>
      <c r="C43" s="175" t="s">
        <v>289</v>
      </c>
      <c r="D43" s="130"/>
      <c r="E43" s="445"/>
      <c r="F43" s="219" t="s">
        <v>130</v>
      </c>
      <c r="G43" s="152" t="s">
        <v>94</v>
      </c>
      <c r="H43" s="201"/>
      <c r="I43" s="156" t="s">
        <v>59</v>
      </c>
      <c r="J43" s="161">
        <v>1.2800000000000001E-3</v>
      </c>
      <c r="K43" s="191" t="b">
        <f t="shared" si="1"/>
        <v>0</v>
      </c>
      <c r="L43" s="192" t="s">
        <v>181</v>
      </c>
      <c r="M43" s="193" t="str">
        <f t="shared" si="0"/>
        <v>9Y</v>
      </c>
      <c r="N43" s="145"/>
    </row>
    <row r="44" spans="2:14" ht="30" x14ac:dyDescent="0.25">
      <c r="B44" s="129"/>
      <c r="C44" s="175" t="s">
        <v>290</v>
      </c>
      <c r="D44" s="130"/>
      <c r="E44" s="445"/>
      <c r="F44" s="219" t="s">
        <v>131</v>
      </c>
      <c r="G44" s="138" t="s">
        <v>124</v>
      </c>
      <c r="H44" s="201"/>
      <c r="I44" s="156" t="s">
        <v>60</v>
      </c>
      <c r="J44" s="161">
        <v>1.2199999999999999E-3</v>
      </c>
      <c r="K44" s="191" t="b">
        <f t="shared" si="1"/>
        <v>0</v>
      </c>
      <c r="L44" s="192" t="s">
        <v>181</v>
      </c>
      <c r="M44" s="193" t="str">
        <f t="shared" si="0"/>
        <v>10Y</v>
      </c>
      <c r="N44" s="145"/>
    </row>
    <row r="45" spans="2:14" ht="30" x14ac:dyDescent="0.25">
      <c r="B45" s="129"/>
      <c r="C45" s="175" t="s">
        <v>291</v>
      </c>
      <c r="D45" s="130"/>
      <c r="E45" s="445"/>
      <c r="F45" s="219" t="s">
        <v>132</v>
      </c>
      <c r="G45" s="138" t="s">
        <v>2</v>
      </c>
      <c r="H45" s="201"/>
      <c r="I45" s="156" t="s">
        <v>63</v>
      </c>
      <c r="J45" s="161">
        <v>9.3000000000000005E-4</v>
      </c>
      <c r="K45" s="191" t="b">
        <f t="shared" si="1"/>
        <v>0</v>
      </c>
      <c r="L45" s="192" t="s">
        <v>181</v>
      </c>
      <c r="M45" s="193" t="str">
        <f t="shared" si="0"/>
        <v>15Y</v>
      </c>
      <c r="N45" s="145"/>
    </row>
    <row r="46" spans="2:14" ht="30" x14ac:dyDescent="0.25">
      <c r="B46" s="129"/>
      <c r="C46" s="175" t="s">
        <v>292</v>
      </c>
      <c r="D46" s="130"/>
      <c r="E46" s="445"/>
      <c r="F46" s="219" t="s">
        <v>133</v>
      </c>
      <c r="G46" s="138" t="s">
        <v>91</v>
      </c>
      <c r="H46" s="201"/>
      <c r="I46" s="156" t="s">
        <v>64</v>
      </c>
      <c r="J46" s="161">
        <v>7.7999999999999999E-4</v>
      </c>
      <c r="K46" s="191" t="b">
        <f t="shared" si="1"/>
        <v>0</v>
      </c>
      <c r="L46" s="192" t="s">
        <v>181</v>
      </c>
      <c r="M46" s="193" t="str">
        <f t="shared" si="0"/>
        <v>20Y</v>
      </c>
      <c r="N46" s="145"/>
    </row>
    <row r="47" spans="2:14" ht="30" x14ac:dyDescent="0.25">
      <c r="B47" s="129"/>
      <c r="C47" s="175" t="s">
        <v>293</v>
      </c>
      <c r="D47" s="130"/>
      <c r="E47" s="445"/>
      <c r="F47" s="219" t="s">
        <v>134</v>
      </c>
      <c r="G47" s="138" t="s">
        <v>2</v>
      </c>
      <c r="H47" s="201"/>
      <c r="I47" s="156" t="s">
        <v>65</v>
      </c>
      <c r="J47" s="161">
        <v>6.9999999999999999E-4</v>
      </c>
      <c r="K47" s="191" t="b">
        <f t="shared" si="1"/>
        <v>0</v>
      </c>
      <c r="L47" s="192" t="s">
        <v>181</v>
      </c>
      <c r="M47" s="193" t="str">
        <f t="shared" si="0"/>
        <v>25Y</v>
      </c>
      <c r="N47" s="145"/>
    </row>
    <row r="48" spans="2:14" ht="30" x14ac:dyDescent="0.25">
      <c r="B48" s="129"/>
      <c r="C48" s="175" t="s">
        <v>294</v>
      </c>
      <c r="D48" s="130"/>
      <c r="E48" s="445"/>
      <c r="F48" s="219" t="s">
        <v>135</v>
      </c>
      <c r="G48" s="138">
        <v>2</v>
      </c>
      <c r="H48" s="201"/>
      <c r="I48" s="156" t="s">
        <v>66</v>
      </c>
      <c r="J48" s="161">
        <v>6.4000000000000005E-4</v>
      </c>
      <c r="K48" s="191" t="b">
        <f t="shared" si="1"/>
        <v>0</v>
      </c>
      <c r="L48" s="192" t="s">
        <v>181</v>
      </c>
      <c r="M48" s="193" t="str">
        <f t="shared" si="0"/>
        <v>30Y</v>
      </c>
      <c r="N48" s="145"/>
    </row>
    <row r="49" spans="2:16" ht="30" x14ac:dyDescent="0.25">
      <c r="B49" s="129"/>
      <c r="C49" s="175" t="s">
        <v>295</v>
      </c>
      <c r="D49" s="130"/>
      <c r="E49" s="446"/>
      <c r="F49" s="237" t="s">
        <v>136</v>
      </c>
      <c r="G49" s="152" t="s">
        <v>22</v>
      </c>
      <c r="H49" s="201"/>
      <c r="I49" s="156"/>
      <c r="J49" s="161"/>
      <c r="K49" s="191"/>
      <c r="L49" s="192"/>
      <c r="M49" s="193"/>
      <c r="N49" s="145"/>
    </row>
    <row r="50" spans="2:16" ht="30" x14ac:dyDescent="0.25">
      <c r="B50" s="129"/>
      <c r="C50" s="175" t="s">
        <v>297</v>
      </c>
      <c r="D50" s="130"/>
      <c r="E50" s="447" t="s">
        <v>166</v>
      </c>
      <c r="F50" s="236" t="s">
        <v>137</v>
      </c>
      <c r="G50" s="169" t="s">
        <v>2</v>
      </c>
      <c r="H50" s="201"/>
      <c r="I50" s="156"/>
      <c r="J50" s="161"/>
      <c r="K50" s="191"/>
      <c r="L50" s="192"/>
      <c r="M50" s="193"/>
      <c r="N50" s="145"/>
    </row>
    <row r="51" spans="2:16" ht="30" x14ac:dyDescent="0.25">
      <c r="B51" s="129"/>
      <c r="C51" s="175" t="s">
        <v>298</v>
      </c>
      <c r="D51" s="130"/>
      <c r="E51" s="448"/>
      <c r="F51" s="219" t="s">
        <v>138</v>
      </c>
      <c r="G51" s="138" t="s">
        <v>124</v>
      </c>
      <c r="H51" s="201"/>
      <c r="I51" s="156"/>
      <c r="J51" s="161"/>
      <c r="K51" s="191"/>
      <c r="L51" s="192"/>
      <c r="M51" s="193"/>
      <c r="N51" s="145"/>
    </row>
    <row r="52" spans="2:16" ht="30" x14ac:dyDescent="0.25">
      <c r="B52" s="129"/>
      <c r="C52" s="175" t="s">
        <v>299</v>
      </c>
      <c r="D52" s="130"/>
      <c r="E52" s="448"/>
      <c r="F52" s="219" t="s">
        <v>139</v>
      </c>
      <c r="G52" s="152" t="s">
        <v>26</v>
      </c>
      <c r="H52" s="201"/>
      <c r="I52" s="156"/>
      <c r="J52" s="161"/>
      <c r="K52" s="191"/>
      <c r="L52" s="192"/>
      <c r="M52" s="193"/>
      <c r="N52" s="145"/>
    </row>
    <row r="53" spans="2:16" ht="30" x14ac:dyDescent="0.25">
      <c r="B53" s="129"/>
      <c r="C53" s="175" t="s">
        <v>300</v>
      </c>
      <c r="D53" s="130"/>
      <c r="E53" s="448"/>
      <c r="F53" s="219" t="s">
        <v>140</v>
      </c>
      <c r="G53" s="152" t="s">
        <v>22</v>
      </c>
      <c r="H53" s="201"/>
      <c r="I53" s="156"/>
      <c r="J53" s="161"/>
      <c r="K53" s="191"/>
      <c r="L53" s="192"/>
      <c r="M53" s="193"/>
      <c r="N53" s="145"/>
    </row>
    <row r="54" spans="2:16" ht="30" x14ac:dyDescent="0.25">
      <c r="B54" s="129"/>
      <c r="C54" s="175" t="s">
        <v>301</v>
      </c>
      <c r="D54" s="130"/>
      <c r="E54" s="448"/>
      <c r="F54" s="219" t="s">
        <v>141</v>
      </c>
      <c r="G54" s="138" t="s">
        <v>101</v>
      </c>
      <c r="H54" s="202"/>
      <c r="I54" s="156"/>
      <c r="J54" s="161"/>
      <c r="K54" s="191"/>
      <c r="L54" s="192"/>
      <c r="M54" s="193"/>
      <c r="N54" s="145"/>
    </row>
    <row r="55" spans="2:16" ht="30" x14ac:dyDescent="0.25">
      <c r="B55" s="129"/>
      <c r="C55" s="175" t="s">
        <v>302</v>
      </c>
      <c r="D55" s="130"/>
      <c r="E55" s="448"/>
      <c r="F55" s="219" t="s">
        <v>142</v>
      </c>
      <c r="G55" s="138" t="s">
        <v>9</v>
      </c>
      <c r="H55" s="202"/>
      <c r="I55" s="156"/>
      <c r="J55" s="161"/>
      <c r="K55" s="191"/>
      <c r="L55" s="192"/>
      <c r="M55" s="193"/>
      <c r="N55" s="145"/>
    </row>
    <row r="56" spans="2:16" ht="30" x14ac:dyDescent="0.25">
      <c r="B56" s="129"/>
      <c r="C56" s="175" t="s">
        <v>303</v>
      </c>
      <c r="D56" s="130"/>
      <c r="E56" s="448"/>
      <c r="F56" s="219" t="s">
        <v>143</v>
      </c>
      <c r="G56" s="205" t="s">
        <v>82</v>
      </c>
      <c r="H56" s="203" t="s">
        <v>182</v>
      </c>
      <c r="I56" s="156"/>
      <c r="J56" s="161"/>
      <c r="K56" s="191"/>
      <c r="L56" s="192"/>
      <c r="M56" s="193"/>
      <c r="N56" s="145"/>
    </row>
    <row r="57" spans="2:16" ht="30" x14ac:dyDescent="0.25">
      <c r="B57" s="129"/>
      <c r="C57" s="175" t="s">
        <v>304</v>
      </c>
      <c r="D57" s="130"/>
      <c r="E57" s="448"/>
      <c r="F57" s="219" t="s">
        <v>144</v>
      </c>
      <c r="G57" s="152" t="s">
        <v>56</v>
      </c>
      <c r="H57" s="202"/>
      <c r="I57" s="156"/>
      <c r="J57" s="161"/>
      <c r="K57" s="191"/>
      <c r="L57" s="192"/>
      <c r="M57" s="193"/>
      <c r="N57" s="145"/>
      <c r="P57" s="115"/>
    </row>
    <row r="58" spans="2:16" ht="30" x14ac:dyDescent="0.25">
      <c r="B58" s="129"/>
      <c r="C58" s="175" t="s">
        <v>305</v>
      </c>
      <c r="D58" s="130"/>
      <c r="E58" s="448"/>
      <c r="F58" s="219" t="s">
        <v>146</v>
      </c>
      <c r="G58" s="138" t="s">
        <v>124</v>
      </c>
      <c r="H58" s="202"/>
      <c r="I58" s="156"/>
      <c r="J58" s="161"/>
      <c r="K58" s="191"/>
      <c r="L58" s="192"/>
      <c r="M58" s="193"/>
      <c r="N58" s="145"/>
      <c r="P58" s="115"/>
    </row>
    <row r="59" spans="2:16" ht="30" x14ac:dyDescent="0.25">
      <c r="B59" s="129"/>
      <c r="C59" s="175" t="s">
        <v>306</v>
      </c>
      <c r="D59" s="130"/>
      <c r="E59" s="448"/>
      <c r="F59" s="219" t="s">
        <v>147</v>
      </c>
      <c r="G59" s="138" t="s">
        <v>2</v>
      </c>
      <c r="H59" s="202"/>
      <c r="I59" s="156"/>
      <c r="J59" s="161"/>
      <c r="K59" s="191"/>
      <c r="L59" s="192"/>
      <c r="M59" s="193"/>
      <c r="N59" s="145"/>
      <c r="P59" s="115"/>
    </row>
    <row r="60" spans="2:16" ht="30" x14ac:dyDescent="0.25">
      <c r="B60" s="129"/>
      <c r="C60" s="175" t="s">
        <v>307</v>
      </c>
      <c r="D60" s="130"/>
      <c r="E60" s="448"/>
      <c r="F60" s="219" t="s">
        <v>148</v>
      </c>
      <c r="G60" s="138" t="s">
        <v>91</v>
      </c>
      <c r="H60" s="202"/>
      <c r="I60" s="156"/>
      <c r="J60" s="161"/>
      <c r="K60" s="191"/>
      <c r="L60" s="192"/>
      <c r="M60" s="193"/>
      <c r="N60" s="145"/>
      <c r="P60" s="115"/>
    </row>
    <row r="61" spans="2:16" ht="30" x14ac:dyDescent="0.25">
      <c r="B61" s="129"/>
      <c r="C61" s="175" t="s">
        <v>308</v>
      </c>
      <c r="D61" s="130"/>
      <c r="E61" s="448"/>
      <c r="F61" s="219" t="s">
        <v>149</v>
      </c>
      <c r="G61" s="138" t="s">
        <v>2</v>
      </c>
      <c r="H61" s="202"/>
      <c r="I61" s="156"/>
      <c r="J61" s="161"/>
      <c r="K61" s="191"/>
      <c r="L61" s="192"/>
      <c r="M61" s="193"/>
      <c r="N61" s="145"/>
      <c r="P61" s="115"/>
    </row>
    <row r="62" spans="2:16" ht="30" x14ac:dyDescent="0.25">
      <c r="B62" s="129"/>
      <c r="C62" s="175" t="s">
        <v>309</v>
      </c>
      <c r="D62" s="130"/>
      <c r="E62" s="448"/>
      <c r="F62" s="219" t="s">
        <v>150</v>
      </c>
      <c r="G62" s="138">
        <v>2</v>
      </c>
      <c r="H62" s="202"/>
      <c r="I62" s="156"/>
      <c r="J62" s="161"/>
      <c r="K62" s="191"/>
      <c r="L62" s="192"/>
      <c r="M62" s="193"/>
      <c r="N62" s="145"/>
      <c r="P62" s="115"/>
    </row>
    <row r="63" spans="2:16" ht="30" x14ac:dyDescent="0.25">
      <c r="B63" s="129"/>
      <c r="C63" s="175" t="s">
        <v>310</v>
      </c>
      <c r="D63" s="130"/>
      <c r="E63" s="449"/>
      <c r="F63" s="237" t="s">
        <v>151</v>
      </c>
      <c r="G63" s="152" t="s">
        <v>22</v>
      </c>
      <c r="H63" s="202"/>
      <c r="I63" s="156"/>
      <c r="J63" s="161"/>
      <c r="K63" s="191"/>
      <c r="L63" s="192"/>
      <c r="M63" s="193"/>
      <c r="N63" s="145"/>
      <c r="P63" s="115"/>
    </row>
    <row r="64" spans="2:16" ht="30" x14ac:dyDescent="0.25">
      <c r="B64" s="129"/>
      <c r="C64" s="175" t="s">
        <v>311</v>
      </c>
      <c r="D64" s="130"/>
      <c r="E64" s="450" t="str">
        <f>"Solving For :"&amp;CHAR(32)&amp;$H$64</f>
        <v>Solving For : &lt;--- Solver: Target</v>
      </c>
      <c r="F64" s="238" t="s">
        <v>152</v>
      </c>
      <c r="G64" s="204" t="s">
        <v>153</v>
      </c>
      <c r="H64" s="203" t="s">
        <v>183</v>
      </c>
      <c r="I64" s="156"/>
      <c r="J64" s="161"/>
      <c r="K64" s="191"/>
      <c r="L64" s="192"/>
      <c r="M64" s="193"/>
      <c r="N64" s="145"/>
      <c r="P64" s="115"/>
    </row>
    <row r="65" spans="2:16" ht="30" x14ac:dyDescent="0.25">
      <c r="B65" s="129"/>
      <c r="C65" s="176" t="s">
        <v>313</v>
      </c>
      <c r="D65" s="130"/>
      <c r="E65" s="451"/>
      <c r="F65" s="219" t="s">
        <v>112</v>
      </c>
      <c r="G65" s="138" t="b">
        <v>1</v>
      </c>
      <c r="H65" s="202"/>
      <c r="I65" s="156"/>
      <c r="J65" s="161"/>
      <c r="K65" s="191"/>
      <c r="L65" s="192"/>
      <c r="M65" s="193"/>
      <c r="N65" s="145"/>
      <c r="P65" s="115"/>
    </row>
    <row r="66" spans="2:16" ht="30" x14ac:dyDescent="0.25">
      <c r="B66" s="129"/>
      <c r="C66" s="176" t="s">
        <v>314</v>
      </c>
      <c r="D66" s="130"/>
      <c r="E66" s="451"/>
      <c r="F66" s="219" t="s">
        <v>154</v>
      </c>
      <c r="G66" s="168" t="str">
        <f>interpolationFunction</f>
        <v>fn_SplineInterpolation</v>
      </c>
      <c r="H66" s="202"/>
      <c r="I66" s="156"/>
      <c r="J66" s="161"/>
      <c r="K66" s="191"/>
      <c r="L66" s="192"/>
      <c r="M66" s="193"/>
      <c r="N66" s="145"/>
      <c r="P66" s="115"/>
    </row>
    <row r="67" spans="2:16" ht="45" x14ac:dyDescent="0.25">
      <c r="B67" s="129"/>
      <c r="C67" s="176" t="s">
        <v>315</v>
      </c>
      <c r="D67" s="130"/>
      <c r="E67" s="451"/>
      <c r="F67" s="219" t="s">
        <v>155</v>
      </c>
      <c r="G67" s="138" t="b">
        <v>1</v>
      </c>
      <c r="H67" s="202"/>
      <c r="I67" s="156"/>
      <c r="J67" s="161"/>
      <c r="K67" s="191"/>
      <c r="L67" s="192"/>
      <c r="M67" s="193"/>
      <c r="N67" s="145"/>
      <c r="P67" s="115"/>
    </row>
    <row r="68" spans="2:16" ht="45" x14ac:dyDescent="0.25">
      <c r="B68" s="129"/>
      <c r="C68" s="176" t="s">
        <v>316</v>
      </c>
      <c r="D68" s="130"/>
      <c r="E68" s="451"/>
      <c r="F68" s="219" t="s">
        <v>156</v>
      </c>
      <c r="G68" s="138" t="b">
        <v>1</v>
      </c>
      <c r="H68" s="202"/>
      <c r="I68" s="156"/>
      <c r="J68" s="161"/>
      <c r="K68" s="191"/>
      <c r="L68" s="192"/>
      <c r="M68" s="193"/>
      <c r="N68" s="145"/>
      <c r="P68" s="115"/>
    </row>
    <row r="69" spans="2:16" ht="45" x14ac:dyDescent="0.25">
      <c r="B69" s="129"/>
      <c r="C69" s="176" t="s">
        <v>317</v>
      </c>
      <c r="D69" s="130"/>
      <c r="E69" s="451"/>
      <c r="F69" s="219" t="s">
        <v>157</v>
      </c>
      <c r="G69" s="152" t="s">
        <v>56</v>
      </c>
      <c r="H69" s="202"/>
      <c r="I69" s="156"/>
      <c r="J69" s="161"/>
      <c r="K69" s="191"/>
      <c r="L69" s="192"/>
      <c r="M69" s="193"/>
      <c r="N69" s="145"/>
    </row>
    <row r="70" spans="2:16" ht="30" x14ac:dyDescent="0.25">
      <c r="B70" s="129"/>
      <c r="C70" s="176" t="s">
        <v>318</v>
      </c>
      <c r="D70" s="130"/>
      <c r="E70" s="451"/>
      <c r="F70" s="219" t="s">
        <v>158</v>
      </c>
      <c r="G70" s="138" t="b">
        <v>0</v>
      </c>
      <c r="H70" s="202"/>
      <c r="I70" s="156"/>
      <c r="J70" s="161"/>
      <c r="K70" s="191"/>
      <c r="L70" s="192"/>
      <c r="M70" s="193"/>
      <c r="N70" s="145"/>
    </row>
    <row r="71" spans="2:16" ht="30" x14ac:dyDescent="0.25">
      <c r="B71" s="129"/>
      <c r="C71" s="176" t="s">
        <v>258</v>
      </c>
      <c r="D71" s="130"/>
      <c r="E71" s="451"/>
      <c r="F71" s="219" t="s">
        <v>113</v>
      </c>
      <c r="G71" s="140">
        <v>1.0000000000000001E-9</v>
      </c>
      <c r="H71" s="202"/>
      <c r="I71" s="156"/>
      <c r="J71" s="161"/>
      <c r="K71" s="191"/>
      <c r="L71" s="192"/>
      <c r="M71" s="193"/>
      <c r="N71" s="145"/>
    </row>
    <row r="72" spans="2:16" ht="30" x14ac:dyDescent="0.25">
      <c r="B72" s="129"/>
      <c r="C72" s="177" t="s">
        <v>259</v>
      </c>
      <c r="D72" s="130"/>
      <c r="E72" s="451"/>
      <c r="F72" s="219" t="s">
        <v>114</v>
      </c>
      <c r="G72" s="164">
        <v>1000</v>
      </c>
      <c r="H72" s="202"/>
      <c r="I72" s="156"/>
      <c r="J72" s="161"/>
      <c r="K72" s="191"/>
      <c r="L72" s="192"/>
      <c r="M72" s="193"/>
      <c r="N72" s="145"/>
    </row>
    <row r="73" spans="2:16" x14ac:dyDescent="0.25">
      <c r="B73" s="129"/>
      <c r="C73" s="173"/>
      <c r="D73" s="130"/>
      <c r="E73" s="451"/>
      <c r="F73" s="219"/>
      <c r="G73" s="138"/>
      <c r="H73" s="202"/>
      <c r="I73" s="156"/>
      <c r="J73" s="161"/>
      <c r="K73" s="191"/>
      <c r="L73" s="192"/>
      <c r="M73" s="193"/>
      <c r="N73" s="145"/>
    </row>
    <row r="74" spans="2:16" x14ac:dyDescent="0.25">
      <c r="B74" s="129"/>
      <c r="C74" s="173"/>
      <c r="D74" s="130"/>
      <c r="E74" s="451"/>
      <c r="F74" s="219"/>
      <c r="G74" s="138"/>
      <c r="H74" s="202"/>
      <c r="I74" s="156"/>
      <c r="J74" s="161"/>
      <c r="K74" s="191"/>
      <c r="L74" s="192"/>
      <c r="M74" s="193"/>
      <c r="N74" s="145"/>
    </row>
    <row r="75" spans="2:16" x14ac:dyDescent="0.25">
      <c r="B75" s="129"/>
      <c r="C75" s="173"/>
      <c r="D75" s="130"/>
      <c r="E75" s="451"/>
      <c r="F75" s="219"/>
      <c r="G75" s="138"/>
      <c r="H75" s="202"/>
      <c r="I75" s="156"/>
      <c r="J75" s="161"/>
      <c r="K75" s="191"/>
      <c r="L75" s="192"/>
      <c r="M75" s="193"/>
      <c r="N75" s="145"/>
    </row>
    <row r="76" spans="2:16" x14ac:dyDescent="0.25">
      <c r="B76" s="129"/>
      <c r="C76" s="174"/>
      <c r="D76" s="130"/>
      <c r="E76" s="452"/>
      <c r="F76" s="225"/>
      <c r="G76" s="235"/>
      <c r="H76" s="202"/>
      <c r="I76" s="157"/>
      <c r="J76" s="162"/>
      <c r="K76" s="194"/>
      <c r="L76" s="195"/>
      <c r="M76" s="196"/>
      <c r="N76" s="145"/>
    </row>
    <row r="77" spans="2:16" x14ac:dyDescent="0.25">
      <c r="B77" s="129"/>
      <c r="C77" s="130"/>
      <c r="D77" s="130"/>
      <c r="E77" s="130"/>
      <c r="F77" s="202"/>
      <c r="G77" s="241"/>
      <c r="H77" s="202"/>
      <c r="I77" s="132" t="s">
        <v>4</v>
      </c>
      <c r="J77" s="132" t="s">
        <v>4</v>
      </c>
      <c r="K77" s="159" t="s">
        <v>4</v>
      </c>
      <c r="L77" s="109" t="s">
        <v>4</v>
      </c>
      <c r="M77" s="110" t="s">
        <v>4</v>
      </c>
      <c r="N77" s="145"/>
    </row>
    <row r="78" spans="2:16" x14ac:dyDescent="0.25">
      <c r="B78" s="133"/>
      <c r="C78" s="134"/>
      <c r="D78" s="134"/>
      <c r="E78" s="134"/>
      <c r="F78" s="200"/>
      <c r="G78" s="239"/>
      <c r="H78" s="200"/>
      <c r="I78" s="134"/>
      <c r="J78" s="134"/>
      <c r="K78" s="134"/>
      <c r="L78" s="134"/>
      <c r="M78" s="134"/>
      <c r="N78" s="135"/>
    </row>
  </sheetData>
  <mergeCells count="3">
    <mergeCell ref="E35:E49"/>
    <mergeCell ref="E50:E63"/>
    <mergeCell ref="E64:E76"/>
  </mergeCells>
  <dataValidations disablePrompts="1" count="4">
    <dataValidation type="list" allowBlank="1" showInputMessage="1" showErrorMessage="1" sqref="G66 G23">
      <formula1>"fn_StepInterpolation,fn_LinearInterpolation,fn_MonotoneConvexInterpolation,fn_SplineInterpolation,fn_ConstrainedSplineInterpolation"</formula1>
    </dataValidation>
    <dataValidation type="list" allowBlank="1" showInputMessage="1" showErrorMessage="1" sqref="G37 G63 G53 G49 G39">
      <formula1>"FOLLOWING,MOD_FOLLOWING,PRECEDING,MOD_PRECEEDING,NO_CHANGE"</formula1>
    </dataValidation>
    <dataValidation type="list" allowBlank="1" showInputMessage="1" showErrorMessage="1" sqref="G52 G38">
      <formula1>"Annual,Semi-Annual,Quarterly,Monthly"</formula1>
    </dataValidation>
    <dataValidation type="list" allowBlank="1" showInputMessage="1" showErrorMessage="1" sqref="G24">
      <formula1>"TRUE,FALSE"</formula1>
    </dataValidation>
  </dataValidations>
  <pageMargins left="0.7" right="0.7" top="0.75" bottom="0.75" header="0.3" footer="0.3"/>
  <pageSetup paperSize="9" orientation="portrait" r:id="rId1"/>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5" tint="0.39997558519241921"/>
  </sheetPr>
  <dimension ref="A2:R1516"/>
  <sheetViews>
    <sheetView showGridLines="0" workbookViewId="0"/>
  </sheetViews>
  <sheetFormatPr defaultRowHeight="15" x14ac:dyDescent="0.25"/>
  <cols>
    <col min="1" max="1" width="9.140625" style="88"/>
    <col min="2" max="2" width="2.7109375" customWidth="1"/>
    <col min="3" max="3" width="15.7109375" customWidth="1"/>
    <col min="4" max="4" width="20.7109375" customWidth="1"/>
    <col min="5" max="5" width="2.7109375" customWidth="1"/>
    <col min="6" max="7" width="20.7109375" customWidth="1"/>
    <col min="8" max="8" width="2.7109375" customWidth="1"/>
    <col min="9" max="10" width="20.7109375" customWidth="1"/>
    <col min="11" max="11" width="2.7109375" customWidth="1"/>
    <col min="12" max="12" width="15.7109375" customWidth="1"/>
    <col min="13" max="13" width="20.7109375" customWidth="1"/>
    <col min="14" max="14" width="2.7109375" customWidth="1"/>
    <col min="15" max="16" width="20.7109375" customWidth="1"/>
    <col min="17" max="18" width="2.7109375" customWidth="1"/>
    <col min="19" max="20" width="15.7109375" customWidth="1"/>
  </cols>
  <sheetData>
    <row r="2" spans="1:18" s="242" customFormat="1" ht="23.25" x14ac:dyDescent="0.35">
      <c r="A2" s="284"/>
      <c r="B2" s="281" t="s">
        <v>439</v>
      </c>
    </row>
    <row r="5" spans="1:18" x14ac:dyDescent="0.25">
      <c r="B5" s="40" t="s">
        <v>238</v>
      </c>
    </row>
    <row r="6" spans="1:18" x14ac:dyDescent="0.25">
      <c r="B6" s="79"/>
      <c r="C6" s="80"/>
      <c r="D6" s="80"/>
      <c r="E6" s="80"/>
      <c r="F6" s="80"/>
      <c r="G6" s="80"/>
      <c r="H6" s="80"/>
      <c r="I6" s="80"/>
      <c r="J6" s="80"/>
      <c r="K6" s="80"/>
      <c r="L6" s="80"/>
      <c r="M6" s="80"/>
      <c r="N6" s="80"/>
      <c r="O6" s="80"/>
      <c r="P6" s="80"/>
      <c r="Q6" s="80"/>
      <c r="R6" s="81"/>
    </row>
    <row r="7" spans="1:18" x14ac:dyDescent="0.25">
      <c r="B7" s="82"/>
      <c r="C7" s="77" t="s">
        <v>9</v>
      </c>
      <c r="D7" s="5"/>
      <c r="E7" s="5"/>
      <c r="F7" s="77" t="s">
        <v>201</v>
      </c>
      <c r="G7" s="5"/>
      <c r="H7" s="5"/>
      <c r="I7" s="77" t="s">
        <v>170</v>
      </c>
      <c r="J7" s="5"/>
      <c r="K7" s="5"/>
      <c r="L7" s="77" t="s">
        <v>162</v>
      </c>
      <c r="M7" s="5"/>
      <c r="N7" s="5"/>
      <c r="O7" s="77" t="s">
        <v>208</v>
      </c>
      <c r="P7" s="5"/>
      <c r="Q7" s="5"/>
      <c r="R7" s="83"/>
    </row>
    <row r="8" spans="1:18" x14ac:dyDescent="0.25">
      <c r="B8" s="82"/>
      <c r="C8" s="84" t="s">
        <v>80</v>
      </c>
      <c r="D8" s="85" t="s">
        <v>78</v>
      </c>
      <c r="E8" s="5"/>
      <c r="F8" s="84" t="s">
        <v>80</v>
      </c>
      <c r="G8" s="85" t="s">
        <v>78</v>
      </c>
      <c r="H8" s="5"/>
      <c r="I8" s="84" t="s">
        <v>80</v>
      </c>
      <c r="J8" s="85" t="s">
        <v>78</v>
      </c>
      <c r="K8" s="5"/>
      <c r="L8" s="84" t="s">
        <v>80</v>
      </c>
      <c r="M8" s="85" t="s">
        <v>78</v>
      </c>
      <c r="N8" s="5"/>
      <c r="O8" s="84" t="s">
        <v>80</v>
      </c>
      <c r="P8" s="85" t="s">
        <v>78</v>
      </c>
      <c r="Q8" s="5"/>
      <c r="R8" s="83"/>
    </row>
    <row r="9" spans="1:18" x14ac:dyDescent="0.25">
      <c r="B9" s="82"/>
      <c r="C9" s="86" t="s">
        <v>168</v>
      </c>
      <c r="D9" s="87" t="s">
        <v>198</v>
      </c>
      <c r="E9" s="5"/>
      <c r="F9" s="86" t="s">
        <v>168</v>
      </c>
      <c r="G9" s="87" t="str">
        <f>F7</f>
        <v>EUR1ML</v>
      </c>
      <c r="H9" s="5"/>
      <c r="I9" s="86" t="s">
        <v>168</v>
      </c>
      <c r="J9" s="87" t="str">
        <f>I7</f>
        <v>EUR3ML</v>
      </c>
      <c r="K9" s="5"/>
      <c r="L9" s="86" t="s">
        <v>168</v>
      </c>
      <c r="M9" s="87" t="str">
        <f>L7</f>
        <v>EUR6ML</v>
      </c>
      <c r="N9" s="5"/>
      <c r="O9" s="86" t="s">
        <v>168</v>
      </c>
      <c r="P9" s="87" t="str">
        <f>O7</f>
        <v>EUR12ML</v>
      </c>
      <c r="Q9" s="5"/>
      <c r="R9" s="83"/>
    </row>
    <row r="10" spans="1:18" x14ac:dyDescent="0.25">
      <c r="B10" s="82"/>
      <c r="C10" s="89" t="s">
        <v>169</v>
      </c>
      <c r="D10" s="90" t="b">
        <v>1</v>
      </c>
      <c r="E10" s="5"/>
      <c r="F10" s="89" t="s">
        <v>169</v>
      </c>
      <c r="G10" s="90" t="b">
        <v>1</v>
      </c>
      <c r="H10" s="5"/>
      <c r="I10" s="89" t="s">
        <v>169</v>
      </c>
      <c r="J10" s="90" t="b">
        <v>1</v>
      </c>
      <c r="K10" s="5"/>
      <c r="L10" s="89" t="s">
        <v>169</v>
      </c>
      <c r="M10" s="90" t="b">
        <v>1</v>
      </c>
      <c r="N10" s="5"/>
      <c r="O10" s="89" t="s">
        <v>169</v>
      </c>
      <c r="P10" s="90" t="b">
        <v>1</v>
      </c>
      <c r="Q10" s="5"/>
      <c r="R10" s="83"/>
    </row>
    <row r="11" spans="1:18" x14ac:dyDescent="0.25">
      <c r="B11" s="82"/>
      <c r="C11" s="5"/>
      <c r="D11" s="91"/>
      <c r="E11" s="91"/>
      <c r="F11" s="5"/>
      <c r="G11" s="5"/>
      <c r="H11" s="91"/>
      <c r="I11" s="5"/>
      <c r="J11" s="5"/>
      <c r="K11" s="5"/>
      <c r="L11" s="5"/>
      <c r="M11" s="5"/>
      <c r="N11" s="5"/>
      <c r="O11" s="5"/>
      <c r="P11" s="5"/>
      <c r="Q11" s="5"/>
      <c r="R11" s="83"/>
    </row>
    <row r="12" spans="1:18" x14ac:dyDescent="0.25">
      <c r="B12" s="82"/>
      <c r="C12" s="5"/>
      <c r="D12" s="91"/>
      <c r="E12" s="91"/>
      <c r="F12" s="5"/>
      <c r="G12" s="91"/>
      <c r="H12" s="91"/>
      <c r="I12" s="5"/>
      <c r="J12" s="5"/>
      <c r="K12" s="5"/>
      <c r="L12" s="5"/>
      <c r="M12" s="5"/>
      <c r="N12" s="5"/>
      <c r="O12" s="5"/>
      <c r="P12" s="5"/>
      <c r="Q12" s="5"/>
      <c r="R12" s="83"/>
    </row>
    <row r="13" spans="1:18" x14ac:dyDescent="0.25">
      <c r="B13" s="82"/>
      <c r="C13" s="77" t="str">
        <f>C7&amp;" Forwards"</f>
        <v>OIS Forwards</v>
      </c>
      <c r="D13" s="5"/>
      <c r="E13" s="5"/>
      <c r="F13" s="77" t="str">
        <f>F7&amp;" Forwards"</f>
        <v>EUR1ML Forwards</v>
      </c>
      <c r="G13" s="5"/>
      <c r="H13" s="5"/>
      <c r="I13" s="77" t="str">
        <f>I7&amp;" Forwards"</f>
        <v>EUR3ML Forwards</v>
      </c>
      <c r="J13" s="5"/>
      <c r="K13" s="5"/>
      <c r="L13" s="77" t="str">
        <f>L7&amp;" Forwards"</f>
        <v>EUR6ML Forwards</v>
      </c>
      <c r="M13" s="5"/>
      <c r="N13" s="5"/>
      <c r="O13" s="77" t="str">
        <f>O7&amp;" Forwards"</f>
        <v>EUR12ML Forwards</v>
      </c>
      <c r="P13" s="5"/>
      <c r="Q13" s="5"/>
      <c r="R13" s="83"/>
    </row>
    <row r="14" spans="1:18" x14ac:dyDescent="0.25">
      <c r="B14" s="82"/>
      <c r="C14" s="92" t="s">
        <v>438</v>
      </c>
      <c r="D14" s="92" t="s">
        <v>238</v>
      </c>
      <c r="E14" s="92"/>
      <c r="F14" s="172" t="s">
        <v>438</v>
      </c>
      <c r="G14" s="92" t="s">
        <v>238</v>
      </c>
      <c r="H14" s="92"/>
      <c r="I14" s="172" t="s">
        <v>438</v>
      </c>
      <c r="J14" s="92" t="s">
        <v>238</v>
      </c>
      <c r="K14" s="5"/>
      <c r="L14" s="172" t="s">
        <v>438</v>
      </c>
      <c r="M14" s="92" t="s">
        <v>238</v>
      </c>
      <c r="N14" s="5"/>
      <c r="O14" s="172" t="s">
        <v>438</v>
      </c>
      <c r="P14" s="92" t="s">
        <v>238</v>
      </c>
      <c r="Q14" s="5"/>
      <c r="R14" s="83"/>
    </row>
    <row r="15" spans="1:18" x14ac:dyDescent="0.25">
      <c r="A15" s="88">
        <v>1</v>
      </c>
      <c r="B15" s="82"/>
      <c r="C15" s="93">
        <f>COB</f>
        <v>42521</v>
      </c>
      <c r="D15" s="94">
        <f t="array" aca="1" ref="D15:D1514" ca="1">IF(AND(isEUROISLoaded,D$10,NOW()),_xll.meCurveForwardRates(C$15:C$1514,D$8,D$9))</f>
        <v>-3.4440720624618892E-3</v>
      </c>
      <c r="E15" s="92"/>
      <c r="F15" s="93">
        <f>COB</f>
        <v>42521</v>
      </c>
      <c r="G15" s="94">
        <f t="array" aca="1" ref="G15:G1514" ca="1">IF(AND(isEUROISLoaded,G$10,NOW()),_xll.meCurveForwardRates(F$15:F$1514,G$8,G$9))</f>
        <v>-3.4874538955719106E-3</v>
      </c>
      <c r="H15" s="92" t="s">
        <v>4</v>
      </c>
      <c r="I15" s="93">
        <f>COB</f>
        <v>42521</v>
      </c>
      <c r="J15" s="94">
        <f t="array" aca="1" ref="J15:J1514" ca="1">IF(AND(isEUROISLoaded,J$10,NOW()),_xll.meCurveForwardRates(I$15:I$1514,J$8,J$9))</f>
        <v>-2.6065362128172933E-3</v>
      </c>
      <c r="K15" s="5" t="s">
        <v>4</v>
      </c>
      <c r="L15" s="93">
        <f>COB</f>
        <v>42521</v>
      </c>
      <c r="M15" s="94">
        <f t="array" aca="1" ref="M15:M1514" ca="1">IF(AND(isEUROISLoaded,M$10,NOW()),_xll.meCurveForwardRates(L$15:L$1514,M$8,M$9))</f>
        <v>-1.529999997903044E-3</v>
      </c>
      <c r="N15" s="5" t="s">
        <v>4</v>
      </c>
      <c r="O15" s="93">
        <f>COB</f>
        <v>42521</v>
      </c>
      <c r="P15" s="94">
        <f t="array" aca="1" ref="P15:P1514" ca="1">IF(AND(isEUROISLoaded,P$10,NOW()),_xll.meCurveForwardRates(O$15:O$1514,P$8,P$9))</f>
        <v>-1.484155408285231E-4</v>
      </c>
      <c r="Q15" s="5" t="s">
        <v>4</v>
      </c>
      <c r="R15" s="83" t="s">
        <v>4</v>
      </c>
    </row>
    <row r="16" spans="1:18" x14ac:dyDescent="0.25">
      <c r="A16" s="88">
        <v>2</v>
      </c>
      <c r="B16" s="82"/>
      <c r="C16" s="97">
        <f ca="1">_xll.meDateFromTenor(C15,"1D","FOLLOWING","TGT")</f>
        <v>42522</v>
      </c>
      <c r="D16" s="95">
        <f ca="1"/>
        <v>-3.4440720625016352E-3</v>
      </c>
      <c r="E16" s="92"/>
      <c r="F16" s="97">
        <f ca="1">_xll.meDateFromTenor(F15,"1D","FOLLOWING","TGT")</f>
        <v>42522</v>
      </c>
      <c r="G16" s="95">
        <f ca="1"/>
        <v>-3.4887271197833456E-3</v>
      </c>
      <c r="H16" s="92" t="s">
        <v>4</v>
      </c>
      <c r="I16" s="97">
        <f ca="1">_xll.meDateFromTenor(I15,"1D","FOLLOWING","TGT")</f>
        <v>42522</v>
      </c>
      <c r="J16" s="95">
        <f ca="1"/>
        <v>-2.6082681064085378E-3</v>
      </c>
      <c r="K16" s="5" t="s">
        <v>4</v>
      </c>
      <c r="L16" s="97">
        <f ca="1">_xll.meDateFromTenor(L15,"1D","FOLLOWING","TGT")</f>
        <v>42522</v>
      </c>
      <c r="M16" s="95">
        <f ca="1"/>
        <v>-1.5299968056961062E-3</v>
      </c>
      <c r="N16" s="5" t="s">
        <v>4</v>
      </c>
      <c r="O16" s="97">
        <f ca="1">_xll.meDateFromTenor(O15,"1D","FOLLOWING","TGT")</f>
        <v>42522</v>
      </c>
      <c r="P16" s="95">
        <f ca="1"/>
        <v>-1.4920773826929294E-4</v>
      </c>
      <c r="Q16" s="5" t="s">
        <v>4</v>
      </c>
      <c r="R16" s="83" t="s">
        <v>4</v>
      </c>
    </row>
    <row r="17" spans="1:18" x14ac:dyDescent="0.25">
      <c r="A17" s="88">
        <v>3</v>
      </c>
      <c r="B17" s="82"/>
      <c r="C17" s="97">
        <f ca="1">_xll.meDateFromTenor(C16,"1D","FOLLOWING","TGT")</f>
        <v>42523</v>
      </c>
      <c r="D17" s="95">
        <f ca="1"/>
        <v>-3.3942425462049064E-3</v>
      </c>
      <c r="E17" s="92"/>
      <c r="F17" s="97">
        <f ca="1">_xll.meDateFromTenor(F16,"1D","FOLLOWING","TGT")</f>
        <v>42523</v>
      </c>
      <c r="G17" s="95">
        <f ca="1"/>
        <v>-3.4899996600854448E-3</v>
      </c>
      <c r="H17" s="92" t="s">
        <v>4</v>
      </c>
      <c r="I17" s="97">
        <f ca="1">_xll.meDateFromTenor(I16,"1D","FOLLOWING","TGT")</f>
        <v>42523</v>
      </c>
      <c r="J17" s="95">
        <f ca="1"/>
        <v>-2.6099999999998199E-3</v>
      </c>
      <c r="K17" s="5" t="s">
        <v>4</v>
      </c>
      <c r="L17" s="97">
        <f ca="1">_xll.meDateFromTenor(L16,"1D","FOLLOWING","TGT")</f>
        <v>42523</v>
      </c>
      <c r="M17" s="95">
        <f ca="1"/>
        <v>-1.529999997903044E-3</v>
      </c>
      <c r="N17" s="5" t="s">
        <v>4</v>
      </c>
      <c r="O17" s="97">
        <f ca="1">_xll.meDateFromTenor(O16,"1D","FOLLOWING","TGT")</f>
        <v>42523</v>
      </c>
      <c r="P17" s="95">
        <f ca="1"/>
        <v>-1.4999996589647399E-4</v>
      </c>
      <c r="Q17" s="5" t="s">
        <v>4</v>
      </c>
      <c r="R17" s="83" t="s">
        <v>4</v>
      </c>
    </row>
    <row r="18" spans="1:18" x14ac:dyDescent="0.25">
      <c r="A18" s="88">
        <v>4</v>
      </c>
      <c r="B18" s="82"/>
      <c r="C18" s="97">
        <f ca="1">_xll.meDateFromTenor(C17,"1D","FOLLOWING","TGT")</f>
        <v>42524</v>
      </c>
      <c r="D18" s="95">
        <f ca="1"/>
        <v>-3.3896203136407621E-3</v>
      </c>
      <c r="E18" s="92"/>
      <c r="F18" s="97">
        <f ca="1">_xll.meDateFromTenor(F17,"1D","FOLLOWING","TGT")</f>
        <v>42524</v>
      </c>
      <c r="G18" s="95">
        <f ca="1"/>
        <v>-3.4912722003875435E-3</v>
      </c>
      <c r="H18" s="92" t="s">
        <v>4</v>
      </c>
      <c r="I18" s="97">
        <f ca="1">_xll.meDateFromTenor(I17,"1D","FOLLOWING","TGT")</f>
        <v>42524</v>
      </c>
      <c r="J18" s="95">
        <f ca="1"/>
        <v>-2.6117318935911012E-3</v>
      </c>
      <c r="K18" s="5" t="s">
        <v>4</v>
      </c>
      <c r="L18" s="97">
        <f ca="1">_xll.meDateFromTenor(L17,"1D","FOLLOWING","TGT")</f>
        <v>42524</v>
      </c>
      <c r="M18" s="95">
        <f ca="1"/>
        <v>-1.5300363791620317E-3</v>
      </c>
      <c r="N18" s="5" t="s">
        <v>4</v>
      </c>
      <c r="O18" s="97">
        <f ca="1">_xll.meDateFromTenor(O17,"1D","FOLLOWING","TGT")</f>
        <v>42524</v>
      </c>
      <c r="P18" s="95">
        <f ca="1"/>
        <v>-1.5079219352365499E-4</v>
      </c>
      <c r="Q18" s="5" t="s">
        <v>4</v>
      </c>
      <c r="R18" s="83" t="s">
        <v>4</v>
      </c>
    </row>
    <row r="19" spans="1:18" x14ac:dyDescent="0.25">
      <c r="A19" s="88">
        <v>5</v>
      </c>
      <c r="B19" s="82"/>
      <c r="C19" s="97">
        <f ca="1">_xll.meDateFromTenor(C18,"1D","FOLLOWING","TGT")</f>
        <v>42527</v>
      </c>
      <c r="D19" s="95">
        <f ca="1"/>
        <v>-3.3942425461650494E-3</v>
      </c>
      <c r="E19" s="92"/>
      <c r="F19" s="97">
        <f ca="1">_xll.meDateFromTenor(F18,"1D","FOLLOWING","TGT")</f>
        <v>42527</v>
      </c>
      <c r="G19" s="95">
        <f ca="1"/>
        <v>-3.495096660387199E-3</v>
      </c>
      <c r="H19" s="92" t="s">
        <v>4</v>
      </c>
      <c r="I19" s="97">
        <f ca="1">_xll.meDateFromTenor(I18,"1D","FOLLOWING","TGT")</f>
        <v>42527</v>
      </c>
      <c r="J19" s="95">
        <f ca="1"/>
        <v>-2.6169275743646932E-3</v>
      </c>
      <c r="K19" s="5" t="s">
        <v>4</v>
      </c>
      <c r="L19" s="97">
        <f ca="1">_xll.meDateFromTenor(L18,"1D","FOLLOWING","TGT")</f>
        <v>42527</v>
      </c>
      <c r="M19" s="95">
        <f ca="1"/>
        <v>-1.5304661236528923E-3</v>
      </c>
      <c r="N19" s="5" t="s">
        <v>4</v>
      </c>
      <c r="O19" s="97">
        <f ca="1">_xll.meDateFromTenor(O18,"1D","FOLLOWING","TGT")</f>
        <v>42527</v>
      </c>
      <c r="P19" s="95">
        <f ca="1"/>
        <v>-1.5316857454108663E-4</v>
      </c>
      <c r="Q19" s="5" t="s">
        <v>4</v>
      </c>
      <c r="R19" s="83" t="s">
        <v>4</v>
      </c>
    </row>
    <row r="20" spans="1:18" x14ac:dyDescent="0.25">
      <c r="A20" s="88">
        <v>6</v>
      </c>
      <c r="B20" s="82"/>
      <c r="C20" s="97">
        <f ca="1">_xll.meDateFromTenor(C19,"1D","FOLLOWING","TGT")</f>
        <v>42528</v>
      </c>
      <c r="D20" s="95">
        <f ca="1"/>
        <v>-3.3942425462447634E-3</v>
      </c>
      <c r="E20" s="92"/>
      <c r="F20" s="97">
        <f ca="1">_xll.meDateFromTenor(F19,"1D","FOLLOWING","TGT")</f>
        <v>42528</v>
      </c>
      <c r="G20" s="95">
        <f ca="1"/>
        <v>-3.4963760397826557E-3</v>
      </c>
      <c r="H20" s="92" t="s">
        <v>4</v>
      </c>
      <c r="I20" s="97">
        <f ca="1">_xll.meDateFromTenor(I19,"1D","FOLLOWING","TGT")</f>
        <v>42528</v>
      </c>
      <c r="J20" s="95">
        <f ca="1"/>
        <v>-2.618659467955863E-3</v>
      </c>
      <c r="K20" s="5" t="s">
        <v>4</v>
      </c>
      <c r="L20" s="97">
        <f ca="1">_xll.meDateFromTenor(L19,"1D","FOLLOWING","TGT")</f>
        <v>42528</v>
      </c>
      <c r="M20" s="95">
        <f ca="1"/>
        <v>-1.5307104788161679E-3</v>
      </c>
      <c r="N20" s="5" t="s">
        <v>4</v>
      </c>
      <c r="O20" s="97">
        <f ca="1">_xll.meDateFromTenor(O19,"1D","FOLLOWING","TGT")</f>
        <v>42528</v>
      </c>
      <c r="P20" s="95">
        <f ca="1"/>
        <v>-1.5396050030415628E-4</v>
      </c>
      <c r="Q20" s="5" t="s">
        <v>4</v>
      </c>
      <c r="R20" s="83" t="s">
        <v>4</v>
      </c>
    </row>
    <row r="21" spans="1:18" x14ac:dyDescent="0.25">
      <c r="A21" s="88">
        <v>7</v>
      </c>
      <c r="B21" s="82"/>
      <c r="C21" s="97">
        <f ca="1">_xll.meDateFromTenor(C20,"1D","FOLLOWING","TGT")</f>
        <v>42529</v>
      </c>
      <c r="D21" s="95">
        <f ca="1"/>
        <v>-3.3942425462049064E-3</v>
      </c>
      <c r="E21" s="92"/>
      <c r="F21" s="97">
        <f ca="1">_xll.meDateFromTenor(F20,"1D","FOLLOWING","TGT")</f>
        <v>42529</v>
      </c>
      <c r="G21" s="95">
        <f ca="1"/>
        <v>-3.4976588387247917E-3</v>
      </c>
      <c r="H21" s="92" t="s">
        <v>4</v>
      </c>
      <c r="I21" s="97">
        <f ca="1">_xll.meDateFromTenor(I20,"1D","FOLLOWING","TGT")</f>
        <v>42529</v>
      </c>
      <c r="J21" s="95">
        <f ca="1"/>
        <v>-2.6203913615470398E-3</v>
      </c>
      <c r="K21" s="5" t="s">
        <v>4</v>
      </c>
      <c r="L21" s="97">
        <f ca="1">_xll.meDateFromTenor(L20,"1D","FOLLOWING","TGT")</f>
        <v>42529</v>
      </c>
      <c r="M21" s="95">
        <f ca="1"/>
        <v>-1.5310025075267822E-3</v>
      </c>
      <c r="N21" s="5" t="s">
        <v>4</v>
      </c>
      <c r="O21" s="97">
        <f ca="1">_xll.meDateFromTenor(O20,"1D","FOLLOWING","TGT")</f>
        <v>42529</v>
      </c>
      <c r="P21" s="95">
        <f ca="1"/>
        <v>-1.5475227513517031E-4</v>
      </c>
      <c r="Q21" s="5" t="s">
        <v>4</v>
      </c>
      <c r="R21" s="83" t="s">
        <v>4</v>
      </c>
    </row>
    <row r="22" spans="1:18" x14ac:dyDescent="0.25">
      <c r="A22" s="88">
        <v>8</v>
      </c>
      <c r="B22" s="82"/>
      <c r="C22" s="97">
        <f ca="1">_xll.meDateFromTenor(C21,"1D","FOLLOWING","TGT")</f>
        <v>42530</v>
      </c>
      <c r="D22" s="95">
        <f ca="1"/>
        <v>-3.3942425462846204E-3</v>
      </c>
      <c r="E22" s="92"/>
      <c r="F22" s="97">
        <f ca="1">_xll.meDateFromTenor(F21,"1D","FOLLOWING","TGT")</f>
        <v>42530</v>
      </c>
      <c r="G22" s="95">
        <f ca="1"/>
        <v>-3.4989457411229428E-3</v>
      </c>
      <c r="H22" s="92" t="s">
        <v>4</v>
      </c>
      <c r="I22" s="97">
        <f ca="1">_xll.meDateFromTenor(I21,"1D","FOLLOWING","TGT")</f>
        <v>42530</v>
      </c>
      <c r="J22" s="95">
        <f ca="1"/>
        <v>-2.622123255138214E-3</v>
      </c>
      <c r="K22" s="5" t="s">
        <v>4</v>
      </c>
      <c r="L22" s="97">
        <f ca="1">_xll.meDateFromTenor(L21,"1D","FOLLOWING","TGT")</f>
        <v>42530</v>
      </c>
      <c r="M22" s="95">
        <f ca="1"/>
        <v>-1.5313404818132423E-3</v>
      </c>
      <c r="N22" s="5" t="s">
        <v>4</v>
      </c>
      <c r="O22" s="97">
        <f ca="1">_xll.meDateFromTenor(O21,"1D","FOLLOWING","TGT")</f>
        <v>42530</v>
      </c>
      <c r="P22" s="95">
        <f ca="1"/>
        <v>-1.555438688477175E-4</v>
      </c>
      <c r="Q22" s="5" t="s">
        <v>4</v>
      </c>
      <c r="R22" s="83" t="s">
        <v>4</v>
      </c>
    </row>
    <row r="23" spans="1:18" x14ac:dyDescent="0.25">
      <c r="A23" s="88">
        <v>9</v>
      </c>
      <c r="B23" s="82"/>
      <c r="C23" s="97">
        <f ca="1">_xll.meDateFromTenor(C22,"1D","FOLLOWING","TGT")</f>
        <v>42531</v>
      </c>
      <c r="D23" s="95">
        <f ca="1"/>
        <v>-3.394274962330357E-3</v>
      </c>
      <c r="E23" s="92"/>
      <c r="F23" s="97">
        <f ca="1">_xll.meDateFromTenor(F22,"1D","FOLLOWING","TGT")</f>
        <v>42531</v>
      </c>
      <c r="G23" s="95">
        <f ca="1"/>
        <v>-3.5002374308864435E-3</v>
      </c>
      <c r="H23" s="92" t="s">
        <v>4</v>
      </c>
      <c r="I23" s="97">
        <f ca="1">_xll.meDateFromTenor(I22,"1D","FOLLOWING","TGT")</f>
        <v>42531</v>
      </c>
      <c r="J23" s="95">
        <f ca="1"/>
        <v>-2.6238551487293869E-3</v>
      </c>
      <c r="K23" s="5" t="s">
        <v>4</v>
      </c>
      <c r="L23" s="97">
        <f ca="1">_xll.meDateFromTenor(L22,"1D","FOLLOWING","TGT")</f>
        <v>42531</v>
      </c>
      <c r="M23" s="95">
        <f ca="1"/>
        <v>-1.5317226737040553E-3</v>
      </c>
      <c r="N23" s="5" t="s">
        <v>4</v>
      </c>
      <c r="O23" s="97">
        <f ca="1">_xll.meDateFromTenor(O22,"1D","FOLLOWING","TGT")</f>
        <v>42531</v>
      </c>
      <c r="P23" s="95">
        <f ca="1"/>
        <v>-1.5633525125538679E-4</v>
      </c>
      <c r="Q23" s="5" t="s">
        <v>4</v>
      </c>
      <c r="R23" s="83" t="s">
        <v>4</v>
      </c>
    </row>
    <row r="24" spans="1:18" x14ac:dyDescent="0.25">
      <c r="A24" s="88">
        <v>10</v>
      </c>
      <c r="B24" s="82"/>
      <c r="C24" s="97">
        <f ca="1">_xll.meDateFromTenor(C23,"1D","FOLLOWING","TGT")</f>
        <v>42534</v>
      </c>
      <c r="D24" s="95">
        <f ca="1"/>
        <v>-3.3942425462447634E-3</v>
      </c>
      <c r="E24" s="92"/>
      <c r="F24" s="97">
        <f ca="1">_xll.meDateFromTenor(F23,"1D","FOLLOWING","TGT")</f>
        <v>42534</v>
      </c>
      <c r="G24" s="95">
        <f ca="1"/>
        <v>-3.5041480634624088E-3</v>
      </c>
      <c r="H24" s="92" t="s">
        <v>4</v>
      </c>
      <c r="I24" s="97">
        <f ca="1">_xll.meDateFromTenor(I23,"1D","FOLLOWING","TGT")</f>
        <v>42534</v>
      </c>
      <c r="J24" s="95">
        <f ca="1"/>
        <v>-2.6290508295029069E-3</v>
      </c>
      <c r="K24" s="5" t="s">
        <v>4</v>
      </c>
      <c r="L24" s="97">
        <f ca="1">_xll.meDateFromTenor(L23,"1D","FOLLOWING","TGT")</f>
        <v>42534</v>
      </c>
      <c r="M24" s="95">
        <f ca="1"/>
        <v>-1.5331172752876775E-3</v>
      </c>
      <c r="N24" s="5" t="s">
        <v>4</v>
      </c>
      <c r="O24" s="97">
        <f ca="1">_xll.meDateFromTenor(O23,"1D","FOLLOWING","TGT")</f>
        <v>42534</v>
      </c>
      <c r="P24" s="95">
        <f ca="1"/>
        <v>-1.5870782878501575E-4</v>
      </c>
      <c r="Q24" s="5" t="s">
        <v>4</v>
      </c>
      <c r="R24" s="83" t="s">
        <v>4</v>
      </c>
    </row>
    <row r="25" spans="1:18" x14ac:dyDescent="0.25">
      <c r="A25" s="88">
        <v>11</v>
      </c>
      <c r="B25" s="82"/>
      <c r="C25" s="97">
        <f ca="1">_xll.meDateFromTenor(C24,"1D","FOLLOWING","TGT")</f>
        <v>42535</v>
      </c>
      <c r="D25" s="95">
        <f ca="1"/>
        <v>-3.3942425461650494E-3</v>
      </c>
      <c r="E25" s="92"/>
      <c r="F25" s="97">
        <f ca="1">_xll.meDateFromTenor(F24,"1D","FOLLOWING","TGT")</f>
        <v>42535</v>
      </c>
      <c r="G25" s="95">
        <f ca="1"/>
        <v>-3.50546574178067E-3</v>
      </c>
      <c r="H25" s="92" t="s">
        <v>4</v>
      </c>
      <c r="I25" s="97">
        <f ca="1">_xll.meDateFromTenor(I24,"1D","FOLLOWING","TGT")</f>
        <v>42535</v>
      </c>
      <c r="J25" s="95">
        <f ca="1"/>
        <v>-2.6307827230940802E-3</v>
      </c>
      <c r="K25" s="5" t="s">
        <v>4</v>
      </c>
      <c r="L25" s="97">
        <f ca="1">_xll.meDateFromTenor(L24,"1D","FOLLOWING","TGT")</f>
        <v>42535</v>
      </c>
      <c r="M25" s="95">
        <f ca="1"/>
        <v>-1.5336590578809686E-3</v>
      </c>
      <c r="N25" s="5" t="s">
        <v>4</v>
      </c>
      <c r="O25" s="97">
        <f ca="1">_xll.meDateFromTenor(O24,"1D","FOLLOWING","TGT")</f>
        <v>42535</v>
      </c>
      <c r="P25" s="95">
        <f ca="1"/>
        <v>-1.5949806410906208E-4</v>
      </c>
      <c r="Q25" s="5" t="s">
        <v>4</v>
      </c>
      <c r="R25" s="83" t="s">
        <v>4</v>
      </c>
    </row>
    <row r="26" spans="1:18" x14ac:dyDescent="0.25">
      <c r="A26" s="88">
        <v>12</v>
      </c>
      <c r="B26" s="82"/>
      <c r="C26" s="97">
        <f ca="1">_xll.meDateFromTenor(C25,"1D","FOLLOWING","TGT")</f>
        <v>42536</v>
      </c>
      <c r="D26" s="95">
        <f ca="1"/>
        <v>-3.3942425462845094E-3</v>
      </c>
      <c r="E26" s="92"/>
      <c r="F26" s="97">
        <f ca="1">_xll.meDateFromTenor(F25,"1D","FOLLOWING","TGT")</f>
        <v>42536</v>
      </c>
      <c r="G26" s="95">
        <f ca="1"/>
        <v>-3.5067916270109614E-3</v>
      </c>
      <c r="H26" s="92" t="s">
        <v>4</v>
      </c>
      <c r="I26" s="97">
        <f ca="1">_xll.meDateFromTenor(I25,"1D","FOLLOWING","TGT")</f>
        <v>42536</v>
      </c>
      <c r="J26" s="95">
        <f ca="1"/>
        <v>-2.6325146166852531E-3</v>
      </c>
      <c r="K26" s="5" t="s">
        <v>4</v>
      </c>
      <c r="L26" s="97">
        <f ca="1">_xll.meDateFromTenor(L25,"1D","FOLLOWING","TGT")</f>
        <v>42536</v>
      </c>
      <c r="M26" s="95">
        <f ca="1"/>
        <v>-1.5342364182211465E-3</v>
      </c>
      <c r="N26" s="5" t="s">
        <v>4</v>
      </c>
      <c r="O26" s="97">
        <f ca="1">_xll.meDateFromTenor(O25,"1D","FOLLOWING","TGT")</f>
        <v>42536</v>
      </c>
      <c r="P26" s="95">
        <f ca="1"/>
        <v>-1.602879371961747E-4</v>
      </c>
      <c r="Q26" s="5" t="s">
        <v>4</v>
      </c>
      <c r="R26" s="83" t="s">
        <v>4</v>
      </c>
    </row>
    <row r="27" spans="1:18" x14ac:dyDescent="0.25">
      <c r="A27" s="88">
        <v>13</v>
      </c>
      <c r="B27" s="82"/>
      <c r="C27" s="97">
        <f ca="1">_xll.meDateFromTenor(C26,"1D","FOLLOWING","TGT")</f>
        <v>42537</v>
      </c>
      <c r="D27" s="95">
        <f ca="1"/>
        <v>-3.3942425462447634E-3</v>
      </c>
      <c r="E27" s="92"/>
      <c r="F27" s="97">
        <f ca="1">_xll.meDateFromTenor(F26,"1D","FOLLOWING","TGT")</f>
        <v>42537</v>
      </c>
      <c r="G27" s="95">
        <f ca="1"/>
        <v>-3.5081264030626174E-3</v>
      </c>
      <c r="H27" s="92" t="s">
        <v>4</v>
      </c>
      <c r="I27" s="97">
        <f ca="1">_xll.meDateFromTenor(I26,"1D","FOLLOWING","TGT")</f>
        <v>42537</v>
      </c>
      <c r="J27" s="95">
        <f ca="1"/>
        <v>-2.6342465102764268E-3</v>
      </c>
      <c r="K27" s="5" t="s">
        <v>4</v>
      </c>
      <c r="L27" s="97">
        <f ca="1">_xll.meDateFromTenor(L26,"1D","FOLLOWING","TGT")</f>
        <v>42537</v>
      </c>
      <c r="M27" s="95">
        <f ca="1"/>
        <v>-1.5348476283367182E-3</v>
      </c>
      <c r="N27" s="5" t="s">
        <v>4</v>
      </c>
      <c r="O27" s="97">
        <f ca="1">_xll.meDateFromTenor(O26,"1D","FOLLOWING","TGT")</f>
        <v>42537</v>
      </c>
      <c r="P27" s="95">
        <f ca="1"/>
        <v>-1.6107741785994267E-4</v>
      </c>
      <c r="Q27" s="5" t="s">
        <v>4</v>
      </c>
      <c r="R27" s="83" t="s">
        <v>4</v>
      </c>
    </row>
    <row r="28" spans="1:18" x14ac:dyDescent="0.25">
      <c r="A28" s="88">
        <v>14</v>
      </c>
      <c r="B28" s="82"/>
      <c r="C28" s="97">
        <f ca="1">_xll.meDateFromTenor(C27,"1D","FOLLOWING","TGT")</f>
        <v>42538</v>
      </c>
      <c r="D28" s="95">
        <f ca="1"/>
        <v>-3.3942700526261582E-3</v>
      </c>
      <c r="E28" s="92"/>
      <c r="F28" s="97">
        <f ca="1">_xll.meDateFromTenor(F27,"1D","FOLLOWING","TGT")</f>
        <v>42538</v>
      </c>
      <c r="G28" s="95">
        <f ca="1"/>
        <v>-3.5094707538449745E-3</v>
      </c>
      <c r="H28" s="92" t="s">
        <v>4</v>
      </c>
      <c r="I28" s="97">
        <f ca="1">_xll.meDateFromTenor(I27,"1D","FOLLOWING","TGT")</f>
        <v>42538</v>
      </c>
      <c r="J28" s="95">
        <f ca="1"/>
        <v>-2.6359784038676001E-3</v>
      </c>
      <c r="K28" s="5" t="s">
        <v>4</v>
      </c>
      <c r="L28" s="97">
        <f ca="1">_xll.meDateFromTenor(L27,"1D","FOLLOWING","TGT")</f>
        <v>42538</v>
      </c>
      <c r="M28" s="95">
        <f ca="1"/>
        <v>-1.5354909602561899E-3</v>
      </c>
      <c r="N28" s="5" t="s">
        <v>4</v>
      </c>
      <c r="O28" s="97">
        <f ca="1">_xll.meDateFromTenor(O27,"1D","FOLLOWING","TGT")</f>
        <v>42538</v>
      </c>
      <c r="P28" s="95">
        <f ca="1"/>
        <v>-1.6186647591395477E-4</v>
      </c>
      <c r="Q28" s="5" t="s">
        <v>4</v>
      </c>
      <c r="R28" s="83" t="s">
        <v>4</v>
      </c>
    </row>
    <row r="29" spans="1:18" x14ac:dyDescent="0.25">
      <c r="A29" s="88">
        <v>15</v>
      </c>
      <c r="B29" s="82"/>
      <c r="C29" s="97">
        <f ca="1">_xll.meDateFromTenor(C28,"1D","FOLLOWING","TGT")</f>
        <v>42541</v>
      </c>
      <c r="D29" s="95">
        <f ca="1"/>
        <v>-3.3942425462447634E-3</v>
      </c>
      <c r="E29" s="92"/>
      <c r="F29" s="97">
        <f ca="1">_xll.meDateFromTenor(F28,"1D","FOLLOWING","TGT")</f>
        <v>42541</v>
      </c>
      <c r="G29" s="95">
        <f ca="1"/>
        <v>-3.5135680936696115E-3</v>
      </c>
      <c r="H29" s="92" t="s">
        <v>4</v>
      </c>
      <c r="I29" s="97">
        <f ca="1">_xll.meDateFromTenor(I28,"1D","FOLLOWING","TGT")</f>
        <v>42541</v>
      </c>
      <c r="J29" s="95">
        <f ca="1"/>
        <v>-2.6411740846411201E-3</v>
      </c>
      <c r="K29" s="5" t="s">
        <v>4</v>
      </c>
      <c r="L29" s="97">
        <f ca="1">_xll.meDateFromTenor(L28,"1D","FOLLOWING","TGT")</f>
        <v>42541</v>
      </c>
      <c r="M29" s="95">
        <f ca="1"/>
        <v>-1.5375964071230753E-3</v>
      </c>
      <c r="N29" s="5" t="s">
        <v>4</v>
      </c>
      <c r="O29" s="97">
        <f ca="1">_xll.meDateFromTenor(O28,"1D","FOLLOWING","TGT")</f>
        <v>42541</v>
      </c>
      <c r="P29" s="95">
        <f ca="1"/>
        <v>-1.6423081255334467E-4</v>
      </c>
      <c r="Q29" s="5" t="s">
        <v>4</v>
      </c>
      <c r="R29" s="83" t="s">
        <v>4</v>
      </c>
    </row>
    <row r="30" spans="1:18" x14ac:dyDescent="0.25">
      <c r="A30" s="88">
        <v>16</v>
      </c>
      <c r="B30" s="82"/>
      <c r="C30" s="97">
        <f ca="1">_xll.meDateFromTenor(C29,"1D","FOLLOWING","TGT")</f>
        <v>42542</v>
      </c>
      <c r="D30" s="95">
        <f ca="1"/>
        <v>-3.3942425462049064E-3</v>
      </c>
      <c r="E30" s="92"/>
      <c r="F30" s="97">
        <f ca="1">_xll.meDateFromTenor(F29,"1D","FOLLOWING","TGT")</f>
        <v>42542</v>
      </c>
      <c r="G30" s="95">
        <f ca="1"/>
        <v>-3.5149575824681314E-3</v>
      </c>
      <c r="H30" s="92" t="s">
        <v>4</v>
      </c>
      <c r="I30" s="97">
        <f ca="1">_xll.meDateFromTenor(I29,"1D","FOLLOWING","TGT")</f>
        <v>42542</v>
      </c>
      <c r="J30" s="95">
        <f ca="1"/>
        <v>-2.642905978232293E-3</v>
      </c>
      <c r="K30" s="5" t="s">
        <v>4</v>
      </c>
      <c r="L30" s="97">
        <f ca="1">_xll.meDateFromTenor(L29,"1D","FOLLOWING","TGT")</f>
        <v>42542</v>
      </c>
      <c r="M30" s="95">
        <f ca="1"/>
        <v>-1.5383509465432162E-3</v>
      </c>
      <c r="N30" s="5" t="s">
        <v>4</v>
      </c>
      <c r="O30" s="97">
        <f ca="1">_xll.meDateFromTenor(O29,"1D","FOLLOWING","TGT")</f>
        <v>42542</v>
      </c>
      <c r="P30" s="95">
        <f ca="1"/>
        <v>-1.6501787830422199E-4</v>
      </c>
      <c r="Q30" s="5" t="s">
        <v>4</v>
      </c>
      <c r="R30" s="83" t="s">
        <v>4</v>
      </c>
    </row>
    <row r="31" spans="1:18" x14ac:dyDescent="0.25">
      <c r="A31" s="88">
        <v>17</v>
      </c>
      <c r="B31" s="82"/>
      <c r="C31" s="97">
        <f ca="1">_xll.meDateFromTenor(C30,"1D","FOLLOWING","TGT")</f>
        <v>42543</v>
      </c>
      <c r="D31" s="95">
        <f ca="1"/>
        <v>-3.3942425462447634E-3</v>
      </c>
      <c r="E31" s="92"/>
      <c r="F31" s="97">
        <f ca="1">_xll.meDateFromTenor(F30,"1D","FOLLOWING","TGT")</f>
        <v>42543</v>
      </c>
      <c r="G31" s="95">
        <f ca="1"/>
        <v>-3.5163600655440308E-3</v>
      </c>
      <c r="H31" s="92" t="s">
        <v>4</v>
      </c>
      <c r="I31" s="97">
        <f ca="1">_xll.meDateFromTenor(I30,"1D","FOLLOWING","TGT")</f>
        <v>42543</v>
      </c>
      <c r="J31" s="95">
        <f ca="1"/>
        <v>-2.6446378718234667E-3</v>
      </c>
      <c r="K31" s="5" t="s">
        <v>4</v>
      </c>
      <c r="L31" s="97">
        <f ca="1">_xll.meDateFromTenor(L30,"1D","FOLLOWING","TGT")</f>
        <v>42543</v>
      </c>
      <c r="M31" s="95">
        <f ca="1"/>
        <v>-1.5391289679097919E-3</v>
      </c>
      <c r="N31" s="5" t="s">
        <v>4</v>
      </c>
      <c r="O31" s="97">
        <f ca="1">_xll.meDateFromTenor(O30,"1D","FOLLOWING","TGT")</f>
        <v>42543</v>
      </c>
      <c r="P31" s="95">
        <f ca="1"/>
        <v>-1.6580437051328791E-4</v>
      </c>
      <c r="Q31" s="5" t="s">
        <v>4</v>
      </c>
      <c r="R31" s="83" t="s">
        <v>4</v>
      </c>
    </row>
    <row r="32" spans="1:18" x14ac:dyDescent="0.25">
      <c r="A32" s="88">
        <v>18</v>
      </c>
      <c r="B32" s="82"/>
      <c r="C32" s="97">
        <f ca="1">_xll.meDateFromTenor(C31,"1D","FOLLOWING","TGT")</f>
        <v>42544</v>
      </c>
      <c r="D32" s="95">
        <f ca="1"/>
        <v>-3.3942425462447634E-3</v>
      </c>
      <c r="E32" s="92"/>
      <c r="F32" s="97">
        <f ca="1">_xll.meDateFromTenor(F31,"1D","FOLLOWING","TGT")</f>
        <v>42544</v>
      </c>
      <c r="G32" s="95">
        <f ca="1"/>
        <v>-3.5177762268066471E-3</v>
      </c>
      <c r="H32" s="92" t="s">
        <v>4</v>
      </c>
      <c r="I32" s="97">
        <f ca="1">_xll.meDateFromTenor(I31,"1D","FOLLOWING","TGT")</f>
        <v>42544</v>
      </c>
      <c r="J32" s="95">
        <f ca="1"/>
        <v>-2.6463697654146401E-3</v>
      </c>
      <c r="K32" s="5" t="s">
        <v>4</v>
      </c>
      <c r="L32" s="97">
        <f ca="1">_xll.meDateFromTenor(L31,"1D","FOLLOWING","TGT")</f>
        <v>42544</v>
      </c>
      <c r="M32" s="95">
        <f ca="1"/>
        <v>-1.5399287432513085E-3</v>
      </c>
      <c r="N32" s="5" t="s">
        <v>4</v>
      </c>
      <c r="O32" s="97">
        <f ca="1">_xll.meDateFromTenor(O31,"1D","FOLLOWING","TGT")</f>
        <v>42544</v>
      </c>
      <c r="P32" s="95">
        <f ca="1"/>
        <v>-1.6659025899413109E-4</v>
      </c>
      <c r="Q32" s="5" t="s">
        <v>4</v>
      </c>
      <c r="R32" s="83" t="s">
        <v>4</v>
      </c>
    </row>
    <row r="33" spans="1:18" x14ac:dyDescent="0.25">
      <c r="A33" s="88">
        <v>19</v>
      </c>
      <c r="B33" s="82"/>
      <c r="C33" s="97">
        <f ca="1">_xll.meDateFromTenor(C32,"1D","FOLLOWING","TGT")</f>
        <v>42545</v>
      </c>
      <c r="D33" s="95">
        <f ca="1"/>
        <v>-3.3942700578442064E-3</v>
      </c>
      <c r="E33" s="92"/>
      <c r="F33" s="97">
        <f ca="1">_xll.meDateFromTenor(F32,"1D","FOLLOWING","TGT")</f>
        <v>42545</v>
      </c>
      <c r="G33" s="95">
        <f ca="1"/>
        <v>-3.519206750165314E-3</v>
      </c>
      <c r="H33" s="92" t="s">
        <v>4</v>
      </c>
      <c r="I33" s="97">
        <f ca="1">_xll.meDateFromTenor(I32,"1D","FOLLOWING","TGT")</f>
        <v>42545</v>
      </c>
      <c r="J33" s="95">
        <f ca="1"/>
        <v>-2.6481016590058134E-3</v>
      </c>
      <c r="K33" s="5" t="s">
        <v>4</v>
      </c>
      <c r="L33" s="97">
        <f ca="1">_xll.meDateFromTenor(L32,"1D","FOLLOWING","TGT")</f>
        <v>42545</v>
      </c>
      <c r="M33" s="95">
        <f ca="1"/>
        <v>-1.5407485445962732E-3</v>
      </c>
      <c r="N33" s="5" t="s">
        <v>4</v>
      </c>
      <c r="O33" s="97">
        <f ca="1">_xll.meDateFromTenor(O32,"1D","FOLLOWING","TGT")</f>
        <v>42545</v>
      </c>
      <c r="P33" s="95">
        <f ca="1"/>
        <v>-1.6737551356034056E-4</v>
      </c>
      <c r="Q33" s="5" t="s">
        <v>4</v>
      </c>
      <c r="R33" s="83" t="s">
        <v>4</v>
      </c>
    </row>
    <row r="34" spans="1:18" x14ac:dyDescent="0.25">
      <c r="A34" s="88">
        <v>20</v>
      </c>
      <c r="B34" s="82"/>
      <c r="C34" s="97">
        <f ca="1">_xll.meDateFromTenor(C33,"1D","FOLLOWING","TGT")</f>
        <v>42548</v>
      </c>
      <c r="D34" s="95">
        <f ca="1"/>
        <v>-3.3942425462447634E-3</v>
      </c>
      <c r="E34" s="92"/>
      <c r="F34" s="97">
        <f ca="1">_xll.meDateFromTenor(F33,"1D","FOLLOWING","TGT")</f>
        <v>42548</v>
      </c>
      <c r="G34" s="95">
        <f ca="1"/>
        <v>-3.5235913319109839E-3</v>
      </c>
      <c r="H34" s="92" t="s">
        <v>4</v>
      </c>
      <c r="I34" s="97">
        <f ca="1">_xll.meDateFromTenor(I33,"1D","FOLLOWING","TGT")</f>
        <v>42548</v>
      </c>
      <c r="J34" s="95">
        <f ca="1"/>
        <v>-2.6532973397793338E-3</v>
      </c>
      <c r="K34" s="5" t="s">
        <v>4</v>
      </c>
      <c r="L34" s="97">
        <f ca="1">_xll.meDateFromTenor(L33,"1D","FOLLOWING","TGT")</f>
        <v>42548</v>
      </c>
      <c r="M34" s="95">
        <f ca="1"/>
        <v>-1.5433108249369235E-3</v>
      </c>
      <c r="N34" s="5" t="s">
        <v>4</v>
      </c>
      <c r="O34" s="97">
        <f ca="1">_xll.meDateFromTenor(O33,"1D","FOLLOWING","TGT")</f>
        <v>42548</v>
      </c>
      <c r="P34" s="95">
        <f ca="1"/>
        <v>-1.6972717190705483E-4</v>
      </c>
      <c r="Q34" s="5" t="s">
        <v>4</v>
      </c>
      <c r="R34" s="83" t="s">
        <v>4</v>
      </c>
    </row>
    <row r="35" spans="1:18" x14ac:dyDescent="0.25">
      <c r="A35" s="88">
        <v>21</v>
      </c>
      <c r="B35" s="82"/>
      <c r="C35" s="97">
        <f ca="1">_xll.meDateFromTenor(C34,"1D","FOLLOWING","TGT")</f>
        <v>42549</v>
      </c>
      <c r="D35" s="95">
        <f ca="1"/>
        <v>-3.3942425462447634E-3</v>
      </c>
      <c r="E35" s="92"/>
      <c r="F35" s="97">
        <f ca="1">_xll.meDateFromTenor(F34,"1D","FOLLOWING","TGT")</f>
        <v>42549</v>
      </c>
      <c r="G35" s="95">
        <f ca="1"/>
        <v>-3.5250861427472157E-3</v>
      </c>
      <c r="H35" s="92" t="s">
        <v>4</v>
      </c>
      <c r="I35" s="97">
        <f ca="1">_xll.meDateFromTenor(I34,"1D","FOLLOWING","TGT")</f>
        <v>42549</v>
      </c>
      <c r="J35" s="95">
        <f ca="1"/>
        <v>-2.6550292333705071E-3</v>
      </c>
      <c r="K35" s="5" t="s">
        <v>4</v>
      </c>
      <c r="L35" s="97">
        <f ca="1">_xll.meDateFromTenor(L34,"1D","FOLLOWING","TGT")</f>
        <v>42549</v>
      </c>
      <c r="M35" s="95">
        <f ca="1"/>
        <v>-1.5441934505807482E-3</v>
      </c>
      <c r="N35" s="5" t="s">
        <v>4</v>
      </c>
      <c r="O35" s="97">
        <f ca="1">_xll.meDateFromTenor(O34,"1D","FOLLOWING","TGT")</f>
        <v>42549</v>
      </c>
      <c r="P35" s="95">
        <f ca="1"/>
        <v>-1.7050958895061785E-4</v>
      </c>
      <c r="Q35" s="5" t="s">
        <v>4</v>
      </c>
      <c r="R35" s="83" t="s">
        <v>4</v>
      </c>
    </row>
    <row r="36" spans="1:18" x14ac:dyDescent="0.25">
      <c r="A36" s="88">
        <v>22</v>
      </c>
      <c r="B36" s="82"/>
      <c r="C36" s="97">
        <f ca="1">_xll.meDateFromTenor(C35,"1D","FOLLOWING","TGT")</f>
        <v>42550</v>
      </c>
      <c r="D36" s="95">
        <f ca="1"/>
        <v>-3.3942425461650494E-3</v>
      </c>
      <c r="E36" s="92"/>
      <c r="F36" s="97">
        <f ca="1">_xll.meDateFromTenor(F35,"1D","FOLLOWING","TGT")</f>
        <v>42550</v>
      </c>
      <c r="G36" s="95">
        <f ca="1"/>
        <v>-3.5265987352261783E-3</v>
      </c>
      <c r="H36" s="92" t="s">
        <v>4</v>
      </c>
      <c r="I36" s="97">
        <f ca="1">_xll.meDateFromTenor(I35,"1D","FOLLOWING","TGT")</f>
        <v>42550</v>
      </c>
      <c r="J36" s="95">
        <f ca="1"/>
        <v>-2.6567611269616804E-3</v>
      </c>
      <c r="K36" s="5" t="s">
        <v>4</v>
      </c>
      <c r="L36" s="97">
        <f ca="1">_xll.meDateFromTenor(L35,"1D","FOLLOWING","TGT")</f>
        <v>42550</v>
      </c>
      <c r="M36" s="95">
        <f ca="1"/>
        <v>-1.5450874623705551E-3</v>
      </c>
      <c r="N36" s="5" t="s">
        <v>4</v>
      </c>
      <c r="O36" s="97">
        <f ca="1">_xll.meDateFromTenor(O35,"1D","FOLLOWING","TGT")</f>
        <v>42550</v>
      </c>
      <c r="P36" s="95">
        <f ca="1"/>
        <v>-1.7129122114749136E-4</v>
      </c>
      <c r="Q36" s="5" t="s">
        <v>4</v>
      </c>
      <c r="R36" s="83" t="s">
        <v>4</v>
      </c>
    </row>
    <row r="37" spans="1:18" x14ac:dyDescent="0.25">
      <c r="A37" s="88">
        <v>23</v>
      </c>
      <c r="B37" s="82"/>
      <c r="C37" s="97">
        <f ca="1">_xll.meDateFromTenor(C36,"1D","FOLLOWING","TGT")</f>
        <v>42551</v>
      </c>
      <c r="D37" s="95">
        <f ca="1"/>
        <v>-3.3942425462049064E-3</v>
      </c>
      <c r="E37" s="92"/>
      <c r="F37" s="97">
        <f ca="1">_xll.meDateFromTenor(F36,"1D","FOLLOWING","TGT")</f>
        <v>42551</v>
      </c>
      <c r="G37" s="95">
        <f ca="1"/>
        <v>-3.528129793257207E-3</v>
      </c>
      <c r="H37" s="92" t="s">
        <v>4</v>
      </c>
      <c r="I37" s="97">
        <f ca="1">_xll.meDateFromTenor(I36,"1D","FOLLOWING","TGT")</f>
        <v>42551</v>
      </c>
      <c r="J37" s="95">
        <f ca="1"/>
        <v>-2.6584930205528537E-3</v>
      </c>
      <c r="K37" s="5" t="s">
        <v>4</v>
      </c>
      <c r="L37" s="97">
        <f ca="1">_xll.meDateFromTenor(L36,"1D","FOLLOWING","TGT")</f>
        <v>42551</v>
      </c>
      <c r="M37" s="95">
        <f ca="1"/>
        <v>-1.545991132334851E-3</v>
      </c>
      <c r="N37" s="5" t="s">
        <v>4</v>
      </c>
      <c r="O37" s="97">
        <f ca="1">_xll.meDateFromTenor(O36,"1D","FOLLOWING","TGT")</f>
        <v>42551</v>
      </c>
      <c r="P37" s="95">
        <f ca="1"/>
        <v>-1.7207203831126437E-4</v>
      </c>
      <c r="Q37" s="5" t="s">
        <v>4</v>
      </c>
      <c r="R37" s="83" t="s">
        <v>4</v>
      </c>
    </row>
    <row r="38" spans="1:18" x14ac:dyDescent="0.25">
      <c r="A38" s="88">
        <v>24</v>
      </c>
      <c r="B38" s="82"/>
      <c r="C38" s="97">
        <f ca="1">_xll.meDateFromTenor(C37,"1D","FOLLOWING","TGT")</f>
        <v>42552</v>
      </c>
      <c r="D38" s="95">
        <f ca="1"/>
        <v>-3.3942700582425545E-3</v>
      </c>
      <c r="E38" s="92"/>
      <c r="F38" s="97">
        <f ca="1">_xll.meDateFromTenor(F37,"1D","FOLLOWING","TGT")</f>
        <v>42552</v>
      </c>
      <c r="G38" s="95">
        <f ca="1"/>
        <v>-3.5296800007496385E-3</v>
      </c>
      <c r="H38" s="92" t="s">
        <v>4</v>
      </c>
      <c r="I38" s="97">
        <f ca="1">_xll.meDateFromTenor(I37,"1D","FOLLOWING","TGT")</f>
        <v>42552</v>
      </c>
      <c r="J38" s="95">
        <f ca="1"/>
        <v>-2.6602249141440271E-3</v>
      </c>
      <c r="K38" s="5" t="s">
        <v>4</v>
      </c>
      <c r="L38" s="97">
        <f ca="1">_xll.meDateFromTenor(L37,"1D","FOLLOWING","TGT")</f>
        <v>42552</v>
      </c>
      <c r="M38" s="95">
        <f ca="1"/>
        <v>-1.5469027325021424E-3</v>
      </c>
      <c r="N38" s="5" t="s">
        <v>4</v>
      </c>
      <c r="O38" s="97">
        <f ca="1">_xll.meDateFromTenor(O37,"1D","FOLLOWING","TGT")</f>
        <v>42552</v>
      </c>
      <c r="P38" s="95">
        <f ca="1"/>
        <v>-1.7285201025552565E-4</v>
      </c>
      <c r="Q38" s="5" t="s">
        <v>4</v>
      </c>
      <c r="R38" s="83" t="s">
        <v>4</v>
      </c>
    </row>
    <row r="39" spans="1:18" x14ac:dyDescent="0.25">
      <c r="A39" s="88">
        <v>25</v>
      </c>
      <c r="B39" s="82"/>
      <c r="C39" s="97">
        <f ca="1">_xll.meDateFromTenor(C38,"1D","FOLLOWING","TGT")</f>
        <v>42555</v>
      </c>
      <c r="D39" s="95">
        <f ca="1"/>
        <v>-3.3942425462845094E-3</v>
      </c>
      <c r="E39" s="92"/>
      <c r="F39" s="97">
        <f ca="1">_xll.meDateFromTenor(F38,"1D","FOLLOWING","TGT")</f>
        <v>42555</v>
      </c>
      <c r="G39" s="95">
        <f ca="1"/>
        <v>-3.5344523590887028E-3</v>
      </c>
      <c r="H39" s="92" t="s">
        <v>4</v>
      </c>
      <c r="I39" s="97">
        <f ca="1">_xll.meDateFromTenor(I38,"1D","FOLLOWING","TGT")</f>
        <v>42555</v>
      </c>
      <c r="J39" s="95">
        <f ca="1"/>
        <v>-2.665420594917547E-3</v>
      </c>
      <c r="K39" s="5" t="s">
        <v>4</v>
      </c>
      <c r="L39" s="97">
        <f ca="1">_xll.meDateFromTenor(L38,"1D","FOLLOWING","TGT")</f>
        <v>42555</v>
      </c>
      <c r="M39" s="95">
        <f ca="1"/>
        <v>-1.5496678345070592E-3</v>
      </c>
      <c r="N39" s="5" t="s">
        <v>4</v>
      </c>
      <c r="O39" s="97">
        <f ca="1">_xll.meDateFromTenor(O38,"1D","FOLLOWING","TGT")</f>
        <v>42555</v>
      </c>
      <c r="P39" s="95">
        <f ca="1"/>
        <v>-1.7518655290712801E-4</v>
      </c>
      <c r="Q39" s="5" t="s">
        <v>4</v>
      </c>
      <c r="R39" s="83" t="s">
        <v>4</v>
      </c>
    </row>
    <row r="40" spans="1:18" x14ac:dyDescent="0.25">
      <c r="A40" s="88">
        <v>26</v>
      </c>
      <c r="B40" s="82"/>
      <c r="C40" s="97">
        <f ca="1">_xll.meDateFromTenor(C39,"1D","FOLLOWING","TGT")</f>
        <v>42556</v>
      </c>
      <c r="D40" s="95">
        <f ca="1"/>
        <v>-3.3942425462049064E-3</v>
      </c>
      <c r="E40" s="92"/>
      <c r="F40" s="97">
        <f ca="1">_xll.meDateFromTenor(F39,"1D","FOLLOWING","TGT")</f>
        <v>42556</v>
      </c>
      <c r="G40" s="95">
        <f ca="1"/>
        <v>-3.5360857044054411E-3</v>
      </c>
      <c r="H40" s="92" t="s">
        <v>4</v>
      </c>
      <c r="I40" s="97">
        <f ca="1">_xll.meDateFromTenor(I39,"1D","FOLLOWING","TGT")</f>
        <v>42556</v>
      </c>
      <c r="J40" s="95">
        <f ca="1"/>
        <v>-2.6671524885087203E-3</v>
      </c>
      <c r="K40" s="5" t="s">
        <v>4</v>
      </c>
      <c r="L40" s="97">
        <f ca="1">_xll.meDateFromTenor(L39,"1D","FOLLOWING","TGT")</f>
        <v>42556</v>
      </c>
      <c r="M40" s="95">
        <f ca="1"/>
        <v>-1.5505938954063819E-3</v>
      </c>
      <c r="N40" s="5" t="s">
        <v>4</v>
      </c>
      <c r="O40" s="97">
        <f ca="1">_xll.meDateFromTenor(O39,"1D","FOLLOWING","TGT")</f>
        <v>42556</v>
      </c>
      <c r="P40" s="95">
        <f ca="1"/>
        <v>-1.7596284210923111E-4</v>
      </c>
      <c r="Q40" s="5" t="s">
        <v>4</v>
      </c>
      <c r="R40" s="83" t="s">
        <v>4</v>
      </c>
    </row>
    <row r="41" spans="1:18" x14ac:dyDescent="0.25">
      <c r="A41" s="88">
        <v>27</v>
      </c>
      <c r="B41" s="82"/>
      <c r="C41" s="97">
        <f ca="1">_xll.meDateFromTenor(C40,"1D","FOLLOWING","TGT")</f>
        <v>42557</v>
      </c>
      <c r="D41" s="95">
        <f ca="1"/>
        <v>-3.3942425462447634E-3</v>
      </c>
      <c r="E41" s="92"/>
      <c r="F41" s="97">
        <f ca="1">_xll.meDateFromTenor(F40,"1D","FOLLOWING","TGT")</f>
        <v>42557</v>
      </c>
      <c r="G41" s="95">
        <f ca="1"/>
        <v>-3.5377398240423017E-3</v>
      </c>
      <c r="H41" s="92" t="s">
        <v>4</v>
      </c>
      <c r="I41" s="97">
        <f ca="1">_xll.meDateFromTenor(I40,"1D","FOLLOWING","TGT")</f>
        <v>42557</v>
      </c>
      <c r="J41" s="95">
        <f ca="1"/>
        <v>-2.6688843820998937E-3</v>
      </c>
      <c r="K41" s="5" t="s">
        <v>4</v>
      </c>
      <c r="L41" s="97">
        <f ca="1">_xll.meDateFromTenor(L40,"1D","FOLLOWING","TGT")</f>
        <v>42557</v>
      </c>
      <c r="M41" s="95">
        <f ca="1"/>
        <v>-1.5515200031572831E-3</v>
      </c>
      <c r="N41" s="5" t="s">
        <v>4</v>
      </c>
      <c r="O41" s="97">
        <f ca="1">_xll.meDateFromTenor(O40,"1D","FOLLOWING","TGT")</f>
        <v>42557</v>
      </c>
      <c r="P41" s="95">
        <f ca="1"/>
        <v>-1.7673813515976694E-4</v>
      </c>
      <c r="Q41" s="5" t="s">
        <v>4</v>
      </c>
      <c r="R41" s="83" t="s">
        <v>4</v>
      </c>
    </row>
    <row r="42" spans="1:18" x14ac:dyDescent="0.25">
      <c r="A42" s="88">
        <v>28</v>
      </c>
      <c r="B42" s="82"/>
      <c r="C42" s="97">
        <f ca="1">_xll.meDateFromTenor(C41,"1D","FOLLOWING","TGT")</f>
        <v>42558</v>
      </c>
      <c r="D42" s="95">
        <f ca="1"/>
        <v>-3.3942425462447634E-3</v>
      </c>
      <c r="E42" s="92"/>
      <c r="F42" s="97">
        <f ca="1">_xll.meDateFromTenor(F41,"1D","FOLLOWING","TGT")</f>
        <v>42558</v>
      </c>
      <c r="G42" s="95">
        <f ca="1"/>
        <v>-3.539413607220663E-3</v>
      </c>
      <c r="H42" s="92" t="s">
        <v>4</v>
      </c>
      <c r="I42" s="97">
        <f ca="1">_xll.meDateFromTenor(I41,"1D","FOLLOWING","TGT")</f>
        <v>42558</v>
      </c>
      <c r="J42" s="95">
        <f ca="1"/>
        <v>-2.670616275691067E-3</v>
      </c>
      <c r="K42" s="5" t="s">
        <v>4</v>
      </c>
      <c r="L42" s="97">
        <f ca="1">_xll.meDateFromTenor(L41,"1D","FOLLOWING","TGT")</f>
        <v>42558</v>
      </c>
      <c r="M42" s="95">
        <f ca="1"/>
        <v>-1.5524460725631689E-3</v>
      </c>
      <c r="N42" s="5" t="s">
        <v>4</v>
      </c>
      <c r="O42" s="97">
        <f ca="1">_xll.meDateFromTenor(O41,"1D","FOLLOWING","TGT")</f>
        <v>42558</v>
      </c>
      <c r="P42" s="95">
        <f ca="1"/>
        <v>-1.7751240187232419E-4</v>
      </c>
      <c r="Q42" s="5" t="s">
        <v>4</v>
      </c>
      <c r="R42" s="83" t="s">
        <v>4</v>
      </c>
    </row>
    <row r="43" spans="1:18" x14ac:dyDescent="0.25">
      <c r="A43" s="88">
        <v>29</v>
      </c>
      <c r="B43" s="82"/>
      <c r="C43" s="97">
        <f ca="1">_xll.meDateFromTenor(C42,"1D","FOLLOWING","TGT")</f>
        <v>42559</v>
      </c>
      <c r="D43" s="95">
        <f ca="1"/>
        <v>-3.3942696492399449E-3</v>
      </c>
      <c r="E43" s="92"/>
      <c r="F43" s="97">
        <f ca="1">_xll.meDateFromTenor(F42,"1D","FOLLOWING","TGT")</f>
        <v>42559</v>
      </c>
      <c r="G43" s="95">
        <f ca="1"/>
        <v>-3.5411059431619024E-3</v>
      </c>
      <c r="H43" s="92" t="s">
        <v>4</v>
      </c>
      <c r="I43" s="97">
        <f ca="1">_xll.meDateFromTenor(I42,"1D","FOLLOWING","TGT")</f>
        <v>42559</v>
      </c>
      <c r="J43" s="95">
        <f ca="1"/>
        <v>-2.6723481692822403E-3</v>
      </c>
      <c r="K43" s="5" t="s">
        <v>4</v>
      </c>
      <c r="L43" s="97">
        <f ca="1">_xll.meDateFromTenor(L42,"1D","FOLLOWING","TGT")</f>
        <v>42559</v>
      </c>
      <c r="M43" s="95">
        <f ca="1"/>
        <v>-1.553372076442227E-3</v>
      </c>
      <c r="N43" s="5" t="s">
        <v>4</v>
      </c>
      <c r="O43" s="97">
        <f ca="1">_xll.meDateFromTenor(O42,"1D","FOLLOWING","TGT")</f>
        <v>42559</v>
      </c>
      <c r="P43" s="95">
        <f ca="1"/>
        <v>-1.7828561206049181E-4</v>
      </c>
      <c r="Q43" s="5" t="s">
        <v>4</v>
      </c>
      <c r="R43" s="83" t="s">
        <v>4</v>
      </c>
    </row>
    <row r="44" spans="1:18" x14ac:dyDescent="0.25">
      <c r="A44" s="88">
        <v>30</v>
      </c>
      <c r="B44" s="82"/>
      <c r="C44" s="97">
        <f ca="1">_xll.meDateFromTenor(C43,"1D","FOLLOWING","TGT")</f>
        <v>42562</v>
      </c>
      <c r="D44" s="95">
        <f ca="1"/>
        <v>-3.3942425462845094E-3</v>
      </c>
      <c r="E44" s="92"/>
      <c r="F44" s="97">
        <f ca="1">_xll.meDateFromTenor(F43,"1D","FOLLOWING","TGT")</f>
        <v>42562</v>
      </c>
      <c r="G44" s="95">
        <f ca="1"/>
        <v>-3.5462831597766601E-3</v>
      </c>
      <c r="H44" s="92" t="s">
        <v>4</v>
      </c>
      <c r="I44" s="97">
        <f ca="1">_xll.meDateFromTenor(I43,"1D","FOLLOWING","TGT")</f>
        <v>42562</v>
      </c>
      <c r="J44" s="95">
        <f ca="1"/>
        <v>-2.6775438500557603E-3</v>
      </c>
      <c r="K44" s="5" t="s">
        <v>4</v>
      </c>
      <c r="L44" s="97">
        <f ca="1">_xll.meDateFromTenor(L43,"1D","FOLLOWING","TGT")</f>
        <v>42562</v>
      </c>
      <c r="M44" s="95">
        <f ca="1"/>
        <v>-1.5561494231003067E-3</v>
      </c>
      <c r="N44" s="5" t="s">
        <v>4</v>
      </c>
      <c r="O44" s="97">
        <f ca="1">_xll.meDateFromTenor(O43,"1D","FOLLOWING","TGT")</f>
        <v>42562</v>
      </c>
      <c r="P44" s="95">
        <f ca="1"/>
        <v>-1.8059860161454572E-4</v>
      </c>
      <c r="Q44" s="5" t="s">
        <v>4</v>
      </c>
      <c r="R44" s="83" t="s">
        <v>4</v>
      </c>
    </row>
    <row r="45" spans="1:18" x14ac:dyDescent="0.25">
      <c r="A45" s="88">
        <v>31</v>
      </c>
      <c r="B45" s="82"/>
      <c r="C45" s="97">
        <f ca="1">_xll.meDateFromTenor(C44,"1D","FOLLOWING","TGT")</f>
        <v>42563</v>
      </c>
      <c r="D45" s="95">
        <f ca="1"/>
        <v>-3.3942425462447634E-3</v>
      </c>
      <c r="E45" s="92"/>
      <c r="F45" s="97">
        <f ca="1">_xll.meDateFromTenor(F44,"1D","FOLLOWING","TGT")</f>
        <v>42563</v>
      </c>
      <c r="G45" s="95">
        <f ca="1"/>
        <v>-3.5480385989831846E-3</v>
      </c>
      <c r="H45" s="92" t="s">
        <v>4</v>
      </c>
      <c r="I45" s="97">
        <f ca="1">_xll.meDateFromTenor(I44,"1D","FOLLOWING","TGT")</f>
        <v>42563</v>
      </c>
      <c r="J45" s="95">
        <f ca="1"/>
        <v>-2.6792757436469336E-3</v>
      </c>
      <c r="K45" s="5" t="s">
        <v>4</v>
      </c>
      <c r="L45" s="97">
        <f ca="1">_xll.meDateFromTenor(L44,"1D","FOLLOWING","TGT")</f>
        <v>42563</v>
      </c>
      <c r="M45" s="95">
        <f ca="1"/>
        <v>-1.5570748930539252E-3</v>
      </c>
      <c r="N45" s="5" t="s">
        <v>4</v>
      </c>
      <c r="O45" s="97">
        <f ca="1">_xll.meDateFromTenor(O44,"1D","FOLLOWING","TGT")</f>
        <v>42563</v>
      </c>
      <c r="P45" s="95">
        <f ca="1"/>
        <v>-1.8136728384104348E-4</v>
      </c>
      <c r="Q45" s="5" t="s">
        <v>4</v>
      </c>
      <c r="R45" s="83" t="s">
        <v>4</v>
      </c>
    </row>
    <row r="46" spans="1:18" x14ac:dyDescent="0.25">
      <c r="A46" s="88">
        <v>32</v>
      </c>
      <c r="B46" s="82"/>
      <c r="C46" s="97">
        <f ca="1">_xll.meDateFromTenor(C45,"1D","FOLLOWING","TGT")</f>
        <v>42564</v>
      </c>
      <c r="D46" s="95">
        <f ca="1"/>
        <v>-3.3942425462447634E-3</v>
      </c>
      <c r="E46" s="92"/>
      <c r="F46" s="97">
        <f ca="1">_xll.meDateFromTenor(F45,"1D","FOLLOWING","TGT")</f>
        <v>42564</v>
      </c>
      <c r="G46" s="95">
        <f ca="1"/>
        <v>-3.5498070370594734E-3</v>
      </c>
      <c r="H46" s="92" t="s">
        <v>4</v>
      </c>
      <c r="I46" s="97">
        <f ca="1">_xll.meDateFromTenor(I45,"1D","FOLLOWING","TGT")</f>
        <v>42564</v>
      </c>
      <c r="J46" s="95">
        <f ca="1"/>
        <v>-2.6810076372381069E-3</v>
      </c>
      <c r="K46" s="5" t="s">
        <v>4</v>
      </c>
      <c r="L46" s="97">
        <f ca="1">_xll.meDateFromTenor(L45,"1D","FOLLOWING","TGT")</f>
        <v>42564</v>
      </c>
      <c r="M46" s="95">
        <f ca="1"/>
        <v>-1.5580001615716518E-3</v>
      </c>
      <c r="N46" s="5" t="s">
        <v>4</v>
      </c>
      <c r="O46" s="97">
        <f ca="1">_xll.meDateFromTenor(O45,"1D","FOLLOWING","TGT")</f>
        <v>42564</v>
      </c>
      <c r="P46" s="95">
        <f ca="1"/>
        <v>-1.8213475861109603E-4</v>
      </c>
      <c r="Q46" s="5" t="s">
        <v>4</v>
      </c>
      <c r="R46" s="83" t="s">
        <v>4</v>
      </c>
    </row>
    <row r="47" spans="1:18" x14ac:dyDescent="0.25">
      <c r="A47" s="88">
        <v>33</v>
      </c>
      <c r="B47" s="82"/>
      <c r="C47" s="97">
        <f ca="1">_xll.meDateFromTenor(C46,"1D","FOLLOWING","TGT")</f>
        <v>42565</v>
      </c>
      <c r="D47" s="95">
        <f ca="1"/>
        <v>-3.3942425461650494E-3</v>
      </c>
      <c r="E47" s="92"/>
      <c r="F47" s="97">
        <f ca="1">_xll.meDateFromTenor(F46,"1D","FOLLOWING","TGT")</f>
        <v>42565</v>
      </c>
      <c r="G47" s="95">
        <f ca="1"/>
        <v>-3.5515873632269053E-3</v>
      </c>
      <c r="H47" s="92" t="s">
        <v>4</v>
      </c>
      <c r="I47" s="97">
        <f ca="1">_xll.meDateFromTenor(I46,"1D","FOLLOWING","TGT")</f>
        <v>42565</v>
      </c>
      <c r="J47" s="95">
        <f ca="1"/>
        <v>-2.6827395308292807E-3</v>
      </c>
      <c r="K47" s="5" t="s">
        <v>4</v>
      </c>
      <c r="L47" s="97">
        <f ca="1">_xll.meDateFromTenor(L46,"1D","FOLLOWING","TGT")</f>
        <v>42565</v>
      </c>
      <c r="M47" s="95">
        <f ca="1"/>
        <v>-1.5589252014716732E-3</v>
      </c>
      <c r="N47" s="5" t="s">
        <v>4</v>
      </c>
      <c r="O47" s="97">
        <f ca="1">_xll.meDateFromTenor(O46,"1D","FOLLOWING","TGT")</f>
        <v>42565</v>
      </c>
      <c r="P47" s="95">
        <f ca="1"/>
        <v>-1.8290099573829211E-4</v>
      </c>
      <c r="Q47" s="5" t="s">
        <v>4</v>
      </c>
      <c r="R47" s="83" t="s">
        <v>4</v>
      </c>
    </row>
    <row r="48" spans="1:18" x14ac:dyDescent="0.25">
      <c r="A48" s="88">
        <v>34</v>
      </c>
      <c r="B48" s="82"/>
      <c r="C48" s="97">
        <f ca="1">_xll.meDateFromTenor(C47,"1D","FOLLOWING","TGT")</f>
        <v>42566</v>
      </c>
      <c r="D48" s="95">
        <f ca="1"/>
        <v>-3.3946573714039863E-3</v>
      </c>
      <c r="E48" s="92"/>
      <c r="F48" s="97">
        <f ca="1">_xll.meDateFromTenor(F47,"1D","FOLLOWING","TGT")</f>
        <v>42566</v>
      </c>
      <c r="G48" s="95">
        <f ca="1"/>
        <v>-3.553378466706857E-3</v>
      </c>
      <c r="H48" s="92" t="s">
        <v>4</v>
      </c>
      <c r="I48" s="97">
        <f ca="1">_xll.meDateFromTenor(I47,"1D","FOLLOWING","TGT")</f>
        <v>42566</v>
      </c>
      <c r="J48" s="95">
        <f ca="1"/>
        <v>-2.6844714244204544E-3</v>
      </c>
      <c r="K48" s="5" t="s">
        <v>4</v>
      </c>
      <c r="L48" s="97">
        <f ca="1">_xll.meDateFromTenor(L47,"1D","FOLLOWING","TGT")</f>
        <v>42566</v>
      </c>
      <c r="M48" s="95">
        <f ca="1"/>
        <v>-1.5598499855721771E-3</v>
      </c>
      <c r="N48" s="5" t="s">
        <v>4</v>
      </c>
      <c r="O48" s="97">
        <f ca="1">_xll.meDateFromTenor(O47,"1D","FOLLOWING","TGT")</f>
        <v>42566</v>
      </c>
      <c r="P48" s="95">
        <f ca="1"/>
        <v>-1.8366596503622068E-4</v>
      </c>
      <c r="Q48" s="5" t="s">
        <v>4</v>
      </c>
      <c r="R48" s="83" t="s">
        <v>4</v>
      </c>
    </row>
    <row r="49" spans="1:18" x14ac:dyDescent="0.25">
      <c r="A49" s="88">
        <v>35</v>
      </c>
      <c r="B49" s="82"/>
      <c r="C49" s="97">
        <f ca="1">_xll.meDateFromTenor(C48,"1D","FOLLOWING","TGT")</f>
        <v>42569</v>
      </c>
      <c r="D49" s="95">
        <f ca="1"/>
        <v>-3.3942425462846204E-3</v>
      </c>
      <c r="E49" s="92"/>
      <c r="F49" s="97">
        <f ca="1">_xll.meDateFromTenor(F48,"1D","FOLLOWING","TGT")</f>
        <v>42569</v>
      </c>
      <c r="G49" s="95">
        <f ca="1"/>
        <v>-3.5588053332356053E-3</v>
      </c>
      <c r="H49" s="92" t="s">
        <v>4</v>
      </c>
      <c r="I49" s="97">
        <f ca="1">_xll.meDateFromTenor(I48,"1D","FOLLOWING","TGT")</f>
        <v>42569</v>
      </c>
      <c r="J49" s="95">
        <f ca="1"/>
        <v>-2.6896671051939739E-3</v>
      </c>
      <c r="K49" s="5" t="s">
        <v>4</v>
      </c>
      <c r="L49" s="97">
        <f ca="1">_xll.meDateFromTenor(L48,"1D","FOLLOWING","TGT")</f>
        <v>42569</v>
      </c>
      <c r="M49" s="95">
        <f ca="1"/>
        <v>-1.5626225312584537E-3</v>
      </c>
      <c r="N49" s="5" t="s">
        <v>4</v>
      </c>
      <c r="O49" s="97">
        <f ca="1">_xll.meDateFromTenor(O48,"1D","FOLLOWING","TGT")</f>
        <v>42569</v>
      </c>
      <c r="P49" s="95">
        <f ca="1"/>
        <v>-1.8595296409028961E-4</v>
      </c>
      <c r="Q49" s="5" t="s">
        <v>4</v>
      </c>
      <c r="R49" s="83" t="s">
        <v>4</v>
      </c>
    </row>
    <row r="50" spans="1:18" x14ac:dyDescent="0.25">
      <c r="A50" s="88">
        <v>36</v>
      </c>
      <c r="B50" s="82"/>
      <c r="C50" s="97">
        <f ca="1">_xll.meDateFromTenor(C49,"1D","FOLLOWING","TGT")</f>
        <v>42570</v>
      </c>
      <c r="D50" s="95">
        <f ca="1"/>
        <v>-3.3942425462049064E-3</v>
      </c>
      <c r="E50" s="92"/>
      <c r="F50" s="97">
        <f ca="1">_xll.meDateFromTenor(F49,"1D","FOLLOWING","TGT")</f>
        <v>42570</v>
      </c>
      <c r="G50" s="95">
        <f ca="1"/>
        <v>-3.5606284381794104E-3</v>
      </c>
      <c r="H50" s="92" t="s">
        <v>4</v>
      </c>
      <c r="I50" s="97">
        <f ca="1">_xll.meDateFromTenor(I49,"1D","FOLLOWING","TGT")</f>
        <v>42570</v>
      </c>
      <c r="J50" s="95">
        <f ca="1"/>
        <v>-2.6913989987851473E-3</v>
      </c>
      <c r="K50" s="5" t="s">
        <v>4</v>
      </c>
      <c r="L50" s="97">
        <f ca="1">_xll.meDateFromTenor(L49,"1D","FOLLOWING","TGT")</f>
        <v>42570</v>
      </c>
      <c r="M50" s="95">
        <f ca="1"/>
        <v>-1.5635460203427579E-3</v>
      </c>
      <c r="N50" s="5" t="s">
        <v>4</v>
      </c>
      <c r="O50" s="97">
        <f ca="1">_xll.meDateFromTenor(O49,"1D","FOLLOWING","TGT")</f>
        <v>42570</v>
      </c>
      <c r="P50" s="95">
        <f ca="1"/>
        <v>-1.8671256020703661E-4</v>
      </c>
      <c r="Q50" s="5" t="s">
        <v>4</v>
      </c>
      <c r="R50" s="83" t="s">
        <v>4</v>
      </c>
    </row>
    <row r="51" spans="1:18" x14ac:dyDescent="0.25">
      <c r="A51" s="88">
        <v>37</v>
      </c>
      <c r="B51" s="82"/>
      <c r="C51" s="97">
        <f ca="1">_xll.meDateFromTenor(C50,"1D","FOLLOWING","TGT")</f>
        <v>42571</v>
      </c>
      <c r="D51" s="95">
        <f ca="1"/>
        <v>-3.3942425462447634E-3</v>
      </c>
      <c r="E51" s="92"/>
      <c r="F51" s="97">
        <f ca="1">_xll.meDateFromTenor(F50,"1D","FOLLOWING","TGT")</f>
        <v>42571</v>
      </c>
      <c r="G51" s="95">
        <f ca="1"/>
        <v>-3.5624567665426226E-3</v>
      </c>
      <c r="H51" s="92" t="s">
        <v>4</v>
      </c>
      <c r="I51" s="97">
        <f ca="1">_xll.meDateFromTenor(I50,"1D","FOLLOWING","TGT")</f>
        <v>42571</v>
      </c>
      <c r="J51" s="95">
        <f ca="1"/>
        <v>-2.6931308923763206E-3</v>
      </c>
      <c r="K51" s="5" t="s">
        <v>4</v>
      </c>
      <c r="L51" s="97">
        <f ca="1">_xll.meDateFromTenor(L50,"1D","FOLLOWING","TGT")</f>
        <v>42571</v>
      </c>
      <c r="M51" s="95">
        <f ca="1"/>
        <v>-1.5644691177184803E-3</v>
      </c>
      <c r="N51" s="5" t="s">
        <v>4</v>
      </c>
      <c r="O51" s="97">
        <f ca="1">_xll.meDateFromTenor(O50,"1D","FOLLOWING","TGT")</f>
        <v>42571</v>
      </c>
      <c r="P51" s="95">
        <f ca="1"/>
        <v>-1.874707375624604E-4</v>
      </c>
      <c r="Q51" s="5" t="s">
        <v>4</v>
      </c>
      <c r="R51" s="83" t="s">
        <v>4</v>
      </c>
    </row>
    <row r="52" spans="1:18" x14ac:dyDescent="0.25">
      <c r="A52" s="88">
        <v>38</v>
      </c>
      <c r="B52" s="82"/>
      <c r="C52" s="97">
        <f ca="1">_xll.meDateFromTenor(C51,"1D","FOLLOWING","TGT")</f>
        <v>42572</v>
      </c>
      <c r="D52" s="95">
        <f ca="1"/>
        <v>-3.4938990941222325E-3</v>
      </c>
      <c r="E52" s="92"/>
      <c r="F52" s="97">
        <f ca="1">_xll.meDateFromTenor(F51,"1D","FOLLOWING","TGT")</f>
        <v>42572</v>
      </c>
      <c r="G52" s="95">
        <f ca="1"/>
        <v>-3.5642892075466192E-3</v>
      </c>
      <c r="H52" s="92" t="s">
        <v>4</v>
      </c>
      <c r="I52" s="97">
        <f ca="1">_xll.meDateFromTenor(I51,"1D","FOLLOWING","TGT")</f>
        <v>42572</v>
      </c>
      <c r="J52" s="95">
        <f ca="1"/>
        <v>-2.6948627859674952E-3</v>
      </c>
      <c r="K52" s="5" t="s">
        <v>4</v>
      </c>
      <c r="L52" s="97">
        <f ca="1">_xll.meDateFromTenor(L51,"1D","FOLLOWING","TGT")</f>
        <v>42572</v>
      </c>
      <c r="M52" s="95">
        <f ca="1"/>
        <v>-1.5653917962038079E-3</v>
      </c>
      <c r="N52" s="5" t="s">
        <v>4</v>
      </c>
      <c r="O52" s="97">
        <f ca="1">_xll.meDateFromTenor(O51,"1D","FOLLOWING","TGT")</f>
        <v>42572</v>
      </c>
      <c r="P52" s="95">
        <f ca="1"/>
        <v>-1.8822746597014985E-4</v>
      </c>
      <c r="Q52" s="5" t="s">
        <v>4</v>
      </c>
      <c r="R52" s="83" t="s">
        <v>4</v>
      </c>
    </row>
    <row r="53" spans="1:18" x14ac:dyDescent="0.25">
      <c r="A53" s="88">
        <v>39</v>
      </c>
      <c r="B53" s="82"/>
      <c r="C53" s="97">
        <f ca="1">_xll.meDateFromTenor(C52,"1D","FOLLOWING","TGT")</f>
        <v>42573</v>
      </c>
      <c r="D53" s="95">
        <f ca="1"/>
        <v>-3.5032713609643995E-3</v>
      </c>
      <c r="E53" s="92"/>
      <c r="F53" s="97">
        <f ca="1">_xll.meDateFromTenor(F52,"1D","FOLLOWING","TGT")</f>
        <v>42573</v>
      </c>
      <c r="G53" s="95">
        <f ca="1"/>
        <v>-3.5661246504127778E-3</v>
      </c>
      <c r="H53" s="92" t="s">
        <v>4</v>
      </c>
      <c r="I53" s="97">
        <f ca="1">_xll.meDateFromTenor(I52,"1D","FOLLOWING","TGT")</f>
        <v>42573</v>
      </c>
      <c r="J53" s="95">
        <f ca="1"/>
        <v>-2.6965946795586672E-3</v>
      </c>
      <c r="K53" s="5" t="s">
        <v>4</v>
      </c>
      <c r="L53" s="97">
        <f ca="1">_xll.meDateFromTenor(L52,"1D","FOLLOWING","TGT")</f>
        <v>42573</v>
      </c>
      <c r="M53" s="95">
        <f ca="1"/>
        <v>-1.5663140286169277E-3</v>
      </c>
      <c r="N53" s="5" t="s">
        <v>4</v>
      </c>
      <c r="O53" s="97">
        <f ca="1">_xll.meDateFromTenor(O52,"1D","FOLLOWING","TGT")</f>
        <v>42573</v>
      </c>
      <c r="P53" s="95">
        <f ca="1"/>
        <v>-1.8898271524369375E-4</v>
      </c>
      <c r="Q53" s="5" t="s">
        <v>4</v>
      </c>
      <c r="R53" s="83" t="s">
        <v>4</v>
      </c>
    </row>
    <row r="54" spans="1:18" x14ac:dyDescent="0.25">
      <c r="A54" s="88">
        <v>40</v>
      </c>
      <c r="B54" s="82"/>
      <c r="C54" s="97">
        <f ca="1">_xll.meDateFromTenor(C53,"1D","FOLLOWING","TGT")</f>
        <v>42576</v>
      </c>
      <c r="D54" s="95">
        <f ca="1"/>
        <v>-3.4938990941620895E-3</v>
      </c>
      <c r="E54" s="92"/>
      <c r="F54" s="97">
        <f ca="1">_xll.meDateFromTenor(F53,"1D","FOLLOWING","TGT")</f>
        <v>42576</v>
      </c>
      <c r="G54" s="95">
        <f ca="1"/>
        <v>-3.5716378823980005E-3</v>
      </c>
      <c r="H54" s="92" t="s">
        <v>4</v>
      </c>
      <c r="I54" s="97">
        <f ca="1">_xll.meDateFromTenor(I53,"1D","FOLLOWING","TGT")</f>
        <v>42576</v>
      </c>
      <c r="J54" s="95">
        <f ca="1"/>
        <v>-2.701790360332198E-3</v>
      </c>
      <c r="K54" s="5" t="s">
        <v>4</v>
      </c>
      <c r="L54" s="97">
        <f ca="1">_xll.meDateFromTenor(L53,"1D","FOLLOWING","TGT")</f>
        <v>42576</v>
      </c>
      <c r="M54" s="95">
        <f ca="1"/>
        <v>-1.5690777776049122E-3</v>
      </c>
      <c r="N54" s="5" t="s">
        <v>4</v>
      </c>
      <c r="O54" s="97">
        <f ca="1">_xll.meDateFromTenor(O53,"1D","FOLLOWING","TGT")</f>
        <v>42576</v>
      </c>
      <c r="P54" s="95">
        <f ca="1"/>
        <v>-1.9123928639534142E-4</v>
      </c>
      <c r="Q54" s="5" t="s">
        <v>4</v>
      </c>
      <c r="R54" s="83" t="s">
        <v>4</v>
      </c>
    </row>
    <row r="55" spans="1:18" x14ac:dyDescent="0.25">
      <c r="A55" s="88">
        <v>41</v>
      </c>
      <c r="B55" s="82"/>
      <c r="C55" s="97">
        <f ca="1">_xll.meDateFromTenor(C54,"1D","FOLLOWING","TGT")</f>
        <v>42577</v>
      </c>
      <c r="D55" s="95">
        <f ca="1"/>
        <v>-3.4938990941222325E-3</v>
      </c>
      <c r="E55" s="92"/>
      <c r="F55" s="97">
        <f ca="1">_xll.meDateFromTenor(F54,"1D","FOLLOWING","TGT")</f>
        <v>42577</v>
      </c>
      <c r="G55" s="95">
        <f ca="1"/>
        <v>-3.5734742249265818E-3</v>
      </c>
      <c r="H55" s="92" t="s">
        <v>4</v>
      </c>
      <c r="I55" s="97">
        <f ca="1">_xll.meDateFromTenor(I54,"1D","FOLLOWING","TGT")</f>
        <v>42577</v>
      </c>
      <c r="J55" s="95">
        <f ca="1"/>
        <v>-2.7035222539233605E-3</v>
      </c>
      <c r="K55" s="5" t="s">
        <v>4</v>
      </c>
      <c r="L55" s="97">
        <f ca="1">_xll.meDateFromTenor(L54,"1D","FOLLOWING","TGT")</f>
        <v>42577</v>
      </c>
      <c r="M55" s="95">
        <f ca="1"/>
        <v>-1.5699979539110728E-3</v>
      </c>
      <c r="N55" s="5" t="s">
        <v>4</v>
      </c>
      <c r="O55" s="97">
        <f ca="1">_xll.meDateFromTenor(O54,"1D","FOLLOWING","TGT")</f>
        <v>42577</v>
      </c>
      <c r="P55" s="95">
        <f ca="1"/>
        <v>-1.9198831726819211E-4</v>
      </c>
      <c r="Q55" s="5" t="s">
        <v>4</v>
      </c>
      <c r="R55" s="83" t="s">
        <v>4</v>
      </c>
    </row>
    <row r="56" spans="1:18" x14ac:dyDescent="0.25">
      <c r="A56" s="88">
        <v>42</v>
      </c>
      <c r="B56" s="82"/>
      <c r="C56" s="97">
        <f ca="1">_xll.meDateFromTenor(C55,"1D","FOLLOWING","TGT")</f>
        <v>42578</v>
      </c>
      <c r="D56" s="95">
        <f ca="1"/>
        <v>-3.4938990941620895E-3</v>
      </c>
      <c r="E56" s="92"/>
      <c r="F56" s="97">
        <f ca="1">_xll.meDateFromTenor(F55,"1D","FOLLOWING","TGT")</f>
        <v>42578</v>
      </c>
      <c r="G56" s="95">
        <f ca="1"/>
        <v>-3.575308015424212E-3</v>
      </c>
      <c r="H56" s="92" t="s">
        <v>4</v>
      </c>
      <c r="I56" s="97">
        <f ca="1">_xll.meDateFromTenor(I55,"1D","FOLLOWING","TGT")</f>
        <v>42578</v>
      </c>
      <c r="J56" s="95">
        <f ca="1"/>
        <v>-2.7052541475144935E-3</v>
      </c>
      <c r="K56" s="5" t="s">
        <v>4</v>
      </c>
      <c r="L56" s="97">
        <f ca="1">_xll.meDateFromTenor(L55,"1D","FOLLOWING","TGT")</f>
        <v>42578</v>
      </c>
      <c r="M56" s="95">
        <f ca="1"/>
        <v>-1.5709175482359614E-3</v>
      </c>
      <c r="N56" s="5" t="s">
        <v>4</v>
      </c>
      <c r="O56" s="97">
        <f ca="1">_xll.meDateFromTenor(O55,"1D","FOLLOWING","TGT")</f>
        <v>42578</v>
      </c>
      <c r="P56" s="95">
        <f ca="1"/>
        <v>-1.927357180748417E-4</v>
      </c>
      <c r="Q56" s="5" t="s">
        <v>4</v>
      </c>
      <c r="R56" s="83" t="s">
        <v>4</v>
      </c>
    </row>
    <row r="57" spans="1:18" x14ac:dyDescent="0.25">
      <c r="A57" s="88">
        <v>43</v>
      </c>
      <c r="B57" s="82"/>
      <c r="C57" s="97">
        <f ca="1">_xll.meDateFromTenor(C56,"1D","FOLLOWING","TGT")</f>
        <v>42579</v>
      </c>
      <c r="D57" s="95">
        <f ca="1"/>
        <v>-3.4938990941222325E-3</v>
      </c>
      <c r="E57" s="92"/>
      <c r="F57" s="97">
        <f ca="1">_xll.meDateFromTenor(F56,"1D","FOLLOWING","TGT")</f>
        <v>42579</v>
      </c>
      <c r="G57" s="95">
        <f ca="1"/>
        <v>-3.5771381431122682E-3</v>
      </c>
      <c r="H57" s="92" t="s">
        <v>4</v>
      </c>
      <c r="I57" s="97">
        <f ca="1">_xll.meDateFromTenor(I56,"1D","FOLLOWING","TGT")</f>
        <v>42579</v>
      </c>
      <c r="J57" s="95">
        <f ca="1"/>
        <v>-2.7069860411057071E-3</v>
      </c>
      <c r="K57" s="5" t="s">
        <v>4</v>
      </c>
      <c r="L57" s="97">
        <f ca="1">_xll.meDateFromTenor(L56,"1D","FOLLOWING","TGT")</f>
        <v>42579</v>
      </c>
      <c r="M57" s="95">
        <f ca="1"/>
        <v>-1.571836533397765E-3</v>
      </c>
      <c r="N57" s="5" t="s">
        <v>4</v>
      </c>
      <c r="O57" s="97">
        <f ca="1">_xll.meDateFromTenor(O56,"1D","FOLLOWING","TGT")</f>
        <v>42579</v>
      </c>
      <c r="P57" s="95">
        <f ca="1"/>
        <v>-1.9348145862887895E-4</v>
      </c>
      <c r="Q57" s="5" t="s">
        <v>4</v>
      </c>
      <c r="R57" s="83" t="s">
        <v>4</v>
      </c>
    </row>
    <row r="58" spans="1:18" x14ac:dyDescent="0.25">
      <c r="A58" s="88">
        <v>44</v>
      </c>
      <c r="B58" s="82"/>
      <c r="C58" s="97">
        <f ca="1">_xll.meDateFromTenor(C57,"1D","FOLLOWING","TGT")</f>
        <v>42580</v>
      </c>
      <c r="D58" s="95">
        <f ca="1"/>
        <v>-3.4939183900070114E-3</v>
      </c>
      <c r="E58" s="92"/>
      <c r="F58" s="97">
        <f ca="1">_xll.meDateFromTenor(F57,"1D","FOLLOWING","TGT")</f>
        <v>42580</v>
      </c>
      <c r="G58" s="95">
        <f ca="1"/>
        <v>-3.5789634972121297E-3</v>
      </c>
      <c r="H58" s="92" t="s">
        <v>4</v>
      </c>
      <c r="I58" s="97">
        <f ca="1">_xll.meDateFromTenor(I57,"1D","FOLLOWING","TGT")</f>
        <v>42580</v>
      </c>
      <c r="J58" s="95">
        <f ca="1"/>
        <v>-2.7087179346970331E-3</v>
      </c>
      <c r="K58" s="5" t="s">
        <v>4</v>
      </c>
      <c r="L58" s="97">
        <f ca="1">_xll.meDateFromTenor(L57,"1D","FOLLOWING","TGT")</f>
        <v>42580</v>
      </c>
      <c r="M58" s="95">
        <f ca="1"/>
        <v>-1.5727548822146711E-3</v>
      </c>
      <c r="N58" s="5" t="s">
        <v>4</v>
      </c>
      <c r="O58" s="97">
        <f ca="1">_xll.meDateFromTenor(O57,"1D","FOLLOWING","TGT")</f>
        <v>42580</v>
      </c>
      <c r="P58" s="95">
        <f ca="1"/>
        <v>-1.9422550874389284E-4</v>
      </c>
      <c r="Q58" s="5" t="s">
        <v>4</v>
      </c>
      <c r="R58" s="83" t="s">
        <v>4</v>
      </c>
    </row>
    <row r="59" spans="1:18" x14ac:dyDescent="0.25">
      <c r="A59" s="88">
        <v>45</v>
      </c>
      <c r="B59" s="82"/>
      <c r="C59" s="97">
        <f ca="1">_xll.meDateFromTenor(C58,"1D","FOLLOWING","TGT")</f>
        <v>42583</v>
      </c>
      <c r="D59" s="95">
        <f ca="1"/>
        <v>-3.4938990940823755E-3</v>
      </c>
      <c r="E59" s="92"/>
      <c r="F59" s="97">
        <f ca="1">_xll.meDateFromTenor(F58,"1D","FOLLOWING","TGT")</f>
        <v>42583</v>
      </c>
      <c r="G59" s="95">
        <f ca="1"/>
        <v>-3.5843998101963105E-3</v>
      </c>
      <c r="H59" s="92" t="s">
        <v>4</v>
      </c>
      <c r="I59" s="97">
        <f ca="1">_xll.meDateFromTenor(I58,"1D","FOLLOWING","TGT")</f>
        <v>42583</v>
      </c>
      <c r="J59" s="95">
        <f ca="1"/>
        <v>-2.7139136154704009E-3</v>
      </c>
      <c r="K59" s="5" t="s">
        <v>4</v>
      </c>
      <c r="L59" s="97">
        <f ca="1">_xll.meDateFromTenor(L58,"1D","FOLLOWING","TGT")</f>
        <v>42583</v>
      </c>
      <c r="M59" s="95">
        <f ca="1"/>
        <v>-1.5755058387778749E-3</v>
      </c>
      <c r="N59" s="5" t="s">
        <v>4</v>
      </c>
      <c r="O59" s="97">
        <f ca="1">_xll.meDateFromTenor(O58,"1D","FOLLOWING","TGT")</f>
        <v>42583</v>
      </c>
      <c r="P59" s="95">
        <f ca="1"/>
        <v>-1.9644721459068266E-4</v>
      </c>
      <c r="Q59" s="5" t="s">
        <v>4</v>
      </c>
      <c r="R59" s="83" t="s">
        <v>4</v>
      </c>
    </row>
    <row r="60" spans="1:18" x14ac:dyDescent="0.25">
      <c r="A60" s="88">
        <v>46</v>
      </c>
      <c r="B60" s="82"/>
      <c r="C60" s="97">
        <f ca="1">_xll.meDateFromTenor(C59,"1D","FOLLOWING","TGT")</f>
        <v>42584</v>
      </c>
      <c r="D60" s="95">
        <f ca="1"/>
        <v>-3.4938990942018355E-3</v>
      </c>
      <c r="E60" s="92"/>
      <c r="F60" s="97">
        <f ca="1">_xll.meDateFromTenor(F59,"1D","FOLLOWING","TGT")</f>
        <v>42584</v>
      </c>
      <c r="G60" s="95">
        <f ca="1"/>
        <v>-3.5861949621571626E-3</v>
      </c>
      <c r="H60" s="92" t="s">
        <v>4</v>
      </c>
      <c r="I60" s="97">
        <f ca="1">_xll.meDateFromTenor(I59,"1D","FOLLOWING","TGT")</f>
        <v>42584</v>
      </c>
      <c r="J60" s="95">
        <f ca="1"/>
        <v>-2.715645509063694E-3</v>
      </c>
      <c r="K60" s="5" t="s">
        <v>4</v>
      </c>
      <c r="L60" s="97">
        <f ca="1">_xll.meDateFromTenor(L59,"1D","FOLLOWING","TGT")</f>
        <v>42584</v>
      </c>
      <c r="M60" s="95">
        <f ca="1"/>
        <v>-1.5764213703970617E-3</v>
      </c>
      <c r="N60" s="5" t="s">
        <v>4</v>
      </c>
      <c r="O60" s="97">
        <f ca="1">_xll.meDateFromTenor(O59,"1D","FOLLOWING","TGT")</f>
        <v>42584</v>
      </c>
      <c r="P60" s="95">
        <f ca="1"/>
        <v>-1.9718420108549159E-4</v>
      </c>
      <c r="Q60" s="5" t="s">
        <v>4</v>
      </c>
      <c r="R60" s="83" t="s">
        <v>4</v>
      </c>
    </row>
    <row r="61" spans="1:18" x14ac:dyDescent="0.25">
      <c r="A61" s="88">
        <v>47</v>
      </c>
      <c r="B61" s="82"/>
      <c r="C61" s="97">
        <f ca="1">_xll.meDateFromTenor(C60,"1D","FOLLOWING","TGT")</f>
        <v>42585</v>
      </c>
      <c r="D61" s="95">
        <f ca="1"/>
        <v>-3.4938990941620895E-3</v>
      </c>
      <c r="E61" s="92"/>
      <c r="F61" s="97">
        <f ca="1">_xll.meDateFromTenor(F60,"1D","FOLLOWING","TGT")</f>
        <v>42585</v>
      </c>
      <c r="G61" s="95">
        <f ca="1"/>
        <v>-3.5879800212081201E-3</v>
      </c>
      <c r="H61" s="92" t="s">
        <v>4</v>
      </c>
      <c r="I61" s="97">
        <f ca="1">_xll.meDateFromTenor(I60,"1D","FOLLOWING","TGT")</f>
        <v>42585</v>
      </c>
      <c r="J61" s="95">
        <f ca="1"/>
        <v>-2.7173774026527475E-3</v>
      </c>
      <c r="K61" s="5" t="s">
        <v>4</v>
      </c>
      <c r="L61" s="97">
        <f ca="1">_xll.meDateFromTenor(L60,"1D","FOLLOWING","TGT")</f>
        <v>42585</v>
      </c>
      <c r="M61" s="95">
        <f ca="1"/>
        <v>-1.5773361297622866E-3</v>
      </c>
      <c r="N61" s="5" t="s">
        <v>4</v>
      </c>
      <c r="O61" s="97">
        <f ca="1">_xll.meDateFromTenor(O60,"1D","FOLLOWING","TGT")</f>
        <v>42585</v>
      </c>
      <c r="P61" s="95">
        <f ca="1"/>
        <v>-1.9791934620922141E-4</v>
      </c>
      <c r="Q61" s="5" t="s">
        <v>4</v>
      </c>
      <c r="R61" s="83" t="s">
        <v>4</v>
      </c>
    </row>
    <row r="62" spans="1:18" x14ac:dyDescent="0.25">
      <c r="A62" s="88">
        <v>48</v>
      </c>
      <c r="B62" s="82"/>
      <c r="C62" s="97">
        <f ca="1">_xll.meDateFromTenor(C61,"1D","FOLLOWING","TGT")</f>
        <v>42586</v>
      </c>
      <c r="D62" s="95">
        <f ca="1"/>
        <v>-3.4938990941222325E-3</v>
      </c>
      <c r="E62" s="92"/>
      <c r="F62" s="97">
        <f ca="1">_xll.meDateFromTenor(F61,"1D","FOLLOWING","TGT")</f>
        <v>42586</v>
      </c>
      <c r="G62" s="95">
        <f ca="1"/>
        <v>-3.589755049427633E-3</v>
      </c>
      <c r="H62" s="92" t="s">
        <v>4</v>
      </c>
      <c r="I62" s="97">
        <f ca="1">_xll.meDateFromTenor(I61,"1D","FOLLOWING","TGT")</f>
        <v>42586</v>
      </c>
      <c r="J62" s="95">
        <f ca="1"/>
        <v>-2.7191092962360092E-3</v>
      </c>
      <c r="K62" s="5" t="s">
        <v>4</v>
      </c>
      <c r="L62" s="97">
        <f ca="1">_xll.meDateFromTenor(L61,"1D","FOLLOWING","TGT")</f>
        <v>42586</v>
      </c>
      <c r="M62" s="95">
        <f ca="1"/>
        <v>-1.5782500896917371E-3</v>
      </c>
      <c r="N62" s="5" t="s">
        <v>4</v>
      </c>
      <c r="O62" s="97">
        <f ca="1">_xll.meDateFromTenor(O61,"1D","FOLLOWING","TGT")</f>
        <v>42586</v>
      </c>
      <c r="P62" s="95">
        <f ca="1"/>
        <v>-1.986526197754611E-4</v>
      </c>
      <c r="Q62" s="5" t="s">
        <v>4</v>
      </c>
      <c r="R62" s="83" t="s">
        <v>4</v>
      </c>
    </row>
    <row r="63" spans="1:18" x14ac:dyDescent="0.25">
      <c r="A63" s="88">
        <v>49</v>
      </c>
      <c r="B63" s="82"/>
      <c r="C63" s="97">
        <f ca="1">_xll.meDateFromTenor(C62,"1D","FOLLOWING","TGT")</f>
        <v>42587</v>
      </c>
      <c r="D63" s="95">
        <f ca="1"/>
        <v>-3.4939282553944073E-3</v>
      </c>
      <c r="E63" s="92"/>
      <c r="F63" s="97">
        <f ca="1">_xll.meDateFromTenor(F62,"1D","FOLLOWING","TGT")</f>
        <v>42587</v>
      </c>
      <c r="G63" s="95">
        <f ca="1"/>
        <v>-3.5915203434655667E-3</v>
      </c>
      <c r="H63" s="92" t="s">
        <v>4</v>
      </c>
      <c r="I63" s="97">
        <f ca="1">_xll.meDateFromTenor(I62,"1D","FOLLOWING","TGT")</f>
        <v>42587</v>
      </c>
      <c r="J63" s="95">
        <f ca="1"/>
        <v>-2.7208411898350941E-3</v>
      </c>
      <c r="K63" s="5" t="s">
        <v>4</v>
      </c>
      <c r="L63" s="97">
        <f ca="1">_xll.meDateFromTenor(L62,"1D","FOLLOWING","TGT")</f>
        <v>42587</v>
      </c>
      <c r="M63" s="95">
        <f ca="1"/>
        <v>-1.5791632230035995E-3</v>
      </c>
      <c r="N63" s="5" t="s">
        <v>4</v>
      </c>
      <c r="O63" s="97">
        <f ca="1">_xll.meDateFromTenor(O62,"1D","FOLLOWING","TGT")</f>
        <v>42587</v>
      </c>
      <c r="P63" s="95">
        <f ca="1"/>
        <v>-1.9938399159779934E-4</v>
      </c>
      <c r="Q63" s="5" t="s">
        <v>4</v>
      </c>
      <c r="R63" s="83" t="s">
        <v>4</v>
      </c>
    </row>
    <row r="64" spans="1:18" x14ac:dyDescent="0.25">
      <c r="A64" s="88">
        <v>50</v>
      </c>
      <c r="B64" s="82"/>
      <c r="C64" s="97">
        <f ca="1">_xll.meDateFromTenor(C63,"1D","FOLLOWING","TGT")</f>
        <v>42590</v>
      </c>
      <c r="D64" s="95">
        <f ca="1"/>
        <v>-3.4938990942019466E-3</v>
      </c>
      <c r="E64" s="92"/>
      <c r="F64" s="97">
        <f ca="1">_xll.meDateFromTenor(F63,"1D","FOLLOWING","TGT")</f>
        <v>42590</v>
      </c>
      <c r="G64" s="95">
        <f ca="1"/>
        <v>-3.5967607869885369E-3</v>
      </c>
      <c r="H64" s="92" t="s">
        <v>4</v>
      </c>
      <c r="I64" s="97">
        <f ca="1">_xll.meDateFromTenor(I63,"1D","FOLLOWING","TGT")</f>
        <v>42590</v>
      </c>
      <c r="J64" s="95">
        <f ca="1"/>
        <v>-2.726036870498421E-3</v>
      </c>
      <c r="K64" s="5" t="s">
        <v>4</v>
      </c>
      <c r="L64" s="97">
        <f ca="1">_xll.meDateFromTenor(L63,"1D","FOLLOWING","TGT")</f>
        <v>42590</v>
      </c>
      <c r="M64" s="95">
        <f ca="1"/>
        <v>-1.5818973914155333E-3</v>
      </c>
      <c r="N64" s="5" t="s">
        <v>4</v>
      </c>
      <c r="O64" s="97">
        <f ca="1">_xll.meDateFromTenor(O63,"1D","FOLLOWING","TGT")</f>
        <v>42590</v>
      </c>
      <c r="P64" s="95">
        <f ca="1"/>
        <v>-2.0156639473729502E-4</v>
      </c>
      <c r="Q64" s="5" t="s">
        <v>4</v>
      </c>
      <c r="R64" s="83" t="s">
        <v>4</v>
      </c>
    </row>
    <row r="65" spans="1:18" x14ac:dyDescent="0.25">
      <c r="A65" s="88">
        <v>51</v>
      </c>
      <c r="B65" s="82"/>
      <c r="C65" s="97">
        <f ca="1">_xll.meDateFromTenor(C64,"1D","FOLLOWING","TGT")</f>
        <v>42591</v>
      </c>
      <c r="D65" s="95">
        <f ca="1"/>
        <v>-3.4938990941620895E-3</v>
      </c>
      <c r="E65" s="92"/>
      <c r="F65" s="97">
        <f ca="1">_xll.meDateFromTenor(F64,"1D","FOLLOWING","TGT")</f>
        <v>42591</v>
      </c>
      <c r="G65" s="95">
        <f ca="1"/>
        <v>-3.5984901107987983E-3</v>
      </c>
      <c r="H65" s="92" t="s">
        <v>4</v>
      </c>
      <c r="I65" s="97">
        <f ca="1">_xll.meDateFromTenor(I64,"1D","FOLLOWING","TGT")</f>
        <v>42591</v>
      </c>
      <c r="J65" s="95">
        <f ca="1"/>
        <v>-2.7277687641997874E-3</v>
      </c>
      <c r="K65" s="5" t="s">
        <v>4</v>
      </c>
      <c r="L65" s="97">
        <f ca="1">_xll.meDateFromTenor(L64,"1D","FOLLOWING","TGT")</f>
        <v>42591</v>
      </c>
      <c r="M65" s="95">
        <f ca="1"/>
        <v>-1.582806946438917E-3</v>
      </c>
      <c r="N65" s="5" t="s">
        <v>4</v>
      </c>
      <c r="O65" s="97">
        <f ca="1">_xll.meDateFromTenor(O64,"1D","FOLLOWING","TGT")</f>
        <v>42591</v>
      </c>
      <c r="P65" s="95">
        <f ca="1"/>
        <v>-2.0228985771991669E-4</v>
      </c>
      <c r="Q65" s="5" t="s">
        <v>4</v>
      </c>
      <c r="R65" s="83" t="s">
        <v>4</v>
      </c>
    </row>
    <row r="66" spans="1:18" x14ac:dyDescent="0.25">
      <c r="A66" s="88">
        <v>52</v>
      </c>
      <c r="B66" s="82"/>
      <c r="C66" s="97">
        <f ca="1">_xll.meDateFromTenor(C65,"1D","FOLLOWING","TGT")</f>
        <v>42592</v>
      </c>
      <c r="D66" s="95">
        <f ca="1"/>
        <v>-3.4938990941620895E-3</v>
      </c>
      <c r="E66" s="92"/>
      <c r="F66" s="97">
        <f ca="1">_xll.meDateFromTenor(F65,"1D","FOLLOWING","TGT")</f>
        <v>42592</v>
      </c>
      <c r="G66" s="95">
        <f ca="1"/>
        <v>-3.6002111836768032E-3</v>
      </c>
      <c r="H66" s="92" t="s">
        <v>4</v>
      </c>
      <c r="I66" s="97">
        <f ca="1">_xll.meDateFromTenor(I65,"1D","FOLLOWING","TGT")</f>
        <v>42592</v>
      </c>
      <c r="J66" s="95">
        <f ca="1"/>
        <v>-2.7295006582022073E-3</v>
      </c>
      <c r="K66" s="5" t="s">
        <v>4</v>
      </c>
      <c r="L66" s="97">
        <f ca="1">_xll.meDateFromTenor(L65,"1D","FOLLOWING","TGT")</f>
        <v>42592</v>
      </c>
      <c r="M66" s="95">
        <f ca="1"/>
        <v>-1.583715538935649E-3</v>
      </c>
      <c r="N66" s="5" t="s">
        <v>4</v>
      </c>
      <c r="O66" s="97">
        <f ca="1">_xll.meDateFromTenor(O65,"1D","FOLLOWING","TGT")</f>
        <v>42592</v>
      </c>
      <c r="P66" s="95">
        <f ca="1"/>
        <v>-2.0301126802658136E-4</v>
      </c>
      <c r="Q66" s="5" t="s">
        <v>4</v>
      </c>
      <c r="R66" s="83" t="s">
        <v>4</v>
      </c>
    </row>
    <row r="67" spans="1:18" x14ac:dyDescent="0.25">
      <c r="A67" s="88">
        <v>53</v>
      </c>
      <c r="B67" s="82"/>
      <c r="C67" s="97">
        <f ca="1">_xll.meDateFromTenor(C66,"1D","FOLLOWING","TGT")</f>
        <v>42593</v>
      </c>
      <c r="D67" s="95">
        <f ca="1"/>
        <v>-3.4938990941222325E-3</v>
      </c>
      <c r="E67" s="92"/>
      <c r="F67" s="97">
        <f ca="1">_xll.meDateFromTenor(F66,"1D","FOLLOWING","TGT")</f>
        <v>42593</v>
      </c>
      <c r="G67" s="95">
        <f ca="1"/>
        <v>-3.6019243022724161E-3</v>
      </c>
      <c r="H67" s="92" t="s">
        <v>4</v>
      </c>
      <c r="I67" s="97">
        <f ca="1">_xll.meDateFromTenor(I66,"1D","FOLLOWING","TGT")</f>
        <v>42593</v>
      </c>
      <c r="J67" s="95">
        <f ca="1"/>
        <v>-2.7312325513821341E-3</v>
      </c>
      <c r="K67" s="5" t="s">
        <v>4</v>
      </c>
      <c r="L67" s="97">
        <f ca="1">_xll.meDateFromTenor(L66,"1D","FOLLOWING","TGT")</f>
        <v>42593</v>
      </c>
      <c r="M67" s="95">
        <f ca="1"/>
        <v>-1.5846231417239161E-3</v>
      </c>
      <c r="N67" s="5" t="s">
        <v>4</v>
      </c>
      <c r="O67" s="97">
        <f ca="1">_xll.meDateFromTenor(O66,"1D","FOLLOWING","TGT")</f>
        <v>42593</v>
      </c>
      <c r="P67" s="95">
        <f ca="1"/>
        <v>-2.0373059547087785E-4</v>
      </c>
      <c r="Q67" s="5" t="s">
        <v>4</v>
      </c>
      <c r="R67" s="83" t="s">
        <v>4</v>
      </c>
    </row>
    <row r="68" spans="1:18" x14ac:dyDescent="0.25">
      <c r="A68" s="88">
        <v>54</v>
      </c>
      <c r="B68" s="82"/>
      <c r="C68" s="97">
        <f ca="1">_xll.meDateFromTenor(C67,"1D","FOLLOWING","TGT")</f>
        <v>42594</v>
      </c>
      <c r="D68" s="95">
        <f ca="1"/>
        <v>-3.4939282449593101E-3</v>
      </c>
      <c r="E68" s="92"/>
      <c r="F68" s="97">
        <f ca="1">_xll.meDateFromTenor(F67,"1D","FOLLOWING","TGT")</f>
        <v>42594</v>
      </c>
      <c r="G68" s="95">
        <f ca="1"/>
        <v>-3.6036297632355027E-3</v>
      </c>
      <c r="H68" s="92" t="s">
        <v>4</v>
      </c>
      <c r="I68" s="97">
        <f ca="1">_xll.meDateFromTenor(I67,"1D","FOLLOWING","TGT")</f>
        <v>42594</v>
      </c>
      <c r="J68" s="95">
        <f ca="1"/>
        <v>-2.7329644434385147E-3</v>
      </c>
      <c r="K68" s="5" t="s">
        <v>4</v>
      </c>
      <c r="L68" s="97">
        <f ca="1">_xll.meDateFromTenor(L67,"1D","FOLLOWING","TGT")</f>
        <v>42594</v>
      </c>
      <c r="M68" s="95">
        <f ca="1"/>
        <v>-1.5855297276219059E-3</v>
      </c>
      <c r="N68" s="5" t="s">
        <v>4</v>
      </c>
      <c r="O68" s="97">
        <f ca="1">_xll.meDateFromTenor(O67,"1D","FOLLOWING","TGT")</f>
        <v>42594</v>
      </c>
      <c r="P68" s="95">
        <f ca="1"/>
        <v>-2.0444780986639515E-4</v>
      </c>
      <c r="Q68" s="5" t="s">
        <v>4</v>
      </c>
      <c r="R68" s="83" t="s">
        <v>4</v>
      </c>
    </row>
    <row r="69" spans="1:18" x14ac:dyDescent="0.25">
      <c r="A69" s="88">
        <v>55</v>
      </c>
      <c r="B69" s="82"/>
      <c r="C69" s="97">
        <f ca="1">_xll.meDateFromTenor(C68,"1D","FOLLOWING","TGT")</f>
        <v>42597</v>
      </c>
      <c r="D69" s="95">
        <f ca="1"/>
        <v>-3.4938990942019466E-3</v>
      </c>
      <c r="E69" s="92"/>
      <c r="F69" s="97">
        <f ca="1">_xll.meDateFromTenor(F68,"1D","FOLLOWING","TGT")</f>
        <v>42597</v>
      </c>
      <c r="G69" s="95">
        <f ca="1"/>
        <v>-3.6087031668282413E-3</v>
      </c>
      <c r="H69" s="92" t="s">
        <v>4</v>
      </c>
      <c r="I69" s="97">
        <f ca="1">_xll.meDateFromTenor(I68,"1D","FOLLOWING","TGT")</f>
        <v>42597</v>
      </c>
      <c r="J69" s="95">
        <f ca="1"/>
        <v>-2.7381601257468278E-3</v>
      </c>
      <c r="K69" s="5" t="s">
        <v>4</v>
      </c>
      <c r="L69" s="97">
        <f ca="1">_xll.meDateFromTenor(L68,"1D","FOLLOWING","TGT")</f>
        <v>42597</v>
      </c>
      <c r="M69" s="95">
        <f ca="1"/>
        <v>-1.5882431121560805E-3</v>
      </c>
      <c r="N69" s="5" t="s">
        <v>4</v>
      </c>
      <c r="O69" s="97">
        <f ca="1">_xll.meDateFromTenor(O68,"1D","FOLLOWING","TGT")</f>
        <v>42597</v>
      </c>
      <c r="P69" s="95">
        <f ca="1"/>
        <v>-2.0658647289616006E-4</v>
      </c>
      <c r="Q69" s="5" t="s">
        <v>4</v>
      </c>
      <c r="R69" s="83" t="s">
        <v>4</v>
      </c>
    </row>
    <row r="70" spans="1:18" x14ac:dyDescent="0.25">
      <c r="A70" s="88">
        <v>56</v>
      </c>
      <c r="B70" s="82"/>
      <c r="C70" s="97">
        <f ca="1">_xll.meDateFromTenor(C69,"1D","FOLLOWING","TGT")</f>
        <v>42598</v>
      </c>
      <c r="D70" s="95">
        <f ca="1"/>
        <v>-3.4938990941620895E-3</v>
      </c>
      <c r="E70" s="92"/>
      <c r="F70" s="97">
        <f ca="1">_xll.meDateFromTenor(F69,"1D","FOLLOWING","TGT")</f>
        <v>42598</v>
      </c>
      <c r="G70" s="95">
        <f ca="1"/>
        <v>-3.6103809637598634E-3</v>
      </c>
      <c r="H70" s="92" t="s">
        <v>4</v>
      </c>
      <c r="I70" s="97">
        <f ca="1">_xll.meDateFromTenor(I69,"1D","FOLLOWING","TGT")</f>
        <v>42598</v>
      </c>
      <c r="J70" s="95">
        <f ca="1"/>
        <v>-2.7398919979610974E-3</v>
      </c>
      <c r="K70" s="5" t="s">
        <v>4</v>
      </c>
      <c r="L70" s="97">
        <f ca="1">_xll.meDateFromTenor(L69,"1D","FOLLOWING","TGT")</f>
        <v>42598</v>
      </c>
      <c r="M70" s="95">
        <f ca="1"/>
        <v>-1.5891453586748315E-3</v>
      </c>
      <c r="N70" s="5" t="s">
        <v>4</v>
      </c>
      <c r="O70" s="97">
        <f ca="1">_xll.meDateFromTenor(O69,"1D","FOLLOWING","TGT")</f>
        <v>42598</v>
      </c>
      <c r="P70" s="95">
        <f ca="1"/>
        <v>-2.0729493323244896E-4</v>
      </c>
      <c r="Q70" s="5" t="s">
        <v>4</v>
      </c>
      <c r="R70" s="83" t="s">
        <v>4</v>
      </c>
    </row>
    <row r="71" spans="1:18" x14ac:dyDescent="0.25">
      <c r="A71" s="88">
        <v>57</v>
      </c>
      <c r="B71" s="82"/>
      <c r="C71" s="97">
        <f ca="1">_xll.meDateFromTenor(C70,"1D","FOLLOWING","TGT")</f>
        <v>42599</v>
      </c>
      <c r="D71" s="95">
        <f ca="1"/>
        <v>-3.4938990942019466E-3</v>
      </c>
      <c r="E71" s="92"/>
      <c r="F71" s="97">
        <f ca="1">_xll.meDateFromTenor(F70,"1D","FOLLOWING","TGT")</f>
        <v>42599</v>
      </c>
      <c r="G71" s="95">
        <f ca="1"/>
        <v>-3.6120525863082816E-3</v>
      </c>
      <c r="H71" s="92" t="s">
        <v>4</v>
      </c>
      <c r="I71" s="97">
        <f ca="1">_xll.meDateFromTenor(I70,"1D","FOLLOWING","TGT")</f>
        <v>42599</v>
      </c>
      <c r="J71" s="95">
        <f ca="1"/>
        <v>-2.7416239129291744E-3</v>
      </c>
      <c r="K71" s="5" t="s">
        <v>4</v>
      </c>
      <c r="L71" s="97">
        <f ca="1">_xll.meDateFromTenor(L70,"1D","FOLLOWING","TGT")</f>
        <v>42599</v>
      </c>
      <c r="M71" s="95">
        <f ca="1"/>
        <v>-1.5900464523942405E-3</v>
      </c>
      <c r="N71" s="5" t="s">
        <v>4</v>
      </c>
      <c r="O71" s="97">
        <f ca="1">_xll.meDateFromTenor(O70,"1D","FOLLOWING","TGT")</f>
        <v>42599</v>
      </c>
      <c r="P71" s="95">
        <f ca="1"/>
        <v>-2.0800112958790294E-4</v>
      </c>
      <c r="Q71" s="5" t="s">
        <v>4</v>
      </c>
      <c r="R71" s="83" t="s">
        <v>4</v>
      </c>
    </row>
    <row r="72" spans="1:18" x14ac:dyDescent="0.25">
      <c r="A72" s="88">
        <v>58</v>
      </c>
      <c r="B72" s="82"/>
      <c r="C72" s="97">
        <f ca="1">_xll.meDateFromTenor(C71,"1D","FOLLOWING","TGT")</f>
        <v>42600</v>
      </c>
      <c r="D72" s="95">
        <f ca="1"/>
        <v>-3.4938990941222325E-3</v>
      </c>
      <c r="E72" s="92"/>
      <c r="F72" s="97">
        <f ca="1">_xll.meDateFromTenor(F71,"1D","FOLLOWING","TGT")</f>
        <v>42600</v>
      </c>
      <c r="G72" s="95">
        <f ca="1"/>
        <v>-3.6137183311233602E-3</v>
      </c>
      <c r="H72" s="92" t="s">
        <v>4</v>
      </c>
      <c r="I72" s="97">
        <f ca="1">_xll.meDateFromTenor(I71,"1D","FOLLOWING","TGT")</f>
        <v>42600</v>
      </c>
      <c r="J72" s="95">
        <f ca="1"/>
        <v>-2.7433558863000384E-3</v>
      </c>
      <c r="K72" s="5" t="s">
        <v>4</v>
      </c>
      <c r="L72" s="97">
        <f ca="1">_xll.meDateFromTenor(L71,"1D","FOLLOWING","TGT")</f>
        <v>42600</v>
      </c>
      <c r="M72" s="95">
        <f ca="1"/>
        <v>-1.5909463661324947E-3</v>
      </c>
      <c r="N72" s="5" t="s">
        <v>4</v>
      </c>
      <c r="O72" s="97">
        <f ca="1">_xll.meDateFromTenor(O71,"1D","FOLLOWING","TGT")</f>
        <v>42600</v>
      </c>
      <c r="P72" s="95">
        <f ca="1"/>
        <v>-2.0870503177611088E-4</v>
      </c>
      <c r="Q72" s="5" t="s">
        <v>4</v>
      </c>
      <c r="R72" s="83" t="s">
        <v>4</v>
      </c>
    </row>
    <row r="73" spans="1:18" x14ac:dyDescent="0.25">
      <c r="A73" s="88">
        <v>59</v>
      </c>
      <c r="B73" s="82"/>
      <c r="C73" s="97">
        <f ca="1">_xll.meDateFromTenor(C72,"1D","FOLLOWING","TGT")</f>
        <v>42601</v>
      </c>
      <c r="D73" s="95">
        <f ca="1"/>
        <v>-3.4939282459549581E-3</v>
      </c>
      <c r="E73" s="92"/>
      <c r="F73" s="97">
        <f ca="1">_xll.meDateFromTenor(F72,"1D","FOLLOWING","TGT")</f>
        <v>42601</v>
      </c>
      <c r="G73" s="95">
        <f ca="1"/>
        <v>-3.6153784948549624E-3</v>
      </c>
      <c r="H73" s="92" t="s">
        <v>4</v>
      </c>
      <c r="I73" s="97">
        <f ca="1">_xll.meDateFromTenor(I72,"1D","FOLLOWING","TGT")</f>
        <v>42601</v>
      </c>
      <c r="J73" s="95">
        <f ca="1"/>
        <v>-2.7450877001115211E-3</v>
      </c>
      <c r="K73" s="5" t="s">
        <v>4</v>
      </c>
      <c r="L73" s="97">
        <f ca="1">_xll.meDateFromTenor(L72,"1D","FOLLOWING","TGT")</f>
        <v>42601</v>
      </c>
      <c r="M73" s="95">
        <f ca="1"/>
        <v>-1.5918450727077816E-3</v>
      </c>
      <c r="N73" s="5" t="s">
        <v>4</v>
      </c>
      <c r="O73" s="97">
        <f ca="1">_xll.meDateFromTenor(O72,"1D","FOLLOWING","TGT")</f>
        <v>42601</v>
      </c>
      <c r="P73" s="95">
        <f ca="1"/>
        <v>-2.0940660961066168E-4</v>
      </c>
      <c r="Q73" s="5" t="s">
        <v>4</v>
      </c>
      <c r="R73" s="83" t="s">
        <v>4</v>
      </c>
    </row>
    <row r="74" spans="1:18" x14ac:dyDescent="0.25">
      <c r="A74" s="88">
        <v>60</v>
      </c>
      <c r="B74" s="82"/>
      <c r="C74" s="97">
        <f ca="1">_xll.meDateFromTenor(C73,"1D","FOLLOWING","TGT")</f>
        <v>42604</v>
      </c>
      <c r="D74" s="95">
        <f ca="1"/>
        <v>-3.4938990941222325E-3</v>
      </c>
      <c r="E74" s="92"/>
      <c r="F74" s="97">
        <f ca="1">_xll.meDateFromTenor(F73,"1D","FOLLOWING","TGT")</f>
        <v>42604</v>
      </c>
      <c r="G74" s="95">
        <f ca="1"/>
        <v>-3.6203284660475663E-3</v>
      </c>
      <c r="H74" s="92" t="s">
        <v>4</v>
      </c>
      <c r="I74" s="97">
        <f ca="1">_xll.meDateFromTenor(I73,"1D","FOLLOWING","TGT")</f>
        <v>42604</v>
      </c>
      <c r="J74" s="95">
        <f ca="1"/>
        <v>-2.7502844920727887E-3</v>
      </c>
      <c r="K74" s="5" t="s">
        <v>4</v>
      </c>
      <c r="L74" s="97">
        <f ca="1">_xll.meDateFromTenor(L73,"1D","FOLLOWING","TGT")</f>
        <v>42604</v>
      </c>
      <c r="M74" s="95">
        <f ca="1"/>
        <v>-1.5945336776377085E-3</v>
      </c>
      <c r="N74" s="5" t="s">
        <v>4</v>
      </c>
      <c r="O74" s="97">
        <f ca="1">_xll.meDateFromTenor(O73,"1D","FOLLOWING","TGT")</f>
        <v>42604</v>
      </c>
      <c r="P74" s="95">
        <f ca="1"/>
        <v>-2.1149709512825946E-4</v>
      </c>
      <c r="Q74" s="5" t="s">
        <v>4</v>
      </c>
      <c r="R74" s="83" t="s">
        <v>4</v>
      </c>
    </row>
    <row r="75" spans="1:18" x14ac:dyDescent="0.25">
      <c r="A75" s="88">
        <v>61</v>
      </c>
      <c r="B75" s="82"/>
      <c r="C75" s="97">
        <f ca="1">_xll.meDateFromTenor(C74,"1D","FOLLOWING","TGT")</f>
        <v>42605</v>
      </c>
      <c r="D75" s="95">
        <f ca="1"/>
        <v>-3.4938990941620895E-3</v>
      </c>
      <c r="E75" s="92"/>
      <c r="F75" s="97">
        <f ca="1">_xll.meDateFromTenor(F74,"1D","FOLLOWING","TGT")</f>
        <v>42605</v>
      </c>
      <c r="G75" s="95">
        <f ca="1"/>
        <v>-3.6219692719439149E-3</v>
      </c>
      <c r="H75" s="92" t="s">
        <v>4</v>
      </c>
      <c r="I75" s="97">
        <f ca="1">_xll.meDateFromTenor(I74,"1D","FOLLOWING","TGT")</f>
        <v>42605</v>
      </c>
      <c r="J75" s="95">
        <f ca="1"/>
        <v>-2.7520152744762143E-3</v>
      </c>
      <c r="K75" s="5" t="s">
        <v>4</v>
      </c>
      <c r="L75" s="97">
        <f ca="1">_xll.meDateFromTenor(L74,"1D","FOLLOWING","TGT")</f>
        <v>42605</v>
      </c>
      <c r="M75" s="95">
        <f ca="1"/>
        <v>-1.5954272837429969E-3</v>
      </c>
      <c r="N75" s="5" t="s">
        <v>4</v>
      </c>
      <c r="O75" s="97">
        <f ca="1">_xll.meDateFromTenor(O74,"1D","FOLLOWING","TGT")</f>
        <v>42605</v>
      </c>
      <c r="P75" s="95">
        <f ca="1"/>
        <v>-2.1218907368407018E-4</v>
      </c>
      <c r="Q75" s="5" t="s">
        <v>4</v>
      </c>
      <c r="R75" s="83" t="s">
        <v>4</v>
      </c>
    </row>
    <row r="76" spans="1:18" x14ac:dyDescent="0.25">
      <c r="A76" s="88">
        <v>62</v>
      </c>
      <c r="B76" s="82"/>
      <c r="C76" s="97">
        <f ca="1">_xll.meDateFromTenor(C75,"1D","FOLLOWING","TGT")</f>
        <v>42606</v>
      </c>
      <c r="D76" s="95">
        <f ca="1"/>
        <v>-3.4938990942018355E-3</v>
      </c>
      <c r="E76" s="92"/>
      <c r="F76" s="97">
        <f ca="1">_xll.meDateFromTenor(F75,"1D","FOLLOWING","TGT")</f>
        <v>42606</v>
      </c>
      <c r="G76" s="95">
        <f ca="1"/>
        <v>-3.6236059800061103E-3</v>
      </c>
      <c r="H76" s="92" t="s">
        <v>4</v>
      </c>
      <c r="I76" s="97">
        <f ca="1">_xll.meDateFromTenor(I75,"1D","FOLLOWING","TGT")</f>
        <v>42606</v>
      </c>
      <c r="J76" s="95">
        <f ca="1"/>
        <v>-2.753743021058257E-3</v>
      </c>
      <c r="K76" s="5" t="s">
        <v>4</v>
      </c>
      <c r="L76" s="97">
        <f ca="1">_xll.meDateFromTenor(L75,"1D","FOLLOWING","TGT")</f>
        <v>42606</v>
      </c>
      <c r="M76" s="95">
        <f ca="1"/>
        <v>-1.5963195467762533E-3</v>
      </c>
      <c r="N76" s="5" t="s">
        <v>4</v>
      </c>
      <c r="O76" s="97">
        <f ca="1">_xll.meDateFromTenor(O75,"1D","FOLLOWING","TGT")</f>
        <v>42606</v>
      </c>
      <c r="P76" s="95">
        <f ca="1"/>
        <v>-2.1287857695416801E-4</v>
      </c>
      <c r="Q76" s="5" t="s">
        <v>4</v>
      </c>
      <c r="R76" s="83" t="s">
        <v>4</v>
      </c>
    </row>
    <row r="77" spans="1:18" x14ac:dyDescent="0.25">
      <c r="A77" s="88">
        <v>63</v>
      </c>
      <c r="B77" s="82"/>
      <c r="C77" s="97">
        <f ca="1">_xll.meDateFromTenor(C76,"1D","FOLLOWING","TGT")</f>
        <v>42607</v>
      </c>
      <c r="D77" s="95">
        <f ca="1"/>
        <v>-3.4938990940823755E-3</v>
      </c>
      <c r="E77" s="92"/>
      <c r="F77" s="97">
        <f ca="1">_xll.meDateFromTenor(F76,"1D","FOLLOWING","TGT")</f>
        <v>42607</v>
      </c>
      <c r="G77" s="95">
        <f ca="1"/>
        <v>-3.6252388868840196E-3</v>
      </c>
      <c r="H77" s="92" t="s">
        <v>4</v>
      </c>
      <c r="I77" s="97">
        <f ca="1">_xll.meDateFromTenor(I76,"1D","FOLLOWING","TGT")</f>
        <v>42607</v>
      </c>
      <c r="J77" s="95">
        <f ca="1"/>
        <v>-2.755479061658561E-3</v>
      </c>
      <c r="K77" s="5" t="s">
        <v>4</v>
      </c>
      <c r="L77" s="97">
        <f ca="1">_xll.meDateFromTenor(L76,"1D","FOLLOWING","TGT")</f>
        <v>42607</v>
      </c>
      <c r="M77" s="95">
        <f ca="1"/>
        <v>-1.5972104395556653E-3</v>
      </c>
      <c r="N77" s="5" t="s">
        <v>4</v>
      </c>
      <c r="O77" s="97">
        <f ca="1">_xll.meDateFromTenor(O76,"1D","FOLLOWING","TGT")</f>
        <v>42607</v>
      </c>
      <c r="P77" s="95">
        <f ca="1"/>
        <v>-2.1356557475214191E-4</v>
      </c>
      <c r="Q77" s="5" t="s">
        <v>4</v>
      </c>
      <c r="R77" s="83" t="s">
        <v>4</v>
      </c>
    </row>
    <row r="78" spans="1:18" x14ac:dyDescent="0.25">
      <c r="A78" s="88">
        <v>64</v>
      </c>
      <c r="B78" s="82"/>
      <c r="C78" s="97">
        <f ca="1">_xll.meDateFromTenor(C77,"1D","FOLLOWING","TGT")</f>
        <v>42608</v>
      </c>
      <c r="D78" s="95">
        <f ca="1"/>
        <v>-3.4939273870475684E-3</v>
      </c>
      <c r="E78" s="92"/>
      <c r="F78" s="97">
        <f ca="1">_xll.meDateFromTenor(F77,"1D","FOLLOWING","TGT")</f>
        <v>42608</v>
      </c>
      <c r="G78" s="95">
        <f ca="1"/>
        <v>-3.6268682892275053E-3</v>
      </c>
      <c r="H78" s="92" t="s">
        <v>4</v>
      </c>
      <c r="I78" s="97">
        <f ca="1">_xll.meDateFromTenor(I77,"1D","FOLLOWING","TGT")</f>
        <v>42608</v>
      </c>
      <c r="J78" s="95">
        <f ca="1"/>
        <v>-2.7572264320985095E-3</v>
      </c>
      <c r="K78" s="5" t="s">
        <v>4</v>
      </c>
      <c r="L78" s="97">
        <f ca="1">_xll.meDateFromTenor(L77,"1D","FOLLOWING","TGT")</f>
        <v>42608</v>
      </c>
      <c r="M78" s="95">
        <f ca="1"/>
        <v>-1.5980999348994198E-3</v>
      </c>
      <c r="N78" s="5" t="s">
        <v>4</v>
      </c>
      <c r="O78" s="97">
        <f ca="1">_xll.meDateFromTenor(O77,"1D","FOLLOWING","TGT")</f>
        <v>42608</v>
      </c>
      <c r="P78" s="95">
        <f ca="1"/>
        <v>-2.1425003689158061E-4</v>
      </c>
      <c r="Q78" s="5" t="s">
        <v>4</v>
      </c>
      <c r="R78" s="83" t="s">
        <v>4</v>
      </c>
    </row>
    <row r="79" spans="1:18" x14ac:dyDescent="0.25">
      <c r="A79" s="88">
        <v>65</v>
      </c>
      <c r="B79" s="82"/>
      <c r="C79" s="97">
        <f ca="1">_xll.meDateFromTenor(C78,"1D","FOLLOWING","TGT")</f>
        <v>42611</v>
      </c>
      <c r="D79" s="95">
        <f ca="1"/>
        <v>-3.4938990940823755E-3</v>
      </c>
      <c r="E79" s="92"/>
      <c r="F79" s="97">
        <f ca="1">_xll.meDateFromTenor(F78,"1D","FOLLOWING","TGT")</f>
        <v>42611</v>
      </c>
      <c r="G79" s="95">
        <f ca="1"/>
        <v>-3.6317384355500693E-3</v>
      </c>
      <c r="H79" s="92" t="s">
        <v>4</v>
      </c>
      <c r="I79" s="97">
        <f ca="1">_xll.meDateFromTenor(I78,"1D","FOLLOWING","TGT")</f>
        <v>42611</v>
      </c>
      <c r="J79" s="95">
        <f ca="1"/>
        <v>-2.7624066360232547E-3</v>
      </c>
      <c r="K79" s="5" t="s">
        <v>4</v>
      </c>
      <c r="L79" s="97">
        <f ca="1">_xll.meDateFromTenor(L78,"1D","FOLLOWING","TGT")</f>
        <v>42611</v>
      </c>
      <c r="M79" s="95">
        <f ca="1"/>
        <v>-1.6007597644986098E-3</v>
      </c>
      <c r="N79" s="5" t="s">
        <v>4</v>
      </c>
      <c r="O79" s="97">
        <f ca="1">_xll.meDateFromTenor(O78,"1D","FOLLOWING","TGT")</f>
        <v>42611</v>
      </c>
      <c r="P79" s="95">
        <f ca="1"/>
        <v>-2.1628790749457489E-4</v>
      </c>
      <c r="Q79" s="5" t="s">
        <v>4</v>
      </c>
      <c r="R79" s="83" t="s">
        <v>4</v>
      </c>
    </row>
    <row r="80" spans="1:18" x14ac:dyDescent="0.25">
      <c r="A80" s="88">
        <v>66</v>
      </c>
      <c r="B80" s="82"/>
      <c r="C80" s="97">
        <f ca="1">_xll.meDateFromTenor(C79,"1D","FOLLOWING","TGT")</f>
        <v>42612</v>
      </c>
      <c r="D80" s="95">
        <f ca="1"/>
        <v>-3.4938990942019466E-3</v>
      </c>
      <c r="E80" s="92"/>
      <c r="F80" s="97">
        <f ca="1">_xll.meDateFromTenor(F79,"1D","FOLLOWING","TGT")</f>
        <v>42612</v>
      </c>
      <c r="G80" s="95">
        <f ca="1"/>
        <v>-3.6333567862545085E-3</v>
      </c>
      <c r="H80" s="92" t="s">
        <v>4</v>
      </c>
      <c r="I80" s="97">
        <f ca="1">_xll.meDateFromTenor(I79,"1D","FOLLOWING","TGT")</f>
        <v>42612</v>
      </c>
      <c r="J80" s="95">
        <f ca="1"/>
        <v>-2.7643540943095403E-3</v>
      </c>
      <c r="K80" s="5" t="s">
        <v>4</v>
      </c>
      <c r="L80" s="97">
        <f ca="1">_xll.meDateFromTenor(L79,"1D","FOLLOWING","TGT")</f>
        <v>42612</v>
      </c>
      <c r="M80" s="95">
        <f ca="1"/>
        <v>-1.6016433982816059E-3</v>
      </c>
      <c r="N80" s="5" t="s">
        <v>4</v>
      </c>
      <c r="O80" s="97">
        <f ca="1">_xll.meDateFromTenor(O79,"1D","FOLLOWING","TGT")</f>
        <v>42612</v>
      </c>
      <c r="P80" s="95">
        <f ca="1"/>
        <v>-2.1696192513576186E-4</v>
      </c>
      <c r="Q80" s="5" t="s">
        <v>4</v>
      </c>
      <c r="R80" s="83" t="s">
        <v>4</v>
      </c>
    </row>
    <row r="81" spans="1:18" x14ac:dyDescent="0.25">
      <c r="A81" s="88">
        <v>67</v>
      </c>
      <c r="B81" s="82"/>
      <c r="C81" s="97">
        <f ca="1">_xll.meDateFromTenor(C80,"1D","FOLLOWING","TGT")</f>
        <v>42613</v>
      </c>
      <c r="D81" s="95">
        <f ca="1"/>
        <v>-3.4938990941619785E-3</v>
      </c>
      <c r="E81" s="92"/>
      <c r="F81" s="97">
        <f ca="1">_xll.meDateFromTenor(F80,"1D","FOLLOWING","TGT")</f>
        <v>42613</v>
      </c>
      <c r="G81" s="95">
        <f ca="1"/>
        <v>-3.6349731156738482E-3</v>
      </c>
      <c r="H81" s="92" t="s">
        <v>4</v>
      </c>
      <c r="I81" s="97">
        <f ca="1">_xll.meDateFromTenor(I80,"1D","FOLLOWING","TGT")</f>
        <v>42613</v>
      </c>
      <c r="J81" s="95">
        <f ca="1"/>
        <v>-2.7658704232056013E-3</v>
      </c>
      <c r="K81" s="5" t="s">
        <v>4</v>
      </c>
      <c r="L81" s="97">
        <f ca="1">_xll.meDateFromTenor(L80,"1D","FOLLOWING","TGT")</f>
        <v>42613</v>
      </c>
      <c r="M81" s="95">
        <f ca="1"/>
        <v>-1.6025254987198803E-3</v>
      </c>
      <c r="N81" s="5" t="s">
        <v>4</v>
      </c>
      <c r="O81" s="97">
        <f ca="1">_xll.meDateFromTenor(O80,"1D","FOLLOWING","TGT")</f>
        <v>42613</v>
      </c>
      <c r="P81" s="95">
        <f ca="1"/>
        <v>-2.1763325618635811E-4</v>
      </c>
      <c r="Q81" s="5" t="s">
        <v>4</v>
      </c>
      <c r="R81" s="83" t="s">
        <v>4</v>
      </c>
    </row>
    <row r="82" spans="1:18" x14ac:dyDescent="0.25">
      <c r="A82" s="88">
        <v>68</v>
      </c>
      <c r="B82" s="82"/>
      <c r="C82" s="97">
        <f ca="1">_xll.meDateFromTenor(C81,"1D","FOLLOWING","TGT")</f>
        <v>42614</v>
      </c>
      <c r="D82" s="95">
        <f ca="1"/>
        <v>-3.4938990941620895E-3</v>
      </c>
      <c r="E82" s="92"/>
      <c r="F82" s="97">
        <f ca="1">_xll.meDateFromTenor(F81,"1D","FOLLOWING","TGT")</f>
        <v>42614</v>
      </c>
      <c r="G82" s="95">
        <f ca="1"/>
        <v>-3.6365877204579526E-3</v>
      </c>
      <c r="H82" s="92" t="s">
        <v>4</v>
      </c>
      <c r="I82" s="97">
        <f ca="1">_xll.meDateFromTenor(I81,"1D","FOLLOWING","TGT")</f>
        <v>42614</v>
      </c>
      <c r="J82" s="95">
        <f ca="1"/>
        <v>-2.7664601885328348E-3</v>
      </c>
      <c r="K82" s="5" t="s">
        <v>4</v>
      </c>
      <c r="L82" s="97">
        <f ca="1">_xll.meDateFromTenor(L81,"1D","FOLLOWING","TGT")</f>
        <v>42614</v>
      </c>
      <c r="M82" s="95">
        <f ca="1"/>
        <v>-1.60340603863162E-3</v>
      </c>
      <c r="N82" s="5" t="s">
        <v>4</v>
      </c>
      <c r="O82" s="97">
        <f ca="1">_xll.meDateFromTenor(O81,"1D","FOLLOWING","TGT")</f>
        <v>42614</v>
      </c>
      <c r="P82" s="95">
        <f ca="1"/>
        <v>-2.1830187045995236E-4</v>
      </c>
      <c r="Q82" s="5" t="s">
        <v>4</v>
      </c>
      <c r="R82" s="83" t="s">
        <v>4</v>
      </c>
    </row>
    <row r="83" spans="1:18" x14ac:dyDescent="0.25">
      <c r="A83" s="88">
        <v>69</v>
      </c>
      <c r="B83" s="82"/>
      <c r="C83" s="97">
        <f ca="1">_xll.meDateFromTenor(C82,"1D","FOLLOWING","TGT")</f>
        <v>42615</v>
      </c>
      <c r="D83" s="95">
        <f ca="1"/>
        <v>-3.4947415233921308E-3</v>
      </c>
      <c r="E83" s="92"/>
      <c r="F83" s="97">
        <f ca="1">_xll.meDateFromTenor(F82,"1D","FOLLOWING","TGT")</f>
        <v>42615</v>
      </c>
      <c r="G83" s="95">
        <f ca="1"/>
        <v>-3.6382008972566855E-3</v>
      </c>
      <c r="H83" s="92" t="s">
        <v>4</v>
      </c>
      <c r="I83" s="97">
        <f ca="1">_xll.meDateFromTenor(I82,"1D","FOLLOWING","TGT")</f>
        <v>42615</v>
      </c>
      <c r="J83" s="95">
        <f ca="1"/>
        <v>-2.76663317143224E-3</v>
      </c>
      <c r="K83" s="5" t="s">
        <v>4</v>
      </c>
      <c r="L83" s="97">
        <f ca="1">_xll.meDateFromTenor(L82,"1D","FOLLOWING","TGT")</f>
        <v>42615</v>
      </c>
      <c r="M83" s="95">
        <f ca="1"/>
        <v>-1.6042849908350124E-3</v>
      </c>
      <c r="N83" s="5" t="s">
        <v>4</v>
      </c>
      <c r="O83" s="97">
        <f ca="1">_xll.meDateFromTenor(O82,"1D","FOLLOWING","TGT")</f>
        <v>42615</v>
      </c>
      <c r="P83" s="95">
        <f ca="1"/>
        <v>-2.1896773777013365E-4</v>
      </c>
      <c r="Q83" s="5" t="s">
        <v>4</v>
      </c>
      <c r="R83" s="83" t="s">
        <v>4</v>
      </c>
    </row>
    <row r="84" spans="1:18" x14ac:dyDescent="0.25">
      <c r="A84" s="88">
        <v>70</v>
      </c>
      <c r="B84" s="82"/>
      <c r="C84" s="97">
        <f ca="1">_xll.meDateFromTenor(C83,"1D","FOLLOWING","TGT")</f>
        <v>42618</v>
      </c>
      <c r="D84" s="95">
        <f ca="1"/>
        <v>-3.4938990941620895E-3</v>
      </c>
      <c r="E84" s="92"/>
      <c r="F84" s="97">
        <f ca="1">_xll.meDateFromTenor(F83,"1D","FOLLOWING","TGT")</f>
        <v>42618</v>
      </c>
      <c r="G84" s="95">
        <f ca="1"/>
        <v>-3.6430337187227961E-3</v>
      </c>
      <c r="H84" s="92" t="s">
        <v>4</v>
      </c>
      <c r="I84" s="97">
        <f ca="1">_xll.meDateFromTenor(I83,"1D","FOLLOWING","TGT")</f>
        <v>42618</v>
      </c>
      <c r="J84" s="95">
        <f ca="1"/>
        <v>-2.7687165954046475E-3</v>
      </c>
      <c r="K84" s="5" t="s">
        <v>4</v>
      </c>
      <c r="L84" s="97">
        <f ca="1">_xll.meDateFromTenor(L83,"1D","FOLLOWING","TGT")</f>
        <v>42618</v>
      </c>
      <c r="M84" s="95">
        <f ca="1"/>
        <v>-1.6069120493769765E-3</v>
      </c>
      <c r="N84" s="5" t="s">
        <v>4</v>
      </c>
      <c r="O84" s="97">
        <f ca="1">_xll.meDateFromTenor(O83,"1D","FOLLOWING","TGT")</f>
        <v>42618</v>
      </c>
      <c r="P84" s="95">
        <f ca="1"/>
        <v>-2.2094855605608789E-4</v>
      </c>
      <c r="Q84" s="5" t="s">
        <v>4</v>
      </c>
      <c r="R84" s="83" t="s">
        <v>4</v>
      </c>
    </row>
    <row r="85" spans="1:18" x14ac:dyDescent="0.25">
      <c r="A85" s="88">
        <v>71</v>
      </c>
      <c r="B85" s="82"/>
      <c r="C85" s="97">
        <f ca="1">_xll.meDateFromTenor(C84,"1D","FOLLOWING","TGT")</f>
        <v>42619</v>
      </c>
      <c r="D85" s="95">
        <f ca="1"/>
        <v>-3.4938990941222325E-3</v>
      </c>
      <c r="E85" s="92"/>
      <c r="F85" s="97">
        <f ca="1">_xll.meDateFromTenor(F84,"1D","FOLLOWING","TGT")</f>
        <v>42619</v>
      </c>
      <c r="G85" s="95">
        <f ca="1"/>
        <v>-3.6446426323708818E-3</v>
      </c>
      <c r="H85" s="92" t="s">
        <v>4</v>
      </c>
      <c r="I85" s="97">
        <f ca="1">_xll.meDateFromTenor(I84,"1D","FOLLOWING","TGT")</f>
        <v>42619</v>
      </c>
      <c r="J85" s="95">
        <f ca="1"/>
        <v>-2.7699744036680267E-3</v>
      </c>
      <c r="K85" s="5" t="s">
        <v>4</v>
      </c>
      <c r="L85" s="97">
        <f ca="1">_xll.meDateFromTenor(L84,"1D","FOLLOWING","TGT")</f>
        <v>42619</v>
      </c>
      <c r="M85" s="95">
        <f ca="1"/>
        <v>-1.6077843789288507E-3</v>
      </c>
      <c r="N85" s="5" t="s">
        <v>4</v>
      </c>
      <c r="O85" s="97">
        <f ca="1">_xll.meDateFromTenor(O84,"1D","FOLLOWING","TGT")</f>
        <v>42619</v>
      </c>
      <c r="P85" s="95">
        <f ca="1"/>
        <v>-2.2160313364850571E-4</v>
      </c>
      <c r="Q85" s="5" t="s">
        <v>4</v>
      </c>
      <c r="R85" s="83" t="s">
        <v>4</v>
      </c>
    </row>
    <row r="86" spans="1:18" x14ac:dyDescent="0.25">
      <c r="A86" s="88">
        <v>72</v>
      </c>
      <c r="B86" s="82"/>
      <c r="C86" s="97">
        <f ca="1">_xll.meDateFromTenor(C85,"1D","FOLLOWING","TGT")</f>
        <v>42620</v>
      </c>
      <c r="D86" s="95">
        <f ca="1"/>
        <v>-3.4938990941620895E-3</v>
      </c>
      <c r="E86" s="92"/>
      <c r="F86" s="97">
        <f ca="1">_xll.meDateFromTenor(F85,"1D","FOLLOWING","TGT")</f>
        <v>42620</v>
      </c>
      <c r="G86" s="95">
        <f ca="1"/>
        <v>-3.6462506168237997E-3</v>
      </c>
      <c r="H86" s="92" t="s">
        <v>4</v>
      </c>
      <c r="I86" s="97">
        <f ca="1">_xll.meDateFromTenor(I85,"1D","FOLLOWING","TGT")</f>
        <v>42620</v>
      </c>
      <c r="J86" s="95">
        <f ca="1"/>
        <v>-2.77146913891999E-3</v>
      </c>
      <c r="K86" s="5" t="s">
        <v>4</v>
      </c>
      <c r="L86" s="97">
        <f ca="1">_xll.meDateFromTenor(L85,"1D","FOLLOWING","TGT")</f>
        <v>42620</v>
      </c>
      <c r="M86" s="95">
        <f ca="1"/>
        <v>-1.6086549848633132E-3</v>
      </c>
      <c r="N86" s="5" t="s">
        <v>4</v>
      </c>
      <c r="O86" s="97">
        <f ca="1">_xll.meDateFromTenor(O85,"1D","FOLLOWING","TGT")</f>
        <v>42620</v>
      </c>
      <c r="P86" s="95">
        <f ca="1"/>
        <v>-2.2225481334545478E-4</v>
      </c>
      <c r="Q86" s="5" t="s">
        <v>4</v>
      </c>
      <c r="R86" s="83" t="s">
        <v>4</v>
      </c>
    </row>
    <row r="87" spans="1:18" x14ac:dyDescent="0.25">
      <c r="A87" s="88">
        <v>73</v>
      </c>
      <c r="B87" s="82"/>
      <c r="C87" s="97">
        <f ca="1">_xll.meDateFromTenor(C86,"1D","FOLLOWING","TGT")</f>
        <v>42621</v>
      </c>
      <c r="D87" s="95">
        <f ca="1"/>
        <v>-3.7031454990306134E-3</v>
      </c>
      <c r="E87" s="92"/>
      <c r="F87" s="97">
        <f ca="1">_xll.meDateFromTenor(F86,"1D","FOLLOWING","TGT")</f>
        <v>42621</v>
      </c>
      <c r="G87" s="95">
        <f ca="1"/>
        <v>-3.6478577226166345E-3</v>
      </c>
      <c r="H87" s="92" t="s">
        <v>4</v>
      </c>
      <c r="I87" s="97">
        <f ca="1">_xll.meDateFromTenor(I86,"1D","FOLLOWING","TGT")</f>
        <v>42621</v>
      </c>
      <c r="J87" s="95">
        <f ca="1"/>
        <v>-2.773173957271914E-3</v>
      </c>
      <c r="K87" s="5" t="s">
        <v>4</v>
      </c>
      <c r="L87" s="97">
        <f ca="1">_xll.meDateFromTenor(L86,"1D","FOLLOWING","TGT")</f>
        <v>42621</v>
      </c>
      <c r="M87" s="95">
        <f ca="1"/>
        <v>-1.6095238399985515E-3</v>
      </c>
      <c r="N87" s="5" t="s">
        <v>4</v>
      </c>
      <c r="O87" s="97">
        <f ca="1">_xll.meDateFromTenor(O86,"1D","FOLLOWING","TGT")</f>
        <v>42621</v>
      </c>
      <c r="P87" s="95">
        <f ca="1"/>
        <v>-2.2290356496052405E-4</v>
      </c>
      <c r="Q87" s="5" t="s">
        <v>4</v>
      </c>
      <c r="R87" s="83" t="s">
        <v>4</v>
      </c>
    </row>
    <row r="88" spans="1:18" x14ac:dyDescent="0.25">
      <c r="A88" s="88">
        <v>74</v>
      </c>
      <c r="B88" s="82"/>
      <c r="C88" s="97">
        <f ca="1">_xll.meDateFromTenor(C87,"1D","FOLLOWING","TGT")</f>
        <v>42622</v>
      </c>
      <c r="D88" s="95">
        <f ca="1"/>
        <v>-3.7227945487662284E-3</v>
      </c>
      <c r="E88" s="92"/>
      <c r="F88" s="97">
        <f ca="1">_xll.meDateFromTenor(F87,"1D","FOLLOWING","TGT")</f>
        <v>42622</v>
      </c>
      <c r="G88" s="95">
        <f ca="1"/>
        <v>-3.6494640002844706E-3</v>
      </c>
      <c r="H88" s="92" t="s">
        <v>4</v>
      </c>
      <c r="I88" s="97">
        <f ca="1">_xll.meDateFromTenor(I87,"1D","FOLLOWING","TGT")</f>
        <v>42622</v>
      </c>
      <c r="J88" s="95">
        <f ca="1"/>
        <v>-2.7750620148351778E-3</v>
      </c>
      <c r="K88" s="5" t="s">
        <v>4</v>
      </c>
      <c r="L88" s="97">
        <f ca="1">_xll.meDateFromTenor(L87,"1D","FOLLOWING","TGT")</f>
        <v>42622</v>
      </c>
      <c r="M88" s="95">
        <f ca="1"/>
        <v>-1.6103909171527519E-3</v>
      </c>
      <c r="N88" s="5" t="s">
        <v>4</v>
      </c>
      <c r="O88" s="97">
        <f ca="1">_xll.meDateFromTenor(O87,"1D","FOLLOWING","TGT")</f>
        <v>42622</v>
      </c>
      <c r="P88" s="95">
        <f ca="1"/>
        <v>-2.2354935830730231E-4</v>
      </c>
      <c r="Q88" s="5" t="s">
        <v>4</v>
      </c>
      <c r="R88" s="83" t="s">
        <v>4</v>
      </c>
    </row>
    <row r="89" spans="1:18" x14ac:dyDescent="0.25">
      <c r="A89" s="88">
        <v>75</v>
      </c>
      <c r="B89" s="82"/>
      <c r="C89" s="97">
        <f ca="1">_xll.meDateFromTenor(C88,"1D","FOLLOWING","TGT")</f>
        <v>42625</v>
      </c>
      <c r="D89" s="95">
        <f ca="1"/>
        <v>-3.7031454990306134E-3</v>
      </c>
      <c r="E89" s="92"/>
      <c r="F89" s="97">
        <f ca="1">_xll.meDateFromTenor(F88,"1D","FOLLOWING","TGT")</f>
        <v>42625</v>
      </c>
      <c r="G89" s="95">
        <f ca="1"/>
        <v>-3.6542783698888331E-3</v>
      </c>
      <c r="H89" s="92" t="s">
        <v>4</v>
      </c>
      <c r="I89" s="97">
        <f ca="1">_xll.meDateFromTenor(I88,"1D","FOLLOWING","TGT")</f>
        <v>42625</v>
      </c>
      <c r="J89" s="95">
        <f ca="1"/>
        <v>-2.7815571839067805E-3</v>
      </c>
      <c r="K89" s="5" t="s">
        <v>4</v>
      </c>
      <c r="L89" s="97">
        <f ca="1">_xll.meDateFromTenor(L88,"1D","FOLLOWING","TGT")</f>
        <v>42625</v>
      </c>
      <c r="M89" s="95">
        <f ca="1"/>
        <v>-1.6129812089110012E-3</v>
      </c>
      <c r="N89" s="5" t="s">
        <v>4</v>
      </c>
      <c r="O89" s="97">
        <f ca="1">_xll.meDateFromTenor(O88,"1D","FOLLOWING","TGT")</f>
        <v>42625</v>
      </c>
      <c r="P89" s="95">
        <f ca="1"/>
        <v>-2.2546868687378017E-4</v>
      </c>
      <c r="Q89" s="5" t="s">
        <v>4</v>
      </c>
      <c r="R89" s="83" t="s">
        <v>4</v>
      </c>
    </row>
    <row r="90" spans="1:18" x14ac:dyDescent="0.25">
      <c r="A90" s="88">
        <v>76</v>
      </c>
      <c r="B90" s="82"/>
      <c r="C90" s="97">
        <f ca="1">_xll.meDateFromTenor(C89,"1D","FOLLOWING","TGT")</f>
        <v>42626</v>
      </c>
      <c r="D90" s="95">
        <f ca="1"/>
        <v>-3.7031454990306134E-3</v>
      </c>
      <c r="E90" s="92"/>
      <c r="F90" s="97">
        <f ca="1">_xll.meDateFromTenor(F89,"1D","FOLLOWING","TGT")</f>
        <v>42626</v>
      </c>
      <c r="G90" s="95">
        <f ca="1"/>
        <v>-3.6558818404075198E-3</v>
      </c>
      <c r="H90" s="92" t="s">
        <v>4</v>
      </c>
      <c r="I90" s="97">
        <f ca="1">_xll.meDateFromTenor(I89,"1D","FOLLOWING","TGT")</f>
        <v>42626</v>
      </c>
      <c r="J90" s="95">
        <f ca="1"/>
        <v>-2.7839097594291773E-3</v>
      </c>
      <c r="K90" s="5" t="s">
        <v>4</v>
      </c>
      <c r="L90" s="97">
        <f ca="1">_xll.meDateFromTenor(L89,"1D","FOLLOWING","TGT")</f>
        <v>42626</v>
      </c>
      <c r="M90" s="95">
        <f ca="1"/>
        <v>-1.6138409023229237E-3</v>
      </c>
      <c r="N90" s="5" t="s">
        <v>4</v>
      </c>
      <c r="O90" s="97">
        <f ca="1">_xll.meDateFromTenor(O89,"1D","FOLLOWING","TGT")</f>
        <v>42626</v>
      </c>
      <c r="P90" s="95">
        <f ca="1"/>
        <v>-2.2610234528328325E-4</v>
      </c>
      <c r="Q90" s="5" t="s">
        <v>4</v>
      </c>
      <c r="R90" s="83" t="s">
        <v>4</v>
      </c>
    </row>
    <row r="91" spans="1:18" x14ac:dyDescent="0.25">
      <c r="A91" s="88">
        <v>77</v>
      </c>
      <c r="B91" s="82"/>
      <c r="C91" s="97">
        <f ca="1">_xll.meDateFromTenor(C90,"1D","FOLLOWING","TGT")</f>
        <v>42627</v>
      </c>
      <c r="D91" s="95">
        <f ca="1"/>
        <v>-3.7031454989908674E-3</v>
      </c>
      <c r="E91" s="92"/>
      <c r="F91" s="97">
        <f ca="1">_xll.meDateFromTenor(F90,"1D","FOLLOWING","TGT")</f>
        <v>42627</v>
      </c>
      <c r="G91" s="95">
        <f ca="1"/>
        <v>-3.6574847354766313E-3</v>
      </c>
      <c r="H91" s="92" t="s">
        <v>4</v>
      </c>
      <c r="I91" s="97">
        <f ca="1">_xll.meDateFromTenor(I90,"1D","FOLLOWING","TGT")</f>
        <v>42627</v>
      </c>
      <c r="J91" s="95">
        <f ca="1"/>
        <v>-2.7863113547198001E-3</v>
      </c>
      <c r="K91" s="5" t="s">
        <v>4</v>
      </c>
      <c r="L91" s="97">
        <f ca="1">_xll.meDateFromTenor(L90,"1D","FOLLOWING","TGT")</f>
        <v>42627</v>
      </c>
      <c r="M91" s="95">
        <f ca="1"/>
        <v>-1.6146986818447449E-3</v>
      </c>
      <c r="N91" s="5" t="s">
        <v>4</v>
      </c>
      <c r="O91" s="97">
        <f ca="1">_xll.meDateFromTenor(O90,"1D","FOLLOWING","TGT")</f>
        <v>42627</v>
      </c>
      <c r="P91" s="95">
        <f ca="1"/>
        <v>-2.2673289449243975E-4</v>
      </c>
      <c r="Q91" s="5" t="s">
        <v>4</v>
      </c>
      <c r="R91" s="83" t="s">
        <v>4</v>
      </c>
    </row>
    <row r="92" spans="1:18" x14ac:dyDescent="0.25">
      <c r="A92" s="88">
        <v>78</v>
      </c>
      <c r="B92" s="82"/>
      <c r="C92" s="97">
        <f ca="1">_xll.meDateFromTenor(C91,"1D","FOLLOWING","TGT")</f>
        <v>42628</v>
      </c>
      <c r="D92" s="95">
        <f ca="1"/>
        <v>-3.7031454991103274E-3</v>
      </c>
      <c r="E92" s="92"/>
      <c r="F92" s="97">
        <f ca="1">_xll.meDateFromTenor(F91,"1D","FOLLOWING","TGT")</f>
        <v>42628</v>
      </c>
      <c r="G92" s="95">
        <f ca="1"/>
        <v>-3.6590871056312517E-3</v>
      </c>
      <c r="H92" s="92" t="s">
        <v>4</v>
      </c>
      <c r="I92" s="97">
        <f ca="1">_xll.meDateFromTenor(I91,"1D","FOLLOWING","TGT")</f>
        <v>42628</v>
      </c>
      <c r="J92" s="95">
        <f ca="1"/>
        <v>-2.788735125890029E-3</v>
      </c>
      <c r="K92" s="5" t="s">
        <v>4</v>
      </c>
      <c r="L92" s="97">
        <f ca="1">_xll.meDateFromTenor(L91,"1D","FOLLOWING","TGT")</f>
        <v>42628</v>
      </c>
      <c r="M92" s="95">
        <f ca="1"/>
        <v>-1.6155545202946515E-3</v>
      </c>
      <c r="N92" s="5" t="s">
        <v>4</v>
      </c>
      <c r="O92" s="97">
        <f ca="1">_xll.meDateFromTenor(O91,"1D","FOLLOWING","TGT")</f>
        <v>42628</v>
      </c>
      <c r="P92" s="95">
        <f ca="1"/>
        <v>-2.2736030431483848E-4</v>
      </c>
      <c r="Q92" s="5" t="s">
        <v>4</v>
      </c>
      <c r="R92" s="83" t="s">
        <v>4</v>
      </c>
    </row>
    <row r="93" spans="1:18" x14ac:dyDescent="0.25">
      <c r="A93" s="88">
        <v>79</v>
      </c>
      <c r="B93" s="82"/>
      <c r="C93" s="97">
        <f ca="1">_xll.meDateFromTenor(C92,"1D","FOLLOWING","TGT")</f>
        <v>42629</v>
      </c>
      <c r="D93" s="95">
        <f ca="1"/>
        <v>-3.7031575551441653E-3</v>
      </c>
      <c r="E93" s="92"/>
      <c r="F93" s="97">
        <f ca="1">_xll.meDateFromTenor(F92,"1D","FOLLOWING","TGT")</f>
        <v>42629</v>
      </c>
      <c r="G93" s="95">
        <f ca="1"/>
        <v>-3.6606890014064652E-3</v>
      </c>
      <c r="H93" s="92" t="s">
        <v>4</v>
      </c>
      <c r="I93" s="97">
        <f ca="1">_xll.meDateFromTenor(I92,"1D","FOLLOWING","TGT")</f>
        <v>42629</v>
      </c>
      <c r="J93" s="95">
        <f ca="1"/>
        <v>-2.7911542290512395E-3</v>
      </c>
      <c r="K93" s="5" t="s">
        <v>4</v>
      </c>
      <c r="L93" s="97">
        <f ca="1">_xll.meDateFromTenor(L92,"1D","FOLLOWING","TGT")</f>
        <v>42629</v>
      </c>
      <c r="M93" s="95">
        <f ca="1"/>
        <v>-1.6164083904908308E-3</v>
      </c>
      <c r="N93" s="5" t="s">
        <v>4</v>
      </c>
      <c r="O93" s="97">
        <f ca="1">_xll.meDateFromTenor(O92,"1D","FOLLOWING","TGT")</f>
        <v>42629</v>
      </c>
      <c r="P93" s="95">
        <f ca="1"/>
        <v>-2.2798454456406835E-4</v>
      </c>
      <c r="Q93" s="5" t="s">
        <v>4</v>
      </c>
      <c r="R93" s="83" t="s">
        <v>4</v>
      </c>
    </row>
    <row r="94" spans="1:18" x14ac:dyDescent="0.25">
      <c r="A94" s="88">
        <v>80</v>
      </c>
      <c r="B94" s="82"/>
      <c r="C94" s="97">
        <f ca="1">_xll.meDateFromTenor(C93,"1D","FOLLOWING","TGT")</f>
        <v>42632</v>
      </c>
      <c r="D94" s="95">
        <f ca="1"/>
        <v>-3.7031454990306134E-3</v>
      </c>
      <c r="E94" s="92"/>
      <c r="F94" s="97">
        <f ca="1">_xll.meDateFromTenor(F93,"1D","FOLLOWING","TGT")</f>
        <v>42632</v>
      </c>
      <c r="G94" s="95">
        <f ca="1"/>
        <v>-3.6654923478065139E-3</v>
      </c>
      <c r="H94" s="92" t="s">
        <v>4</v>
      </c>
      <c r="I94" s="97">
        <f ca="1">_xll.meDateFromTenor(I93,"1D","FOLLOWING","TGT")</f>
        <v>42632</v>
      </c>
      <c r="J94" s="95">
        <f ca="1"/>
        <v>-2.7981150915945409E-3</v>
      </c>
      <c r="K94" s="5" t="s">
        <v>4</v>
      </c>
      <c r="L94" s="97">
        <f ca="1">_xll.meDateFromTenor(L93,"1D","FOLLOWING","TGT")</f>
        <v>42632</v>
      </c>
      <c r="M94" s="95">
        <f ca="1"/>
        <v>-1.6189579197388761E-3</v>
      </c>
      <c r="N94" s="5" t="s">
        <v>4</v>
      </c>
      <c r="O94" s="97">
        <f ca="1">_xll.meDateFromTenor(O93,"1D","FOLLOWING","TGT")</f>
        <v>42632</v>
      </c>
      <c r="P94" s="95">
        <f ca="1"/>
        <v>-2.2983794600863323E-4</v>
      </c>
      <c r="Q94" s="5" t="s">
        <v>4</v>
      </c>
      <c r="R94" s="83" t="s">
        <v>4</v>
      </c>
    </row>
    <row r="95" spans="1:18" x14ac:dyDescent="0.25">
      <c r="A95" s="88">
        <v>81</v>
      </c>
      <c r="B95" s="82"/>
      <c r="C95" s="97">
        <f ca="1">_xll.meDateFromTenor(C94,"1D","FOLLOWING","TGT")</f>
        <v>42633</v>
      </c>
      <c r="D95" s="95">
        <f ca="1"/>
        <v>-3.7031454989908674E-3</v>
      </c>
      <c r="E95" s="92"/>
      <c r="F95" s="97">
        <f ca="1">_xll.meDateFromTenor(F94,"1D","FOLLOWING","TGT")</f>
        <v>42633</v>
      </c>
      <c r="G95" s="95">
        <f ca="1"/>
        <v>-3.6670928514149471E-3</v>
      </c>
      <c r="H95" s="92" t="s">
        <v>4</v>
      </c>
      <c r="I95" s="97">
        <f ca="1">_xll.meDateFromTenor(I94,"1D","FOLLOWING","TGT")</f>
        <v>42633</v>
      </c>
      <c r="J95" s="95">
        <f ca="1"/>
        <v>-2.8002470838334563E-3</v>
      </c>
      <c r="K95" s="5" t="s">
        <v>4</v>
      </c>
      <c r="L95" s="97">
        <f ca="1">_xll.meDateFromTenor(L94,"1D","FOLLOWING","TGT")</f>
        <v>42633</v>
      </c>
      <c r="M95" s="95">
        <f ca="1"/>
        <v>-1.6198036451020175E-3</v>
      </c>
      <c r="N95" s="5" t="s">
        <v>4</v>
      </c>
      <c r="O95" s="97">
        <f ca="1">_xll.meDateFromTenor(O94,"1D","FOLLOWING","TGT")</f>
        <v>42633</v>
      </c>
      <c r="P95" s="95">
        <f ca="1"/>
        <v>-2.3044920610107618E-4</v>
      </c>
      <c r="Q95" s="5" t="s">
        <v>4</v>
      </c>
      <c r="R95" s="83" t="s">
        <v>4</v>
      </c>
    </row>
    <row r="96" spans="1:18" x14ac:dyDescent="0.25">
      <c r="A96" s="88">
        <v>82</v>
      </c>
      <c r="B96" s="82"/>
      <c r="C96" s="97">
        <f ca="1">_xll.meDateFromTenor(C95,"1D","FOLLOWING","TGT")</f>
        <v>42634</v>
      </c>
      <c r="D96" s="95">
        <f ca="1"/>
        <v>-3.7031454989908674E-3</v>
      </c>
      <c r="E96" s="92"/>
      <c r="F96" s="97">
        <f ca="1">_xll.meDateFromTenor(F95,"1D","FOLLOWING","TGT")</f>
        <v>42634</v>
      </c>
      <c r="G96" s="95">
        <f ca="1"/>
        <v>-3.6686931333193974E-3</v>
      </c>
      <c r="H96" s="92" t="s">
        <v>4</v>
      </c>
      <c r="I96" s="97">
        <f ca="1">_xll.meDateFromTenor(I95,"1D","FOLLOWING","TGT")</f>
        <v>42634</v>
      </c>
      <c r="J96" s="95">
        <f ca="1"/>
        <v>-2.8022401886202415E-3</v>
      </c>
      <c r="K96" s="5" t="s">
        <v>4</v>
      </c>
      <c r="L96" s="97">
        <f ca="1">_xll.meDateFromTenor(L95,"1D","FOLLOWING","TGT")</f>
        <v>42634</v>
      </c>
      <c r="M96" s="95">
        <f ca="1"/>
        <v>-1.6206472663023673E-3</v>
      </c>
      <c r="N96" s="5" t="s">
        <v>4</v>
      </c>
      <c r="O96" s="97">
        <f ca="1">_xll.meDateFromTenor(O95,"1D","FOLLOWING","TGT")</f>
        <v>42634</v>
      </c>
      <c r="P96" s="95">
        <f ca="1"/>
        <v>-2.3105714568829461E-4</v>
      </c>
      <c r="Q96" s="5" t="s">
        <v>4</v>
      </c>
      <c r="R96" s="83" t="s">
        <v>4</v>
      </c>
    </row>
    <row r="97" spans="1:18" x14ac:dyDescent="0.25">
      <c r="A97" s="88">
        <v>83</v>
      </c>
      <c r="B97" s="82"/>
      <c r="C97" s="97">
        <f ca="1">_xll.meDateFromTenor(C96,"1D","FOLLOWING","TGT")</f>
        <v>42635</v>
      </c>
      <c r="D97" s="95">
        <f ca="1"/>
        <v>-3.7031454990704704E-3</v>
      </c>
      <c r="E97" s="92"/>
      <c r="F97" s="97">
        <f ca="1">_xll.meDateFromTenor(F96,"1D","FOLLOWING","TGT")</f>
        <v>42635</v>
      </c>
      <c r="G97" s="95">
        <f ca="1"/>
        <v>-3.6702932440549484E-3</v>
      </c>
      <c r="H97" s="92" t="s">
        <v>4</v>
      </c>
      <c r="I97" s="97">
        <f ca="1">_xll.meDateFromTenor(I96,"1D","FOLLOWING","TGT")</f>
        <v>42635</v>
      </c>
      <c r="J97" s="95">
        <f ca="1"/>
        <v>-2.8040895476243379E-3</v>
      </c>
      <c r="K97" s="5" t="s">
        <v>4</v>
      </c>
      <c r="L97" s="97">
        <f ca="1">_xll.meDateFromTenor(L96,"1D","FOLLOWING","TGT")</f>
        <v>42635</v>
      </c>
      <c r="M97" s="95">
        <f ca="1"/>
        <v>-1.6214887561581126E-3</v>
      </c>
      <c r="N97" s="5" t="s">
        <v>4</v>
      </c>
      <c r="O97" s="97">
        <f ca="1">_xll.meDateFromTenor(O96,"1D","FOLLOWING","TGT")</f>
        <v>42635</v>
      </c>
      <c r="P97" s="95">
        <f ca="1"/>
        <v>-2.3166173458387732E-4</v>
      </c>
      <c r="Q97" s="5" t="s">
        <v>4</v>
      </c>
      <c r="R97" s="83" t="s">
        <v>4</v>
      </c>
    </row>
    <row r="98" spans="1:18" x14ac:dyDescent="0.25">
      <c r="A98" s="88">
        <v>84</v>
      </c>
      <c r="B98" s="82"/>
      <c r="C98" s="97">
        <f ca="1">_xll.meDateFromTenor(C97,"1D","FOLLOWING","TGT")</f>
        <v>42636</v>
      </c>
      <c r="D98" s="95">
        <f ca="1"/>
        <v>-3.7031782679801672E-3</v>
      </c>
      <c r="E98" s="92"/>
      <c r="F98" s="97">
        <f ca="1">_xll.meDateFromTenor(F97,"1D","FOLLOWING","TGT")</f>
        <v>42636</v>
      </c>
      <c r="G98" s="95">
        <f ca="1"/>
        <v>-3.6718932341566861E-3</v>
      </c>
      <c r="H98" s="92" t="s">
        <v>4</v>
      </c>
      <c r="I98" s="97">
        <f ca="1">_xll.meDateFromTenor(I97,"1D","FOLLOWING","TGT")</f>
        <v>42636</v>
      </c>
      <c r="J98" s="95">
        <f ca="1"/>
        <v>-2.8058782447474371E-3</v>
      </c>
      <c r="K98" s="5" t="s">
        <v>4</v>
      </c>
      <c r="L98" s="97">
        <f ca="1">_xll.meDateFromTenor(L97,"1D","FOLLOWING","TGT")</f>
        <v>42636</v>
      </c>
      <c r="M98" s="95">
        <f ca="1"/>
        <v>-1.622328087487441E-3</v>
      </c>
      <c r="N98" s="5" t="s">
        <v>4</v>
      </c>
      <c r="O98" s="97">
        <f ca="1">_xll.meDateFromTenor(O97,"1D","FOLLOWING","TGT")</f>
        <v>42636</v>
      </c>
      <c r="P98" s="95">
        <f ca="1"/>
        <v>-2.322629426014133E-4</v>
      </c>
      <c r="Q98" s="5" t="s">
        <v>4</v>
      </c>
      <c r="R98" s="83" t="s">
        <v>4</v>
      </c>
    </row>
    <row r="99" spans="1:18" x14ac:dyDescent="0.25">
      <c r="A99" s="88">
        <v>85</v>
      </c>
      <c r="B99" s="82"/>
      <c r="C99" s="97">
        <f ca="1">_xll.meDateFromTenor(C98,"1D","FOLLOWING","TGT")</f>
        <v>42639</v>
      </c>
      <c r="D99" s="95">
        <f ca="1"/>
        <v>-3.7031454990306134E-3</v>
      </c>
      <c r="E99" s="92"/>
      <c r="F99" s="97">
        <f ca="1">_xll.meDateFromTenor(F98,"1D","FOLLOWING","TGT")</f>
        <v>42639</v>
      </c>
      <c r="G99" s="95">
        <f ca="1"/>
        <v>-3.6766929860098554E-3</v>
      </c>
      <c r="H99" s="92" t="s">
        <v>4</v>
      </c>
      <c r="I99" s="97">
        <f ca="1">_xll.meDateFromTenor(I98,"1D","FOLLOWING","TGT")</f>
        <v>42639</v>
      </c>
      <c r="J99" s="95">
        <f ca="1"/>
        <v>-2.8113375066022074E-3</v>
      </c>
      <c r="K99" s="5" t="s">
        <v>4</v>
      </c>
      <c r="L99" s="97">
        <f ca="1">_xll.meDateFromTenor(L98,"1D","FOLLOWING","TGT")</f>
        <v>42639</v>
      </c>
      <c r="M99" s="95">
        <f ca="1"/>
        <v>-1.6248328584987932E-3</v>
      </c>
      <c r="N99" s="5" t="s">
        <v>4</v>
      </c>
      <c r="O99" s="97">
        <f ca="1">_xll.meDateFromTenor(O98,"1D","FOLLOWING","TGT")</f>
        <v>42639</v>
      </c>
      <c r="P99" s="95">
        <f ca="1"/>
        <v>-2.3404597952162879E-4</v>
      </c>
      <c r="Q99" s="5" t="s">
        <v>4</v>
      </c>
      <c r="R99" s="83" t="s">
        <v>4</v>
      </c>
    </row>
    <row r="100" spans="1:18" x14ac:dyDescent="0.25">
      <c r="A100" s="88">
        <v>86</v>
      </c>
      <c r="B100" s="82"/>
      <c r="C100" s="97">
        <f ca="1">_xll.meDateFromTenor(C99,"1D","FOLLOWING","TGT")</f>
        <v>42640</v>
      </c>
      <c r="D100" s="95">
        <f ca="1"/>
        <v>-3.7031454989908674E-3</v>
      </c>
      <c r="E100" s="92"/>
      <c r="F100" s="97">
        <f ca="1">_xll.meDateFromTenor(F99,"1D","FOLLOWING","TGT")</f>
        <v>42640</v>
      </c>
      <c r="G100" s="95">
        <f ca="1"/>
        <v>-3.6782929989271807E-3</v>
      </c>
      <c r="H100" s="92" t="s">
        <v>4</v>
      </c>
      <c r="I100" s="97">
        <f ca="1">_xll.meDateFromTenor(I99,"1D","FOLLOWING","TGT")</f>
        <v>42640</v>
      </c>
      <c r="J100" s="95">
        <f ca="1"/>
        <v>-2.8131543570018278E-3</v>
      </c>
      <c r="K100" s="5" t="s">
        <v>4</v>
      </c>
      <c r="L100" s="97">
        <f ca="1">_xll.meDateFromTenor(L99,"1D","FOLLOWING","TGT")</f>
        <v>42640</v>
      </c>
      <c r="M100" s="95">
        <f ca="1"/>
        <v>-1.6256632839043237E-3</v>
      </c>
      <c r="N100" s="5" t="s">
        <v>4</v>
      </c>
      <c r="O100" s="97">
        <f ca="1">_xll.meDateFromTenor(O99,"1D","FOLLOWING","TGT")</f>
        <v>42640</v>
      </c>
      <c r="P100" s="95">
        <f ca="1"/>
        <v>-2.3463336216286614E-4</v>
      </c>
      <c r="Q100" s="5" t="s">
        <v>4</v>
      </c>
      <c r="R100" s="83" t="s">
        <v>4</v>
      </c>
    </row>
    <row r="101" spans="1:18" x14ac:dyDescent="0.25">
      <c r="A101" s="88">
        <v>87</v>
      </c>
      <c r="B101" s="82"/>
      <c r="C101" s="97">
        <f ca="1">_xll.meDateFromTenor(C100,"1D","FOLLOWING","TGT")</f>
        <v>42641</v>
      </c>
      <c r="D101" s="95">
        <f ca="1"/>
        <v>-3.7031454991102164E-3</v>
      </c>
      <c r="E101" s="92"/>
      <c r="F101" s="97">
        <f ca="1">_xll.meDateFromTenor(F100,"1D","FOLLOWING","TGT")</f>
        <v>42641</v>
      </c>
      <c r="G101" s="95">
        <f ca="1"/>
        <v>-3.679893143886114E-3</v>
      </c>
      <c r="H101" s="92" t="s">
        <v>4</v>
      </c>
      <c r="I101" s="97">
        <f ca="1">_xll.meDateFromTenor(I100,"1D","FOLLOWING","TGT")</f>
        <v>42641</v>
      </c>
      <c r="J101" s="95">
        <f ca="1"/>
        <v>-2.8149728015606345E-3</v>
      </c>
      <c r="K101" s="5" t="s">
        <v>4</v>
      </c>
      <c r="L101" s="97">
        <f ca="1">_xll.meDateFromTenor(L100,"1D","FOLLOWING","TGT")</f>
        <v>42641</v>
      </c>
      <c r="M101" s="95">
        <f ca="1"/>
        <v>-1.626491414874373E-3</v>
      </c>
      <c r="N101" s="5" t="s">
        <v>4</v>
      </c>
      <c r="O101" s="97">
        <f ca="1">_xll.meDateFromTenor(O100,"1D","FOLLOWING","TGT")</f>
        <v>42641</v>
      </c>
      <c r="P101" s="95">
        <f ca="1"/>
        <v>-2.3521721299400098E-4</v>
      </c>
      <c r="Q101" s="5" t="s">
        <v>4</v>
      </c>
      <c r="R101" s="83" t="s">
        <v>4</v>
      </c>
    </row>
    <row r="102" spans="1:18" x14ac:dyDescent="0.25">
      <c r="A102" s="88">
        <v>88</v>
      </c>
      <c r="B102" s="82"/>
      <c r="C102" s="97">
        <f ca="1">_xll.meDateFromTenor(C101,"1D","FOLLOWING","TGT")</f>
        <v>42642</v>
      </c>
      <c r="D102" s="95">
        <f ca="1"/>
        <v>-3.7031454990704704E-3</v>
      </c>
      <c r="E102" s="92"/>
      <c r="F102" s="97">
        <f ca="1">_xll.meDateFromTenor(F101,"1D","FOLLOWING","TGT")</f>
        <v>42642</v>
      </c>
      <c r="G102" s="95">
        <f ca="1"/>
        <v>-3.6814934714217411E-3</v>
      </c>
      <c r="H102" s="92" t="s">
        <v>4</v>
      </c>
      <c r="I102" s="97">
        <f ca="1">_xll.meDateFromTenor(I101,"1D","FOLLOWING","TGT")</f>
        <v>42642</v>
      </c>
      <c r="J102" s="95">
        <f ca="1"/>
        <v>-2.8167924131290234E-3</v>
      </c>
      <c r="K102" s="5" t="s">
        <v>4</v>
      </c>
      <c r="L102" s="97">
        <f ca="1">_xll.meDateFromTenor(L101,"1D","FOLLOWING","TGT")</f>
        <v>42642</v>
      </c>
      <c r="M102" s="95">
        <f ca="1"/>
        <v>-1.6273172242271276E-3</v>
      </c>
      <c r="N102" s="5" t="s">
        <v>4</v>
      </c>
      <c r="O102" s="97">
        <f ca="1">_xll.meDateFromTenor(O101,"1D","FOLLOWING","TGT")</f>
        <v>42642</v>
      </c>
      <c r="P102" s="95">
        <f ca="1"/>
        <v>-2.3579750182862232E-4</v>
      </c>
      <c r="Q102" s="5" t="s">
        <v>4</v>
      </c>
      <c r="R102" s="83" t="s">
        <v>4</v>
      </c>
    </row>
    <row r="103" spans="1:18" x14ac:dyDescent="0.25">
      <c r="A103" s="88">
        <v>89</v>
      </c>
      <c r="B103" s="82"/>
      <c r="C103" s="97">
        <f ca="1">_xll.meDateFromTenor(C102,"1D","FOLLOWING","TGT")</f>
        <v>42643</v>
      </c>
      <c r="D103" s="95">
        <f ca="1"/>
        <v>-3.7031782465967167E-3</v>
      </c>
      <c r="E103" s="92"/>
      <c r="F103" s="97">
        <f ca="1">_xll.meDateFromTenor(F102,"1D","FOLLOWING","TGT")</f>
        <v>42643</v>
      </c>
      <c r="G103" s="95">
        <f ca="1"/>
        <v>-3.6830940320691456E-3</v>
      </c>
      <c r="H103" s="92" t="s">
        <v>4</v>
      </c>
      <c r="I103" s="97">
        <f ca="1">_xll.meDateFromTenor(I102,"1D","FOLLOWING","TGT")</f>
        <v>42643</v>
      </c>
      <c r="J103" s="95">
        <f ca="1"/>
        <v>-2.8186115975478085E-3</v>
      </c>
      <c r="K103" s="5" t="s">
        <v>4</v>
      </c>
      <c r="L103" s="97">
        <f ca="1">_xll.meDateFromTenor(L102,"1D","FOLLOWING","TGT")</f>
        <v>42643</v>
      </c>
      <c r="M103" s="95">
        <f ca="1"/>
        <v>-1.628140684780775E-3</v>
      </c>
      <c r="N103" s="5" t="s">
        <v>4</v>
      </c>
      <c r="O103" s="97">
        <f ca="1">_xll.meDateFromTenor(O102,"1D","FOLLOWING","TGT")</f>
        <v>42643</v>
      </c>
      <c r="P103" s="95">
        <f ca="1"/>
        <v>-2.3637419848031877E-4</v>
      </c>
      <c r="Q103" s="5" t="s">
        <v>4</v>
      </c>
      <c r="R103" s="83" t="s">
        <v>4</v>
      </c>
    </row>
    <row r="104" spans="1:18" x14ac:dyDescent="0.25">
      <c r="A104" s="88">
        <v>90</v>
      </c>
      <c r="B104" s="82"/>
      <c r="C104" s="97">
        <f ca="1">_xll.meDateFromTenor(C103,"1D","FOLLOWING","TGT")</f>
        <v>42646</v>
      </c>
      <c r="D104" s="95">
        <f ca="1"/>
        <v>-3.7031454990704704E-3</v>
      </c>
      <c r="E104" s="92"/>
      <c r="F104" s="97">
        <f ca="1">_xll.meDateFromTenor(F103,"1D","FOLLOWING","TGT")</f>
        <v>42646</v>
      </c>
      <c r="G104" s="95">
        <f ca="1"/>
        <v>-3.6878976180328722E-3</v>
      </c>
      <c r="H104" s="92" t="s">
        <v>4</v>
      </c>
      <c r="I104" s="97">
        <f ca="1">_xll.meDateFromTenor(I103,"1D","FOLLOWING","TGT")</f>
        <v>42646</v>
      </c>
      <c r="J104" s="95">
        <f ca="1"/>
        <v>-2.8240685253834142E-3</v>
      </c>
      <c r="K104" s="5" t="s">
        <v>4</v>
      </c>
      <c r="L104" s="97">
        <f ca="1">_xll.meDateFromTenor(L103,"1D","FOLLOWING","TGT")</f>
        <v>42646</v>
      </c>
      <c r="M104" s="95">
        <f ca="1"/>
        <v>-1.6305967018289454E-3</v>
      </c>
      <c r="N104" s="5" t="s">
        <v>4</v>
      </c>
      <c r="O104" s="97">
        <f ca="1">_xll.meDateFromTenor(O103,"1D","FOLLOWING","TGT")</f>
        <v>42646</v>
      </c>
      <c r="P104" s="95">
        <f ca="1"/>
        <v>-2.3808243347374852E-4</v>
      </c>
      <c r="Q104" s="5" t="s">
        <v>4</v>
      </c>
      <c r="R104" s="83" t="s">
        <v>4</v>
      </c>
    </row>
    <row r="105" spans="1:18" x14ac:dyDescent="0.25">
      <c r="A105" s="88">
        <v>91</v>
      </c>
      <c r="B105" s="82"/>
      <c r="C105" s="97">
        <f ca="1">_xll.meDateFromTenor(C104,"1D","FOLLOWING","TGT")</f>
        <v>42647</v>
      </c>
      <c r="D105" s="95">
        <f ca="1"/>
        <v>-3.7031454989907564E-3</v>
      </c>
      <c r="E105" s="92"/>
      <c r="F105" s="97">
        <f ca="1">_xll.meDateFromTenor(F104,"1D","FOLLOWING","TGT")</f>
        <v>42647</v>
      </c>
      <c r="G105" s="95">
        <f ca="1"/>
        <v>-3.6894995771649341E-3</v>
      </c>
      <c r="H105" s="92" t="s">
        <v>4</v>
      </c>
      <c r="I105" s="97">
        <f ca="1">_xll.meDateFromTenor(I104,"1D","FOLLOWING","TGT")</f>
        <v>42647</v>
      </c>
      <c r="J105" s="95">
        <f ca="1"/>
        <v>-2.8258875647556602E-3</v>
      </c>
      <c r="K105" s="5" t="s">
        <v>4</v>
      </c>
      <c r="L105" s="97">
        <f ca="1">_xll.meDateFromTenor(L104,"1D","FOLLOWING","TGT")</f>
        <v>42647</v>
      </c>
      <c r="M105" s="95">
        <f ca="1"/>
        <v>-1.6314104953680357E-3</v>
      </c>
      <c r="N105" s="5" t="s">
        <v>4</v>
      </c>
      <c r="O105" s="97">
        <f ca="1">_xll.meDateFromTenor(O104,"1D","FOLLOWING","TGT")</f>
        <v>42647</v>
      </c>
      <c r="P105" s="95">
        <f ca="1"/>
        <v>-2.3864445952963474E-4</v>
      </c>
      <c r="Q105" s="5" t="s">
        <v>4</v>
      </c>
      <c r="R105" s="83" t="s">
        <v>4</v>
      </c>
    </row>
    <row r="106" spans="1:18" x14ac:dyDescent="0.25">
      <c r="A106" s="88">
        <v>92</v>
      </c>
      <c r="B106" s="82"/>
      <c r="C106" s="97">
        <f ca="1">_xll.meDateFromTenor(C105,"1D","FOLLOWING","TGT")</f>
        <v>42648</v>
      </c>
      <c r="D106" s="95">
        <f ca="1"/>
        <v>-3.7031454990704704E-3</v>
      </c>
      <c r="E106" s="92"/>
      <c r="F106" s="97">
        <f ca="1">_xll.meDateFromTenor(F105,"1D","FOLLOWING","TGT")</f>
        <v>42648</v>
      </c>
      <c r="G106" s="95">
        <f ca="1"/>
        <v>-3.6911017862044024E-3</v>
      </c>
      <c r="H106" s="92" t="s">
        <v>4</v>
      </c>
      <c r="I106" s="97">
        <f ca="1">_xll.meDateFromTenor(I105,"1D","FOLLOWING","TGT")</f>
        <v>42648</v>
      </c>
      <c r="J106" s="95">
        <f ca="1"/>
        <v>-2.8277065815106098E-3</v>
      </c>
      <c r="K106" s="5" t="s">
        <v>4</v>
      </c>
      <c r="L106" s="97">
        <f ca="1">_xll.meDateFromTenor(L105,"1D","FOLLOWING","TGT")</f>
        <v>42648</v>
      </c>
      <c r="M106" s="95">
        <f ca="1"/>
        <v>-1.6322218041989541E-3</v>
      </c>
      <c r="N106" s="5" t="s">
        <v>4</v>
      </c>
      <c r="O106" s="97">
        <f ca="1">_xll.meDateFromTenor(O105,"1D","FOLLOWING","TGT")</f>
        <v>42648</v>
      </c>
      <c r="P106" s="95">
        <f ca="1"/>
        <v>-2.3920274247054055E-4</v>
      </c>
      <c r="Q106" s="5" t="s">
        <v>4</v>
      </c>
      <c r="R106" s="83" t="s">
        <v>4</v>
      </c>
    </row>
    <row r="107" spans="1:18" x14ac:dyDescent="0.25">
      <c r="A107" s="88">
        <v>93</v>
      </c>
      <c r="B107" s="82"/>
      <c r="C107" s="97">
        <f ca="1">_xll.meDateFromTenor(C106,"1D","FOLLOWING","TGT")</f>
        <v>42649</v>
      </c>
      <c r="D107" s="95">
        <f ca="1"/>
        <v>-3.7031454990306134E-3</v>
      </c>
      <c r="E107" s="92"/>
      <c r="F107" s="97">
        <f ca="1">_xll.meDateFromTenor(F106,"1D","FOLLOWING","TGT")</f>
        <v>42649</v>
      </c>
      <c r="G107" s="95">
        <f ca="1"/>
        <v>-3.6927040598065649E-3</v>
      </c>
      <c r="H107" s="92" t="s">
        <v>4</v>
      </c>
      <c r="I107" s="97">
        <f ca="1">_xll.meDateFromTenor(I106,"1D","FOLLOWING","TGT")</f>
        <v>42649</v>
      </c>
      <c r="J107" s="95">
        <f ca="1"/>
        <v>-2.8295256062555747E-3</v>
      </c>
      <c r="K107" s="5" t="s">
        <v>4</v>
      </c>
      <c r="L107" s="97">
        <f ca="1">_xll.meDateFromTenor(L106,"1D","FOLLOWING","TGT")</f>
        <v>42649</v>
      </c>
      <c r="M107" s="95">
        <f ca="1"/>
        <v>-1.6330306011398882E-3</v>
      </c>
      <c r="N107" s="5" t="s">
        <v>4</v>
      </c>
      <c r="O107" s="97">
        <f ca="1">_xll.meDateFromTenor(O106,"1D","FOLLOWING","TGT")</f>
        <v>42649</v>
      </c>
      <c r="P107" s="95">
        <f ca="1"/>
        <v>-2.3975725211005484E-4</v>
      </c>
      <c r="Q107" s="5" t="s">
        <v>4</v>
      </c>
      <c r="R107" s="83" t="s">
        <v>4</v>
      </c>
    </row>
    <row r="108" spans="1:18" x14ac:dyDescent="0.25">
      <c r="A108" s="88">
        <v>94</v>
      </c>
      <c r="B108" s="82"/>
      <c r="C108" s="97">
        <f ca="1">_xll.meDateFromTenor(C107,"1D","FOLLOWING","TGT")</f>
        <v>42650</v>
      </c>
      <c r="D108" s="95">
        <f ca="1"/>
        <v>-3.7031777968646873E-3</v>
      </c>
      <c r="E108" s="92"/>
      <c r="F108" s="97">
        <f ca="1">_xll.meDateFromTenor(F107,"1D","FOLLOWING","TGT")</f>
        <v>42650</v>
      </c>
      <c r="G108" s="95">
        <f ca="1"/>
        <v>-3.6943062126267106E-3</v>
      </c>
      <c r="H108" s="92" t="s">
        <v>4</v>
      </c>
      <c r="I108" s="97">
        <f ca="1">_xll.meDateFromTenor(I107,"1D","FOLLOWING","TGT")</f>
        <v>42650</v>
      </c>
      <c r="J108" s="95">
        <f ca="1"/>
        <v>-2.8313446376378049E-3</v>
      </c>
      <c r="K108" s="5" t="s">
        <v>4</v>
      </c>
      <c r="L108" s="97">
        <f ca="1">_xll.meDateFromTenor(L107,"1D","FOLLOWING","TGT")</f>
        <v>42650</v>
      </c>
      <c r="M108" s="95">
        <f ca="1"/>
        <v>-1.6338368590090254E-3</v>
      </c>
      <c r="N108" s="5" t="s">
        <v>4</v>
      </c>
      <c r="O108" s="97">
        <f ca="1">_xll.meDateFromTenor(O107,"1D","FOLLOWING","TGT")</f>
        <v>42650</v>
      </c>
      <c r="P108" s="95">
        <f ca="1"/>
        <v>-2.4030795826176647E-4</v>
      </c>
      <c r="Q108" s="5" t="s">
        <v>4</v>
      </c>
      <c r="R108" s="83" t="s">
        <v>4</v>
      </c>
    </row>
    <row r="109" spans="1:18" x14ac:dyDescent="0.25">
      <c r="A109" s="88">
        <v>95</v>
      </c>
      <c r="B109" s="82"/>
      <c r="C109" s="97">
        <f ca="1">_xll.meDateFromTenor(C108,"1D","FOLLOWING","TGT")</f>
        <v>42653</v>
      </c>
      <c r="D109" s="95">
        <f ca="1"/>
        <v>-3.7031454989907564E-3</v>
      </c>
      <c r="E109" s="92"/>
      <c r="F109" s="97">
        <f ca="1">_xll.meDateFromTenor(F108,"1D","FOLLOWING","TGT")</f>
        <v>42653</v>
      </c>
      <c r="G109" s="95">
        <f ca="1"/>
        <v>-3.699110092947946E-3</v>
      </c>
      <c r="H109" s="92" t="s">
        <v>4</v>
      </c>
      <c r="I109" s="97">
        <f ca="1">_xll.meDateFromTenor(I108,"1D","FOLLOWING","TGT")</f>
        <v>42653</v>
      </c>
      <c r="J109" s="95">
        <f ca="1"/>
        <v>-2.8368017172837007E-3</v>
      </c>
      <c r="K109" s="5" t="s">
        <v>4</v>
      </c>
      <c r="L109" s="97">
        <f ca="1">_xll.meDateFromTenor(L108,"1D","FOLLOWING","TGT")</f>
        <v>42653</v>
      </c>
      <c r="M109" s="95">
        <f ca="1"/>
        <v>-1.6362401263675249E-3</v>
      </c>
      <c r="N109" s="5" t="s">
        <v>4</v>
      </c>
      <c r="O109" s="97">
        <f ca="1">_xll.meDateFromTenor(O108,"1D","FOLLOWING","TGT")</f>
        <v>42653</v>
      </c>
      <c r="P109" s="95">
        <f ca="1"/>
        <v>-2.4193695392597396E-4</v>
      </c>
      <c r="Q109" s="5" t="s">
        <v>4</v>
      </c>
      <c r="R109" s="83" t="s">
        <v>4</v>
      </c>
    </row>
    <row r="110" spans="1:18" x14ac:dyDescent="0.25">
      <c r="A110" s="88">
        <v>96</v>
      </c>
      <c r="B110" s="82"/>
      <c r="C110" s="97">
        <f ca="1">_xll.meDateFromTenor(C109,"1D","FOLLOWING","TGT")</f>
        <v>42654</v>
      </c>
      <c r="D110" s="95">
        <f ca="1"/>
        <v>-3.7031454990704704E-3</v>
      </c>
      <c r="E110" s="92"/>
      <c r="F110" s="97">
        <f ca="1">_xll.meDateFromTenor(F109,"1D","FOLLOWING","TGT")</f>
        <v>42654</v>
      </c>
      <c r="G110" s="95">
        <f ca="1"/>
        <v>-3.7007099091929205E-3</v>
      </c>
      <c r="H110" s="92" t="s">
        <v>4</v>
      </c>
      <c r="I110" s="97">
        <f ca="1">_xll.meDateFromTenor(I109,"1D","FOLLOWING","TGT")</f>
        <v>42654</v>
      </c>
      <c r="J110" s="95">
        <f ca="1"/>
        <v>-2.8386207498921957E-3</v>
      </c>
      <c r="K110" s="5" t="s">
        <v>4</v>
      </c>
      <c r="L110" s="97">
        <f ca="1">_xll.meDateFromTenor(L109,"1D","FOLLOWING","TGT")</f>
        <v>42654</v>
      </c>
      <c r="M110" s="95">
        <f ca="1"/>
        <v>-1.6370359561313447E-3</v>
      </c>
      <c r="N110" s="5" t="s">
        <v>4</v>
      </c>
      <c r="O110" s="97">
        <f ca="1">_xll.meDateFromTenor(O109,"1D","FOLLOWING","TGT")</f>
        <v>42654</v>
      </c>
      <c r="P110" s="95">
        <f ca="1"/>
        <v>-2.4247214426236364E-4</v>
      </c>
      <c r="Q110" s="5" t="s">
        <v>4</v>
      </c>
      <c r="R110" s="83" t="s">
        <v>4</v>
      </c>
    </row>
    <row r="111" spans="1:18" x14ac:dyDescent="0.25">
      <c r="A111" s="88">
        <v>97</v>
      </c>
      <c r="B111" s="82"/>
      <c r="C111" s="97">
        <f ca="1">_xll.meDateFromTenor(C110,"1D","FOLLOWING","TGT")</f>
        <v>42655</v>
      </c>
      <c r="D111" s="95">
        <f ca="1"/>
        <v>-3.7031454990306134E-3</v>
      </c>
      <c r="E111" s="92"/>
      <c r="F111" s="97">
        <f ca="1">_xll.meDateFromTenor(F110,"1D","FOLLOWING","TGT")</f>
        <v>42655</v>
      </c>
      <c r="G111" s="95">
        <f ca="1"/>
        <v>-3.7023086779323249E-3</v>
      </c>
      <c r="H111" s="92" t="s">
        <v>4</v>
      </c>
      <c r="I111" s="97">
        <f ca="1">_xll.meDateFromTenor(I110,"1D","FOLLOWING","TGT")</f>
        <v>42655</v>
      </c>
      <c r="J111" s="95">
        <f ca="1"/>
        <v>-2.8404397941695007E-3</v>
      </c>
      <c r="K111" s="5" t="s">
        <v>4</v>
      </c>
      <c r="L111" s="97">
        <f ca="1">_xll.meDateFromTenor(L110,"1D","FOLLOWING","TGT")</f>
        <v>42655</v>
      </c>
      <c r="M111" s="95">
        <f ca="1"/>
        <v>-1.6378291109143031E-3</v>
      </c>
      <c r="N111" s="5" t="s">
        <v>4</v>
      </c>
      <c r="O111" s="97">
        <f ca="1">_xll.meDateFromTenor(O110,"1D","FOLLOWING","TGT")</f>
        <v>42655</v>
      </c>
      <c r="P111" s="95">
        <f ca="1"/>
        <v>-2.4300338017889492E-4</v>
      </c>
      <c r="Q111" s="5" t="s">
        <v>4</v>
      </c>
      <c r="R111" s="83" t="s">
        <v>4</v>
      </c>
    </row>
    <row r="112" spans="1:18" x14ac:dyDescent="0.25">
      <c r="A112" s="88">
        <v>98</v>
      </c>
      <c r="B112" s="82"/>
      <c r="C112" s="97">
        <f ca="1">_xll.meDateFromTenor(C111,"1D","FOLLOWING","TGT")</f>
        <v>42656</v>
      </c>
      <c r="D112" s="95">
        <f ca="1"/>
        <v>-3.7031454991103274E-3</v>
      </c>
      <c r="E112" s="92"/>
      <c r="F112" s="97">
        <f ca="1">_xll.meDateFromTenor(F111,"1D","FOLLOWING","TGT")</f>
        <v>42656</v>
      </c>
      <c r="G112" s="95">
        <f ca="1"/>
        <v>-3.7039062138214496E-3</v>
      </c>
      <c r="H112" s="92" t="s">
        <v>4</v>
      </c>
      <c r="I112" s="97">
        <f ca="1">_xll.meDateFromTenor(I111,"1D","FOLLOWING","TGT")</f>
        <v>42656</v>
      </c>
      <c r="J112" s="95">
        <f ca="1"/>
        <v>-2.8422588060193913E-3</v>
      </c>
      <c r="K112" s="5" t="s">
        <v>4</v>
      </c>
      <c r="L112" s="97">
        <f ca="1">_xll.meDateFromTenor(L111,"1D","FOLLOWING","TGT")</f>
        <v>42656</v>
      </c>
      <c r="M112" s="95">
        <f ca="1"/>
        <v>-1.6386195635345873E-3</v>
      </c>
      <c r="N112" s="5" t="s">
        <v>4</v>
      </c>
      <c r="O112" s="97">
        <f ca="1">_xll.meDateFromTenor(O111,"1D","FOLLOWING","TGT")</f>
        <v>42656</v>
      </c>
      <c r="P112" s="95">
        <f ca="1"/>
        <v>-2.4353063148915675E-4</v>
      </c>
      <c r="Q112" s="5" t="s">
        <v>4</v>
      </c>
      <c r="R112" s="83" t="s">
        <v>4</v>
      </c>
    </row>
    <row r="113" spans="1:18" x14ac:dyDescent="0.25">
      <c r="A113" s="88">
        <v>99</v>
      </c>
      <c r="B113" s="82"/>
      <c r="C113" s="97">
        <f ca="1">_xll.meDateFromTenor(C112,"1D","FOLLOWING","TGT")</f>
        <v>42657</v>
      </c>
      <c r="D113" s="95">
        <f ca="1"/>
        <v>-3.7036041612912296E-3</v>
      </c>
      <c r="E113" s="92"/>
      <c r="F113" s="97">
        <f ca="1">_xll.meDateFromTenor(F112,"1D","FOLLOWING","TGT")</f>
        <v>42657</v>
      </c>
      <c r="G113" s="95">
        <f ca="1"/>
        <v>-3.7055023315155831E-3</v>
      </c>
      <c r="H113" s="92" t="s">
        <v>4</v>
      </c>
      <c r="I113" s="97">
        <f ca="1">_xll.meDateFromTenor(I112,"1D","FOLLOWING","TGT")</f>
        <v>42657</v>
      </c>
      <c r="J113" s="95">
        <f ca="1"/>
        <v>-2.8440777737730582E-3</v>
      </c>
      <c r="K113" s="5" t="s">
        <v>4</v>
      </c>
      <c r="L113" s="97">
        <f ca="1">_xll.meDateFromTenor(L112,"1D","FOLLOWING","TGT")</f>
        <v>42657</v>
      </c>
      <c r="M113" s="95">
        <f ca="1"/>
        <v>-1.6394072868103841E-3</v>
      </c>
      <c r="N113" s="5" t="s">
        <v>4</v>
      </c>
      <c r="O113" s="97">
        <f ca="1">_xll.meDateFromTenor(O112,"1D","FOLLOWING","TGT")</f>
        <v>42657</v>
      </c>
      <c r="P113" s="95">
        <f ca="1"/>
        <v>-2.4405386800673798E-4</v>
      </c>
      <c r="Q113" s="5" t="s">
        <v>4</v>
      </c>
      <c r="R113" s="83" t="s">
        <v>4</v>
      </c>
    </row>
    <row r="114" spans="1:18" x14ac:dyDescent="0.25">
      <c r="A114" s="88">
        <v>100</v>
      </c>
      <c r="B114" s="82"/>
      <c r="C114" s="97">
        <f ca="1">_xll.meDateFromTenor(C113,"1D","FOLLOWING","TGT")</f>
        <v>42660</v>
      </c>
      <c r="D114" s="95">
        <f ca="1"/>
        <v>-3.7031454990306134E-3</v>
      </c>
      <c r="E114" s="92"/>
      <c r="F114" s="97">
        <f ca="1">_xll.meDateFromTenor(F113,"1D","FOLLOWING","TGT")</f>
        <v>42660</v>
      </c>
      <c r="G114" s="95">
        <f ca="1"/>
        <v>-3.7102803219809261E-3</v>
      </c>
      <c r="H114" s="92" t="s">
        <v>4</v>
      </c>
      <c r="I114" s="97">
        <f ca="1">_xll.meDateFromTenor(I113,"1D","FOLLOWING","TGT")</f>
        <v>42660</v>
      </c>
      <c r="J114" s="95">
        <f ca="1"/>
        <v>-2.849534918273782E-3</v>
      </c>
      <c r="K114" s="5" t="s">
        <v>4</v>
      </c>
      <c r="L114" s="97">
        <f ca="1">_xll.meDateFromTenor(L113,"1D","FOLLOWING","TGT")</f>
        <v>42660</v>
      </c>
      <c r="M114" s="95">
        <f ca="1"/>
        <v>-1.6417538087527238E-3</v>
      </c>
      <c r="N114" s="5" t="s">
        <v>4</v>
      </c>
      <c r="O114" s="97">
        <f ca="1">_xll.meDateFromTenor(O113,"1D","FOLLOWING","TGT")</f>
        <v>42660</v>
      </c>
      <c r="P114" s="95">
        <f ca="1"/>
        <v>-2.4559918693928685E-4</v>
      </c>
      <c r="Q114" s="5" t="s">
        <v>4</v>
      </c>
      <c r="R114" s="83" t="s">
        <v>4</v>
      </c>
    </row>
    <row r="115" spans="1:18" x14ac:dyDescent="0.25">
      <c r="A115" s="88">
        <v>101</v>
      </c>
      <c r="B115" s="82"/>
      <c r="C115" s="97">
        <f ca="1">_xll.meDateFromTenor(C114,"1D","FOLLOWING","TGT")</f>
        <v>42661</v>
      </c>
      <c r="D115" s="95">
        <f ca="1"/>
        <v>-3.7031454990306134E-3</v>
      </c>
      <c r="E115" s="92"/>
      <c r="F115" s="97">
        <f ca="1">_xll.meDateFromTenor(F114,"1D","FOLLOWING","TGT")</f>
        <v>42661</v>
      </c>
      <c r="G115" s="95">
        <f ca="1"/>
        <v>-3.7118689134479858E-3</v>
      </c>
      <c r="H115" s="92" t="s">
        <v>4</v>
      </c>
      <c r="I115" s="97">
        <f ca="1">_xll.meDateFromTenor(I114,"1D","FOLLOWING","TGT")</f>
        <v>42661</v>
      </c>
      <c r="J115" s="95">
        <f ca="1"/>
        <v>-2.8513531065432465E-3</v>
      </c>
      <c r="K115" s="5" t="s">
        <v>4</v>
      </c>
      <c r="L115" s="97">
        <f ca="1">_xll.meDateFromTenor(L114,"1D","FOLLOWING","TGT")</f>
        <v>42661</v>
      </c>
      <c r="M115" s="95">
        <f ca="1"/>
        <v>-1.6425303428324435E-3</v>
      </c>
      <c r="N115" s="5" t="s">
        <v>4</v>
      </c>
      <c r="O115" s="97">
        <f ca="1">_xll.meDateFromTenor(O114,"1D","FOLLOWING","TGT")</f>
        <v>42661</v>
      </c>
      <c r="P115" s="95">
        <f ca="1"/>
        <v>-2.4610606242203434E-4</v>
      </c>
      <c r="Q115" s="5" t="s">
        <v>4</v>
      </c>
      <c r="R115" s="83" t="s">
        <v>4</v>
      </c>
    </row>
    <row r="116" spans="1:18" x14ac:dyDescent="0.25">
      <c r="A116" s="88">
        <v>102</v>
      </c>
      <c r="B116" s="82"/>
      <c r="C116" s="97">
        <f ca="1">_xll.meDateFromTenor(C115,"1D","FOLLOWING","TGT")</f>
        <v>42662</v>
      </c>
      <c r="D116" s="95">
        <f ca="1"/>
        <v>-3.7031454989908674E-3</v>
      </c>
      <c r="E116" s="92"/>
      <c r="F116" s="97">
        <f ca="1">_xll.meDateFromTenor(F115,"1D","FOLLOWING","TGT")</f>
        <v>42662</v>
      </c>
      <c r="G116" s="95">
        <f ca="1"/>
        <v>-3.7134551599965018E-3</v>
      </c>
      <c r="H116" s="92" t="s">
        <v>4</v>
      </c>
      <c r="I116" s="97">
        <f ca="1">_xll.meDateFromTenor(I115,"1D","FOLLOWING","TGT")</f>
        <v>42662</v>
      </c>
      <c r="J116" s="95">
        <f ca="1"/>
        <v>-2.8531729744009776E-3</v>
      </c>
      <c r="K116" s="5" t="s">
        <v>4</v>
      </c>
      <c r="L116" s="97">
        <f ca="1">_xll.meDateFromTenor(L115,"1D","FOLLOWING","TGT")</f>
        <v>42662</v>
      </c>
      <c r="M116" s="95">
        <f ca="1"/>
        <v>-1.6433040116586124E-3</v>
      </c>
      <c r="N116" s="5" t="s">
        <v>4</v>
      </c>
      <c r="O116" s="97">
        <f ca="1">_xll.meDateFromTenor(O115,"1D","FOLLOWING","TGT")</f>
        <v>42662</v>
      </c>
      <c r="P116" s="95">
        <f ca="1"/>
        <v>-2.4660877218004565E-4</v>
      </c>
      <c r="Q116" s="5" t="s">
        <v>4</v>
      </c>
      <c r="R116" s="83" t="s">
        <v>4</v>
      </c>
    </row>
    <row r="117" spans="1:18" x14ac:dyDescent="0.25">
      <c r="A117" s="88">
        <v>103</v>
      </c>
      <c r="B117" s="82"/>
      <c r="C117" s="97">
        <f ca="1">_xll.meDateFromTenor(C116,"1D","FOLLOWING","TGT")</f>
        <v>42663</v>
      </c>
      <c r="D117" s="95">
        <f ca="1"/>
        <v>-3.8127332717218243E-3</v>
      </c>
      <c r="E117" s="92"/>
      <c r="F117" s="97">
        <f ca="1">_xll.meDateFromTenor(F116,"1D","FOLLOWING","TGT")</f>
        <v>42663</v>
      </c>
      <c r="G117" s="95">
        <f ca="1"/>
        <v>-3.7150388762817606E-3</v>
      </c>
      <c r="H117" s="92" t="s">
        <v>4</v>
      </c>
      <c r="I117" s="97">
        <f ca="1">_xll.meDateFromTenor(I116,"1D","FOLLOWING","TGT")</f>
        <v>42663</v>
      </c>
      <c r="J117" s="95">
        <f ca="1"/>
        <v>-2.8549964612637137E-3</v>
      </c>
      <c r="K117" s="5" t="s">
        <v>4</v>
      </c>
      <c r="L117" s="97">
        <f ca="1">_xll.meDateFromTenor(L116,"1D","FOLLOWING","TGT")</f>
        <v>42663</v>
      </c>
      <c r="M117" s="95">
        <f ca="1"/>
        <v>-1.6440747880494164E-3</v>
      </c>
      <c r="N117" s="5" t="s">
        <v>4</v>
      </c>
      <c r="O117" s="97">
        <f ca="1">_xll.meDateFromTenor(O116,"1D","FOLLOWING","TGT")</f>
        <v>42663</v>
      </c>
      <c r="P117" s="95">
        <f ca="1"/>
        <v>-2.4710728602690956E-4</v>
      </c>
      <c r="Q117" s="5" t="s">
        <v>4</v>
      </c>
      <c r="R117" s="83" t="s">
        <v>4</v>
      </c>
    </row>
    <row r="118" spans="1:18" x14ac:dyDescent="0.25">
      <c r="A118" s="88">
        <v>104</v>
      </c>
      <c r="B118" s="82"/>
      <c r="C118" s="97">
        <f ca="1">_xll.meDateFromTenor(C117,"1D","FOLLOWING","TGT")</f>
        <v>42664</v>
      </c>
      <c r="D118" s="95">
        <f ca="1"/>
        <v>-3.8230421054191721E-3</v>
      </c>
      <c r="E118" s="92"/>
      <c r="F118" s="97">
        <f ca="1">_xll.meDateFromTenor(F117,"1D","FOLLOWING","TGT")</f>
        <v>42664</v>
      </c>
      <c r="G118" s="95">
        <f ca="1"/>
        <v>-3.7166198769590544E-3</v>
      </c>
      <c r="H118" s="92" t="s">
        <v>4</v>
      </c>
      <c r="I118" s="97">
        <f ca="1">_xll.meDateFromTenor(I117,"1D","FOLLOWING","TGT")</f>
        <v>42664</v>
      </c>
      <c r="J118" s="95">
        <f ca="1"/>
        <v>-2.8568216277171364E-3</v>
      </c>
      <c r="K118" s="5" t="s">
        <v>4</v>
      </c>
      <c r="L118" s="97">
        <f ca="1">_xll.meDateFromTenor(L117,"1D","FOLLOWING","TGT")</f>
        <v>42664</v>
      </c>
      <c r="M118" s="95">
        <f ca="1"/>
        <v>-1.644842644823044E-3</v>
      </c>
      <c r="N118" s="5" t="s">
        <v>4</v>
      </c>
      <c r="O118" s="97">
        <f ca="1">_xll.meDateFromTenor(O117,"1D","FOLLOWING","TGT")</f>
        <v>42664</v>
      </c>
      <c r="P118" s="95">
        <f ca="1"/>
        <v>-2.4760157377621498E-4</v>
      </c>
      <c r="Q118" s="5" t="s">
        <v>4</v>
      </c>
      <c r="R118" s="83" t="s">
        <v>4</v>
      </c>
    </row>
    <row r="119" spans="1:18" x14ac:dyDescent="0.25">
      <c r="A119" s="88">
        <v>105</v>
      </c>
      <c r="B119" s="82"/>
      <c r="C119" s="97">
        <f ca="1">_xll.meDateFromTenor(C118,"1D","FOLLOWING","TGT")</f>
        <v>42667</v>
      </c>
      <c r="D119" s="95">
        <f ca="1"/>
        <v>-3.8127332717218243E-3</v>
      </c>
      <c r="E119" s="92"/>
      <c r="F119" s="97">
        <f ca="1">_xll.meDateFromTenor(F118,"1D","FOLLOWING","TGT")</f>
        <v>42667</v>
      </c>
      <c r="G119" s="95">
        <f ca="1"/>
        <v>-3.721344731896027E-3</v>
      </c>
      <c r="H119" s="92" t="s">
        <v>4</v>
      </c>
      <c r="I119" s="97">
        <f ca="1">_xll.meDateFromTenor(I118,"1D","FOLLOWING","TGT")</f>
        <v>42667</v>
      </c>
      <c r="J119" s="95">
        <f ca="1"/>
        <v>-2.8622945473681383E-3</v>
      </c>
      <c r="K119" s="5" t="s">
        <v>4</v>
      </c>
      <c r="L119" s="97">
        <f ca="1">_xll.meDateFromTenor(L118,"1D","FOLLOWING","TGT")</f>
        <v>42667</v>
      </c>
      <c r="M119" s="95">
        <f ca="1"/>
        <v>-1.6471284256227346E-3</v>
      </c>
      <c r="N119" s="5" t="s">
        <v>4</v>
      </c>
      <c r="O119" s="97">
        <f ca="1">_xll.meDateFromTenor(O118,"1D","FOLLOWING","TGT")</f>
        <v>42667</v>
      </c>
      <c r="P119" s="95">
        <f ca="1"/>
        <v>-2.4905877857466863E-4</v>
      </c>
      <c r="Q119" s="5" t="s">
        <v>4</v>
      </c>
      <c r="R119" s="83" t="s">
        <v>4</v>
      </c>
    </row>
    <row r="120" spans="1:18" x14ac:dyDescent="0.25">
      <c r="A120" s="88">
        <v>106</v>
      </c>
      <c r="B120" s="82"/>
      <c r="C120" s="97">
        <f ca="1">_xll.meDateFromTenor(C119,"1D","FOLLOWING","TGT")</f>
        <v>42668</v>
      </c>
      <c r="D120" s="95">
        <f ca="1"/>
        <v>-3.8127332717218243E-3</v>
      </c>
      <c r="E120" s="92"/>
      <c r="F120" s="97">
        <f ca="1">_xll.meDateFromTenor(F119,"1D","FOLLOWING","TGT")</f>
        <v>42668</v>
      </c>
      <c r="G120" s="95">
        <f ca="1"/>
        <v>-3.7229130166943473E-3</v>
      </c>
      <c r="H120" s="92" t="s">
        <v>4</v>
      </c>
      <c r="I120" s="97">
        <f ca="1">_xll.meDateFromTenor(I119,"1D","FOLLOWING","TGT")</f>
        <v>42668</v>
      </c>
      <c r="J120" s="95">
        <f ca="1"/>
        <v>-2.8641189343494538E-3</v>
      </c>
      <c r="K120" s="5" t="s">
        <v>4</v>
      </c>
      <c r="L120" s="97">
        <f ca="1">_xll.meDateFromTenor(L119,"1D","FOLLOWING","TGT")</f>
        <v>42668</v>
      </c>
      <c r="M120" s="95">
        <f ca="1"/>
        <v>-1.6478843321095251E-3</v>
      </c>
      <c r="N120" s="5" t="s">
        <v>4</v>
      </c>
      <c r="O120" s="97">
        <f ca="1">_xll.meDateFromTenor(O119,"1D","FOLLOWING","TGT")</f>
        <v>42668</v>
      </c>
      <c r="P120" s="95">
        <f ca="1"/>
        <v>-2.4953586006962858E-4</v>
      </c>
      <c r="Q120" s="5" t="s">
        <v>4</v>
      </c>
      <c r="R120" s="83" t="s">
        <v>4</v>
      </c>
    </row>
    <row r="121" spans="1:18" x14ac:dyDescent="0.25">
      <c r="A121" s="88">
        <v>107</v>
      </c>
      <c r="B121" s="82"/>
      <c r="C121" s="97">
        <f ca="1">_xll.meDateFromTenor(C120,"1D","FOLLOWING","TGT")</f>
        <v>42669</v>
      </c>
      <c r="D121" s="95">
        <f ca="1"/>
        <v>-3.8127332716819673E-3</v>
      </c>
      <c r="E121" s="92"/>
      <c r="F121" s="97">
        <f ca="1">_xll.meDateFromTenor(F120,"1D","FOLLOWING","TGT")</f>
        <v>42669</v>
      </c>
      <c r="G121" s="95">
        <f ca="1"/>
        <v>-3.7244776591611461E-3</v>
      </c>
      <c r="H121" s="92" t="s">
        <v>4</v>
      </c>
      <c r="I121" s="97">
        <f ca="1">_xll.meDateFromTenor(I120,"1D","FOLLOWING","TGT")</f>
        <v>42669</v>
      </c>
      <c r="J121" s="95">
        <f ca="1"/>
        <v>-2.8659432772708319E-3</v>
      </c>
      <c r="K121" s="5" t="s">
        <v>4</v>
      </c>
      <c r="L121" s="97">
        <f ca="1">_xll.meDateFromTenor(L120,"1D","FOLLOWING","TGT")</f>
        <v>42669</v>
      </c>
      <c r="M121" s="95">
        <f ca="1"/>
        <v>-1.648637183070074E-3</v>
      </c>
      <c r="N121" s="5" t="s">
        <v>4</v>
      </c>
      <c r="O121" s="97">
        <f ca="1">_xll.meDateFromTenor(O120,"1D","FOLLOWING","TGT")</f>
        <v>42669</v>
      </c>
      <c r="P121" s="95">
        <f ca="1"/>
        <v>-2.5000856453497445E-4</v>
      </c>
      <c r="Q121" s="5" t="s">
        <v>4</v>
      </c>
      <c r="R121" s="83" t="s">
        <v>4</v>
      </c>
    </row>
    <row r="122" spans="1:18" x14ac:dyDescent="0.25">
      <c r="A122" s="88">
        <v>108</v>
      </c>
      <c r="B122" s="82"/>
      <c r="C122" s="97">
        <f ca="1">_xll.meDateFromTenor(C121,"1D","FOLLOWING","TGT")</f>
        <v>42670</v>
      </c>
      <c r="D122" s="95">
        <f ca="1"/>
        <v>-3.8127332716819673E-3</v>
      </c>
      <c r="E122" s="92"/>
      <c r="F122" s="97">
        <f ca="1">_xll.meDateFromTenor(F121,"1D","FOLLOWING","TGT")</f>
        <v>42670</v>
      </c>
      <c r="G122" s="95">
        <f ca="1"/>
        <v>-3.7260384739517152E-3</v>
      </c>
      <c r="H122" s="92" t="s">
        <v>4</v>
      </c>
      <c r="I122" s="97">
        <f ca="1">_xll.meDateFromTenor(I121,"1D","FOLLOWING","TGT")</f>
        <v>42670</v>
      </c>
      <c r="J122" s="95">
        <f ca="1"/>
        <v>-2.8677675876656126E-3</v>
      </c>
      <c r="K122" s="5" t="s">
        <v>4</v>
      </c>
      <c r="L122" s="97">
        <f ca="1">_xll.meDateFromTenor(L121,"1D","FOLLOWING","TGT")</f>
        <v>42670</v>
      </c>
      <c r="M122" s="95">
        <f ca="1"/>
        <v>-1.6493869513225688E-3</v>
      </c>
      <c r="N122" s="5" t="s">
        <v>4</v>
      </c>
      <c r="O122" s="97">
        <f ca="1">_xll.meDateFromTenor(O121,"1D","FOLLOWING","TGT")</f>
        <v>42670</v>
      </c>
      <c r="P122" s="95">
        <f ca="1"/>
        <v>-2.5047686178429493E-4</v>
      </c>
      <c r="Q122" s="5" t="s">
        <v>4</v>
      </c>
      <c r="R122" s="83" t="s">
        <v>4</v>
      </c>
    </row>
    <row r="123" spans="1:18" x14ac:dyDescent="0.25">
      <c r="A123" s="88">
        <v>109</v>
      </c>
      <c r="B123" s="82"/>
      <c r="C123" s="97">
        <f ca="1">_xll.meDateFromTenor(C122,"1D","FOLLOWING","TGT")</f>
        <v>42671</v>
      </c>
      <c r="D123" s="95">
        <f ca="1"/>
        <v>-3.8127571487780454E-3</v>
      </c>
      <c r="E123" s="92"/>
      <c r="F123" s="97">
        <f ca="1">_xll.meDateFromTenor(F122,"1D","FOLLOWING","TGT")</f>
        <v>42671</v>
      </c>
      <c r="G123" s="95">
        <f ca="1"/>
        <v>-3.7275952757213427E-3</v>
      </c>
      <c r="H123" s="92" t="s">
        <v>4</v>
      </c>
      <c r="I123" s="97">
        <f ca="1">_xll.meDateFromTenor(I122,"1D","FOLLOWING","TGT")</f>
        <v>42671</v>
      </c>
      <c r="J123" s="95">
        <f ca="1"/>
        <v>-2.869591909593734E-3</v>
      </c>
      <c r="K123" s="5" t="s">
        <v>4</v>
      </c>
      <c r="L123" s="97">
        <f ca="1">_xll.meDateFromTenor(L122,"1D","FOLLOWING","TGT")</f>
        <v>42671</v>
      </c>
      <c r="M123" s="95">
        <f ca="1"/>
        <v>-1.6501336096851967E-3</v>
      </c>
      <c r="N123" s="5" t="s">
        <v>4</v>
      </c>
      <c r="O123" s="97">
        <f ca="1">_xll.meDateFromTenor(O122,"1D","FOLLOWING","TGT")</f>
        <v>42671</v>
      </c>
      <c r="P123" s="95">
        <f ca="1"/>
        <v>-2.5094072163117897E-4</v>
      </c>
      <c r="Q123" s="5" t="s">
        <v>4</v>
      </c>
      <c r="R123" s="83" t="s">
        <v>4</v>
      </c>
    </row>
    <row r="124" spans="1:18" x14ac:dyDescent="0.25">
      <c r="A124" s="88">
        <v>110</v>
      </c>
      <c r="B124" s="82"/>
      <c r="C124" s="97">
        <f ca="1">_xll.meDateFromTenor(C123,"1D","FOLLOWING","TGT")</f>
        <v>42674</v>
      </c>
      <c r="D124" s="95">
        <f ca="1"/>
        <v>-3.8127332717218243E-3</v>
      </c>
      <c r="E124" s="92"/>
      <c r="F124" s="97">
        <f ca="1">_xll.meDateFromTenor(F123,"1D","FOLLOWING","TGT")</f>
        <v>42674</v>
      </c>
      <c r="G124" s="95">
        <f ca="1"/>
        <v>-3.7322397494574657E-3</v>
      </c>
      <c r="H124" s="92" t="s">
        <v>4</v>
      </c>
      <c r="I124" s="97">
        <f ca="1">_xll.meDateFromTenor(I123,"1D","FOLLOWING","TGT")</f>
        <v>42674</v>
      </c>
      <c r="J124" s="95">
        <f ca="1"/>
        <v>-2.8750648942979301E-3</v>
      </c>
      <c r="K124" s="5" t="s">
        <v>4</v>
      </c>
      <c r="L124" s="97">
        <f ca="1">_xll.meDateFromTenor(L123,"1D","FOLLOWING","TGT")</f>
        <v>42674</v>
      </c>
      <c r="M124" s="95">
        <f ca="1"/>
        <v>-1.6523546536157496E-3</v>
      </c>
      <c r="N124" s="5" t="s">
        <v>4</v>
      </c>
      <c r="O124" s="97">
        <f ca="1">_xll.meDateFromTenor(O123,"1D","FOLLOWING","TGT")</f>
        <v>42674</v>
      </c>
      <c r="P124" s="95">
        <f ca="1"/>
        <v>-2.5230537489310108E-4</v>
      </c>
      <c r="Q124" s="5" t="s">
        <v>4</v>
      </c>
      <c r="R124" s="83" t="s">
        <v>4</v>
      </c>
    </row>
    <row r="125" spans="1:18" x14ac:dyDescent="0.25">
      <c r="A125" s="88">
        <v>111</v>
      </c>
      <c r="B125" s="82"/>
      <c r="C125" s="97">
        <f ca="1">_xll.meDateFromTenor(C124,"1D","FOLLOWING","TGT")</f>
        <v>42675</v>
      </c>
      <c r="D125" s="95">
        <f ca="1"/>
        <v>-3.8127332716421103E-3</v>
      </c>
      <c r="E125" s="92"/>
      <c r="F125" s="97">
        <f ca="1">_xll.meDateFromTenor(F124,"1D","FOLLOWING","TGT")</f>
        <v>42675</v>
      </c>
      <c r="G125" s="95">
        <f ca="1"/>
        <v>-3.7337786456962184E-3</v>
      </c>
      <c r="H125" s="92" t="s">
        <v>4</v>
      </c>
      <c r="I125" s="97">
        <f ca="1">_xll.meDateFromTenor(I124,"1D","FOLLOWING","TGT")</f>
        <v>42675</v>
      </c>
      <c r="J125" s="95">
        <f ca="1"/>
        <v>-2.8768892150598351E-3</v>
      </c>
      <c r="K125" s="5" t="s">
        <v>4</v>
      </c>
      <c r="L125" s="97">
        <f ca="1">_xll.meDateFromTenor(L124,"1D","FOLLOWING","TGT")</f>
        <v>42675</v>
      </c>
      <c r="M125" s="95">
        <f ca="1"/>
        <v>-1.6530886006007805E-3</v>
      </c>
      <c r="N125" s="5" t="s">
        <v>4</v>
      </c>
      <c r="O125" s="97">
        <f ca="1">_xll.meDateFromTenor(O124,"1D","FOLLOWING","TGT")</f>
        <v>42675</v>
      </c>
      <c r="P125" s="95">
        <f ca="1"/>
        <v>-2.5275118326612803E-4</v>
      </c>
      <c r="Q125" s="5" t="s">
        <v>4</v>
      </c>
      <c r="R125" s="83" t="s">
        <v>4</v>
      </c>
    </row>
    <row r="126" spans="1:18" x14ac:dyDescent="0.25">
      <c r="A126" s="88">
        <v>112</v>
      </c>
      <c r="B126" s="82"/>
      <c r="C126" s="97">
        <f ca="1">_xll.meDateFromTenor(C125,"1D","FOLLOWING","TGT")</f>
        <v>42676</v>
      </c>
      <c r="D126" s="95">
        <f ca="1"/>
        <v>-3.8127332717218243E-3</v>
      </c>
      <c r="E126" s="92"/>
      <c r="F126" s="97">
        <f ca="1">_xll.meDateFromTenor(F125,"1D","FOLLOWING","TGT")</f>
        <v>42676</v>
      </c>
      <c r="G126" s="95">
        <f ca="1"/>
        <v>-3.7353126021904761E-3</v>
      </c>
      <c r="H126" s="92" t="s">
        <v>4</v>
      </c>
      <c r="I126" s="97">
        <f ca="1">_xll.meDateFromTenor(I125,"1D","FOLLOWING","TGT")</f>
        <v>42676</v>
      </c>
      <c r="J126" s="95">
        <f ca="1"/>
        <v>-2.8787135476140888E-3</v>
      </c>
      <c r="K126" s="5" t="s">
        <v>4</v>
      </c>
      <c r="L126" s="97">
        <f ca="1">_xll.meDateFromTenor(L125,"1D","FOLLOWING","TGT")</f>
        <v>42676</v>
      </c>
      <c r="M126" s="95">
        <f ca="1"/>
        <v>-1.6538193017868806E-3</v>
      </c>
      <c r="N126" s="5" t="s">
        <v>4</v>
      </c>
      <c r="O126" s="97">
        <f ca="1">_xll.meDateFromTenor(O125,"1D","FOLLOWING","TGT")</f>
        <v>42676</v>
      </c>
      <c r="P126" s="95">
        <f ca="1"/>
        <v>-2.5319240330466284E-4</v>
      </c>
      <c r="Q126" s="5" t="s">
        <v>4</v>
      </c>
      <c r="R126" s="83" t="s">
        <v>4</v>
      </c>
    </row>
    <row r="127" spans="1:18" x14ac:dyDescent="0.25">
      <c r="A127" s="88">
        <v>113</v>
      </c>
      <c r="B127" s="82"/>
      <c r="C127" s="97">
        <f ca="1">_xll.meDateFromTenor(C126,"1D","FOLLOWING","TGT")</f>
        <v>42677</v>
      </c>
      <c r="D127" s="95">
        <f ca="1"/>
        <v>-3.8127332716819673E-3</v>
      </c>
      <c r="E127" s="92"/>
      <c r="F127" s="97">
        <f ca="1">_xll.meDateFromTenor(F126,"1D","FOLLOWING","TGT")</f>
        <v>42677</v>
      </c>
      <c r="G127" s="95">
        <f ca="1"/>
        <v>-3.7368416033131862E-3</v>
      </c>
      <c r="H127" s="92" t="s">
        <v>4</v>
      </c>
      <c r="I127" s="97">
        <f ca="1">_xll.meDateFromTenor(I126,"1D","FOLLOWING","TGT")</f>
        <v>42677</v>
      </c>
      <c r="J127" s="95">
        <f ca="1"/>
        <v>-2.8805378952003339E-3</v>
      </c>
      <c r="K127" s="5" t="s">
        <v>4</v>
      </c>
      <c r="L127" s="97">
        <f ca="1">_xll.meDateFromTenor(L126,"1D","FOLLOWING","TGT")</f>
        <v>42677</v>
      </c>
      <c r="M127" s="95">
        <f ca="1"/>
        <v>-1.6545467299922364E-3</v>
      </c>
      <c r="N127" s="5" t="s">
        <v>4</v>
      </c>
      <c r="O127" s="97">
        <f ca="1">_xll.meDateFromTenor(O126,"1D","FOLLOWING","TGT")</f>
        <v>42677</v>
      </c>
      <c r="P127" s="95">
        <f ca="1"/>
        <v>-2.5362900482229448E-4</v>
      </c>
      <c r="Q127" s="5" t="s">
        <v>4</v>
      </c>
      <c r="R127" s="83" t="s">
        <v>4</v>
      </c>
    </row>
    <row r="128" spans="1:18" x14ac:dyDescent="0.25">
      <c r="A128" s="88">
        <v>114</v>
      </c>
      <c r="B128" s="82"/>
      <c r="C128" s="97">
        <f ca="1">_xll.meDateFromTenor(C127,"1D","FOLLOWING","TGT")</f>
        <v>42678</v>
      </c>
      <c r="D128" s="95">
        <f ca="1"/>
        <v>-3.8127679971022843E-3</v>
      </c>
      <c r="E128" s="92"/>
      <c r="F128" s="97">
        <f ca="1">_xll.meDateFromTenor(F127,"1D","FOLLOWING","TGT")</f>
        <v>42678</v>
      </c>
      <c r="G128" s="95">
        <f ca="1"/>
        <v>-3.7383663123079286E-3</v>
      </c>
      <c r="H128" s="92" t="s">
        <v>4</v>
      </c>
      <c r="I128" s="97">
        <f ca="1">_xll.meDateFromTenor(I127,"1D","FOLLOWING","TGT")</f>
        <v>42678</v>
      </c>
      <c r="J128" s="95">
        <f ca="1"/>
        <v>-2.8823622009302476E-3</v>
      </c>
      <c r="K128" s="5" t="s">
        <v>4</v>
      </c>
      <c r="L128" s="97">
        <f ca="1">_xll.meDateFromTenor(L127,"1D","FOLLOWING","TGT")</f>
        <v>42678</v>
      </c>
      <c r="M128" s="95">
        <f ca="1"/>
        <v>-1.6552708580350351E-3</v>
      </c>
      <c r="N128" s="5" t="s">
        <v>4</v>
      </c>
      <c r="O128" s="97">
        <f ca="1">_xll.meDateFromTenor(O127,"1D","FOLLOWING","TGT")</f>
        <v>42678</v>
      </c>
      <c r="P128" s="95">
        <f ca="1"/>
        <v>-2.5406095763261168E-4</v>
      </c>
      <c r="Q128" s="5" t="s">
        <v>4</v>
      </c>
      <c r="R128" s="83" t="s">
        <v>4</v>
      </c>
    </row>
    <row r="129" spans="1:18" x14ac:dyDescent="0.25">
      <c r="A129" s="88">
        <v>115</v>
      </c>
      <c r="B129" s="82"/>
      <c r="C129" s="97">
        <f ca="1">_xll.meDateFromTenor(C128,"1D","FOLLOWING","TGT")</f>
        <v>42681</v>
      </c>
      <c r="D129" s="95">
        <f ca="1"/>
        <v>-3.8127332716819673E-3</v>
      </c>
      <c r="E129" s="92"/>
      <c r="F129" s="97">
        <f ca="1">_xll.meDateFromTenor(F128,"1D","FOLLOWING","TGT")</f>
        <v>42681</v>
      </c>
      <c r="G129" s="95">
        <f ca="1"/>
        <v>-3.7429230161367473E-3</v>
      </c>
      <c r="H129" s="92" t="s">
        <v>4</v>
      </c>
      <c r="I129" s="97">
        <f ca="1">_xll.meDateFromTenor(I128,"1D","FOLLOWING","TGT")</f>
        <v>42681</v>
      </c>
      <c r="J129" s="95">
        <f ca="1"/>
        <v>-2.8878354712422675E-3</v>
      </c>
      <c r="K129" s="5" t="s">
        <v>4</v>
      </c>
      <c r="L129" s="97">
        <f ca="1">_xll.meDateFromTenor(L128,"1D","FOLLOWING","TGT")</f>
        <v>42681</v>
      </c>
      <c r="M129" s="95">
        <f ca="1"/>
        <v>-1.6574231693699611E-3</v>
      </c>
      <c r="N129" s="5" t="s">
        <v>4</v>
      </c>
      <c r="O129" s="97">
        <f ca="1">_xll.meDateFromTenor(O128,"1D","FOLLOWING","TGT")</f>
        <v>42681</v>
      </c>
      <c r="P129" s="95">
        <f ca="1"/>
        <v>-2.553286219555658E-4</v>
      </c>
      <c r="Q129" s="5" t="s">
        <v>4</v>
      </c>
      <c r="R129" s="83" t="s">
        <v>4</v>
      </c>
    </row>
    <row r="130" spans="1:18" x14ac:dyDescent="0.25">
      <c r="A130" s="88">
        <v>116</v>
      </c>
      <c r="B130" s="82"/>
      <c r="C130" s="97">
        <f ca="1">_xll.meDateFromTenor(C129,"1D","FOLLOWING","TGT")</f>
        <v>42682</v>
      </c>
      <c r="D130" s="95">
        <f ca="1"/>
        <v>-3.8127332717218243E-3</v>
      </c>
      <c r="E130" s="92"/>
      <c r="F130" s="97">
        <f ca="1">_xll.meDateFromTenor(F129,"1D","FOLLOWING","TGT")</f>
        <v>42682</v>
      </c>
      <c r="G130" s="95">
        <f ca="1"/>
        <v>-3.7444388862320145E-3</v>
      </c>
      <c r="H130" s="92" t="s">
        <v>4</v>
      </c>
      <c r="I130" s="97">
        <f ca="1">_xll.meDateFromTenor(I129,"1D","FOLLOWING","TGT")</f>
        <v>42682</v>
      </c>
      <c r="J130" s="95">
        <f ca="1"/>
        <v>-2.889659507562565E-3</v>
      </c>
      <c r="K130" s="5" t="s">
        <v>4</v>
      </c>
      <c r="L130" s="97">
        <f ca="1">_xll.meDateFromTenor(L129,"1D","FOLLOWING","TGT")</f>
        <v>42682</v>
      </c>
      <c r="M130" s="95">
        <f ca="1"/>
        <v>-1.6581338249444034E-3</v>
      </c>
      <c r="N130" s="5" t="s">
        <v>4</v>
      </c>
      <c r="O130" s="97">
        <f ca="1">_xll.meDateFromTenor(O129,"1D","FOLLOWING","TGT")</f>
        <v>42682</v>
      </c>
      <c r="P130" s="95">
        <f ca="1"/>
        <v>-2.5574167807251424E-4</v>
      </c>
      <c r="Q130" s="5" t="s">
        <v>4</v>
      </c>
      <c r="R130" s="83" t="s">
        <v>4</v>
      </c>
    </row>
    <row r="131" spans="1:18" x14ac:dyDescent="0.25">
      <c r="A131" s="88">
        <v>117</v>
      </c>
      <c r="B131" s="82"/>
      <c r="C131" s="97">
        <f ca="1">_xll.meDateFromTenor(C130,"1D","FOLLOWING","TGT")</f>
        <v>42683</v>
      </c>
      <c r="D131" s="95">
        <f ca="1"/>
        <v>-3.8127332717218243E-3</v>
      </c>
      <c r="E131" s="92"/>
      <c r="F131" s="97">
        <f ca="1">_xll.meDateFromTenor(F130,"1D","FOLLOWING","TGT")</f>
        <v>42683</v>
      </c>
      <c r="G131" s="95">
        <f ca="1"/>
        <v>-3.7459546290055101E-3</v>
      </c>
      <c r="H131" s="92" t="s">
        <v>4</v>
      </c>
      <c r="I131" s="97">
        <f ca="1">_xll.meDateFromTenor(I130,"1D","FOLLOWING","TGT")</f>
        <v>42683</v>
      </c>
      <c r="J131" s="95">
        <f ca="1"/>
        <v>-2.8914827506860055E-3</v>
      </c>
      <c r="K131" s="5" t="s">
        <v>4</v>
      </c>
      <c r="L131" s="97">
        <f ca="1">_xll.meDateFromTenor(L130,"1D","FOLLOWING","TGT")</f>
        <v>42683</v>
      </c>
      <c r="M131" s="95">
        <f ca="1"/>
        <v>-1.6588410444472244E-3</v>
      </c>
      <c r="N131" s="5" t="s">
        <v>4</v>
      </c>
      <c r="O131" s="97">
        <f ca="1">_xll.meDateFromTenor(O130,"1D","FOLLOWING","TGT")</f>
        <v>42683</v>
      </c>
      <c r="P131" s="95">
        <f ca="1"/>
        <v>-2.5614993455009264E-4</v>
      </c>
      <c r="Q131" s="5" t="s">
        <v>4</v>
      </c>
      <c r="R131" s="83" t="s">
        <v>4</v>
      </c>
    </row>
    <row r="132" spans="1:18" x14ac:dyDescent="0.25">
      <c r="A132" s="88">
        <v>118</v>
      </c>
      <c r="B132" s="82"/>
      <c r="C132" s="97">
        <f ca="1">_xll.meDateFromTenor(C131,"1D","FOLLOWING","TGT")</f>
        <v>42684</v>
      </c>
      <c r="D132" s="95">
        <f ca="1"/>
        <v>-3.8127332717218243E-3</v>
      </c>
      <c r="E132" s="92"/>
      <c r="F132" s="97">
        <f ca="1">_xll.meDateFromTenor(F131,"1D","FOLLOWING","TGT")</f>
        <v>42684</v>
      </c>
      <c r="G132" s="95">
        <f ca="1"/>
        <v>-3.747471077418474E-3</v>
      </c>
      <c r="H132" s="92" t="s">
        <v>4</v>
      </c>
      <c r="I132" s="97">
        <f ca="1">_xll.meDateFromTenor(I131,"1D","FOLLOWING","TGT")</f>
        <v>42684</v>
      </c>
      <c r="J132" s="95">
        <f ca="1"/>
        <v>-2.8933081608787238E-3</v>
      </c>
      <c r="K132" s="5" t="s">
        <v>4</v>
      </c>
      <c r="L132" s="97">
        <f ca="1">_xll.meDateFromTenor(L131,"1D","FOLLOWING","TGT")</f>
        <v>42684</v>
      </c>
      <c r="M132" s="95">
        <f ca="1"/>
        <v>-1.6595448006966112E-3</v>
      </c>
      <c r="N132" s="5" t="s">
        <v>4</v>
      </c>
      <c r="O132" s="97">
        <f ca="1">_xll.meDateFromTenor(O131,"1D","FOLLOWING","TGT")</f>
        <v>42684</v>
      </c>
      <c r="P132" s="95">
        <f ca="1"/>
        <v>-2.5655336120188987E-4</v>
      </c>
      <c r="Q132" s="5" t="s">
        <v>4</v>
      </c>
      <c r="R132" s="83" t="s">
        <v>4</v>
      </c>
    </row>
    <row r="133" spans="1:18" x14ac:dyDescent="0.25">
      <c r="A133" s="88">
        <v>119</v>
      </c>
      <c r="B133" s="82"/>
      <c r="C133" s="97">
        <f ca="1">_xll.meDateFromTenor(C132,"1D","FOLLOWING","TGT")</f>
        <v>42685</v>
      </c>
      <c r="D133" s="95">
        <f ca="1"/>
        <v>-3.8127679856750918E-3</v>
      </c>
      <c r="E133" s="92"/>
      <c r="F133" s="97">
        <f ca="1">_xll.meDateFromTenor(F132,"1D","FOLLOWING","TGT")</f>
        <v>42685</v>
      </c>
      <c r="G133" s="95">
        <f ca="1"/>
        <v>-3.7489890644321461E-3</v>
      </c>
      <c r="H133" s="92" t="s">
        <v>4</v>
      </c>
      <c r="I133" s="97">
        <f ca="1">_xll.meDateFromTenor(I132,"1D","FOLLOWING","TGT")</f>
        <v>42685</v>
      </c>
      <c r="J133" s="95">
        <f ca="1"/>
        <v>-2.8951365313375772E-3</v>
      </c>
      <c r="K133" s="5" t="s">
        <v>4</v>
      </c>
      <c r="L133" s="97">
        <f ca="1">_xll.meDateFromTenor(L132,"1D","FOLLOWING","TGT")</f>
        <v>42685</v>
      </c>
      <c r="M133" s="95">
        <f ca="1"/>
        <v>-1.6602450665107514E-3</v>
      </c>
      <c r="N133" s="5" t="s">
        <v>4</v>
      </c>
      <c r="O133" s="97">
        <f ca="1">_xll.meDateFromTenor(O132,"1D","FOLLOWING","TGT")</f>
        <v>42685</v>
      </c>
      <c r="P133" s="95">
        <f ca="1"/>
        <v>-2.5695192784149482E-4</v>
      </c>
      <c r="Q133" s="5" t="s">
        <v>4</v>
      </c>
      <c r="R133" s="83" t="s">
        <v>4</v>
      </c>
    </row>
    <row r="134" spans="1:18" x14ac:dyDescent="0.25">
      <c r="A134" s="88">
        <v>120</v>
      </c>
      <c r="B134" s="82"/>
      <c r="C134" s="97">
        <f ca="1">_xll.meDateFromTenor(C133,"1D","FOLLOWING","TGT")</f>
        <v>42688</v>
      </c>
      <c r="D134" s="95">
        <f ca="1"/>
        <v>-3.8127332717616813E-3</v>
      </c>
      <c r="E134" s="92"/>
      <c r="F134" s="97">
        <f ca="1">_xll.meDateFromTenor(F133,"1D","FOLLOWING","TGT")</f>
        <v>42688</v>
      </c>
      <c r="G134" s="95">
        <f ca="1"/>
        <v>-3.753560586689797E-3</v>
      </c>
      <c r="H134" s="92" t="s">
        <v>4</v>
      </c>
      <c r="I134" s="97">
        <f ca="1">_xll.meDateFromTenor(I133,"1D","FOLLOWING","TGT")</f>
        <v>42688</v>
      </c>
      <c r="J134" s="95">
        <f ca="1"/>
        <v>-2.9006054675110413E-3</v>
      </c>
      <c r="K134" s="5" t="s">
        <v>4</v>
      </c>
      <c r="L134" s="97">
        <f ca="1">_xll.meDateFromTenor(L133,"1D","FOLLOWING","TGT")</f>
        <v>42688</v>
      </c>
      <c r="M134" s="95">
        <f ca="1"/>
        <v>-1.6623246495235614E-3</v>
      </c>
      <c r="N134" s="5" t="s">
        <v>4</v>
      </c>
      <c r="O134" s="97">
        <f ca="1">_xll.meDateFromTenor(O133,"1D","FOLLOWING","TGT")</f>
        <v>42688</v>
      </c>
      <c r="P134" s="95">
        <f ca="1"/>
        <v>-2.5811816582304442E-4</v>
      </c>
      <c r="Q134" s="5" t="s">
        <v>4</v>
      </c>
      <c r="R134" s="83" t="s">
        <v>4</v>
      </c>
    </row>
    <row r="135" spans="1:18" x14ac:dyDescent="0.25">
      <c r="A135" s="88">
        <v>121</v>
      </c>
      <c r="B135" s="82"/>
      <c r="C135" s="97">
        <f ca="1">_xll.meDateFromTenor(C134,"1D","FOLLOWING","TGT")</f>
        <v>42689</v>
      </c>
      <c r="D135" s="95">
        <f ca="1"/>
        <v>-3.8127332717218243E-3</v>
      </c>
      <c r="E135" s="92"/>
      <c r="F135" s="97">
        <f ca="1">_xll.meDateFromTenor(F134,"1D","FOLLOWING","TGT")</f>
        <v>42689</v>
      </c>
      <c r="G135" s="95">
        <f ca="1"/>
        <v>-3.7550930577186902E-3</v>
      </c>
      <c r="H135" s="92" t="s">
        <v>4</v>
      </c>
      <c r="I135" s="97">
        <f ca="1">_xll.meDateFromTenor(I134,"1D","FOLLOWING","TGT")</f>
        <v>42689</v>
      </c>
      <c r="J135" s="95">
        <f ca="1"/>
        <v>-2.9024861170421756E-3</v>
      </c>
      <c r="K135" s="5" t="s">
        <v>4</v>
      </c>
      <c r="L135" s="97">
        <f ca="1">_xll.meDateFromTenor(L134,"1D","FOLLOWING","TGT")</f>
        <v>42689</v>
      </c>
      <c r="M135" s="95">
        <f ca="1"/>
        <v>-1.6630106817785851E-3</v>
      </c>
      <c r="N135" s="5" t="s">
        <v>4</v>
      </c>
      <c r="O135" s="97">
        <f ca="1">_xll.meDateFromTenor(O134,"1D","FOLLOWING","TGT")</f>
        <v>42689</v>
      </c>
      <c r="P135" s="95">
        <f ca="1"/>
        <v>-2.5849699054976888E-4</v>
      </c>
      <c r="Q135" s="5" t="s">
        <v>4</v>
      </c>
      <c r="R135" s="83" t="s">
        <v>4</v>
      </c>
    </row>
    <row r="136" spans="1:18" x14ac:dyDescent="0.25">
      <c r="A136" s="88">
        <v>122</v>
      </c>
      <c r="B136" s="82"/>
      <c r="C136" s="97">
        <f ca="1">_xll.meDateFromTenor(C135,"1D","FOLLOWING","TGT")</f>
        <v>42690</v>
      </c>
      <c r="D136" s="95">
        <f ca="1"/>
        <v>-3.8127332716819673E-3</v>
      </c>
      <c r="E136" s="92"/>
      <c r="F136" s="97">
        <f ca="1">_xll.meDateFromTenor(F135,"1D","FOLLOWING","TGT")</f>
        <v>42690</v>
      </c>
      <c r="G136" s="95">
        <f ca="1"/>
        <v>-3.7566312321544869E-3</v>
      </c>
      <c r="H136" s="92" t="s">
        <v>4</v>
      </c>
      <c r="I136" s="97">
        <f ca="1">_xll.meDateFromTenor(I135,"1D","FOLLOWING","TGT")</f>
        <v>42690</v>
      </c>
      <c r="J136" s="95">
        <f ca="1"/>
        <v>-2.9042541208272E-3</v>
      </c>
      <c r="K136" s="5" t="s">
        <v>4</v>
      </c>
      <c r="L136" s="97">
        <f ca="1">_xll.meDateFromTenor(L135,"1D","FOLLOWING","TGT")</f>
        <v>42690</v>
      </c>
      <c r="M136" s="95">
        <f ca="1"/>
        <v>-1.6636930876892976E-3</v>
      </c>
      <c r="N136" s="5" t="s">
        <v>4</v>
      </c>
      <c r="O136" s="97">
        <f ca="1">_xll.meDateFromTenor(O135,"1D","FOLLOWING","TGT")</f>
        <v>42690</v>
      </c>
      <c r="P136" s="95">
        <f ca="1"/>
        <v>-2.588708043322453E-4</v>
      </c>
      <c r="Q136" s="5" t="s">
        <v>4</v>
      </c>
      <c r="R136" s="83" t="s">
        <v>4</v>
      </c>
    </row>
    <row r="137" spans="1:18" x14ac:dyDescent="0.25">
      <c r="A137" s="88">
        <v>123</v>
      </c>
      <c r="B137" s="82"/>
      <c r="C137" s="97">
        <f ca="1">_xll.meDateFromTenor(C136,"1D","FOLLOWING","TGT")</f>
        <v>42691</v>
      </c>
      <c r="D137" s="95">
        <f ca="1"/>
        <v>-3.8127332717616813E-3</v>
      </c>
      <c r="E137" s="92"/>
      <c r="F137" s="97">
        <f ca="1">_xll.meDateFromTenor(F136,"1D","FOLLOWING","TGT")</f>
        <v>42691</v>
      </c>
      <c r="G137" s="95">
        <f ca="1"/>
        <v>-3.7581759429584256E-3</v>
      </c>
      <c r="H137" s="92" t="s">
        <v>4</v>
      </c>
      <c r="I137" s="97">
        <f ca="1">_xll.meDateFromTenor(I136,"1D","FOLLOWING","TGT")</f>
        <v>42691</v>
      </c>
      <c r="J137" s="95">
        <f ca="1"/>
        <v>-2.9057794685046685E-3</v>
      </c>
      <c r="K137" s="5" t="s">
        <v>4</v>
      </c>
      <c r="L137" s="97">
        <f ca="1">_xll.meDateFromTenor(L136,"1D","FOLLOWING","TGT")</f>
        <v>42691</v>
      </c>
      <c r="M137" s="95">
        <f ca="1"/>
        <v>-1.6643718400738863E-3</v>
      </c>
      <c r="N137" s="5" t="s">
        <v>4</v>
      </c>
      <c r="O137" s="97">
        <f ca="1">_xll.meDateFromTenor(O136,"1D","FOLLOWING","TGT")</f>
        <v>42691</v>
      </c>
      <c r="P137" s="95">
        <f ca="1"/>
        <v>-2.5923957698406266E-4</v>
      </c>
      <c r="Q137" s="5" t="s">
        <v>4</v>
      </c>
      <c r="R137" s="83" t="s">
        <v>4</v>
      </c>
    </row>
    <row r="138" spans="1:18" x14ac:dyDescent="0.25">
      <c r="A138" s="88">
        <v>124</v>
      </c>
      <c r="B138" s="82"/>
      <c r="C138" s="97">
        <f ca="1">_xll.meDateFromTenor(C137,"1D","FOLLOWING","TGT")</f>
        <v>42692</v>
      </c>
      <c r="D138" s="95">
        <f ca="1"/>
        <v>-3.8127679857148378E-3</v>
      </c>
      <c r="E138" s="92"/>
      <c r="F138" s="97">
        <f ca="1">_xll.meDateFromTenor(F137,"1D","FOLLOWING","TGT")</f>
        <v>42692</v>
      </c>
      <c r="G138" s="95">
        <f ca="1"/>
        <v>-3.7597280230917468E-3</v>
      </c>
      <c r="H138" s="92" t="s">
        <v>4</v>
      </c>
      <c r="I138" s="97">
        <f ca="1">_xll.meDateFromTenor(I137,"1D","FOLLOWING","TGT")</f>
        <v>42692</v>
      </c>
      <c r="J138" s="95">
        <f ca="1"/>
        <v>-2.9071925408885638E-3</v>
      </c>
      <c r="K138" s="5" t="s">
        <v>4</v>
      </c>
      <c r="L138" s="97">
        <f ca="1">_xll.meDateFromTenor(L137,"1D","FOLLOWING","TGT")</f>
        <v>42692</v>
      </c>
      <c r="M138" s="95">
        <f ca="1"/>
        <v>-1.6650469117505378E-3</v>
      </c>
      <c r="N138" s="5" t="s">
        <v>4</v>
      </c>
      <c r="O138" s="97">
        <f ca="1">_xll.meDateFromTenor(O137,"1D","FOLLOWING","TGT")</f>
        <v>42692</v>
      </c>
      <c r="P138" s="95">
        <f ca="1"/>
        <v>-2.596032783188098E-4</v>
      </c>
      <c r="Q138" s="5" t="s">
        <v>4</v>
      </c>
      <c r="R138" s="83" t="s">
        <v>4</v>
      </c>
    </row>
    <row r="139" spans="1:18" x14ac:dyDescent="0.25">
      <c r="A139" s="88">
        <v>125</v>
      </c>
      <c r="B139" s="82"/>
      <c r="C139" s="97">
        <f ca="1">_xll.meDateFromTenor(C138,"1D","FOLLOWING","TGT")</f>
        <v>42695</v>
      </c>
      <c r="D139" s="95">
        <f ca="1"/>
        <v>-3.8127332716422213E-3</v>
      </c>
      <c r="E139" s="92"/>
      <c r="F139" s="97">
        <f ca="1">_xll.meDateFromTenor(F138,"1D","FOLLOWING","TGT")</f>
        <v>42695</v>
      </c>
      <c r="G139" s="95">
        <f ca="1"/>
        <v>-3.7644368090803911E-3</v>
      </c>
      <c r="H139" s="92" t="s">
        <v>4</v>
      </c>
      <c r="I139" s="97">
        <f ca="1">_xll.meDateFromTenor(I138,"1D","FOLLOWING","TGT")</f>
        <v>42695</v>
      </c>
      <c r="J139" s="95">
        <f ca="1"/>
        <v>-2.9116021772924395E-3</v>
      </c>
      <c r="K139" s="5" t="s">
        <v>4</v>
      </c>
      <c r="L139" s="97">
        <f ca="1">_xll.meDateFromTenor(L138,"1D","FOLLOWING","TGT")</f>
        <v>42695</v>
      </c>
      <c r="M139" s="95">
        <f ca="1"/>
        <v>-1.6670497707147428E-3</v>
      </c>
      <c r="N139" s="5" t="s">
        <v>4</v>
      </c>
      <c r="O139" s="97">
        <f ca="1">_xll.meDateFromTenor(O138,"1D","FOLLOWING","TGT")</f>
        <v>42695</v>
      </c>
      <c r="P139" s="95">
        <f ca="1"/>
        <v>-2.6066365255651859E-4</v>
      </c>
      <c r="Q139" s="5" t="s">
        <v>4</v>
      </c>
      <c r="R139" s="83" t="s">
        <v>4</v>
      </c>
    </row>
    <row r="140" spans="1:18" x14ac:dyDescent="0.25">
      <c r="A140" s="88">
        <v>126</v>
      </c>
      <c r="B140" s="82"/>
      <c r="C140" s="97">
        <f ca="1">_xll.meDateFromTenor(C139,"1D","FOLLOWING","TGT")</f>
        <v>42696</v>
      </c>
      <c r="D140" s="95">
        <f ca="1"/>
        <v>-3.8127332717218243E-3</v>
      </c>
      <c r="E140" s="92"/>
      <c r="F140" s="97">
        <f ca="1">_xll.meDateFromTenor(F139,"1D","FOLLOWING","TGT")</f>
        <v>42696</v>
      </c>
      <c r="G140" s="95">
        <f ca="1"/>
        <v>-3.7660266961436306E-3</v>
      </c>
      <c r="H140" s="92" t="s">
        <v>4</v>
      </c>
      <c r="I140" s="97">
        <f ca="1">_xll.meDateFromTenor(I139,"1D","FOLLOWING","TGT")</f>
        <v>42696</v>
      </c>
      <c r="J140" s="95">
        <f ca="1"/>
        <v>-2.9130693810112914E-3</v>
      </c>
      <c r="K140" s="5" t="s">
        <v>4</v>
      </c>
      <c r="L140" s="97">
        <f ca="1">_xll.meDateFromTenor(L139,"1D","FOLLOWING","TGT")</f>
        <v>42696</v>
      </c>
      <c r="M140" s="95">
        <f ca="1"/>
        <v>-1.6677098477415186E-3</v>
      </c>
      <c r="N140" s="5" t="s">
        <v>4</v>
      </c>
      <c r="O140" s="97">
        <f ca="1">_xll.meDateFromTenor(O139,"1D","FOLLOWING","TGT")</f>
        <v>42696</v>
      </c>
      <c r="P140" s="95">
        <f ca="1"/>
        <v>-2.610067667588735E-4</v>
      </c>
      <c r="Q140" s="5" t="s">
        <v>4</v>
      </c>
      <c r="R140" s="83" t="s">
        <v>4</v>
      </c>
    </row>
    <row r="141" spans="1:18" x14ac:dyDescent="0.25">
      <c r="A141" s="88">
        <v>127</v>
      </c>
      <c r="B141" s="82"/>
      <c r="C141" s="97">
        <f ca="1">_xll.meDateFromTenor(C140,"1D","FOLLOWING","TGT")</f>
        <v>42697</v>
      </c>
      <c r="D141" s="95">
        <f ca="1"/>
        <v>-3.8127332716819673E-3</v>
      </c>
      <c r="E141" s="92"/>
      <c r="F141" s="97">
        <f ca="1">_xll.meDateFromTenor(F140,"1D","FOLLOWING","TGT")</f>
        <v>42697</v>
      </c>
      <c r="G141" s="95">
        <f ca="1"/>
        <v>-3.7676281173424481E-3</v>
      </c>
      <c r="H141" s="92" t="s">
        <v>4</v>
      </c>
      <c r="I141" s="97">
        <f ca="1">_xll.meDateFromTenor(I140,"1D","FOLLOWING","TGT")</f>
        <v>42697</v>
      </c>
      <c r="J141" s="95">
        <f ca="1"/>
        <v>-2.9145451017843077E-3</v>
      </c>
      <c r="K141" s="5" t="s">
        <v>4</v>
      </c>
      <c r="L141" s="97">
        <f ca="1">_xll.meDateFromTenor(L140,"1D","FOLLOWING","TGT")</f>
        <v>42697</v>
      </c>
      <c r="M141" s="95">
        <f ca="1"/>
        <v>-1.6683661081512929E-3</v>
      </c>
      <c r="N141" s="5" t="s">
        <v>4</v>
      </c>
      <c r="O141" s="97">
        <f ca="1">_xll.meDateFromTenor(O140,"1D","FOLLOWING","TGT")</f>
        <v>42697</v>
      </c>
      <c r="P141" s="95">
        <f ca="1"/>
        <v>-2.6134465871210255E-4</v>
      </c>
      <c r="Q141" s="5" t="s">
        <v>4</v>
      </c>
      <c r="R141" s="83" t="s">
        <v>4</v>
      </c>
    </row>
    <row r="142" spans="1:18" x14ac:dyDescent="0.25">
      <c r="A142" s="88">
        <v>128</v>
      </c>
      <c r="B142" s="82"/>
      <c r="C142" s="97">
        <f ca="1">_xll.meDateFromTenor(C141,"1D","FOLLOWING","TGT")</f>
        <v>42698</v>
      </c>
      <c r="D142" s="95">
        <f ca="1"/>
        <v>-3.8127332717615703E-3</v>
      </c>
      <c r="E142" s="92"/>
      <c r="F142" s="97">
        <f ca="1">_xll.meDateFromTenor(F141,"1D","FOLLOWING","TGT")</f>
        <v>42698</v>
      </c>
      <c r="G142" s="95">
        <f ca="1"/>
        <v>-3.7692419056380815E-3</v>
      </c>
      <c r="H142" s="92" t="s">
        <v>4</v>
      </c>
      <c r="I142" s="97">
        <f ca="1">_xll.meDateFromTenor(I141,"1D","FOLLOWING","TGT")</f>
        <v>42698</v>
      </c>
      <c r="J142" s="95">
        <f ca="1"/>
        <v>-2.9160078010726552E-3</v>
      </c>
      <c r="K142" s="5" t="s">
        <v>4</v>
      </c>
      <c r="L142" s="97">
        <f ca="1">_xll.meDateFromTenor(L141,"1D","FOLLOWING","TGT")</f>
        <v>42698</v>
      </c>
      <c r="M142" s="95">
        <f ca="1"/>
        <v>-1.6690185247622532E-3</v>
      </c>
      <c r="N142" s="5" t="s">
        <v>4</v>
      </c>
      <c r="O142" s="97">
        <f ca="1">_xll.meDateFromTenor(O141,"1D","FOLLOWING","TGT")</f>
        <v>42698</v>
      </c>
      <c r="P142" s="95">
        <f ca="1"/>
        <v>-2.6167729822979457E-4</v>
      </c>
      <c r="Q142" s="5" t="s">
        <v>4</v>
      </c>
      <c r="R142" s="83" t="s">
        <v>4</v>
      </c>
    </row>
    <row r="143" spans="1:18" x14ac:dyDescent="0.25">
      <c r="A143" s="88">
        <v>129</v>
      </c>
      <c r="B143" s="82"/>
      <c r="C143" s="97">
        <f ca="1">_xll.meDateFromTenor(C142,"1D","FOLLOWING","TGT")</f>
        <v>42699</v>
      </c>
      <c r="D143" s="95">
        <f ca="1"/>
        <v>-3.8127679780701751E-3</v>
      </c>
      <c r="E143" s="92"/>
      <c r="F143" s="97">
        <f ca="1">_xll.meDateFromTenor(F142,"1D","FOLLOWING","TGT")</f>
        <v>42699</v>
      </c>
      <c r="G143" s="95">
        <f ca="1"/>
        <v>-3.7708688939917718E-3</v>
      </c>
      <c r="H143" s="92" t="s">
        <v>4</v>
      </c>
      <c r="I143" s="97">
        <f ca="1">_xll.meDateFromTenor(I142,"1D","FOLLOWING","TGT")</f>
        <v>42699</v>
      </c>
      <c r="J143" s="95">
        <f ca="1"/>
        <v>-2.9174489618221701E-3</v>
      </c>
      <c r="K143" s="5" t="s">
        <v>4</v>
      </c>
      <c r="L143" s="97">
        <f ca="1">_xll.meDateFromTenor(L142,"1D","FOLLOWING","TGT")</f>
        <v>42699</v>
      </c>
      <c r="M143" s="95">
        <f ca="1"/>
        <v>-1.6696670703925868E-3</v>
      </c>
      <c r="N143" s="5" t="s">
        <v>4</v>
      </c>
      <c r="O143" s="97">
        <f ca="1">_xll.meDateFromTenor(O142,"1D","FOLLOWING","TGT")</f>
        <v>42699</v>
      </c>
      <c r="P143" s="95">
        <f ca="1"/>
        <v>-2.6200465512553843E-4</v>
      </c>
      <c r="Q143" s="5" t="s">
        <v>4</v>
      </c>
      <c r="R143" s="83" t="s">
        <v>4</v>
      </c>
    </row>
    <row r="144" spans="1:18" x14ac:dyDescent="0.25">
      <c r="A144" s="88">
        <v>130</v>
      </c>
      <c r="B144" s="82"/>
      <c r="C144" s="97">
        <f ca="1">_xll.meDateFromTenor(C143,"1D","FOLLOWING","TGT")</f>
        <v>42702</v>
      </c>
      <c r="D144" s="95">
        <f ca="1"/>
        <v>-3.8127332717616813E-3</v>
      </c>
      <c r="E144" s="92"/>
      <c r="F144" s="97">
        <f ca="1">_xll.meDateFromTenor(F143,"1D","FOLLOWING","TGT")</f>
        <v>42702</v>
      </c>
      <c r="G144" s="95">
        <f ca="1"/>
        <v>-3.7758373890135711E-3</v>
      </c>
      <c r="H144" s="92" t="s">
        <v>4</v>
      </c>
      <c r="I144" s="97">
        <f ca="1">_xll.meDateFromTenor(I143,"1D","FOLLOWING","TGT")</f>
        <v>42702</v>
      </c>
      <c r="J144" s="95">
        <f ca="1"/>
        <v>-2.9218846411953828E-3</v>
      </c>
      <c r="K144" s="5" t="s">
        <v>4</v>
      </c>
      <c r="L144" s="97">
        <f ca="1">_xll.meDateFromTenor(L143,"1D","FOLLOWING","TGT")</f>
        <v>42702</v>
      </c>
      <c r="M144" s="95">
        <f ca="1"/>
        <v>-1.6715892095816979E-3</v>
      </c>
      <c r="N144" s="5" t="s">
        <v>4</v>
      </c>
      <c r="O144" s="97">
        <f ca="1">_xll.meDateFromTenor(O143,"1D","FOLLOWING","TGT")</f>
        <v>42702</v>
      </c>
      <c r="P144" s="95">
        <f ca="1"/>
        <v>-2.6295472821696983E-4</v>
      </c>
      <c r="Q144" s="5" t="s">
        <v>4</v>
      </c>
      <c r="R144" s="83" t="s">
        <v>4</v>
      </c>
    </row>
    <row r="145" spans="1:18" x14ac:dyDescent="0.25">
      <c r="A145" s="88">
        <v>131</v>
      </c>
      <c r="B145" s="82"/>
      <c r="C145" s="97">
        <f ca="1">_xll.meDateFromTenor(C144,"1D","FOLLOWING","TGT")</f>
        <v>42703</v>
      </c>
      <c r="D145" s="95">
        <f ca="1"/>
        <v>-3.8127332716819673E-3</v>
      </c>
      <c r="E145" s="92"/>
      <c r="F145" s="97">
        <f ca="1">_xll.meDateFromTenor(F144,"1D","FOLLOWING","TGT")</f>
        <v>42703</v>
      </c>
      <c r="G145" s="95">
        <f ca="1"/>
        <v>-3.777525507211877E-3</v>
      </c>
      <c r="H145" s="92" t="s">
        <v>4</v>
      </c>
      <c r="I145" s="97">
        <f ca="1">_xll.meDateFromTenor(I144,"1D","FOLLOWING","TGT")</f>
        <v>42703</v>
      </c>
      <c r="J145" s="95">
        <f ca="1"/>
        <v>-2.9229591549779013E-3</v>
      </c>
      <c r="K145" s="5" t="s">
        <v>4</v>
      </c>
      <c r="L145" s="97">
        <f ca="1">_xll.meDateFromTenor(L144,"1D","FOLLOWING","TGT")</f>
        <v>42703</v>
      </c>
      <c r="M145" s="95">
        <f ca="1"/>
        <v>-1.6722219994713956E-3</v>
      </c>
      <c r="N145" s="5" t="s">
        <v>4</v>
      </c>
      <c r="O145" s="97">
        <f ca="1">_xll.meDateFromTenor(O144,"1D","FOLLOWING","TGT")</f>
        <v>42703</v>
      </c>
      <c r="P145" s="95">
        <f ca="1"/>
        <v>-2.6326065276080978E-4</v>
      </c>
      <c r="Q145" s="5" t="s">
        <v>4</v>
      </c>
      <c r="R145" s="83" t="s">
        <v>4</v>
      </c>
    </row>
    <row r="146" spans="1:18" x14ac:dyDescent="0.25">
      <c r="A146" s="88">
        <v>132</v>
      </c>
      <c r="B146" s="82"/>
      <c r="C146" s="97">
        <f ca="1">_xll.meDateFromTenor(C145,"1D","FOLLOWING","TGT")</f>
        <v>42704</v>
      </c>
      <c r="D146" s="95">
        <f ca="1"/>
        <v>-3.8127332716819673E-3</v>
      </c>
      <c r="E146" s="92"/>
      <c r="F146" s="97">
        <f ca="1">_xll.meDateFromTenor(F145,"1D","FOLLOWING","TGT")</f>
        <v>42704</v>
      </c>
      <c r="G146" s="95">
        <f ca="1"/>
        <v>-3.779230990274436E-3</v>
      </c>
      <c r="H146" s="92" t="s">
        <v>4</v>
      </c>
      <c r="I146" s="97">
        <f ca="1">_xll.meDateFromTenor(I145,"1D","FOLLOWING","TGT")</f>
        <v>42704</v>
      </c>
      <c r="J146" s="95">
        <f ca="1"/>
        <v>-2.9248230612567466E-3</v>
      </c>
      <c r="K146" s="5" t="s">
        <v>4</v>
      </c>
      <c r="L146" s="97">
        <f ca="1">_xll.meDateFromTenor(L145,"1D","FOLLOWING","TGT")</f>
        <v>42704</v>
      </c>
      <c r="M146" s="95">
        <f ca="1"/>
        <v>-1.6728507824714022E-3</v>
      </c>
      <c r="N146" s="5" t="s">
        <v>4</v>
      </c>
      <c r="O146" s="97">
        <f ca="1">_xll.meDateFromTenor(O145,"1D","FOLLOWING","TGT")</f>
        <v>42704</v>
      </c>
      <c r="P146" s="95">
        <f ca="1"/>
        <v>-2.6356114375064593E-4</v>
      </c>
      <c r="Q146" s="5" t="s">
        <v>4</v>
      </c>
      <c r="R146" s="83" t="s">
        <v>4</v>
      </c>
    </row>
    <row r="147" spans="1:18" x14ac:dyDescent="0.25">
      <c r="A147" s="88">
        <v>133</v>
      </c>
      <c r="B147" s="82"/>
      <c r="C147" s="97">
        <f ca="1">_xll.meDateFromTenor(C146,"1D","FOLLOWING","TGT")</f>
        <v>42705</v>
      </c>
      <c r="D147" s="95">
        <f ca="1"/>
        <v>-3.8127332717218243E-3</v>
      </c>
      <c r="E147" s="92"/>
      <c r="F147" s="97">
        <f ca="1">_xll.meDateFromTenor(F146,"1D","FOLLOWING","TGT")</f>
        <v>42705</v>
      </c>
      <c r="G147" s="95">
        <f ca="1"/>
        <v>-3.7809546711624854E-3</v>
      </c>
      <c r="H147" s="92" t="s">
        <v>4</v>
      </c>
      <c r="I147" s="97">
        <f ca="1">_xll.meDateFromTenor(I146,"1D","FOLLOWING","TGT")</f>
        <v>42705</v>
      </c>
      <c r="J147" s="95">
        <f ca="1"/>
        <v>-2.9281526295171509E-3</v>
      </c>
      <c r="K147" s="5" t="s">
        <v>4</v>
      </c>
      <c r="L147" s="97">
        <f ca="1">_xll.meDateFromTenor(L146,"1D","FOLLOWING","TGT")</f>
        <v>42705</v>
      </c>
      <c r="M147" s="95">
        <f ca="1"/>
        <v>-1.673475531399905E-3</v>
      </c>
      <c r="N147" s="5" t="s">
        <v>4</v>
      </c>
      <c r="O147" s="97">
        <f ca="1">_xll.meDateFromTenor(O146,"1D","FOLLOWING","TGT")</f>
        <v>42705</v>
      </c>
      <c r="P147" s="95">
        <f ca="1"/>
        <v>-2.6385617100006711E-4</v>
      </c>
      <c r="Q147" s="5" t="s">
        <v>4</v>
      </c>
      <c r="R147" s="83" t="s">
        <v>4</v>
      </c>
    </row>
    <row r="148" spans="1:18" x14ac:dyDescent="0.25">
      <c r="A148" s="88">
        <v>134</v>
      </c>
      <c r="B148" s="82"/>
      <c r="C148" s="97">
        <f ca="1">_xll.meDateFromTenor(C147,"1D","FOLLOWING","TGT")</f>
        <v>42706</v>
      </c>
      <c r="D148" s="95">
        <f ca="1"/>
        <v>-3.8127752454968356E-3</v>
      </c>
      <c r="E148" s="92"/>
      <c r="F148" s="97">
        <f ca="1">_xll.meDateFromTenor(F147,"1D","FOLLOWING","TGT")</f>
        <v>42706</v>
      </c>
      <c r="G148" s="95">
        <f ca="1"/>
        <v>-3.7826973828372652E-3</v>
      </c>
      <c r="H148" s="92" t="s">
        <v>4</v>
      </c>
      <c r="I148" s="97">
        <f ca="1">_xll.meDateFromTenor(I147,"1D","FOLLOWING","TGT")</f>
        <v>42706</v>
      </c>
      <c r="J148" s="95">
        <f ca="1"/>
        <v>-2.9308595582733261E-3</v>
      </c>
      <c r="K148" s="5" t="s">
        <v>4</v>
      </c>
      <c r="L148" s="97">
        <f ca="1">_xll.meDateFromTenor(L147,"1D","FOLLOWING","TGT")</f>
        <v>42706</v>
      </c>
      <c r="M148" s="95">
        <f ca="1"/>
        <v>-1.6740962190750907E-3</v>
      </c>
      <c r="N148" s="5" t="s">
        <v>4</v>
      </c>
      <c r="O148" s="97">
        <f ca="1">_xll.meDateFromTenor(O147,"1D","FOLLOWING","TGT")</f>
        <v>42706</v>
      </c>
      <c r="P148" s="95">
        <f ca="1"/>
        <v>-2.6414570432266229E-4</v>
      </c>
      <c r="Q148" s="5" t="s">
        <v>4</v>
      </c>
      <c r="R148" s="83" t="s">
        <v>4</v>
      </c>
    </row>
    <row r="149" spans="1:18" x14ac:dyDescent="0.25">
      <c r="A149" s="88">
        <v>135</v>
      </c>
      <c r="B149" s="82"/>
      <c r="C149" s="97">
        <f ca="1">_xll.meDateFromTenor(C148,"1D","FOLLOWING","TGT")</f>
        <v>42709</v>
      </c>
      <c r="D149" s="95">
        <f ca="1"/>
        <v>-3.8127332716023643E-3</v>
      </c>
      <c r="E149" s="92"/>
      <c r="F149" s="97">
        <f ca="1">_xll.meDateFromTenor(F148,"1D","FOLLOWING","TGT")</f>
        <v>42709</v>
      </c>
      <c r="G149" s="95">
        <f ca="1"/>
        <v>-3.78803702106009E-3</v>
      </c>
      <c r="H149" s="92" t="s">
        <v>4</v>
      </c>
      <c r="I149" s="97">
        <f ca="1">_xll.meDateFromTenor(I148,"1D","FOLLOWING","TGT")</f>
        <v>42709</v>
      </c>
      <c r="J149" s="95">
        <f ca="1"/>
        <v>-2.9317747861246097E-3</v>
      </c>
      <c r="K149" s="5" t="s">
        <v>4</v>
      </c>
      <c r="L149" s="97">
        <f ca="1">_xll.meDateFromTenor(L148,"1D","FOLLOWING","TGT")</f>
        <v>42709</v>
      </c>
      <c r="M149" s="95">
        <f ca="1"/>
        <v>-1.675935573093805E-3</v>
      </c>
      <c r="N149" s="5" t="s">
        <v>4</v>
      </c>
      <c r="O149" s="97">
        <f ca="1">_xll.meDateFromTenor(O148,"1D","FOLLOWING","TGT")</f>
        <v>42709</v>
      </c>
      <c r="P149" s="95">
        <f ca="1"/>
        <v>-2.6498103886537984E-4</v>
      </c>
      <c r="Q149" s="5" t="s">
        <v>4</v>
      </c>
      <c r="R149" s="83" t="s">
        <v>4</v>
      </c>
    </row>
    <row r="150" spans="1:18" x14ac:dyDescent="0.25">
      <c r="A150" s="88">
        <v>136</v>
      </c>
      <c r="B150" s="82"/>
      <c r="C150" s="97">
        <f ca="1">_xll.meDateFromTenor(C149,"1D","FOLLOWING","TGT")</f>
        <v>42710</v>
      </c>
      <c r="D150" s="95">
        <f ca="1"/>
        <v>-3.8127332717218243E-3</v>
      </c>
      <c r="E150" s="92"/>
      <c r="F150" s="97">
        <f ca="1">_xll.meDateFromTenor(F149,"1D","FOLLOWING","TGT")</f>
        <v>42710</v>
      </c>
      <c r="G150" s="95">
        <f ca="1"/>
        <v>-3.7898490961620107E-3</v>
      </c>
      <c r="H150" s="92" t="s">
        <v>4</v>
      </c>
      <c r="I150" s="97">
        <f ca="1">_xll.meDateFromTenor(I149,"1D","FOLLOWING","TGT")</f>
        <v>42710</v>
      </c>
      <c r="J150" s="95">
        <f ca="1"/>
        <v>-2.9336383214408381E-3</v>
      </c>
      <c r="K150" s="5" t="s">
        <v>4</v>
      </c>
      <c r="L150" s="97">
        <f ca="1">_xll.meDateFromTenor(L149,"1D","FOLLOWING","TGT")</f>
        <v>42710</v>
      </c>
      <c r="M150" s="95">
        <f ca="1"/>
        <v>-1.6765413725236863E-3</v>
      </c>
      <c r="N150" s="5" t="s">
        <v>4</v>
      </c>
      <c r="O150" s="97">
        <f ca="1">_xll.meDateFromTenor(O149,"1D","FOLLOWING","TGT")</f>
        <v>42710</v>
      </c>
      <c r="P150" s="95">
        <f ca="1"/>
        <v>-2.6524829461655933E-4</v>
      </c>
      <c r="Q150" s="5" t="s">
        <v>4</v>
      </c>
      <c r="R150" s="83" t="s">
        <v>4</v>
      </c>
    </row>
    <row r="151" spans="1:18" x14ac:dyDescent="0.25">
      <c r="A151" s="88">
        <v>137</v>
      </c>
      <c r="B151" s="82"/>
      <c r="C151" s="97">
        <f ca="1">_xll.meDateFromTenor(C150,"1D","FOLLOWING","TGT")</f>
        <v>42711</v>
      </c>
      <c r="D151" s="95">
        <f ca="1"/>
        <v>-3.8127332716422213E-3</v>
      </c>
      <c r="E151" s="92"/>
      <c r="F151" s="97">
        <f ca="1">_xll.meDateFromTenor(F150,"1D","FOLLOWING","TGT")</f>
        <v>42711</v>
      </c>
      <c r="G151" s="95">
        <f ca="1"/>
        <v>-3.7916745791819347E-3</v>
      </c>
      <c r="H151" s="92" t="s">
        <v>4</v>
      </c>
      <c r="I151" s="97">
        <f ca="1">_xll.meDateFromTenor(I150,"1D","FOLLOWING","TGT")</f>
        <v>42711</v>
      </c>
      <c r="J151" s="95">
        <f ca="1"/>
        <v>-2.9352118576575904E-3</v>
      </c>
      <c r="K151" s="5" t="s">
        <v>4</v>
      </c>
      <c r="L151" s="97">
        <f ca="1">_xll.meDateFromTenor(L150,"1D","FOLLOWING","TGT")</f>
        <v>42711</v>
      </c>
      <c r="M151" s="95">
        <f ca="1"/>
        <v>-1.6771435468732364E-3</v>
      </c>
      <c r="N151" s="5" t="s">
        <v>4</v>
      </c>
      <c r="O151" s="97">
        <f ca="1">_xll.meDateFromTenor(O150,"1D","FOLLOWING","TGT")</f>
        <v>42711</v>
      </c>
      <c r="P151" s="95">
        <f ca="1"/>
        <v>-2.6550990550885711E-4</v>
      </c>
      <c r="Q151" s="5" t="s">
        <v>4</v>
      </c>
      <c r="R151" s="83" t="s">
        <v>4</v>
      </c>
    </row>
    <row r="152" spans="1:18" x14ac:dyDescent="0.25">
      <c r="A152" s="88">
        <v>138</v>
      </c>
      <c r="B152" s="82"/>
      <c r="C152" s="97">
        <f ca="1">_xll.meDateFromTenor(C151,"1D","FOLLOWING","TGT")</f>
        <v>42712</v>
      </c>
      <c r="D152" s="95">
        <f ca="1"/>
        <v>-3.8151890186519655E-3</v>
      </c>
      <c r="E152" s="92"/>
      <c r="F152" s="97">
        <f ca="1">_xll.meDateFromTenor(F151,"1D","FOLLOWING","TGT")</f>
        <v>42712</v>
      </c>
      <c r="G152" s="95">
        <f ca="1"/>
        <v>-3.7935118561623691E-3</v>
      </c>
      <c r="H152" s="92" t="s">
        <v>4</v>
      </c>
      <c r="I152" s="97">
        <f ca="1">_xll.meDateFromTenor(I151,"1D","FOLLOWING","TGT")</f>
        <v>42712</v>
      </c>
      <c r="J152" s="95">
        <f ca="1"/>
        <v>-2.9365767415022019E-3</v>
      </c>
      <c r="K152" s="5" t="s">
        <v>4</v>
      </c>
      <c r="L152" s="97">
        <f ca="1">_xll.meDateFromTenor(L151,"1D","FOLLOWING","TGT")</f>
        <v>42712</v>
      </c>
      <c r="M152" s="95">
        <f ca="1"/>
        <v>-1.6777421166671645E-3</v>
      </c>
      <c r="N152" s="5" t="s">
        <v>4</v>
      </c>
      <c r="O152" s="97">
        <f ca="1">_xll.meDateFromTenor(O151,"1D","FOLLOWING","TGT")</f>
        <v>42712</v>
      </c>
      <c r="P152" s="95">
        <f ca="1"/>
        <v>-2.6576584135586199E-4</v>
      </c>
      <c r="Q152" s="5" t="s">
        <v>4</v>
      </c>
      <c r="R152" s="83" t="s">
        <v>4</v>
      </c>
    </row>
    <row r="153" spans="1:18" x14ac:dyDescent="0.25">
      <c r="A153" s="88">
        <v>139</v>
      </c>
      <c r="B153" s="82"/>
      <c r="C153" s="97">
        <f ca="1">_xll.meDateFromTenor(C152,"1D","FOLLOWING","TGT")</f>
        <v>42713</v>
      </c>
      <c r="D153" s="95">
        <f ca="1"/>
        <v>-3.8183082353843156E-3</v>
      </c>
      <c r="E153" s="92"/>
      <c r="F153" s="97">
        <f ca="1">_xll.meDateFromTenor(F152,"1D","FOLLOWING","TGT")</f>
        <v>42713</v>
      </c>
      <c r="G153" s="95">
        <f ca="1"/>
        <v>-3.7953593131458234E-3</v>
      </c>
      <c r="H153" s="92" t="s">
        <v>4</v>
      </c>
      <c r="I153" s="97">
        <f ca="1">_xll.meDateFromTenor(I152,"1D","FOLLOWING","TGT")</f>
        <v>42713</v>
      </c>
      <c r="J153" s="95">
        <f ca="1"/>
        <v>-2.9380229720741479E-3</v>
      </c>
      <c r="K153" s="5" t="s">
        <v>4</v>
      </c>
      <c r="L153" s="97">
        <f ca="1">_xll.meDateFromTenor(L152,"1D","FOLLOWING","TGT")</f>
        <v>42713</v>
      </c>
      <c r="M153" s="95">
        <f ca="1"/>
        <v>-1.6783371024301789E-3</v>
      </c>
      <c r="N153" s="5" t="s">
        <v>4</v>
      </c>
      <c r="O153" s="97">
        <f ca="1">_xll.meDateFromTenor(O152,"1D","FOLLOWING","TGT")</f>
        <v>42713</v>
      </c>
      <c r="P153" s="95">
        <f ca="1"/>
        <v>-2.6601607197116291E-4</v>
      </c>
      <c r="Q153" s="5" t="s">
        <v>4</v>
      </c>
      <c r="R153" s="83" t="s">
        <v>4</v>
      </c>
    </row>
    <row r="154" spans="1:18" x14ac:dyDescent="0.25">
      <c r="A154" s="88">
        <v>140</v>
      </c>
      <c r="B154" s="82"/>
      <c r="C154" s="97">
        <f ca="1">_xll.meDateFromTenor(C153,"1D","FOLLOWING","TGT")</f>
        <v>42716</v>
      </c>
      <c r="D154" s="95">
        <f ca="1"/>
        <v>-3.8276785122324242E-3</v>
      </c>
      <c r="E154" s="92"/>
      <c r="F154" s="97">
        <f ca="1">_xll.meDateFromTenor(F153,"1D","FOLLOWING","TGT")</f>
        <v>42716</v>
      </c>
      <c r="G154" s="95">
        <f ca="1"/>
        <v>-3.8009466245393919E-3</v>
      </c>
      <c r="H154" s="92" t="s">
        <v>4</v>
      </c>
      <c r="I154" s="97">
        <f ca="1">_xll.meDateFromTenor(I153,"1D","FOLLOWING","TGT")</f>
        <v>42716</v>
      </c>
      <c r="J154" s="95">
        <f ca="1"/>
        <v>-2.9424535816249295E-3</v>
      </c>
      <c r="K154" s="5" t="s">
        <v>4</v>
      </c>
      <c r="L154" s="97">
        <f ca="1">_xll.meDateFromTenor(L153,"1D","FOLLOWING","TGT")</f>
        <v>42716</v>
      </c>
      <c r="M154" s="95">
        <f ca="1"/>
        <v>-1.6801007607808267E-3</v>
      </c>
      <c r="N154" s="5" t="s">
        <v>4</v>
      </c>
      <c r="O154" s="97">
        <f ca="1">_xll.meDateFromTenor(O153,"1D","FOLLOWING","TGT")</f>
        <v>42716</v>
      </c>
      <c r="P154" s="95">
        <f ca="1"/>
        <v>-2.6673223056273031E-4</v>
      </c>
      <c r="Q154" s="5" t="s">
        <v>4</v>
      </c>
      <c r="R154" s="83" t="s">
        <v>4</v>
      </c>
    </row>
    <row r="155" spans="1:18" x14ac:dyDescent="0.25">
      <c r="A155" s="88">
        <v>141</v>
      </c>
      <c r="B155" s="82"/>
      <c r="C155" s="97">
        <f ca="1">_xll.meDateFromTenor(C154,"1D","FOLLOWING","TGT")</f>
        <v>42717</v>
      </c>
      <c r="D155" s="95">
        <f ca="1"/>
        <v>-3.8308050629320967E-3</v>
      </c>
      <c r="E155" s="92"/>
      <c r="F155" s="97">
        <f ca="1">_xll.meDateFromTenor(F154,"1D","FOLLOWING","TGT")</f>
        <v>42717</v>
      </c>
      <c r="G155" s="95">
        <f ca="1"/>
        <v>-3.8028186619600106E-3</v>
      </c>
      <c r="H155" s="92" t="s">
        <v>4</v>
      </c>
      <c r="I155" s="97">
        <f ca="1">_xll.meDateFromTenor(I154,"1D","FOLLOWING","TGT")</f>
        <v>42717</v>
      </c>
      <c r="J155" s="95">
        <f ca="1"/>
        <v>-2.9440322878239874E-3</v>
      </c>
      <c r="K155" s="5" t="s">
        <v>4</v>
      </c>
      <c r="L155" s="97">
        <f ca="1">_xll.meDateFromTenor(L154,"1D","FOLLOWING","TGT")</f>
        <v>42717</v>
      </c>
      <c r="M155" s="95">
        <f ca="1"/>
        <v>-1.6806816156672726E-3</v>
      </c>
      <c r="N155" s="5" t="s">
        <v>4</v>
      </c>
      <c r="O155" s="97">
        <f ca="1">_xll.meDateFromTenor(O154,"1D","FOLLOWING","TGT")</f>
        <v>42717</v>
      </c>
      <c r="P155" s="95">
        <f ca="1"/>
        <v>-2.6695933838710386E-4</v>
      </c>
      <c r="Q155" s="5" t="s">
        <v>4</v>
      </c>
      <c r="R155" s="83" t="s">
        <v>4</v>
      </c>
    </row>
    <row r="156" spans="1:18" x14ac:dyDescent="0.25">
      <c r="A156" s="88">
        <v>142</v>
      </c>
      <c r="B156" s="82"/>
      <c r="C156" s="97">
        <f ca="1">_xll.meDateFromTenor(C155,"1D","FOLLOWING","TGT")</f>
        <v>42718</v>
      </c>
      <c r="D156" s="95">
        <f ca="1"/>
        <v>-3.8339328328627076E-3</v>
      </c>
      <c r="E156" s="92"/>
      <c r="F156" s="97">
        <f ca="1">_xll.meDateFromTenor(F155,"1D","FOLLOWING","TGT")</f>
        <v>42718</v>
      </c>
      <c r="G156" s="95">
        <f ca="1"/>
        <v>-3.8046928095961914E-3</v>
      </c>
      <c r="H156" s="92" t="s">
        <v>4</v>
      </c>
      <c r="I156" s="97">
        <f ca="1">_xll.meDateFromTenor(I155,"1D","FOLLOWING","TGT")</f>
        <v>42718</v>
      </c>
      <c r="J156" s="95">
        <f ca="1"/>
        <v>-2.9456870681273772E-3</v>
      </c>
      <c r="K156" s="5" t="s">
        <v>4</v>
      </c>
      <c r="L156" s="97">
        <f ca="1">_xll.meDateFromTenor(L155,"1D","FOLLOWING","TGT")</f>
        <v>42718</v>
      </c>
      <c r="M156" s="95">
        <f ca="1"/>
        <v>-1.6812589891463483E-3</v>
      </c>
      <c r="N156" s="5" t="s">
        <v>4</v>
      </c>
      <c r="O156" s="97">
        <f ca="1">_xll.meDateFromTenor(O155,"1D","FOLLOWING","TGT")</f>
        <v>42718</v>
      </c>
      <c r="P156" s="95">
        <f ca="1"/>
        <v>-2.6718059004771777E-4</v>
      </c>
      <c r="Q156" s="5" t="s">
        <v>4</v>
      </c>
      <c r="R156" s="83" t="s">
        <v>4</v>
      </c>
    </row>
    <row r="157" spans="1:18" x14ac:dyDescent="0.25">
      <c r="A157" s="88">
        <v>143</v>
      </c>
      <c r="B157" s="82"/>
      <c r="C157" s="97">
        <f ca="1">_xll.meDateFromTenor(C156,"1D","FOLLOWING","TGT")</f>
        <v>42719</v>
      </c>
      <c r="D157" s="95">
        <f ca="1"/>
        <v>-3.8370615966587529E-3</v>
      </c>
      <c r="E157" s="92"/>
      <c r="F157" s="97">
        <f ca="1">_xll.meDateFromTenor(F156,"1D","FOLLOWING","TGT")</f>
        <v>42719</v>
      </c>
      <c r="G157" s="95">
        <f ca="1"/>
        <v>-3.8065674534904425E-3</v>
      </c>
      <c r="H157" s="92" t="s">
        <v>4</v>
      </c>
      <c r="I157" s="97">
        <f ca="1">_xll.meDateFromTenor(I156,"1D","FOLLOWING","TGT")</f>
        <v>42719</v>
      </c>
      <c r="J157" s="95">
        <f ca="1"/>
        <v>-2.9473735876152009E-3</v>
      </c>
      <c r="K157" s="5" t="s">
        <v>4</v>
      </c>
      <c r="L157" s="97">
        <f ca="1">_xll.meDateFromTenor(L156,"1D","FOLLOWING","TGT")</f>
        <v>42719</v>
      </c>
      <c r="M157" s="95">
        <f ca="1"/>
        <v>-1.6818329017427619E-3</v>
      </c>
      <c r="N157" s="5" t="s">
        <v>4</v>
      </c>
      <c r="O157" s="97">
        <f ca="1">_xll.meDateFromTenor(O156,"1D","FOLLOWING","TGT")</f>
        <v>42719</v>
      </c>
      <c r="P157" s="95">
        <f ca="1"/>
        <v>-2.6739595535816088E-4</v>
      </c>
      <c r="Q157" s="5" t="s">
        <v>4</v>
      </c>
      <c r="R157" s="83" t="s">
        <v>4</v>
      </c>
    </row>
    <row r="158" spans="1:18" x14ac:dyDescent="0.25">
      <c r="A158" s="88">
        <v>144</v>
      </c>
      <c r="B158" s="82"/>
      <c r="C158" s="97">
        <f ca="1">_xll.meDateFromTenor(C157,"1D","FOLLOWING","TGT")</f>
        <v>42720</v>
      </c>
      <c r="D158" s="95">
        <f ca="1"/>
        <v>-3.8401911901937424E-3</v>
      </c>
      <c r="E158" s="92"/>
      <c r="F158" s="97">
        <f ca="1">_xll.meDateFromTenor(F157,"1D","FOLLOWING","TGT")</f>
        <v>42720</v>
      </c>
      <c r="G158" s="95">
        <f ca="1"/>
        <v>-3.8084409796852715E-3</v>
      </c>
      <c r="H158" s="92" t="s">
        <v>4</v>
      </c>
      <c r="I158" s="97">
        <f ca="1">_xll.meDateFromTenor(I157,"1D","FOLLOWING","TGT")</f>
        <v>42720</v>
      </c>
      <c r="J158" s="95">
        <f ca="1"/>
        <v>-2.9490475113675648E-3</v>
      </c>
      <c r="K158" s="5" t="s">
        <v>4</v>
      </c>
      <c r="L158" s="97">
        <f ca="1">_xll.meDateFromTenor(L157,"1D","FOLLOWING","TGT")</f>
        <v>42720</v>
      </c>
      <c r="M158" s="95">
        <f ca="1"/>
        <v>-1.6824033739812221E-3</v>
      </c>
      <c r="N158" s="5" t="s">
        <v>4</v>
      </c>
      <c r="O158" s="97">
        <f ca="1">_xll.meDateFromTenor(O157,"1D","FOLLOWING","TGT")</f>
        <v>42720</v>
      </c>
      <c r="P158" s="95">
        <f ca="1"/>
        <v>-2.6760540413202209E-4</v>
      </c>
      <c r="Q158" s="5" t="s">
        <v>4</v>
      </c>
      <c r="R158" s="83" t="s">
        <v>4</v>
      </c>
    </row>
    <row r="159" spans="1:18" x14ac:dyDescent="0.25">
      <c r="A159" s="88">
        <v>145</v>
      </c>
      <c r="B159" s="82"/>
      <c r="C159" s="97">
        <f ca="1">_xll.meDateFromTenor(C158,"1D","FOLLOWING","TGT")</f>
        <v>42723</v>
      </c>
      <c r="D159" s="95">
        <f ca="1"/>
        <v>-3.8495820734646413E-3</v>
      </c>
      <c r="E159" s="92"/>
      <c r="F159" s="97">
        <f ca="1">_xll.meDateFromTenor(F158,"1D","FOLLOWING","TGT")</f>
        <v>42723</v>
      </c>
      <c r="G159" s="95">
        <f ca="1"/>
        <v>-3.8140387124983169E-3</v>
      </c>
      <c r="H159" s="92" t="s">
        <v>4</v>
      </c>
      <c r="I159" s="97">
        <f ca="1">_xll.meDateFromTenor(I158,"1D","FOLLOWING","TGT")</f>
        <v>42723</v>
      </c>
      <c r="J159" s="95">
        <f ca="1"/>
        <v>-2.9535503590129154E-3</v>
      </c>
      <c r="K159" s="5" t="s">
        <v>4</v>
      </c>
      <c r="L159" s="97">
        <f ca="1">_xll.meDateFromTenor(L158,"1D","FOLLOWING","TGT")</f>
        <v>42723</v>
      </c>
      <c r="M159" s="95">
        <f ca="1"/>
        <v>-1.6840943537959692E-3</v>
      </c>
      <c r="N159" s="5" t="s">
        <v>4</v>
      </c>
      <c r="O159" s="97">
        <f ca="1">_xll.meDateFromTenor(O158,"1D","FOLLOWING","TGT")</f>
        <v>42723</v>
      </c>
      <c r="P159" s="95">
        <f ca="1"/>
        <v>-2.6819794937000272E-4</v>
      </c>
      <c r="Q159" s="5" t="s">
        <v>4</v>
      </c>
      <c r="R159" s="83" t="s">
        <v>4</v>
      </c>
    </row>
    <row r="160" spans="1:18" x14ac:dyDescent="0.25">
      <c r="A160" s="88">
        <v>146</v>
      </c>
      <c r="B160" s="82"/>
      <c r="C160" s="97">
        <f ca="1">_xll.meDateFromTenor(C159,"1D","FOLLOWING","TGT")</f>
        <v>42724</v>
      </c>
      <c r="D160" s="95">
        <f ca="1"/>
        <v>-3.8527124193652451E-3</v>
      </c>
      <c r="E160" s="92"/>
      <c r="F160" s="97">
        <f ca="1">_xll.meDateFromTenor(F159,"1D","FOLLOWING","TGT")</f>
        <v>42724</v>
      </c>
      <c r="G160" s="95">
        <f ca="1"/>
        <v>-3.8158916283205454E-3</v>
      </c>
      <c r="H160" s="92" t="s">
        <v>4</v>
      </c>
      <c r="I160" s="97">
        <f ca="1">_xll.meDateFromTenor(I159,"1D","FOLLOWING","TGT")</f>
        <v>42724</v>
      </c>
      <c r="J160" s="95">
        <f ca="1"/>
        <v>-2.954730550624464E-3</v>
      </c>
      <c r="K160" s="5" t="s">
        <v>4</v>
      </c>
      <c r="L160" s="97">
        <f ca="1">_xll.meDateFromTenor(L159,"1D","FOLLOWING","TGT")</f>
        <v>42724</v>
      </c>
      <c r="M160" s="95">
        <f ca="1"/>
        <v>-1.6846512698497026E-3</v>
      </c>
      <c r="N160" s="5" t="s">
        <v>4</v>
      </c>
      <c r="O160" s="97">
        <f ca="1">_xll.meDateFromTenor(O159,"1D","FOLLOWING","TGT")</f>
        <v>42724</v>
      </c>
      <c r="P160" s="95">
        <f ca="1"/>
        <v>-2.6838343013342489E-4</v>
      </c>
      <c r="Q160" s="5" t="s">
        <v>4</v>
      </c>
      <c r="R160" s="83" t="s">
        <v>4</v>
      </c>
    </row>
    <row r="161" spans="1:18" x14ac:dyDescent="0.25">
      <c r="A161" s="88">
        <v>147</v>
      </c>
      <c r="B161" s="82"/>
      <c r="C161" s="97">
        <f ca="1">_xll.meDateFromTenor(C160,"1D","FOLLOWING","TGT")</f>
        <v>42725</v>
      </c>
      <c r="D161" s="95">
        <f ca="1"/>
        <v>-3.8558424046918338E-3</v>
      </c>
      <c r="E161" s="92"/>
      <c r="F161" s="97">
        <f ca="1">_xll.meDateFromTenor(F160,"1D","FOLLOWING","TGT")</f>
        <v>42725</v>
      </c>
      <c r="G161" s="95">
        <f ca="1"/>
        <v>-3.8177353566558941E-3</v>
      </c>
      <c r="H161" s="92" t="s">
        <v>4</v>
      </c>
      <c r="I161" s="97">
        <f ca="1">_xll.meDateFromTenor(I160,"1D","FOLLOWING","TGT")</f>
        <v>42725</v>
      </c>
      <c r="J161" s="95">
        <f ca="1"/>
        <v>-2.9556764719010668E-3</v>
      </c>
      <c r="K161" s="5" t="s">
        <v>4</v>
      </c>
      <c r="L161" s="97">
        <f ca="1">_xll.meDateFromTenor(L160,"1D","FOLLOWING","TGT")</f>
        <v>42725</v>
      </c>
      <c r="M161" s="95">
        <f ca="1"/>
        <v>-1.6852048481690255E-3</v>
      </c>
      <c r="N161" s="5" t="s">
        <v>4</v>
      </c>
      <c r="O161" s="97">
        <f ca="1">_xll.meDateFromTenor(O160,"1D","FOLLOWING","TGT")</f>
        <v>42725</v>
      </c>
      <c r="P161" s="95">
        <f ca="1"/>
        <v>-2.6856284342820946E-4</v>
      </c>
      <c r="Q161" s="5" t="s">
        <v>4</v>
      </c>
      <c r="R161" s="83" t="s">
        <v>4</v>
      </c>
    </row>
    <row r="162" spans="1:18" x14ac:dyDescent="0.25">
      <c r="A162" s="88">
        <v>148</v>
      </c>
      <c r="B162" s="82"/>
      <c r="C162" s="97">
        <f ca="1">_xll.meDateFromTenor(C161,"1D","FOLLOWING","TGT")</f>
        <v>42726</v>
      </c>
      <c r="D162" s="95">
        <f ca="1"/>
        <v>-3.8589718035418885E-3</v>
      </c>
      <c r="E162" s="92"/>
      <c r="F162" s="97">
        <f ca="1">_xll.meDateFromTenor(F161,"1D","FOLLOWING","TGT")</f>
        <v>42726</v>
      </c>
      <c r="G162" s="95">
        <f ca="1"/>
        <v>-3.8195682835468719E-3</v>
      </c>
      <c r="H162" s="92" t="s">
        <v>4</v>
      </c>
      <c r="I162" s="97">
        <f ca="1">_xll.meDateFromTenor(I161,"1D","FOLLOWING","TGT")</f>
        <v>42726</v>
      </c>
      <c r="J162" s="95">
        <f ca="1"/>
        <v>-2.9563806151849236E-3</v>
      </c>
      <c r="K162" s="5" t="s">
        <v>4</v>
      </c>
      <c r="L162" s="97">
        <f ca="1">_xll.meDateFromTenor(L161,"1D","FOLLOWING","TGT")</f>
        <v>42726</v>
      </c>
      <c r="M162" s="95">
        <f ca="1"/>
        <v>-1.6857551092786466E-3</v>
      </c>
      <c r="N162" s="5" t="s">
        <v>4</v>
      </c>
      <c r="O162" s="97">
        <f ca="1">_xll.meDateFromTenor(O161,"1D","FOLLOWING","TGT")</f>
        <v>42726</v>
      </c>
      <c r="P162" s="95">
        <f ca="1"/>
        <v>-2.6873615906794534E-4</v>
      </c>
      <c r="Q162" s="5" t="s">
        <v>4</v>
      </c>
      <c r="R162" s="83" t="s">
        <v>4</v>
      </c>
    </row>
    <row r="163" spans="1:18" x14ac:dyDescent="0.25">
      <c r="A163" s="88">
        <v>149</v>
      </c>
      <c r="B163" s="82"/>
      <c r="C163" s="97">
        <f ca="1">_xll.meDateFromTenor(C162,"1D","FOLLOWING","TGT")</f>
        <v>42727</v>
      </c>
      <c r="D163" s="95">
        <f ca="1"/>
        <v>-3.8621005283298038E-3</v>
      </c>
      <c r="E163" s="92"/>
      <c r="F163" s="97">
        <f ca="1">_xll.meDateFromTenor(F162,"1D","FOLLOWING","TGT")</f>
        <v>42727</v>
      </c>
      <c r="G163" s="95">
        <f ca="1"/>
        <v>-3.8213887950359882E-3</v>
      </c>
      <c r="H163" s="92" t="s">
        <v>4</v>
      </c>
      <c r="I163" s="97">
        <f ca="1">_xll.meDateFromTenor(I162,"1D","FOLLOWING","TGT")</f>
        <v>42727</v>
      </c>
      <c r="J163" s="95">
        <f ca="1"/>
        <v>-2.9569827818666217E-3</v>
      </c>
      <c r="K163" s="5" t="s">
        <v>4</v>
      </c>
      <c r="L163" s="97">
        <f ca="1">_xll.meDateFromTenor(L162,"1D","FOLLOWING","TGT")</f>
        <v>42727</v>
      </c>
      <c r="M163" s="95">
        <f ca="1"/>
        <v>-1.686302073703275E-3</v>
      </c>
      <c r="N163" s="5" t="s">
        <v>4</v>
      </c>
      <c r="O163" s="97">
        <f ca="1">_xll.meDateFromTenor(O162,"1D","FOLLOWING","TGT")</f>
        <v>42727</v>
      </c>
      <c r="P163" s="95">
        <f ca="1"/>
        <v>-2.6890334686622132E-4</v>
      </c>
      <c r="Q163" s="5" t="s">
        <v>4</v>
      </c>
      <c r="R163" s="83" t="s">
        <v>4</v>
      </c>
    </row>
    <row r="164" spans="1:18" x14ac:dyDescent="0.25">
      <c r="A164" s="88">
        <v>150</v>
      </c>
      <c r="B164" s="82"/>
      <c r="C164" s="97">
        <f ca="1">_xll.meDateFromTenor(C163,"1D","FOLLOWING","TGT")</f>
        <v>42731</v>
      </c>
      <c r="D164" s="95">
        <f ca="1"/>
        <v>-3.874602101060054E-3</v>
      </c>
      <c r="E164" s="92"/>
      <c r="F164" s="97">
        <f ca="1">_xll.meDateFromTenor(F163,"1D","FOLLOWING","TGT")</f>
        <v>42731</v>
      </c>
      <c r="G164" s="95">
        <f ca="1"/>
        <v>-3.8285144078239932E-3</v>
      </c>
      <c r="H164" s="92" t="s">
        <v>4</v>
      </c>
      <c r="I164" s="97">
        <f ca="1">_xll.meDateFromTenor(I163,"1D","FOLLOWING","TGT")</f>
        <v>42731</v>
      </c>
      <c r="J164" s="95">
        <f ca="1"/>
        <v>-2.959595401797732E-3</v>
      </c>
      <c r="K164" s="5" t="s">
        <v>4</v>
      </c>
      <c r="L164" s="97">
        <f ca="1">_xll.meDateFromTenor(L163,"1D","FOLLOWING","TGT")</f>
        <v>42731</v>
      </c>
      <c r="M164" s="95">
        <f ca="1"/>
        <v>-1.68845737504603E-3</v>
      </c>
      <c r="N164" s="5" t="s">
        <v>4</v>
      </c>
      <c r="O164" s="97">
        <f ca="1">_xll.meDateFromTenor(O163,"1D","FOLLOWING","TGT")</f>
        <v>42731</v>
      </c>
      <c r="P164" s="95">
        <f ca="1"/>
        <v>-2.6951021591650406E-4</v>
      </c>
      <c r="Q164" s="5" t="s">
        <v>4</v>
      </c>
      <c r="R164" s="83" t="s">
        <v>4</v>
      </c>
    </row>
    <row r="165" spans="1:18" x14ac:dyDescent="0.25">
      <c r="A165" s="88">
        <v>151</v>
      </c>
      <c r="B165" s="82"/>
      <c r="C165" s="97">
        <f ca="1">_xll.meDateFromTenor(C164,"1D","FOLLOWING","TGT")</f>
        <v>42732</v>
      </c>
      <c r="D165" s="95">
        <f ca="1"/>
        <v>-3.8777232412366969E-3</v>
      </c>
      <c r="E165" s="92"/>
      <c r="F165" s="97">
        <f ca="1">_xll.meDateFromTenor(F164,"1D","FOLLOWING","TGT")</f>
        <v>42732</v>
      </c>
      <c r="G165" s="95">
        <f ca="1"/>
        <v>-3.8302486329414224E-3</v>
      </c>
      <c r="H165" s="92" t="s">
        <v>4</v>
      </c>
      <c r="I165" s="97">
        <f ca="1">_xll.meDateFromTenor(I164,"1D","FOLLOWING","TGT")</f>
        <v>42732</v>
      </c>
      <c r="J165" s="95">
        <f ca="1"/>
        <v>-2.9602475758475568E-3</v>
      </c>
      <c r="K165" s="5" t="s">
        <v>4</v>
      </c>
      <c r="L165" s="97">
        <f ca="1">_xll.meDateFromTenor(L164,"1D","FOLLOWING","TGT")</f>
        <v>42732</v>
      </c>
      <c r="M165" s="95">
        <f ca="1"/>
        <v>-1.6889881639163223E-3</v>
      </c>
      <c r="N165" s="5" t="s">
        <v>4</v>
      </c>
      <c r="O165" s="97">
        <f ca="1">_xll.meDateFromTenor(O164,"1D","FOLLOWING","TGT")</f>
        <v>42732</v>
      </c>
      <c r="P165" s="95">
        <f ca="1"/>
        <v>-2.6964631171131384E-4</v>
      </c>
      <c r="Q165" s="5" t="s">
        <v>4</v>
      </c>
      <c r="R165" s="83" t="s">
        <v>4</v>
      </c>
    </row>
    <row r="166" spans="1:18" x14ac:dyDescent="0.25">
      <c r="A166" s="88">
        <v>152</v>
      </c>
      <c r="B166" s="82"/>
      <c r="C166" s="97">
        <f ca="1">_xll.meDateFromTenor(C165,"1D","FOLLOWING","TGT")</f>
        <v>42733</v>
      </c>
      <c r="D166" s="95">
        <f ca="1"/>
        <v>-3.8808422148922661E-3</v>
      </c>
      <c r="E166" s="92"/>
      <c r="F166" s="97">
        <f ca="1">_xll.meDateFromTenor(F165,"1D","FOLLOWING","TGT")</f>
        <v>42733</v>
      </c>
      <c r="G166" s="95">
        <f ca="1"/>
        <v>-3.8319607589120388E-3</v>
      </c>
      <c r="H166" s="92" t="s">
        <v>4</v>
      </c>
      <c r="I166" s="97">
        <f ca="1">_xll.meDateFromTenor(I165,"1D","FOLLOWING","TGT")</f>
        <v>42733</v>
      </c>
      <c r="J166" s="95">
        <f ca="1"/>
        <v>-2.9609017117632869E-3</v>
      </c>
      <c r="K166" s="5" t="s">
        <v>4</v>
      </c>
      <c r="L166" s="97">
        <f ca="1">_xll.meDateFromTenor(L165,"1D","FOLLOWING","TGT")</f>
        <v>42733</v>
      </c>
      <c r="M166" s="95">
        <f ca="1"/>
        <v>-1.6895157792498733E-3</v>
      </c>
      <c r="N166" s="5" t="s">
        <v>4</v>
      </c>
      <c r="O166" s="97">
        <f ca="1">_xll.meDateFromTenor(O165,"1D","FOLLOWING","TGT")</f>
        <v>42733</v>
      </c>
      <c r="P166" s="95">
        <f ca="1"/>
        <v>-2.6977609854619697E-4</v>
      </c>
      <c r="Q166" s="5" t="s">
        <v>4</v>
      </c>
      <c r="R166" s="83" t="s">
        <v>4</v>
      </c>
    </row>
    <row r="167" spans="1:18" x14ac:dyDescent="0.25">
      <c r="A167" s="88">
        <v>153</v>
      </c>
      <c r="B167" s="82"/>
      <c r="C167" s="97">
        <f ca="1">_xll.meDateFromTenor(C166,"1D","FOLLOWING","TGT")</f>
        <v>42734</v>
      </c>
      <c r="D167" s="95">
        <f ca="1"/>
        <v>-3.8839588597683328E-3</v>
      </c>
      <c r="E167" s="92"/>
      <c r="F167" s="97">
        <f ca="1">_xll.meDateFromTenor(F166,"1D","FOLLOWING","TGT")</f>
        <v>42734</v>
      </c>
      <c r="G167" s="95">
        <f ca="1"/>
        <v>-3.8336491717783526E-3</v>
      </c>
      <c r="H167" s="92" t="s">
        <v>4</v>
      </c>
      <c r="I167" s="97">
        <f ca="1">_xll.meDateFromTenor(I166,"1D","FOLLOWING","TGT")</f>
        <v>42734</v>
      </c>
      <c r="J167" s="95">
        <f ca="1"/>
        <v>-2.9615551296756819E-3</v>
      </c>
      <c r="K167" s="5" t="s">
        <v>4</v>
      </c>
      <c r="L167" s="97">
        <f ca="1">_xll.meDateFromTenor(L166,"1D","FOLLOWING","TGT")</f>
        <v>42734</v>
      </c>
      <c r="M167" s="95">
        <f ca="1"/>
        <v>-1.6900402415713914E-3</v>
      </c>
      <c r="N167" s="5" t="s">
        <v>4</v>
      </c>
      <c r="O167" s="97">
        <f ca="1">_xll.meDateFromTenor(O166,"1D","FOLLOWING","TGT")</f>
        <v>42734</v>
      </c>
      <c r="P167" s="95">
        <f ca="1"/>
        <v>-2.6989954623474226E-4</v>
      </c>
      <c r="Q167" s="5" t="s">
        <v>4</v>
      </c>
      <c r="R167" s="83" t="s">
        <v>4</v>
      </c>
    </row>
    <row r="168" spans="1:18" x14ac:dyDescent="0.25">
      <c r="A168" s="88">
        <v>154</v>
      </c>
      <c r="B168" s="82"/>
      <c r="C168" s="97">
        <f ca="1">_xll.meDateFromTenor(C167,"1D","FOLLOWING","TGT")</f>
        <v>42737</v>
      </c>
      <c r="D168" s="95">
        <f ca="1"/>
        <v>-3.9039589716687306E-3</v>
      </c>
      <c r="E168" s="92"/>
      <c r="F168" s="97">
        <f ca="1">_xll.meDateFromTenor(F167,"1D","FOLLOWING","TGT")</f>
        <v>42737</v>
      </c>
      <c r="G168" s="95">
        <f ca="1"/>
        <v>-3.8385647192542048E-3</v>
      </c>
      <c r="H168" s="92" t="s">
        <v>4</v>
      </c>
      <c r="I168" s="97">
        <f ca="1">_xll.meDateFromTenor(I167,"1D","FOLLOWING","TGT")</f>
        <v>42737</v>
      </c>
      <c r="J168" s="95">
        <f ca="1"/>
        <v>-2.9635179106258093E-3</v>
      </c>
      <c r="K168" s="5" t="s">
        <v>4</v>
      </c>
      <c r="L168" s="97">
        <f ca="1">_xll.meDateFromTenor(L167,"1D","FOLLOWING","TGT")</f>
        <v>42737</v>
      </c>
      <c r="M168" s="95">
        <f ca="1"/>
        <v>-1.6915977298431258E-3</v>
      </c>
      <c r="N168" s="5" t="s">
        <v>4</v>
      </c>
      <c r="O168" s="97">
        <f ca="1">_xll.meDateFromTenor(O167,"1D","FOLLOWING","TGT")</f>
        <v>42737</v>
      </c>
      <c r="P168" s="95">
        <f ca="1"/>
        <v>-2.7023210601861096E-4</v>
      </c>
      <c r="Q168" s="5" t="s">
        <v>4</v>
      </c>
      <c r="R168" s="83" t="s">
        <v>4</v>
      </c>
    </row>
    <row r="169" spans="1:18" x14ac:dyDescent="0.25">
      <c r="A169" s="88">
        <v>155</v>
      </c>
      <c r="B169" s="82"/>
      <c r="C169" s="97">
        <f ca="1">_xll.meDateFromTenor(C168,"1D","FOLLOWING","TGT")</f>
        <v>42738</v>
      </c>
      <c r="D169" s="95">
        <f ca="1"/>
        <v>-3.9070807017836939E-3</v>
      </c>
      <c r="E169" s="92"/>
      <c r="F169" s="97">
        <f ca="1">_xll.meDateFromTenor(F168,"1D","FOLLOWING","TGT")</f>
        <v>42738</v>
      </c>
      <c r="G169" s="95">
        <f ca="1"/>
        <v>-3.8401467788497213E-3</v>
      </c>
      <c r="H169" s="92" t="s">
        <v>4</v>
      </c>
      <c r="I169" s="97">
        <f ca="1">_xll.meDateFromTenor(I168,"1D","FOLLOWING","TGT")</f>
        <v>42738</v>
      </c>
      <c r="J169" s="95">
        <f ca="1"/>
        <v>-2.9641728740224592E-3</v>
      </c>
      <c r="K169" s="5" t="s">
        <v>4</v>
      </c>
      <c r="L169" s="97">
        <f ca="1">_xll.meDateFromTenor(L168,"1D","FOLLOWING","TGT")</f>
        <v>42738</v>
      </c>
      <c r="M169" s="95">
        <f ca="1"/>
        <v>-1.6921111672398286E-3</v>
      </c>
      <c r="N169" s="5" t="s">
        <v>4</v>
      </c>
      <c r="O169" s="97">
        <f ca="1">_xll.meDateFromTenor(O168,"1D","FOLLOWING","TGT")</f>
        <v>42738</v>
      </c>
      <c r="P169" s="95">
        <f ca="1"/>
        <v>-2.703301186950688E-4</v>
      </c>
      <c r="Q169" s="5" t="s">
        <v>4</v>
      </c>
      <c r="R169" s="83" t="s">
        <v>4</v>
      </c>
    </row>
    <row r="170" spans="1:18" x14ac:dyDescent="0.25">
      <c r="A170" s="88">
        <v>156</v>
      </c>
      <c r="B170" s="82"/>
      <c r="C170" s="97">
        <f ca="1">_xll.meDateFromTenor(C169,"1D","FOLLOWING","TGT")</f>
        <v>42739</v>
      </c>
      <c r="D170" s="95">
        <f ca="1"/>
        <v>-3.9101988803714738E-3</v>
      </c>
      <c r="E170" s="92"/>
      <c r="F170" s="97">
        <f ca="1">_xll.meDateFromTenor(F169,"1D","FOLLOWING","TGT")</f>
        <v>42739</v>
      </c>
      <c r="G170" s="95">
        <f ca="1"/>
        <v>-3.8417000488638609E-3</v>
      </c>
      <c r="H170" s="92" t="s">
        <v>4</v>
      </c>
      <c r="I170" s="97">
        <f ca="1">_xll.meDateFromTenor(I169,"1D","FOLLOWING","TGT")</f>
        <v>42739</v>
      </c>
      <c r="J170" s="95">
        <f ca="1"/>
        <v>-2.9648277995227772E-3</v>
      </c>
      <c r="K170" s="5" t="s">
        <v>4</v>
      </c>
      <c r="L170" s="97">
        <f ca="1">_xll.meDateFromTenor(L169,"1D","FOLLOWING","TGT")</f>
        <v>42739</v>
      </c>
      <c r="M170" s="95">
        <f ca="1"/>
        <v>-1.6926215376803092E-3</v>
      </c>
      <c r="N170" s="5" t="s">
        <v>4</v>
      </c>
      <c r="O170" s="97">
        <f ca="1">_xll.meDateFromTenor(O169,"1D","FOLLOWING","TGT")</f>
        <v>42739</v>
      </c>
      <c r="P170" s="95">
        <f ca="1"/>
        <v>-2.7042160543287584E-4</v>
      </c>
      <c r="Q170" s="5" t="s">
        <v>4</v>
      </c>
      <c r="R170" s="83" t="s">
        <v>4</v>
      </c>
    </row>
    <row r="171" spans="1:18" x14ac:dyDescent="0.25">
      <c r="A171" s="88">
        <v>157</v>
      </c>
      <c r="B171" s="82"/>
      <c r="C171" s="97">
        <f ca="1">_xll.meDateFromTenor(C170,"1D","FOLLOWING","TGT")</f>
        <v>42740</v>
      </c>
      <c r="D171" s="95">
        <f ca="1"/>
        <v>-3.9133132790631908E-3</v>
      </c>
      <c r="E171" s="92"/>
      <c r="F171" s="97">
        <f ca="1">_xll.meDateFromTenor(F170,"1D","FOLLOWING","TGT")</f>
        <v>42740</v>
      </c>
      <c r="G171" s="95">
        <f ca="1"/>
        <v>-3.8432260830773219E-3</v>
      </c>
      <c r="H171" s="92" t="s">
        <v>4</v>
      </c>
      <c r="I171" s="97">
        <f ca="1">_xll.meDateFromTenor(I170,"1D","FOLLOWING","TGT")</f>
        <v>42740</v>
      </c>
      <c r="J171" s="95">
        <f ca="1"/>
        <v>-2.9654827388941149E-3</v>
      </c>
      <c r="K171" s="5" t="s">
        <v>4</v>
      </c>
      <c r="L171" s="97">
        <f ca="1">_xll.meDateFromTenor(L170,"1D","FOLLOWING","TGT")</f>
        <v>42740</v>
      </c>
      <c r="M171" s="95">
        <f ca="1"/>
        <v>-1.6931288618584359E-3</v>
      </c>
      <c r="N171" s="5" t="s">
        <v>4</v>
      </c>
      <c r="O171" s="97">
        <f ca="1">_xll.meDateFromTenor(O170,"1D","FOLLOWING","TGT")</f>
        <v>42740</v>
      </c>
      <c r="P171" s="95">
        <f ca="1"/>
        <v>-2.7050653579683301E-4</v>
      </c>
      <c r="Q171" s="5" t="s">
        <v>4</v>
      </c>
      <c r="R171" s="83" t="s">
        <v>4</v>
      </c>
    </row>
    <row r="172" spans="1:18" x14ac:dyDescent="0.25">
      <c r="A172" s="88">
        <v>158</v>
      </c>
      <c r="B172" s="82"/>
      <c r="C172" s="97">
        <f ca="1">_xll.meDateFromTenor(C171,"1D","FOLLOWING","TGT")</f>
        <v>42741</v>
      </c>
      <c r="D172" s="95">
        <f ca="1"/>
        <v>-3.9164237319982975E-3</v>
      </c>
      <c r="E172" s="92"/>
      <c r="F172" s="97">
        <f ca="1">_xll.meDateFromTenor(F171,"1D","FOLLOWING","TGT")</f>
        <v>42741</v>
      </c>
      <c r="G172" s="95">
        <f ca="1"/>
        <v>-3.8447264352708048E-3</v>
      </c>
      <c r="H172" s="92" t="s">
        <v>4</v>
      </c>
      <c r="I172" s="97">
        <f ca="1">_xll.meDateFromTenor(I171,"1D","FOLLOWING","TGT")</f>
        <v>42741</v>
      </c>
      <c r="J172" s="95">
        <f ca="1"/>
        <v>-2.9661376884197446E-3</v>
      </c>
      <c r="K172" s="5" t="s">
        <v>4</v>
      </c>
      <c r="L172" s="97">
        <f ca="1">_xll.meDateFromTenor(L171,"1D","FOLLOWING","TGT")</f>
        <v>42741</v>
      </c>
      <c r="M172" s="95">
        <f ca="1"/>
        <v>-1.6936331604680752E-3</v>
      </c>
      <c r="N172" s="5" t="s">
        <v>4</v>
      </c>
      <c r="O172" s="97">
        <f ca="1">_xll.meDateFromTenor(O171,"1D","FOLLOWING","TGT")</f>
        <v>42741</v>
      </c>
      <c r="P172" s="95">
        <f ca="1"/>
        <v>-2.7058487935174136E-4</v>
      </c>
      <c r="Q172" s="5" t="s">
        <v>4</v>
      </c>
      <c r="R172" s="83" t="s">
        <v>4</v>
      </c>
    </row>
    <row r="173" spans="1:18" x14ac:dyDescent="0.25">
      <c r="A173" s="88">
        <v>159</v>
      </c>
      <c r="B173" s="82"/>
      <c r="C173" s="97">
        <f ca="1">_xll.meDateFromTenor(C172,"1D","FOLLOWING","TGT")</f>
        <v>42744</v>
      </c>
      <c r="D173" s="95">
        <f ca="1"/>
        <v>-3.9257285113014628E-3</v>
      </c>
      <c r="E173" s="92"/>
      <c r="F173" s="97">
        <f ca="1">_xll.meDateFromTenor(F172,"1D","FOLLOWING","TGT")</f>
        <v>42744</v>
      </c>
      <c r="G173" s="95">
        <f ca="1"/>
        <v>-3.8490889375383829E-3</v>
      </c>
      <c r="H173" s="92" t="s">
        <v>4</v>
      </c>
      <c r="I173" s="97">
        <f ca="1">_xll.meDateFromTenor(I172,"1D","FOLLOWING","TGT")</f>
        <v>42744</v>
      </c>
      <c r="J173" s="95">
        <f ca="1"/>
        <v>-2.9681025214006729E-3</v>
      </c>
      <c r="K173" s="5" t="s">
        <v>4</v>
      </c>
      <c r="L173" s="97">
        <f ca="1">_xll.meDateFromTenor(L172,"1D","FOLLOWING","TGT")</f>
        <v>42744</v>
      </c>
      <c r="M173" s="95">
        <f ca="1"/>
        <v>-1.6951281098247469E-3</v>
      </c>
      <c r="N173" s="5" t="s">
        <v>4</v>
      </c>
      <c r="O173" s="97">
        <f ca="1">_xll.meDateFromTenor(O172,"1D","FOLLOWING","TGT")</f>
        <v>42744</v>
      </c>
      <c r="P173" s="95">
        <f ca="1"/>
        <v>-2.7078008481018365E-4</v>
      </c>
      <c r="Q173" s="5" t="s">
        <v>4</v>
      </c>
      <c r="R173" s="83" t="s">
        <v>4</v>
      </c>
    </row>
    <row r="174" spans="1:18" x14ac:dyDescent="0.25">
      <c r="A174" s="88">
        <v>160</v>
      </c>
      <c r="B174" s="82"/>
      <c r="C174" s="97">
        <f ca="1">_xll.meDateFromTenor(C173,"1D","FOLLOWING","TGT")</f>
        <v>42745</v>
      </c>
      <c r="D174" s="95">
        <f ca="1"/>
        <v>-3.928820587989823E-3</v>
      </c>
      <c r="E174" s="92"/>
      <c r="F174" s="97">
        <f ca="1">_xll.meDateFromTenor(F173,"1D","FOLLOWING","TGT")</f>
        <v>42745</v>
      </c>
      <c r="G174" s="95">
        <f ca="1"/>
        <v>-3.8505020994589506E-3</v>
      </c>
      <c r="H174" s="92" t="s">
        <v>4</v>
      </c>
      <c r="I174" s="97">
        <f ca="1">_xll.meDateFromTenor(I173,"1D","FOLLOWING","TGT")</f>
        <v>42745</v>
      </c>
      <c r="J174" s="95">
        <f ca="1"/>
        <v>-2.9687574662136795E-3</v>
      </c>
      <c r="K174" s="5" t="s">
        <v>4</v>
      </c>
      <c r="L174" s="97">
        <f ca="1">_xll.meDateFromTenor(L173,"1D","FOLLOWING","TGT")</f>
        <v>42745</v>
      </c>
      <c r="M174" s="95">
        <f ca="1"/>
        <v>-1.6956205130991134E-3</v>
      </c>
      <c r="N174" s="5" t="s">
        <v>4</v>
      </c>
      <c r="O174" s="97">
        <f ca="1">_xll.meDateFromTenor(O173,"1D","FOLLOWING","TGT")</f>
        <v>42745</v>
      </c>
      <c r="P174" s="95">
        <f ca="1"/>
        <v>-2.7083177677690682E-4</v>
      </c>
      <c r="Q174" s="5" t="s">
        <v>4</v>
      </c>
      <c r="R174" s="83" t="s">
        <v>4</v>
      </c>
    </row>
    <row r="175" spans="1:18" x14ac:dyDescent="0.25">
      <c r="A175" s="88">
        <v>161</v>
      </c>
      <c r="B175" s="82"/>
      <c r="C175" s="97">
        <f ca="1">_xll.meDateFromTenor(C174,"1D","FOLLOWING","TGT")</f>
        <v>42746</v>
      </c>
      <c r="D175" s="95">
        <f ca="1"/>
        <v>-3.9319075159831574E-3</v>
      </c>
      <c r="E175" s="92"/>
      <c r="F175" s="97">
        <f ca="1">_xll.meDateFromTenor(F174,"1D","FOLLOWING","TGT")</f>
        <v>42746</v>
      </c>
      <c r="G175" s="95">
        <f ca="1"/>
        <v>-3.851897348263039E-3</v>
      </c>
      <c r="H175" s="92" t="s">
        <v>4</v>
      </c>
      <c r="I175" s="97">
        <f ca="1">_xll.meDateFromTenor(I174,"1D","FOLLOWING","TGT")</f>
        <v>42746</v>
      </c>
      <c r="J175" s="95">
        <f ca="1"/>
        <v>-2.9694124107598374E-3</v>
      </c>
      <c r="K175" s="5" t="s">
        <v>4</v>
      </c>
      <c r="L175" s="97">
        <f ca="1">_xll.meDateFromTenor(L174,"1D","FOLLOWING","TGT")</f>
        <v>42746</v>
      </c>
      <c r="M175" s="95">
        <f ca="1"/>
        <v>-1.6961099942743301E-3</v>
      </c>
      <c r="N175" s="5" t="s">
        <v>4</v>
      </c>
      <c r="O175" s="97">
        <f ca="1">_xll.meDateFromTenor(O174,"1D","FOLLOWING","TGT")</f>
        <v>42746</v>
      </c>
      <c r="P175" s="95">
        <f ca="1"/>
        <v>-2.7087672975858632E-4</v>
      </c>
      <c r="Q175" s="5" t="s">
        <v>4</v>
      </c>
      <c r="R175" s="83" t="s">
        <v>4</v>
      </c>
    </row>
    <row r="176" spans="1:18" x14ac:dyDescent="0.25">
      <c r="A176" s="88">
        <v>162</v>
      </c>
      <c r="B176" s="82"/>
      <c r="C176" s="97">
        <f ca="1">_xll.meDateFromTenor(C175,"1D","FOLLOWING","TGT")</f>
        <v>42747</v>
      </c>
      <c r="D176" s="95">
        <f ca="1"/>
        <v>-3.9349890668526344E-3</v>
      </c>
      <c r="E176" s="92"/>
      <c r="F176" s="97">
        <f ca="1">_xll.meDateFromTenor(F175,"1D","FOLLOWING","TGT")</f>
        <v>42747</v>
      </c>
      <c r="G176" s="95">
        <f ca="1"/>
        <v>-3.8532762377313469E-3</v>
      </c>
      <c r="H176" s="92" t="s">
        <v>4</v>
      </c>
      <c r="I176" s="97">
        <f ca="1">_xll.meDateFromTenor(I175,"1D","FOLLOWING","TGT")</f>
        <v>42747</v>
      </c>
      <c r="J176" s="95">
        <f ca="1"/>
        <v>-2.9700673551106469E-3</v>
      </c>
      <c r="K176" s="5" t="s">
        <v>4</v>
      </c>
      <c r="L176" s="97">
        <f ca="1">_xll.meDateFromTenor(L175,"1D","FOLLOWING","TGT")</f>
        <v>42747</v>
      </c>
      <c r="M176" s="95">
        <f ca="1"/>
        <v>-1.6965965740442649E-3</v>
      </c>
      <c r="N176" s="5" t="s">
        <v>4</v>
      </c>
      <c r="O176" s="97">
        <f ca="1">_xll.meDateFromTenor(O175,"1D","FOLLOWING","TGT")</f>
        <v>42747</v>
      </c>
      <c r="P176" s="95">
        <f ca="1"/>
        <v>-2.7091491332002299E-4</v>
      </c>
      <c r="Q176" s="5" t="s">
        <v>4</v>
      </c>
      <c r="R176" s="83" t="s">
        <v>4</v>
      </c>
    </row>
    <row r="177" spans="1:18" x14ac:dyDescent="0.25">
      <c r="A177" s="88">
        <v>163</v>
      </c>
      <c r="B177" s="82"/>
      <c r="C177" s="97">
        <f ca="1">_xll.meDateFromTenor(C176,"1D","FOLLOWING","TGT")</f>
        <v>42748</v>
      </c>
      <c r="D177" s="95">
        <f ca="1"/>
        <v>-3.9380650749941681E-3</v>
      </c>
      <c r="E177" s="92"/>
      <c r="F177" s="97">
        <f ca="1">_xll.meDateFromTenor(F176,"1D","FOLLOWING","TGT")</f>
        <v>42748</v>
      </c>
      <c r="G177" s="95">
        <f ca="1"/>
        <v>-3.854640321644575E-3</v>
      </c>
      <c r="H177" s="92" t="s">
        <v>4</v>
      </c>
      <c r="I177" s="97">
        <f ca="1">_xll.meDateFromTenor(I176,"1D","FOLLOWING","TGT")</f>
        <v>42748</v>
      </c>
      <c r="J177" s="95">
        <f ca="1"/>
        <v>-2.9707222995329578E-3</v>
      </c>
      <c r="K177" s="5" t="s">
        <v>4</v>
      </c>
      <c r="L177" s="97">
        <f ca="1">_xll.meDateFromTenor(L176,"1D","FOLLOWING","TGT")</f>
        <v>42748</v>
      </c>
      <c r="M177" s="95">
        <f ca="1"/>
        <v>-1.6970802731027846E-3</v>
      </c>
      <c r="N177" s="5" t="s">
        <v>4</v>
      </c>
      <c r="O177" s="97">
        <f ca="1">_xll.meDateFromTenor(O176,"1D","FOLLOWING","TGT")</f>
        <v>42748</v>
      </c>
      <c r="P177" s="95">
        <f ca="1"/>
        <v>-2.7094629702601792E-4</v>
      </c>
      <c r="Q177" s="5" t="s">
        <v>4</v>
      </c>
      <c r="R177" s="83" t="s">
        <v>4</v>
      </c>
    </row>
    <row r="178" spans="1:18" x14ac:dyDescent="0.25">
      <c r="A178" s="88">
        <v>164</v>
      </c>
      <c r="B178" s="82"/>
      <c r="C178" s="97">
        <f ca="1">_xll.meDateFromTenor(C177,"1D","FOLLOWING","TGT")</f>
        <v>42751</v>
      </c>
      <c r="D178" s="95">
        <f ca="1"/>
        <v>-3.9472569380577527E-3</v>
      </c>
      <c r="E178" s="92"/>
      <c r="F178" s="97">
        <f ca="1">_xll.meDateFromTenor(F177,"1D","FOLLOWING","TGT")</f>
        <v>42751</v>
      </c>
      <c r="G178" s="95">
        <f ca="1"/>
        <v>-3.8586592778607751E-3</v>
      </c>
      <c r="H178" s="92" t="s">
        <v>4</v>
      </c>
      <c r="I178" s="97">
        <f ca="1">_xll.meDateFromTenor(I177,"1D","FOLLOWING","TGT")</f>
        <v>42751</v>
      </c>
      <c r="J178" s="95">
        <f ca="1"/>
        <v>-2.9726871329045822E-3</v>
      </c>
      <c r="K178" s="5" t="s">
        <v>4</v>
      </c>
      <c r="L178" s="97">
        <f ca="1">_xll.meDateFromTenor(L177,"1D","FOLLOWING","TGT")</f>
        <v>42751</v>
      </c>
      <c r="M178" s="95">
        <f ca="1"/>
        <v>-1.6985142929485308E-3</v>
      </c>
      <c r="N178" s="5" t="s">
        <v>4</v>
      </c>
      <c r="O178" s="97">
        <f ca="1">_xll.meDateFromTenor(O177,"1D","FOLLOWING","TGT")</f>
        <v>42751</v>
      </c>
      <c r="P178" s="95">
        <f ca="1"/>
        <v>-2.7099934465936248E-4</v>
      </c>
      <c r="Q178" s="5" t="s">
        <v>4</v>
      </c>
      <c r="R178" s="83" t="s">
        <v>4</v>
      </c>
    </row>
    <row r="179" spans="1:18" x14ac:dyDescent="0.25">
      <c r="A179" s="88">
        <v>165</v>
      </c>
      <c r="B179" s="82"/>
      <c r="C179" s="97">
        <f ca="1">_xll.meDateFromTenor(C178,"1D","FOLLOWING","TGT")</f>
        <v>42752</v>
      </c>
      <c r="D179" s="95">
        <f ca="1"/>
        <v>-3.9503081820683184E-3</v>
      </c>
      <c r="E179" s="92"/>
      <c r="F179" s="97">
        <f ca="1">_xll.meDateFromTenor(F178,"1D","FOLLOWING","TGT")</f>
        <v>42752</v>
      </c>
      <c r="G179" s="95">
        <f ca="1"/>
        <v>-3.8599796773606792E-3</v>
      </c>
      <c r="H179" s="92" t="s">
        <v>4</v>
      </c>
      <c r="I179" s="97">
        <f ca="1">_xll.meDateFromTenor(I178,"1D","FOLLOWING","TGT")</f>
        <v>42752</v>
      </c>
      <c r="J179" s="95">
        <f ca="1"/>
        <v>-2.9733420773511653E-3</v>
      </c>
      <c r="K179" s="5" t="s">
        <v>4</v>
      </c>
      <c r="L179" s="97">
        <f ca="1">_xll.meDateFromTenor(L178,"1D","FOLLOWING","TGT")</f>
        <v>42752</v>
      </c>
      <c r="M179" s="95">
        <f ca="1"/>
        <v>-1.6989866761000661E-3</v>
      </c>
      <c r="N179" s="5" t="s">
        <v>4</v>
      </c>
      <c r="O179" s="97">
        <f ca="1">_xll.meDateFromTenor(O178,"1D","FOLLOWING","TGT")</f>
        <v>42752</v>
      </c>
      <c r="P179" s="95">
        <f ca="1"/>
        <v>-2.7100322459160065E-4</v>
      </c>
      <c r="Q179" s="5" t="s">
        <v>4</v>
      </c>
      <c r="R179" s="83" t="s">
        <v>4</v>
      </c>
    </row>
    <row r="180" spans="1:18" x14ac:dyDescent="0.25">
      <c r="A180" s="88">
        <v>166</v>
      </c>
      <c r="B180" s="82"/>
      <c r="C180" s="97">
        <f ca="1">_xll.meDateFromTenor(C179,"1D","FOLLOWING","TGT")</f>
        <v>42753</v>
      </c>
      <c r="D180" s="95">
        <f ca="1"/>
        <v>-3.9533526803104957E-3</v>
      </c>
      <c r="E180" s="92"/>
      <c r="F180" s="97">
        <f ca="1">_xll.meDateFromTenor(F179,"1D","FOLLOWING","TGT")</f>
        <v>42753</v>
      </c>
      <c r="G180" s="95">
        <f ca="1"/>
        <v>-3.8612930402090019E-3</v>
      </c>
      <c r="H180" s="92" t="s">
        <v>4</v>
      </c>
      <c r="I180" s="97">
        <f ca="1">_xll.meDateFromTenor(I179,"1D","FOLLOWING","TGT")</f>
        <v>42753</v>
      </c>
      <c r="J180" s="95">
        <f ca="1"/>
        <v>-2.9739970218015496E-3</v>
      </c>
      <c r="K180" s="5" t="s">
        <v>4</v>
      </c>
      <c r="L180" s="97">
        <f ca="1">_xll.meDateFromTenor(L179,"1D","FOLLOWING","TGT")</f>
        <v>42753</v>
      </c>
      <c r="M180" s="95">
        <f ca="1"/>
        <v>-1.6994562820095243E-3</v>
      </c>
      <c r="N180" s="5" t="s">
        <v>4</v>
      </c>
      <c r="O180" s="97">
        <f ca="1">_xll.meDateFromTenor(O179,"1D","FOLLOWING","TGT")</f>
        <v>42753</v>
      </c>
      <c r="P180" s="95">
        <f ca="1"/>
        <v>-2.7100015249240209E-4</v>
      </c>
      <c r="Q180" s="5" t="s">
        <v>4</v>
      </c>
      <c r="R180" s="83" t="s">
        <v>4</v>
      </c>
    </row>
    <row r="181" spans="1:18" x14ac:dyDescent="0.25">
      <c r="A181" s="88">
        <v>167</v>
      </c>
      <c r="B181" s="82"/>
      <c r="C181" s="97">
        <f ca="1">_xll.meDateFromTenor(C180,"1D","FOLLOWING","TGT")</f>
        <v>42754</v>
      </c>
      <c r="D181" s="95">
        <f ca="1"/>
        <v>-3.9563902046930721E-3</v>
      </c>
      <c r="E181" s="92"/>
      <c r="F181" s="97">
        <f ca="1">_xll.meDateFromTenor(F180,"1D","FOLLOWING","TGT")</f>
        <v>42754</v>
      </c>
      <c r="G181" s="95">
        <f ca="1"/>
        <v>-3.8626009201864426E-3</v>
      </c>
      <c r="H181" s="92" t="s">
        <v>4</v>
      </c>
      <c r="I181" s="97">
        <f ca="1">_xll.meDateFromTenor(I180,"1D","FOLLOWING","TGT")</f>
        <v>42754</v>
      </c>
      <c r="J181" s="95">
        <f ca="1"/>
        <v>-2.9746519662506177E-3</v>
      </c>
      <c r="K181" s="5" t="s">
        <v>4</v>
      </c>
      <c r="L181" s="97">
        <f ca="1">_xll.meDateFromTenor(L180,"1D","FOLLOWING","TGT")</f>
        <v>42754</v>
      </c>
      <c r="M181" s="95">
        <f ca="1"/>
        <v>-1.6999231313707722E-3</v>
      </c>
      <c r="N181" s="5" t="s">
        <v>4</v>
      </c>
      <c r="O181" s="97">
        <f ca="1">_xll.meDateFromTenor(O180,"1D","FOLLOWING","TGT")</f>
        <v>42754</v>
      </c>
      <c r="P181" s="95">
        <f ca="1"/>
        <v>-2.7099009792656782E-4</v>
      </c>
      <c r="Q181" s="5" t="s">
        <v>4</v>
      </c>
      <c r="R181" s="83" t="s">
        <v>4</v>
      </c>
    </row>
    <row r="182" spans="1:18" x14ac:dyDescent="0.25">
      <c r="A182" s="88">
        <v>168</v>
      </c>
      <c r="B182" s="82"/>
      <c r="C182" s="97">
        <f ca="1">_xll.meDateFromTenor(C181,"1D","FOLLOWING","TGT")</f>
        <v>42755</v>
      </c>
      <c r="D182" s="95">
        <f ca="1"/>
        <v>-3.9594205893902501E-3</v>
      </c>
      <c r="E182" s="92"/>
      <c r="F182" s="97">
        <f ca="1">_xll.meDateFromTenor(F181,"1D","FOLLOWING","TGT")</f>
        <v>42755</v>
      </c>
      <c r="G182" s="95">
        <f ca="1"/>
        <v>-3.8639048710737015E-3</v>
      </c>
      <c r="H182" s="92" t="s">
        <v>4</v>
      </c>
      <c r="I182" s="97">
        <f ca="1">_xll.meDateFromTenor(I181,"1D","FOLLOWING","TGT")</f>
        <v>42755</v>
      </c>
      <c r="J182" s="95">
        <f ca="1"/>
        <v>-2.9753069106985171E-3</v>
      </c>
      <c r="K182" s="5" t="s">
        <v>4</v>
      </c>
      <c r="L182" s="97">
        <f ca="1">_xll.meDateFromTenor(L181,"1D","FOLLOWING","TGT")</f>
        <v>42755</v>
      </c>
      <c r="M182" s="95">
        <f ca="1"/>
        <v>-1.7003872448776776E-3</v>
      </c>
      <c r="N182" s="5" t="s">
        <v>4</v>
      </c>
      <c r="O182" s="97">
        <f ca="1">_xll.meDateFromTenor(O181,"1D","FOLLOWING","TGT")</f>
        <v>42755</v>
      </c>
      <c r="P182" s="95">
        <f ca="1"/>
        <v>-2.7097303045889895E-4</v>
      </c>
      <c r="Q182" s="5" t="s">
        <v>4</v>
      </c>
      <c r="R182" s="83" t="s">
        <v>4</v>
      </c>
    </row>
    <row r="183" spans="1:18" x14ac:dyDescent="0.25">
      <c r="A183" s="88">
        <v>169</v>
      </c>
      <c r="B183" s="82"/>
      <c r="C183" s="97">
        <f ca="1">_xll.meDateFromTenor(C182,"1D","FOLLOWING","TGT")</f>
        <v>42758</v>
      </c>
      <c r="D183" s="95">
        <f ca="1"/>
        <v>-3.9684660005762096E-3</v>
      </c>
      <c r="E183" s="92"/>
      <c r="F183" s="97">
        <f ca="1">_xll.meDateFromTenor(F182,"1D","FOLLOWING","TGT")</f>
        <v>42758</v>
      </c>
      <c r="G183" s="95">
        <f ca="1"/>
        <v>-3.8678086870013802E-3</v>
      </c>
      <c r="H183" s="92" t="s">
        <v>4</v>
      </c>
      <c r="I183" s="97">
        <f ca="1">_xll.meDateFromTenor(I182,"1D","FOLLOWING","TGT")</f>
        <v>42758</v>
      </c>
      <c r="J183" s="95">
        <f ca="1"/>
        <v>-2.9772717440451359E-3</v>
      </c>
      <c r="K183" s="5" t="s">
        <v>4</v>
      </c>
      <c r="L183" s="97">
        <f ca="1">_xll.meDateFromTenor(L182,"1D","FOLLOWING","TGT")</f>
        <v>42758</v>
      </c>
      <c r="M183" s="95">
        <f ca="1"/>
        <v>-1.7017633772110131E-3</v>
      </c>
      <c r="N183" s="5" t="s">
        <v>4</v>
      </c>
      <c r="O183" s="97">
        <f ca="1">_xll.meDateFromTenor(O182,"1D","FOLLOWING","TGT")</f>
        <v>42758</v>
      </c>
      <c r="P183" s="95">
        <f ca="1"/>
        <v>-2.7087944629289448E-4</v>
      </c>
      <c r="Q183" s="5" t="s">
        <v>4</v>
      </c>
      <c r="R183" s="83" t="s">
        <v>4</v>
      </c>
    </row>
    <row r="184" spans="1:18" x14ac:dyDescent="0.25">
      <c r="A184" s="88">
        <v>170</v>
      </c>
      <c r="B184" s="82"/>
      <c r="C184" s="97">
        <f ca="1">_xll.meDateFromTenor(C183,"1D","FOLLOWING","TGT")</f>
        <v>42759</v>
      </c>
      <c r="D184" s="95">
        <f ca="1"/>
        <v>-3.9714652335446354E-3</v>
      </c>
      <c r="E184" s="92"/>
      <c r="F184" s="97">
        <f ca="1">_xll.meDateFromTenor(F183,"1D","FOLLOWING","TGT")</f>
        <v>42759</v>
      </c>
      <c r="G184" s="95">
        <f ca="1"/>
        <v>-3.8691124593349066E-3</v>
      </c>
      <c r="H184" s="92" t="s">
        <v>4</v>
      </c>
      <c r="I184" s="97">
        <f ca="1">_xll.meDateFromTenor(I183,"1D","FOLLOWING","TGT")</f>
        <v>42759</v>
      </c>
      <c r="J184" s="95">
        <f ca="1"/>
        <v>-2.9779266884924524E-3</v>
      </c>
      <c r="K184" s="5" t="s">
        <v>4</v>
      </c>
      <c r="L184" s="97">
        <f ca="1">_xll.meDateFromTenor(L183,"1D","FOLLOWING","TGT")</f>
        <v>42759</v>
      </c>
      <c r="M184" s="95">
        <f ca="1"/>
        <v>-1.7022167542392226E-3</v>
      </c>
      <c r="N184" s="5" t="s">
        <v>4</v>
      </c>
      <c r="O184" s="97">
        <f ca="1">_xll.meDateFromTenor(O183,"1D","FOLLOWING","TGT")</f>
        <v>42759</v>
      </c>
      <c r="P184" s="95">
        <f ca="1"/>
        <v>-2.7083402286589713E-4</v>
      </c>
      <c r="Q184" s="5" t="s">
        <v>4</v>
      </c>
      <c r="R184" s="83" t="s">
        <v>4</v>
      </c>
    </row>
    <row r="185" spans="1:18" x14ac:dyDescent="0.25">
      <c r="A185" s="88">
        <v>171</v>
      </c>
      <c r="B185" s="82"/>
      <c r="C185" s="97">
        <f ca="1">_xll.meDateFromTenor(C184,"1D","FOLLOWING","TGT")</f>
        <v>42760</v>
      </c>
      <c r="D185" s="95">
        <f ca="1"/>
        <v>-3.9744561240800946E-3</v>
      </c>
      <c r="E185" s="92"/>
      <c r="F185" s="97">
        <f ca="1">_xll.meDateFromTenor(F184,"1D","FOLLOWING","TGT")</f>
        <v>42760</v>
      </c>
      <c r="G185" s="95">
        <f ca="1"/>
        <v>-3.8704200714817488E-3</v>
      </c>
      <c r="H185" s="92" t="s">
        <v>4</v>
      </c>
      <c r="I185" s="97">
        <f ca="1">_xll.meDateFromTenor(I184,"1D","FOLLOWING","TGT")</f>
        <v>42760</v>
      </c>
      <c r="J185" s="95">
        <f ca="1"/>
        <v>-2.9785816329367045E-3</v>
      </c>
      <c r="K185" s="5" t="s">
        <v>4</v>
      </c>
      <c r="L185" s="97">
        <f ca="1">_xll.meDateFromTenor(L184,"1D","FOLLOWING","TGT")</f>
        <v>42760</v>
      </c>
      <c r="M185" s="95">
        <f ca="1"/>
        <v>-1.7026674988824271E-3</v>
      </c>
      <c r="N185" s="5" t="s">
        <v>4</v>
      </c>
      <c r="O185" s="97">
        <f ca="1">_xll.meDateFromTenor(O184,"1D","FOLLOWING","TGT")</f>
        <v>42760</v>
      </c>
      <c r="P185" s="95">
        <f ca="1"/>
        <v>-2.7078143436107011E-4</v>
      </c>
      <c r="Q185" s="5" t="s">
        <v>4</v>
      </c>
      <c r="R185" s="83" t="s">
        <v>4</v>
      </c>
    </row>
    <row r="186" spans="1:18" x14ac:dyDescent="0.25">
      <c r="A186" s="88">
        <v>172</v>
      </c>
      <c r="B186" s="82"/>
      <c r="C186" s="97">
        <f ca="1">_xll.meDateFromTenor(C185,"1D","FOLLOWING","TGT")</f>
        <v>42761</v>
      </c>
      <c r="D186" s="95">
        <f ca="1"/>
        <v>-3.9774384439099641E-3</v>
      </c>
      <c r="E186" s="92"/>
      <c r="F186" s="97">
        <f ca="1">_xll.meDateFromTenor(F185,"1D","FOLLOWING","TGT")</f>
        <v>42761</v>
      </c>
      <c r="G186" s="95">
        <f ca="1"/>
        <v>-3.8717330772226077E-3</v>
      </c>
      <c r="H186" s="92" t="s">
        <v>4</v>
      </c>
      <c r="I186" s="97">
        <f ca="1">_xll.meDateFromTenor(I185,"1D","FOLLOWING","TGT")</f>
        <v>42761</v>
      </c>
      <c r="J186" s="95">
        <f ca="1"/>
        <v>-2.9792365773894198E-3</v>
      </c>
      <c r="K186" s="5" t="s">
        <v>4</v>
      </c>
      <c r="L186" s="97">
        <f ca="1">_xll.meDateFromTenor(L185,"1D","FOLLOWING","TGT")</f>
        <v>42761</v>
      </c>
      <c r="M186" s="95">
        <f ca="1"/>
        <v>-1.7031156318344936E-3</v>
      </c>
      <c r="N186" s="5" t="s">
        <v>4</v>
      </c>
      <c r="O186" s="97">
        <f ca="1">_xll.meDateFromTenor(O185,"1D","FOLLOWING","TGT")</f>
        <v>42761</v>
      </c>
      <c r="P186" s="95">
        <f ca="1"/>
        <v>-2.7072165034321458E-4</v>
      </c>
      <c r="Q186" s="5" t="s">
        <v>4</v>
      </c>
      <c r="R186" s="83" t="s">
        <v>4</v>
      </c>
    </row>
    <row r="187" spans="1:18" x14ac:dyDescent="0.25">
      <c r="A187" s="88">
        <v>173</v>
      </c>
      <c r="B187" s="82"/>
      <c r="C187" s="97">
        <f ca="1">_xll.meDateFromTenor(C186,"1D","FOLLOWING","TGT")</f>
        <v>42762</v>
      </c>
      <c r="D187" s="95">
        <f ca="1"/>
        <v>-3.9804120272650678E-3</v>
      </c>
      <c r="E187" s="92"/>
      <c r="F187" s="97">
        <f ca="1">_xll.meDateFromTenor(F186,"1D","FOLLOWING","TGT")</f>
        <v>42762</v>
      </c>
      <c r="G187" s="95">
        <f ca="1"/>
        <v>-3.8730530303381816E-3</v>
      </c>
      <c r="H187" s="92" t="s">
        <v>4</v>
      </c>
      <c r="I187" s="97">
        <f ca="1">_xll.meDateFromTenor(I186,"1D","FOLLOWING","TGT")</f>
        <v>42762</v>
      </c>
      <c r="J187" s="95">
        <f ca="1"/>
        <v>-2.9798915218536629E-3</v>
      </c>
      <c r="K187" s="5" t="s">
        <v>4</v>
      </c>
      <c r="L187" s="97">
        <f ca="1">_xll.meDateFromTenor(L186,"1D","FOLLOWING","TGT")</f>
        <v>42762</v>
      </c>
      <c r="M187" s="95">
        <f ca="1"/>
        <v>-1.7035611737892897E-3</v>
      </c>
      <c r="N187" s="5" t="s">
        <v>4</v>
      </c>
      <c r="O187" s="97">
        <f ca="1">_xll.meDateFromTenor(O186,"1D","FOLLOWING","TGT")</f>
        <v>42762</v>
      </c>
      <c r="P187" s="95">
        <f ca="1"/>
        <v>-2.7065464037713142E-4</v>
      </c>
      <c r="Q187" s="5" t="s">
        <v>4</v>
      </c>
      <c r="R187" s="83" t="s">
        <v>4</v>
      </c>
    </row>
    <row r="188" spans="1:18" x14ac:dyDescent="0.25">
      <c r="A188" s="88">
        <v>174</v>
      </c>
      <c r="B188" s="82"/>
      <c r="C188" s="97">
        <f ca="1">_xll.meDateFromTenor(C187,"1D","FOLLOWING","TGT")</f>
        <v>42765</v>
      </c>
      <c r="D188" s="95">
        <f ca="1"/>
        <v>-3.9892774539194154E-3</v>
      </c>
      <c r="E188" s="92"/>
      <c r="F188" s="97">
        <f ca="1">_xll.meDateFromTenor(F187,"1D","FOLLOWING","TGT")</f>
        <v>42765</v>
      </c>
      <c r="G188" s="95">
        <f ca="1"/>
        <v>-3.8770701117401955E-3</v>
      </c>
      <c r="H188" s="92" t="s">
        <v>4</v>
      </c>
      <c r="I188" s="97">
        <f ca="1">_xll.meDateFromTenor(I187,"1D","FOLLOWING","TGT")</f>
        <v>42765</v>
      </c>
      <c r="J188" s="95">
        <f ca="1"/>
        <v>-2.9818563551833547E-3</v>
      </c>
      <c r="K188" s="5" t="s">
        <v>4</v>
      </c>
      <c r="L188" s="97">
        <f ca="1">_xll.meDateFromTenor(L187,"1D","FOLLOWING","TGT")</f>
        <v>42765</v>
      </c>
      <c r="M188" s="95">
        <f ca="1"/>
        <v>-1.70488246060873E-3</v>
      </c>
      <c r="N188" s="5" t="s">
        <v>4</v>
      </c>
      <c r="O188" s="97">
        <f ca="1">_xll.meDateFromTenor(O187,"1D","FOLLOWING","TGT")</f>
        <v>42765</v>
      </c>
      <c r="P188" s="95">
        <f ca="1"/>
        <v>-2.7040995043752663E-4</v>
      </c>
      <c r="Q188" s="5" t="s">
        <v>4</v>
      </c>
      <c r="R188" s="83" t="s">
        <v>4</v>
      </c>
    </row>
    <row r="189" spans="1:18" x14ac:dyDescent="0.25">
      <c r="A189" s="88">
        <v>175</v>
      </c>
      <c r="B189" s="82"/>
      <c r="C189" s="97">
        <f ca="1">_xll.meDateFromTenor(C188,"1D","FOLLOWING","TGT")</f>
        <v>42766</v>
      </c>
      <c r="D189" s="95">
        <f ca="1"/>
        <v>-3.9922134986911662E-3</v>
      </c>
      <c r="E189" s="92"/>
      <c r="F189" s="97">
        <f ca="1">_xll.meDateFromTenor(F188,"1D","FOLLOWING","TGT")</f>
        <v>42766</v>
      </c>
      <c r="G189" s="95">
        <f ca="1"/>
        <v>-3.8784333921616297E-3</v>
      </c>
      <c r="H189" s="92" t="s">
        <v>4</v>
      </c>
      <c r="I189" s="97">
        <f ca="1">_xll.meDateFromTenor(I188,"1D","FOLLOWING","TGT")</f>
        <v>42766</v>
      </c>
      <c r="J189" s="95">
        <f ca="1"/>
        <v>-2.9825112998512985E-3</v>
      </c>
      <c r="K189" s="5" t="s">
        <v>4</v>
      </c>
      <c r="L189" s="97">
        <f ca="1">_xll.meDateFromTenor(L188,"1D","FOLLOWING","TGT")</f>
        <v>42766</v>
      </c>
      <c r="M189" s="95">
        <f ca="1"/>
        <v>-1.7053178455131192E-3</v>
      </c>
      <c r="N189" s="5" t="s">
        <v>4</v>
      </c>
      <c r="O189" s="97">
        <f ca="1">_xll.meDateFromTenor(O188,"1D","FOLLOWING","TGT")</f>
        <v>42766</v>
      </c>
      <c r="P189" s="95">
        <f ca="1"/>
        <v>-2.7031373232654326E-4</v>
      </c>
      <c r="Q189" s="5" t="s">
        <v>4</v>
      </c>
      <c r="R189" s="83" t="s">
        <v>4</v>
      </c>
    </row>
    <row r="190" spans="1:18" x14ac:dyDescent="0.25">
      <c r="A190" s="88">
        <v>176</v>
      </c>
      <c r="B190" s="82"/>
      <c r="C190" s="97">
        <f ca="1">_xll.meDateFromTenor(C189,"1D","FOLLOWING","TGT")</f>
        <v>42767</v>
      </c>
      <c r="D190" s="95">
        <f ca="1"/>
        <v>-3.9951396041703058E-3</v>
      </c>
      <c r="E190" s="92"/>
      <c r="F190" s="97">
        <f ca="1">_xll.meDateFromTenor(F189,"1D","FOLLOWING","TGT")</f>
        <v>42767</v>
      </c>
      <c r="G190" s="95">
        <f ca="1"/>
        <v>-3.8798113888612773E-3</v>
      </c>
      <c r="H190" s="92" t="s">
        <v>4</v>
      </c>
      <c r="I190" s="97">
        <f ca="1">_xll.meDateFromTenor(I189,"1D","FOLLOWING","TGT")</f>
        <v>42767</v>
      </c>
      <c r="J190" s="95">
        <f ca="1"/>
        <v>-2.9831662440803221E-3</v>
      </c>
      <c r="K190" s="5" t="s">
        <v>4</v>
      </c>
      <c r="L190" s="97">
        <f ca="1">_xll.meDateFromTenor(L189,"1D","FOLLOWING","TGT")</f>
        <v>42767</v>
      </c>
      <c r="M190" s="95">
        <f ca="1"/>
        <v>-1.705750742889575E-3</v>
      </c>
      <c r="N190" s="5" t="s">
        <v>4</v>
      </c>
      <c r="O190" s="97">
        <f ca="1">_xll.meDateFromTenor(O189,"1D","FOLLOWING","TGT")</f>
        <v>42767</v>
      </c>
      <c r="P190" s="95">
        <f ca="1"/>
        <v>-2.7021013609133753E-4</v>
      </c>
      <c r="Q190" s="5" t="s">
        <v>4</v>
      </c>
      <c r="R190" s="83" t="s">
        <v>4</v>
      </c>
    </row>
    <row r="191" spans="1:18" x14ac:dyDescent="0.25">
      <c r="A191" s="88">
        <v>177</v>
      </c>
      <c r="B191" s="82"/>
      <c r="C191" s="97">
        <f ca="1">_xll.meDateFromTenor(C190,"1D","FOLLOWING","TGT")</f>
        <v>42768</v>
      </c>
      <c r="D191" s="95">
        <f ca="1"/>
        <v>-3.9980555423005937E-3</v>
      </c>
      <c r="E191" s="92"/>
      <c r="F191" s="97">
        <f ca="1">_xll.meDateFromTenor(F190,"1D","FOLLOWING","TGT")</f>
        <v>42768</v>
      </c>
      <c r="G191" s="95">
        <f ca="1"/>
        <v>-3.8812056556198397E-3</v>
      </c>
      <c r="H191" s="92" t="s">
        <v>4</v>
      </c>
      <c r="I191" s="97">
        <f ca="1">_xll.meDateFromTenor(I190,"1D","FOLLOWING","TGT")</f>
        <v>42768</v>
      </c>
      <c r="J191" s="95">
        <f ca="1"/>
        <v>-2.9838211877097707E-3</v>
      </c>
      <c r="K191" s="5" t="s">
        <v>4</v>
      </c>
      <c r="L191" s="97">
        <f ca="1">_xll.meDateFromTenor(L190,"1D","FOLLOWING","TGT")</f>
        <v>42768</v>
      </c>
      <c r="M191" s="95">
        <f ca="1"/>
        <v>-1.7061811734319649E-3</v>
      </c>
      <c r="N191" s="5" t="s">
        <v>4</v>
      </c>
      <c r="O191" s="97">
        <f ca="1">_xll.meDateFromTenor(O190,"1D","FOLLOWING","TGT")</f>
        <v>42768</v>
      </c>
      <c r="P191" s="95">
        <f ca="1"/>
        <v>-2.7009913129671015E-4</v>
      </c>
      <c r="Q191" s="5" t="s">
        <v>4</v>
      </c>
      <c r="R191" s="83" t="s">
        <v>4</v>
      </c>
    </row>
    <row r="192" spans="1:18" x14ac:dyDescent="0.25">
      <c r="A192" s="88">
        <v>178</v>
      </c>
      <c r="B192" s="82"/>
      <c r="C192" s="97">
        <f ca="1">_xll.meDateFromTenor(C191,"1D","FOLLOWING","TGT")</f>
        <v>42769</v>
      </c>
      <c r="D192" s="95">
        <f ca="1"/>
        <v>-4.0009611474081108E-3</v>
      </c>
      <c r="E192" s="92"/>
      <c r="F192" s="97">
        <f ca="1">_xll.meDateFromTenor(F191,"1D","FOLLOWING","TGT")</f>
        <v>42769</v>
      </c>
      <c r="G192" s="95">
        <f ca="1"/>
        <v>-3.8826172816318824E-3</v>
      </c>
      <c r="H192" s="92" t="s">
        <v>4</v>
      </c>
      <c r="I192" s="97">
        <f ca="1">_xll.meDateFromTenor(I191,"1D","FOLLOWING","TGT")</f>
        <v>42769</v>
      </c>
      <c r="J192" s="95">
        <f ca="1"/>
        <v>-2.9844761329772896E-3</v>
      </c>
      <c r="K192" s="5" t="s">
        <v>4</v>
      </c>
      <c r="L192" s="97">
        <f ca="1">_xll.meDateFromTenor(L191,"1D","FOLLOWING","TGT")</f>
        <v>42769</v>
      </c>
      <c r="M192" s="95">
        <f ca="1"/>
        <v>-1.706609157834157E-3</v>
      </c>
      <c r="N192" s="5" t="s">
        <v>4</v>
      </c>
      <c r="O192" s="97">
        <f ca="1">_xll.meDateFromTenor(O191,"1D","FOLLOWING","TGT")</f>
        <v>42769</v>
      </c>
      <c r="P192" s="95">
        <f ca="1"/>
        <v>-2.6998068750746227E-4</v>
      </c>
      <c r="Q192" s="5" t="s">
        <v>4</v>
      </c>
      <c r="R192" s="83" t="s">
        <v>4</v>
      </c>
    </row>
    <row r="193" spans="1:18" x14ac:dyDescent="0.25">
      <c r="A193" s="88">
        <v>179</v>
      </c>
      <c r="B193" s="82"/>
      <c r="C193" s="97">
        <f ca="1">_xll.meDateFromTenor(C192,"1D","FOLLOWING","TGT")</f>
        <v>42772</v>
      </c>
      <c r="D193" s="95">
        <f ca="1"/>
        <v>-4.0096130593747503E-3</v>
      </c>
      <c r="E193" s="92"/>
      <c r="F193" s="97">
        <f ca="1">_xll.meDateFromTenor(F192,"1D","FOLLOWING","TGT")</f>
        <v>42772</v>
      </c>
      <c r="G193" s="95">
        <f ca="1"/>
        <v>-3.8869467653446935E-3</v>
      </c>
      <c r="H193" s="92" t="s">
        <v>4</v>
      </c>
      <c r="I193" s="97">
        <f ca="1">_xll.meDateFromTenor(I192,"1D","FOLLOWING","TGT")</f>
        <v>42772</v>
      </c>
      <c r="J193" s="95">
        <f ca="1"/>
        <v>-2.9864409549150588E-3</v>
      </c>
      <c r="K193" s="5" t="s">
        <v>4</v>
      </c>
      <c r="L193" s="97">
        <f ca="1">_xll.meDateFromTenor(L192,"1D","FOLLOWING","TGT")</f>
        <v>42772</v>
      </c>
      <c r="M193" s="95">
        <f ca="1"/>
        <v>-1.7078786411382177E-3</v>
      </c>
      <c r="N193" s="5" t="s">
        <v>4</v>
      </c>
      <c r="O193" s="97">
        <f ca="1">_xll.meDateFromTenor(O192,"1D","FOLLOWING","TGT")</f>
        <v>42772</v>
      </c>
      <c r="P193" s="95">
        <f ca="1"/>
        <v>-2.6958041782000592E-4</v>
      </c>
      <c r="Q193" s="5" t="s">
        <v>4</v>
      </c>
      <c r="R193" s="83" t="s">
        <v>4</v>
      </c>
    </row>
    <row r="194" spans="1:18" x14ac:dyDescent="0.25">
      <c r="A194" s="88">
        <v>180</v>
      </c>
      <c r="B194" s="82"/>
      <c r="C194" s="97">
        <f ca="1">_xll.meDateFromTenor(C193,"1D","FOLLOWING","TGT")</f>
        <v>42773</v>
      </c>
      <c r="D194" s="95">
        <f ca="1"/>
        <v>-4.0124747394416627E-3</v>
      </c>
      <c r="E194" s="92"/>
      <c r="F194" s="97">
        <f ca="1">_xll.meDateFromTenor(F193,"1D","FOLLOWING","TGT")</f>
        <v>42773</v>
      </c>
      <c r="G194" s="95">
        <f ca="1"/>
        <v>-3.8884173493541939E-3</v>
      </c>
      <c r="H194" s="92" t="s">
        <v>4</v>
      </c>
      <c r="I194" s="97">
        <f ca="1">_xll.meDateFromTenor(I193,"1D","FOLLOWING","TGT")</f>
        <v>42773</v>
      </c>
      <c r="J194" s="95">
        <f ca="1"/>
        <v>-2.9870959107712249E-3</v>
      </c>
      <c r="K194" s="5" t="s">
        <v>4</v>
      </c>
      <c r="L194" s="97">
        <f ca="1">_xll.meDateFromTenor(L193,"1D","FOLLOWING","TGT")</f>
        <v>42773</v>
      </c>
      <c r="M194" s="95">
        <f ca="1"/>
        <v>-1.7082970479182914E-3</v>
      </c>
      <c r="N194" s="5" t="s">
        <v>4</v>
      </c>
      <c r="O194" s="97">
        <f ca="1">_xll.meDateFromTenor(O193,"1D","FOLLOWING","TGT")</f>
        <v>42773</v>
      </c>
      <c r="P194" s="95">
        <f ca="1"/>
        <v>-2.6943191370028621E-4</v>
      </c>
      <c r="Q194" s="5" t="s">
        <v>4</v>
      </c>
      <c r="R194" s="83" t="s">
        <v>4</v>
      </c>
    </row>
    <row r="195" spans="1:18" x14ac:dyDescent="0.25">
      <c r="A195" s="88">
        <v>181</v>
      </c>
      <c r="B195" s="82"/>
      <c r="C195" s="97">
        <f ca="1">_xll.meDateFromTenor(C194,"1D","FOLLOWING","TGT")</f>
        <v>42774</v>
      </c>
      <c r="D195" s="95">
        <f ca="1"/>
        <v>-4.0153248835125277E-3</v>
      </c>
      <c r="E195" s="92"/>
      <c r="F195" s="97">
        <f ca="1">_xll.meDateFromTenor(F194,"1D","FOLLOWING","TGT")</f>
        <v>42774</v>
      </c>
      <c r="G195" s="95">
        <f ca="1"/>
        <v>-3.8898995885228087E-3</v>
      </c>
      <c r="H195" s="92" t="s">
        <v>4</v>
      </c>
      <c r="I195" s="97">
        <f ca="1">_xll.meDateFromTenor(I194,"1D","FOLLOWING","TGT")</f>
        <v>42774</v>
      </c>
      <c r="J195" s="95">
        <f ca="1"/>
        <v>-2.9877508977937586E-3</v>
      </c>
      <c r="K195" s="5" t="s">
        <v>4</v>
      </c>
      <c r="L195" s="97">
        <f ca="1">_xll.meDateFromTenor(L194,"1D","FOLLOWING","TGT")</f>
        <v>42774</v>
      </c>
      <c r="M195" s="95">
        <f ca="1"/>
        <v>-1.7087131120275038E-3</v>
      </c>
      <c r="N195" s="5" t="s">
        <v>4</v>
      </c>
      <c r="O195" s="97">
        <f ca="1">_xll.meDateFromTenor(O194,"1D","FOLLOWING","TGT")</f>
        <v>42774</v>
      </c>
      <c r="P195" s="95">
        <f ca="1"/>
        <v>-2.6927581840995111E-4</v>
      </c>
      <c r="Q195" s="5" t="s">
        <v>4</v>
      </c>
      <c r="R195" s="83" t="s">
        <v>4</v>
      </c>
    </row>
    <row r="196" spans="1:18" x14ac:dyDescent="0.25">
      <c r="A196" s="88">
        <v>182</v>
      </c>
      <c r="B196" s="82"/>
      <c r="C196" s="97">
        <f ca="1">_xll.meDateFromTenor(C195,"1D","FOLLOWING","TGT")</f>
        <v>42775</v>
      </c>
      <c r="D196" s="95">
        <f ca="1"/>
        <v>-4.0181632637865672E-3</v>
      </c>
      <c r="E196" s="92"/>
      <c r="F196" s="97">
        <f ca="1">_xll.meDateFromTenor(F195,"1D","FOLLOWING","TGT")</f>
        <v>42775</v>
      </c>
      <c r="G196" s="95">
        <f ca="1"/>
        <v>-3.8913922491144396E-3</v>
      </c>
      <c r="H196" s="92" t="s">
        <v>4</v>
      </c>
      <c r="I196" s="97">
        <f ca="1">_xll.meDateFromTenor(I195,"1D","FOLLOWING","TGT")</f>
        <v>42775</v>
      </c>
      <c r="J196" s="95">
        <f ca="1"/>
        <v>-2.9884057996681923E-3</v>
      </c>
      <c r="K196" s="5" t="s">
        <v>4</v>
      </c>
      <c r="L196" s="97">
        <f ca="1">_xll.meDateFromTenor(L195,"1D","FOLLOWING","TGT")</f>
        <v>42775</v>
      </c>
      <c r="M196" s="95">
        <f ca="1"/>
        <v>-1.7091268541597228E-3</v>
      </c>
      <c r="N196" s="5" t="s">
        <v>4</v>
      </c>
      <c r="O196" s="97">
        <f ca="1">_xll.meDateFromTenor(O195,"1D","FOLLOWING","TGT")</f>
        <v>42775</v>
      </c>
      <c r="P196" s="95">
        <f ca="1"/>
        <v>-2.6911210151380155E-4</v>
      </c>
      <c r="Q196" s="5" t="s">
        <v>4</v>
      </c>
      <c r="R196" s="83" t="s">
        <v>4</v>
      </c>
    </row>
    <row r="197" spans="1:18" x14ac:dyDescent="0.25">
      <c r="A197" s="88">
        <v>183</v>
      </c>
      <c r="B197" s="82"/>
      <c r="C197" s="97">
        <f ca="1">_xll.meDateFromTenor(C196,"1D","FOLLOWING","TGT")</f>
        <v>42776</v>
      </c>
      <c r="D197" s="95">
        <f ca="1"/>
        <v>-4.0209897145243589E-3</v>
      </c>
      <c r="E197" s="92"/>
      <c r="F197" s="97">
        <f ca="1">_xll.meDateFromTenor(F196,"1D","FOLLOWING","TGT")</f>
        <v>42776</v>
      </c>
      <c r="G197" s="95">
        <f ca="1"/>
        <v>-3.8928940973929865E-3</v>
      </c>
      <c r="H197" s="92" t="s">
        <v>4</v>
      </c>
      <c r="I197" s="97">
        <f ca="1">_xll.meDateFromTenor(I196,"1D","FOLLOWING","TGT")</f>
        <v>42776</v>
      </c>
      <c r="J197" s="95">
        <f ca="1"/>
        <v>-2.9890605852281576E-3</v>
      </c>
      <c r="K197" s="5" t="s">
        <v>4</v>
      </c>
      <c r="L197" s="97">
        <f ca="1">_xll.meDateFromTenor(L196,"1D","FOLLOWING","TGT")</f>
        <v>42776</v>
      </c>
      <c r="M197" s="95">
        <f ca="1"/>
        <v>-1.7095382950088156E-3</v>
      </c>
      <c r="N197" s="5" t="s">
        <v>4</v>
      </c>
      <c r="O197" s="97">
        <f ca="1">_xll.meDateFromTenor(O196,"1D","FOLLOWING","TGT")</f>
        <v>42776</v>
      </c>
      <c r="P197" s="95">
        <f ca="1"/>
        <v>-2.6894073257663858E-4</v>
      </c>
      <c r="Q197" s="5" t="s">
        <v>4</v>
      </c>
      <c r="R197" s="83" t="s">
        <v>4</v>
      </c>
    </row>
    <row r="198" spans="1:18" x14ac:dyDescent="0.25">
      <c r="A198" s="88">
        <v>184</v>
      </c>
      <c r="B198" s="82"/>
      <c r="C198" s="97">
        <f ca="1">_xll.meDateFromTenor(C197,"1D","FOLLOWING","TGT")</f>
        <v>42779</v>
      </c>
      <c r="D198" s="95">
        <f ca="1"/>
        <v>-4.0293945839919854E-3</v>
      </c>
      <c r="E198" s="92"/>
      <c r="F198" s="97">
        <f ca="1">_xll.meDateFromTenor(F197,"1D","FOLLOWING","TGT")</f>
        <v>42779</v>
      </c>
      <c r="G198" s="95">
        <f ca="1"/>
        <v>-3.8974424309891247E-3</v>
      </c>
      <c r="H198" s="92" t="s">
        <v>4</v>
      </c>
      <c r="I198" s="97">
        <f ca="1">_xll.meDateFromTenor(I197,"1D","FOLLOWING","TGT")</f>
        <v>42779</v>
      </c>
      <c r="J198" s="95">
        <f ca="1"/>
        <v>-2.9910255774621272E-3</v>
      </c>
      <c r="K198" s="5" t="s">
        <v>4</v>
      </c>
      <c r="L198" s="97">
        <f ca="1">_xll.meDateFromTenor(L197,"1D","FOLLOWING","TGT")</f>
        <v>42779</v>
      </c>
      <c r="M198" s="95">
        <f ca="1"/>
        <v>-1.7107590167960123E-3</v>
      </c>
      <c r="N198" s="5" t="s">
        <v>4</v>
      </c>
      <c r="O198" s="97">
        <f ca="1">_xll.meDateFromTenor(O197,"1D","FOLLOWING","TGT")</f>
        <v>42779</v>
      </c>
      <c r="P198" s="95">
        <f ca="1"/>
        <v>-2.6838040916707932E-4</v>
      </c>
      <c r="Q198" s="5" t="s">
        <v>4</v>
      </c>
      <c r="R198" s="83" t="s">
        <v>4</v>
      </c>
    </row>
    <row r="199" spans="1:18" x14ac:dyDescent="0.25">
      <c r="A199" s="88">
        <v>185</v>
      </c>
      <c r="B199" s="82"/>
      <c r="C199" s="97">
        <f ca="1">_xll.meDateFromTenor(C198,"1D","FOLLOWING","TGT")</f>
        <v>42780</v>
      </c>
      <c r="D199" s="95">
        <f ca="1"/>
        <v>-4.0321707235576598E-3</v>
      </c>
      <c r="E199" s="92"/>
      <c r="F199" s="97">
        <f ca="1">_xll.meDateFromTenor(F198,"1D","FOLLOWING","TGT")</f>
        <v>42780</v>
      </c>
      <c r="G199" s="95">
        <f ca="1"/>
        <v>-3.898968692654338E-3</v>
      </c>
      <c r="H199" s="92" t="s">
        <v>4</v>
      </c>
      <c r="I199" s="97">
        <f ca="1">_xll.meDateFromTenor(I198,"1D","FOLLOWING","TGT")</f>
        <v>42780</v>
      </c>
      <c r="J199" s="95">
        <f ca="1"/>
        <v>-2.9916783088790345E-3</v>
      </c>
      <c r="K199" s="5" t="s">
        <v>4</v>
      </c>
      <c r="L199" s="97">
        <f ca="1">_xll.meDateFromTenor(L198,"1D","FOLLOWING","TGT")</f>
        <v>42780</v>
      </c>
      <c r="M199" s="95">
        <f ca="1"/>
        <v>-1.7111614594512753E-3</v>
      </c>
      <c r="N199" s="5" t="s">
        <v>4</v>
      </c>
      <c r="O199" s="97">
        <f ca="1">_xll.meDateFromTenor(O198,"1D","FOLLOWING","TGT")</f>
        <v>42780</v>
      </c>
      <c r="P199" s="95">
        <f ca="1"/>
        <v>-2.6817812771387284E-4</v>
      </c>
      <c r="Q199" s="5" t="s">
        <v>4</v>
      </c>
      <c r="R199" s="83" t="s">
        <v>4</v>
      </c>
    </row>
    <row r="200" spans="1:18" x14ac:dyDescent="0.25">
      <c r="A200" s="88">
        <v>186</v>
      </c>
      <c r="B200" s="82"/>
      <c r="C200" s="97">
        <f ca="1">_xll.meDateFromTenor(C199,"1D","FOLLOWING","TGT")</f>
        <v>42781</v>
      </c>
      <c r="D200" s="95">
        <f ca="1"/>
        <v>-4.0349337308113187E-3</v>
      </c>
      <c r="E200" s="92"/>
      <c r="F200" s="97">
        <f ca="1">_xll.meDateFromTenor(F199,"1D","FOLLOWING","TGT")</f>
        <v>42781</v>
      </c>
      <c r="G200" s="95">
        <f ca="1"/>
        <v>-3.900497973325969E-3</v>
      </c>
      <c r="H200" s="92" t="s">
        <v>4</v>
      </c>
      <c r="I200" s="97">
        <f ca="1">_xll.meDateFromTenor(I199,"1D","FOLLOWING","TGT")</f>
        <v>42781</v>
      </c>
      <c r="J200" s="95">
        <f ca="1"/>
        <v>-2.9923354663590946E-3</v>
      </c>
      <c r="K200" s="5" t="s">
        <v>4</v>
      </c>
      <c r="L200" s="97">
        <f ca="1">_xll.meDateFromTenor(L199,"1D","FOLLOWING","TGT")</f>
        <v>42781</v>
      </c>
      <c r="M200" s="95">
        <f ca="1"/>
        <v>-1.7115617042927497E-3</v>
      </c>
      <c r="N200" s="5" t="s">
        <v>4</v>
      </c>
      <c r="O200" s="97">
        <f ca="1">_xll.meDateFromTenor(O199,"1D","FOLLOWING","TGT")</f>
        <v>42781</v>
      </c>
      <c r="P200" s="95">
        <f ca="1"/>
        <v>-2.6796804204365799E-4</v>
      </c>
      <c r="Q200" s="5" t="s">
        <v>4</v>
      </c>
      <c r="R200" s="83" t="s">
        <v>4</v>
      </c>
    </row>
    <row r="201" spans="1:18" x14ac:dyDescent="0.25">
      <c r="A201" s="88">
        <v>187</v>
      </c>
      <c r="B201" s="82"/>
      <c r="C201" s="97">
        <f ca="1">_xll.meDateFromTenor(C200,"1D","FOLLOWING","TGT")</f>
        <v>42782</v>
      </c>
      <c r="D201" s="95">
        <f ca="1"/>
        <v>-4.0376833775680465E-3</v>
      </c>
      <c r="E201" s="92"/>
      <c r="F201" s="97">
        <f ca="1">_xll.meDateFromTenor(F200,"1D","FOLLOWING","TGT")</f>
        <v>42782</v>
      </c>
      <c r="G201" s="95">
        <f ca="1"/>
        <v>-3.9020290392679183E-3</v>
      </c>
      <c r="H201" s="92" t="s">
        <v>4</v>
      </c>
      <c r="I201" s="97">
        <f ca="1">_xll.meDateFromTenor(I200,"1D","FOLLOWING","TGT")</f>
        <v>42782</v>
      </c>
      <c r="J201" s="95">
        <f ca="1"/>
        <v>-2.9929986699538604E-3</v>
      </c>
      <c r="K201" s="5" t="s">
        <v>4</v>
      </c>
      <c r="L201" s="97">
        <f ca="1">_xll.meDateFromTenor(L200,"1D","FOLLOWING","TGT")</f>
        <v>42782</v>
      </c>
      <c r="M201" s="95">
        <f ca="1"/>
        <v>-1.7119597720143024E-3</v>
      </c>
      <c r="N201" s="5" t="s">
        <v>4</v>
      </c>
      <c r="O201" s="97">
        <f ca="1">_xll.meDateFromTenor(O200,"1D","FOLLOWING","TGT")</f>
        <v>42782</v>
      </c>
      <c r="P201" s="95">
        <f ca="1"/>
        <v>-2.6775012172123582E-4</v>
      </c>
      <c r="Q201" s="5" t="s">
        <v>4</v>
      </c>
      <c r="R201" s="83" t="s">
        <v>4</v>
      </c>
    </row>
    <row r="202" spans="1:18" x14ac:dyDescent="0.25">
      <c r="A202" s="88">
        <v>188</v>
      </c>
      <c r="B202" s="82"/>
      <c r="C202" s="97">
        <f ca="1">_xll.meDateFromTenor(C201,"1D","FOLLOWING","TGT")</f>
        <v>42783</v>
      </c>
      <c r="D202" s="95">
        <f ca="1"/>
        <v>-4.0404194985003139E-3</v>
      </c>
      <c r="E202" s="92"/>
      <c r="F202" s="97">
        <f ca="1">_xll.meDateFromTenor(F201,"1D","FOLLOWING","TGT")</f>
        <v>42783</v>
      </c>
      <c r="G202" s="95">
        <f ca="1"/>
        <v>-3.9035606567440853E-3</v>
      </c>
      <c r="H202" s="92" t="s">
        <v>4</v>
      </c>
      <c r="I202" s="97">
        <f ca="1">_xll.meDateFromTenor(I201,"1D","FOLLOWING","TGT")</f>
        <v>42783</v>
      </c>
      <c r="J202" s="95">
        <f ca="1"/>
        <v>-2.9936453552560625E-3</v>
      </c>
      <c r="K202" s="5" t="s">
        <v>4</v>
      </c>
      <c r="L202" s="97">
        <f ca="1">_xll.meDateFromTenor(L201,"1D","FOLLOWING","TGT")</f>
        <v>42783</v>
      </c>
      <c r="M202" s="95">
        <f ca="1"/>
        <v>-1.7123556833098014E-3</v>
      </c>
      <c r="N202" s="5" t="s">
        <v>4</v>
      </c>
      <c r="O202" s="97">
        <f ca="1">_xll.meDateFromTenor(O201,"1D","FOLLOWING","TGT")</f>
        <v>42783</v>
      </c>
      <c r="P202" s="95">
        <f ca="1"/>
        <v>-2.6752433631140732E-4</v>
      </c>
      <c r="Q202" s="5" t="s">
        <v>4</v>
      </c>
      <c r="R202" s="83" t="s">
        <v>4</v>
      </c>
    </row>
    <row r="203" spans="1:18" x14ac:dyDescent="0.25">
      <c r="A203" s="88">
        <v>189</v>
      </c>
      <c r="B203" s="82"/>
      <c r="C203" s="97">
        <f ca="1">_xll.meDateFromTenor(C202,"1D","FOLLOWING","TGT")</f>
        <v>42786</v>
      </c>
      <c r="D203" s="95">
        <f ca="1"/>
        <v>-4.0485438000997798E-3</v>
      </c>
      <c r="E203" s="92"/>
      <c r="F203" s="97">
        <f ca="1">_xll.meDateFromTenor(F202,"1D","FOLLOWING","TGT")</f>
        <v>42786</v>
      </c>
      <c r="G203" s="95">
        <f ca="1"/>
        <v>-3.9081464810168994E-3</v>
      </c>
      <c r="H203" s="92" t="s">
        <v>4</v>
      </c>
      <c r="I203" s="97">
        <f ca="1">_xll.meDateFromTenor(I202,"1D","FOLLOWING","TGT")</f>
        <v>42786</v>
      </c>
      <c r="J203" s="95">
        <f ca="1"/>
        <v>-2.9957252236694387E-3</v>
      </c>
      <c r="K203" s="5" t="s">
        <v>4</v>
      </c>
      <c r="L203" s="97">
        <f ca="1">_xll.meDateFromTenor(L202,"1D","FOLLOWING","TGT")</f>
        <v>42786</v>
      </c>
      <c r="M203" s="95">
        <f ca="1"/>
        <v>-1.7135306855786492E-3</v>
      </c>
      <c r="N203" s="5" t="s">
        <v>4</v>
      </c>
      <c r="O203" s="97">
        <f ca="1">_xll.meDateFromTenor(O202,"1D","FOLLOWING","TGT")</f>
        <v>42786</v>
      </c>
      <c r="P203" s="95">
        <f ca="1"/>
        <v>-2.6679948520549391E-4</v>
      </c>
      <c r="Q203" s="5" t="s">
        <v>4</v>
      </c>
      <c r="R203" s="83" t="s">
        <v>4</v>
      </c>
    </row>
    <row r="204" spans="1:18" x14ac:dyDescent="0.25">
      <c r="A204" s="88">
        <v>190</v>
      </c>
      <c r="B204" s="82"/>
      <c r="C204" s="97">
        <f ca="1">_xll.meDateFromTenor(C203,"1D","FOLLOWING","TGT")</f>
        <v>42787</v>
      </c>
      <c r="D204" s="95">
        <f ca="1"/>
        <v>-4.0512232242961854E-3</v>
      </c>
      <c r="E204" s="92"/>
      <c r="F204" s="97">
        <f ca="1">_xll.meDateFromTenor(F203,"1D","FOLLOWING","TGT")</f>
        <v>42787</v>
      </c>
      <c r="G204" s="95">
        <f ca="1"/>
        <v>-3.9096679672689424E-3</v>
      </c>
      <c r="H204" s="92" t="s">
        <v>4</v>
      </c>
      <c r="I204" s="97">
        <f ca="1">_xll.meDateFromTenor(I203,"1D","FOLLOWING","TGT")</f>
        <v>42787</v>
      </c>
      <c r="J204" s="95">
        <f ca="1"/>
        <v>-2.9962651330499974E-3</v>
      </c>
      <c r="K204" s="5" t="s">
        <v>4</v>
      </c>
      <c r="L204" s="97">
        <f ca="1">_xll.meDateFromTenor(L203,"1D","FOLLOWING","TGT")</f>
        <v>42787</v>
      </c>
      <c r="M204" s="95">
        <f ca="1"/>
        <v>-1.7139181781086069E-3</v>
      </c>
      <c r="N204" s="5" t="s">
        <v>4</v>
      </c>
      <c r="O204" s="97">
        <f ca="1">_xll.meDateFromTenor(O203,"1D","FOLLOWING","TGT")</f>
        <v>42787</v>
      </c>
      <c r="P204" s="95">
        <f ca="1"/>
        <v>-2.6654193509405017E-4</v>
      </c>
      <c r="Q204" s="5" t="s">
        <v>4</v>
      </c>
      <c r="R204" s="83" t="s">
        <v>4</v>
      </c>
    </row>
    <row r="205" spans="1:18" x14ac:dyDescent="0.25">
      <c r="A205" s="88">
        <v>191</v>
      </c>
      <c r="B205" s="82"/>
      <c r="C205" s="97">
        <f ca="1">_xll.meDateFromTenor(C204,"1D","FOLLOWING","TGT")</f>
        <v>42788</v>
      </c>
      <c r="D205" s="95">
        <f ca="1"/>
        <v>-4.0538879197637989E-3</v>
      </c>
      <c r="E205" s="92"/>
      <c r="F205" s="97">
        <f ca="1">_xll.meDateFromTenor(F204,"1D","FOLLOWING","TGT")</f>
        <v>42788</v>
      </c>
      <c r="G205" s="95">
        <f ca="1"/>
        <v>-3.9111838363747051E-3</v>
      </c>
      <c r="H205" s="92" t="s">
        <v>4</v>
      </c>
      <c r="I205" s="97">
        <f ca="1">_xll.meDateFromTenor(I204,"1D","FOLLOWING","TGT")</f>
        <v>42788</v>
      </c>
      <c r="J205" s="95">
        <f ca="1"/>
        <v>-2.9964907607803338E-3</v>
      </c>
      <c r="K205" s="5" t="s">
        <v>4</v>
      </c>
      <c r="L205" s="97">
        <f ca="1">_xll.meDateFromTenor(L204,"1D","FOLLOWING","TGT")</f>
        <v>42788</v>
      </c>
      <c r="M205" s="95">
        <f ca="1"/>
        <v>-1.7143036176818483E-3</v>
      </c>
      <c r="N205" s="5" t="s">
        <v>4</v>
      </c>
      <c r="O205" s="97">
        <f ca="1">_xll.meDateFromTenor(O204,"1D","FOLLOWING","TGT")</f>
        <v>42788</v>
      </c>
      <c r="P205" s="95">
        <f ca="1"/>
        <v>-2.6627636771920515E-4</v>
      </c>
      <c r="Q205" s="5" t="s">
        <v>4</v>
      </c>
      <c r="R205" s="83" t="s">
        <v>4</v>
      </c>
    </row>
    <row r="206" spans="1:18" x14ac:dyDescent="0.25">
      <c r="A206" s="88">
        <v>192</v>
      </c>
      <c r="B206" s="82"/>
      <c r="C206" s="97">
        <f ca="1">_xll.meDateFromTenor(C205,"1D","FOLLOWING","TGT")</f>
        <v>42789</v>
      </c>
      <c r="D206" s="95">
        <f ca="1"/>
        <v>-4.0565376584104085E-3</v>
      </c>
      <c r="E206" s="92"/>
      <c r="F206" s="97">
        <f ca="1">_xll.meDateFromTenor(F205,"1D","FOLLOWING","TGT")</f>
        <v>42789</v>
      </c>
      <c r="G206" s="95">
        <f ca="1"/>
        <v>-3.9126928545980899E-3</v>
      </c>
      <c r="H206" s="92" t="s">
        <v>4</v>
      </c>
      <c r="I206" s="97">
        <f ca="1">_xll.meDateFromTenor(I205,"1D","FOLLOWING","TGT")</f>
        <v>42789</v>
      </c>
      <c r="J206" s="95">
        <f ca="1"/>
        <v>-2.9975750219469648E-3</v>
      </c>
      <c r="K206" s="5" t="s">
        <v>4</v>
      </c>
      <c r="L206" s="97">
        <f ca="1">_xll.meDateFromTenor(L205,"1D","FOLLOWING","TGT")</f>
        <v>42789</v>
      </c>
      <c r="M206" s="95">
        <f ca="1"/>
        <v>-1.7146870249922402E-3</v>
      </c>
      <c r="N206" s="5" t="s">
        <v>4</v>
      </c>
      <c r="O206" s="97">
        <f ca="1">_xll.meDateFromTenor(O205,"1D","FOLLOWING","TGT")</f>
        <v>42789</v>
      </c>
      <c r="P206" s="95">
        <f ca="1"/>
        <v>-2.6600275264575989E-4</v>
      </c>
      <c r="Q206" s="5" t="s">
        <v>4</v>
      </c>
      <c r="R206" s="83" t="s">
        <v>4</v>
      </c>
    </row>
    <row r="207" spans="1:18" x14ac:dyDescent="0.25">
      <c r="A207" s="88">
        <v>193</v>
      </c>
      <c r="B207" s="82"/>
      <c r="C207" s="97">
        <f ca="1">_xll.meDateFromTenor(C206,"1D","FOLLOWING","TGT")</f>
        <v>42790</v>
      </c>
      <c r="D207" s="95">
        <f ca="1"/>
        <v>-4.0591722748807291E-3</v>
      </c>
      <c r="E207" s="92"/>
      <c r="F207" s="97">
        <f ca="1">_xll.meDateFromTenor(F206,"1D","FOLLOWING","TGT")</f>
        <v>42790</v>
      </c>
      <c r="G207" s="95">
        <f ca="1"/>
        <v>-3.9141937882029932E-3</v>
      </c>
      <c r="H207" s="92" t="s">
        <v>4</v>
      </c>
      <c r="I207" s="97">
        <f ca="1">_xll.meDateFromTenor(I206,"1D","FOLLOWING","TGT")</f>
        <v>42790</v>
      </c>
      <c r="J207" s="95">
        <f ca="1"/>
        <v>-2.9998321982001126E-3</v>
      </c>
      <c r="K207" s="5" t="s">
        <v>4</v>
      </c>
      <c r="L207" s="97">
        <f ca="1">_xll.meDateFromTenor(L206,"1D","FOLLOWING","TGT")</f>
        <v>42790</v>
      </c>
      <c r="M207" s="95">
        <f ca="1"/>
        <v>-1.7150684207336503E-3</v>
      </c>
      <c r="N207" s="5" t="s">
        <v>4</v>
      </c>
      <c r="O207" s="97">
        <f ca="1">_xll.meDateFromTenor(O206,"1D","FOLLOWING","TGT")</f>
        <v>42790</v>
      </c>
      <c r="P207" s="95">
        <f ca="1"/>
        <v>-2.6572105943851537E-4</v>
      </c>
      <c r="Q207" s="5" t="s">
        <v>4</v>
      </c>
      <c r="R207" s="83" t="s">
        <v>4</v>
      </c>
    </row>
    <row r="208" spans="1:18" x14ac:dyDescent="0.25">
      <c r="A208" s="88">
        <v>194</v>
      </c>
      <c r="B208" s="82"/>
      <c r="C208" s="97">
        <f ca="1">_xll.meDateFromTenor(C207,"1D","FOLLOWING","TGT")</f>
        <v>42793</v>
      </c>
      <c r="D208" s="95">
        <f ca="1"/>
        <v>-4.066982485120274E-3</v>
      </c>
      <c r="E208" s="92"/>
      <c r="F208" s="97">
        <f ca="1">_xll.meDateFromTenor(F207,"1D","FOLLOWING","TGT")</f>
        <v>42793</v>
      </c>
      <c r="G208" s="95">
        <f ca="1"/>
        <v>-3.9186357439458313E-3</v>
      </c>
      <c r="H208" s="92" t="s">
        <v>4</v>
      </c>
      <c r="I208" s="97">
        <f ca="1">_xll.meDateFromTenor(I207,"1D","FOLLOWING","TGT")</f>
        <v>42793</v>
      </c>
      <c r="J208" s="95">
        <f ca="1"/>
        <v>-3.0001947997409001E-3</v>
      </c>
      <c r="K208" s="5" t="s">
        <v>4</v>
      </c>
      <c r="L208" s="97">
        <f ca="1">_xll.meDateFromTenor(L207,"1D","FOLLOWING","TGT")</f>
        <v>42793</v>
      </c>
      <c r="M208" s="95">
        <f ca="1"/>
        <v>-1.7162007454826649E-3</v>
      </c>
      <c r="N208" s="5" t="s">
        <v>4</v>
      </c>
      <c r="O208" s="97">
        <f ca="1">_xll.meDateFromTenor(O207,"1D","FOLLOWING","TGT")</f>
        <v>42793</v>
      </c>
      <c r="P208" s="95">
        <f ca="1"/>
        <v>-2.6482720666199652E-4</v>
      </c>
      <c r="Q208" s="5" t="s">
        <v>4</v>
      </c>
      <c r="R208" s="83" t="s">
        <v>4</v>
      </c>
    </row>
    <row r="209" spans="1:18" x14ac:dyDescent="0.25">
      <c r="A209" s="88">
        <v>195</v>
      </c>
      <c r="B209" s="82"/>
      <c r="C209" s="97">
        <f ca="1">_xll.meDateFromTenor(C208,"1D","FOLLOWING","TGT")</f>
        <v>42794</v>
      </c>
      <c r="D209" s="95">
        <f ca="1"/>
        <v>-4.0695540195777591E-3</v>
      </c>
      <c r="E209" s="92"/>
      <c r="F209" s="97">
        <f ca="1">_xll.meDateFromTenor(F208,"1D","FOLLOWING","TGT")</f>
        <v>42794</v>
      </c>
      <c r="G209" s="95">
        <f ca="1"/>
        <v>-3.9200920017158202E-3</v>
      </c>
      <c r="H209" s="92" t="s">
        <v>4</v>
      </c>
      <c r="I209" s="97">
        <f ca="1">_xll.meDateFromTenor(I208,"1D","FOLLOWING","TGT")</f>
        <v>42794</v>
      </c>
      <c r="J209" s="95">
        <f ca="1"/>
        <v>-3.0231659543867523E-3</v>
      </c>
      <c r="K209" s="5" t="s">
        <v>4</v>
      </c>
      <c r="L209" s="97">
        <f ca="1">_xll.meDateFromTenor(L208,"1D","FOLLOWING","TGT")</f>
        <v>42794</v>
      </c>
      <c r="M209" s="95">
        <f ca="1"/>
        <v>-1.7165743018868226E-3</v>
      </c>
      <c r="N209" s="5" t="s">
        <v>4</v>
      </c>
      <c r="O209" s="97">
        <f ca="1">_xll.meDateFromTenor(O208,"1D","FOLLOWING","TGT")</f>
        <v>42794</v>
      </c>
      <c r="P209" s="95">
        <f ca="1"/>
        <v>-2.645128965675652E-4</v>
      </c>
      <c r="Q209" s="5" t="s">
        <v>4</v>
      </c>
      <c r="R209" s="83" t="s">
        <v>4</v>
      </c>
    </row>
    <row r="210" spans="1:18" x14ac:dyDescent="0.25">
      <c r="A210" s="88">
        <v>196</v>
      </c>
      <c r="B210" s="82"/>
      <c r="C210" s="97">
        <f ca="1">_xll.meDateFromTenor(C209,"1D","FOLLOWING","TGT")</f>
        <v>42795</v>
      </c>
      <c r="D210" s="95">
        <f ca="1"/>
        <v>-4.072109229056875E-3</v>
      </c>
      <c r="E210" s="92"/>
      <c r="F210" s="97">
        <f ca="1">_xll.meDateFromTenor(F209,"1D","FOLLOWING","TGT")</f>
        <v>42795</v>
      </c>
      <c r="G210" s="95">
        <f ca="1"/>
        <v>-3.9215340061868314E-3</v>
      </c>
      <c r="H210" s="92" t="s">
        <v>4</v>
      </c>
      <c r="I210" s="97">
        <f ca="1">_xll.meDateFromTenor(I209,"1D","FOLLOWING","TGT")</f>
        <v>42795</v>
      </c>
      <c r="J210" s="95">
        <f ca="1"/>
        <v>-3.0015046886378675E-3</v>
      </c>
      <c r="K210" s="5" t="s">
        <v>4</v>
      </c>
      <c r="L210" s="97">
        <f ca="1">_xll.meDateFromTenor(L209,"1D","FOLLOWING","TGT")</f>
        <v>42795</v>
      </c>
      <c r="M210" s="95">
        <f ca="1"/>
        <v>-1.7169459501913359E-3</v>
      </c>
      <c r="N210" s="5" t="s">
        <v>4</v>
      </c>
      <c r="O210" s="97">
        <f ca="1">_xll.meDateFromTenor(O209,"1D","FOLLOWING","TGT")</f>
        <v>42795</v>
      </c>
      <c r="P210" s="95">
        <f ca="1"/>
        <v>-2.6419035616333957E-4</v>
      </c>
      <c r="Q210" s="5" t="s">
        <v>4</v>
      </c>
      <c r="R210" s="83" t="s">
        <v>4</v>
      </c>
    </row>
    <row r="211" spans="1:18" x14ac:dyDescent="0.25">
      <c r="A211" s="88">
        <v>197</v>
      </c>
      <c r="B211" s="82"/>
      <c r="C211" s="97">
        <f ca="1">_xll.meDateFromTenor(C210,"1D","FOLLOWING","TGT")</f>
        <v>42796</v>
      </c>
      <c r="D211" s="95">
        <f ca="1"/>
        <v>-4.0746478853573853E-3</v>
      </c>
      <c r="E211" s="92"/>
      <c r="F211" s="97">
        <f ca="1">_xll.meDateFromTenor(F210,"1D","FOLLOWING","TGT")</f>
        <v>42796</v>
      </c>
      <c r="G211" s="95">
        <f ca="1"/>
        <v>-3.9229605236227654E-3</v>
      </c>
      <c r="H211" s="92" t="s">
        <v>4</v>
      </c>
      <c r="I211" s="97">
        <f ca="1">_xll.meDateFromTenor(I210,"1D","FOLLOWING","TGT")</f>
        <v>42796</v>
      </c>
      <c r="J211" s="95">
        <f ca="1"/>
        <v>-2.9349026536801379E-3</v>
      </c>
      <c r="K211" s="5" t="s">
        <v>4</v>
      </c>
      <c r="L211" s="97">
        <f ca="1">_xll.meDateFromTenor(L210,"1D","FOLLOWING","TGT")</f>
        <v>42796</v>
      </c>
      <c r="M211" s="95">
        <f ca="1"/>
        <v>-1.7173157110900719E-3</v>
      </c>
      <c r="N211" s="5" t="s">
        <v>4</v>
      </c>
      <c r="O211" s="97">
        <f ca="1">_xll.meDateFromTenor(O210,"1D","FOLLOWING","TGT")</f>
        <v>42796</v>
      </c>
      <c r="P211" s="95">
        <f ca="1"/>
        <v>-2.6385955501412084E-4</v>
      </c>
      <c r="Q211" s="5" t="s">
        <v>4</v>
      </c>
      <c r="R211" s="83" t="s">
        <v>4</v>
      </c>
    </row>
    <row r="212" spans="1:18" x14ac:dyDescent="0.25">
      <c r="A212" s="88">
        <v>198</v>
      </c>
      <c r="B212" s="82"/>
      <c r="C212" s="97">
        <f ca="1">_xll.meDateFromTenor(C211,"1D","FOLLOWING","TGT")</f>
        <v>42797</v>
      </c>
      <c r="D212" s="95">
        <f ca="1"/>
        <v>-4.0771698655274191E-3</v>
      </c>
      <c r="E212" s="92"/>
      <c r="F212" s="97">
        <f ca="1">_xll.meDateFromTenor(F211,"1D","FOLLOWING","TGT")</f>
        <v>42797</v>
      </c>
      <c r="G212" s="95">
        <f ca="1"/>
        <v>-3.9243706578158946E-3</v>
      </c>
      <c r="H212" s="92" t="s">
        <v>4</v>
      </c>
      <c r="I212" s="97">
        <f ca="1">_xll.meDateFromTenor(I211,"1D","FOLLOWING","TGT")</f>
        <v>42797</v>
      </c>
      <c r="J212" s="95">
        <f ca="1"/>
        <v>-3.002814577534835E-3</v>
      </c>
      <c r="K212" s="5" t="s">
        <v>4</v>
      </c>
      <c r="L212" s="97">
        <f ca="1">_xll.meDateFromTenor(L211,"1D","FOLLOWING","TGT")</f>
        <v>42797</v>
      </c>
      <c r="M212" s="95">
        <f ca="1"/>
        <v>-1.7176836052768985E-3</v>
      </c>
      <c r="N212" s="5" t="s">
        <v>4</v>
      </c>
      <c r="O212" s="97">
        <f ca="1">_xll.meDateFromTenor(O211,"1D","FOLLOWING","TGT")</f>
        <v>42797</v>
      </c>
      <c r="P212" s="95">
        <f ca="1"/>
        <v>-2.6352046268470993E-4</v>
      </c>
      <c r="Q212" s="5" t="s">
        <v>4</v>
      </c>
      <c r="R212" s="83" t="s">
        <v>4</v>
      </c>
    </row>
    <row r="213" spans="1:18" x14ac:dyDescent="0.25">
      <c r="A213" s="88">
        <v>199</v>
      </c>
      <c r="B213" s="82"/>
      <c r="C213" s="97">
        <f ca="1">_xll.meDateFromTenor(C212,"1D","FOLLOWING","TGT")</f>
        <v>42800</v>
      </c>
      <c r="D213" s="95">
        <f ca="1"/>
        <v>-4.0846324160670466E-3</v>
      </c>
      <c r="E213" s="92"/>
      <c r="F213" s="97">
        <f ca="1">_xll.meDateFromTenor(F212,"1D","FOLLOWING","TGT")</f>
        <v>42800</v>
      </c>
      <c r="G213" s="95">
        <f ca="1"/>
        <v>-3.9285086501095962E-3</v>
      </c>
      <c r="H213" s="92" t="s">
        <v>4</v>
      </c>
      <c r="I213" s="97">
        <f ca="1">_xll.meDateFromTenor(I212,"1D","FOLLOWING","TGT")</f>
        <v>42800</v>
      </c>
      <c r="J213" s="95">
        <f ca="1"/>
        <v>-2.9987998608934788E-3</v>
      </c>
      <c r="K213" s="5" t="s">
        <v>4</v>
      </c>
      <c r="L213" s="97">
        <f ca="1">_xll.meDateFromTenor(L212,"1D","FOLLOWING","TGT")</f>
        <v>42800</v>
      </c>
      <c r="M213" s="95">
        <f ca="1"/>
        <v>-1.7187762945045952E-3</v>
      </c>
      <c r="N213" s="5" t="s">
        <v>4</v>
      </c>
      <c r="O213" s="97">
        <f ca="1">_xll.meDateFromTenor(O212,"1D","FOLLOWING","TGT")</f>
        <v>42800</v>
      </c>
      <c r="P213" s="95">
        <f ca="1"/>
        <v>-2.6245313426333429E-4</v>
      </c>
      <c r="Q213" s="5" t="s">
        <v>4</v>
      </c>
      <c r="R213" s="83" t="s">
        <v>4</v>
      </c>
    </row>
    <row r="214" spans="1:18" x14ac:dyDescent="0.25">
      <c r="A214" s="88">
        <v>200</v>
      </c>
      <c r="B214" s="82"/>
      <c r="C214" s="97">
        <f ca="1">_xll.meDateFromTenor(C213,"1D","FOLLOWING","TGT")</f>
        <v>42801</v>
      </c>
      <c r="D214" s="95">
        <f ca="1"/>
        <v>-4.0870848846848995E-3</v>
      </c>
      <c r="E214" s="92"/>
      <c r="F214" s="97">
        <f ca="1">_xll.meDateFromTenor(F213,"1D","FOLLOWING","TGT")</f>
        <v>42801</v>
      </c>
      <c r="G214" s="95">
        <f ca="1"/>
        <v>-3.9298598155593943E-3</v>
      </c>
      <c r="H214" s="92" t="s">
        <v>4</v>
      </c>
      <c r="I214" s="97">
        <f ca="1">_xll.meDateFromTenor(I213,"1D","FOLLOWING","TGT")</f>
        <v>42801</v>
      </c>
      <c r="J214" s="95">
        <f ca="1"/>
        <v>-3.0054343553287698E-3</v>
      </c>
      <c r="K214" s="5" t="s">
        <v>4</v>
      </c>
      <c r="L214" s="97">
        <f ca="1">_xll.meDateFromTenor(L213,"1D","FOLLOWING","TGT")</f>
        <v>42801</v>
      </c>
      <c r="M214" s="95">
        <f ca="1"/>
        <v>-1.7191369287824581E-3</v>
      </c>
      <c r="N214" s="5" t="s">
        <v>4</v>
      </c>
      <c r="O214" s="97">
        <f ca="1">_xll.meDateFromTenor(O213,"1D","FOLLOWING","TGT")</f>
        <v>42801</v>
      </c>
      <c r="P214" s="95">
        <f ca="1"/>
        <v>-2.6208057286116485E-4</v>
      </c>
      <c r="Q214" s="5" t="s">
        <v>4</v>
      </c>
      <c r="R214" s="83" t="s">
        <v>4</v>
      </c>
    </row>
    <row r="215" spans="1:18" x14ac:dyDescent="0.25">
      <c r="A215" s="88">
        <v>201</v>
      </c>
      <c r="B215" s="82"/>
      <c r="C215" s="97">
        <f ca="1">_xll.meDateFromTenor(C214,"1D","FOLLOWING","TGT")</f>
        <v>42802</v>
      </c>
      <c r="D215" s="95">
        <f ca="1"/>
        <v>-4.0895194316326045E-3</v>
      </c>
      <c r="E215" s="92"/>
      <c r="F215" s="97">
        <f ca="1">_xll.meDateFromTenor(F214,"1D","FOLLOWING","TGT")</f>
        <v>42802</v>
      </c>
      <c r="G215" s="95">
        <f ca="1"/>
        <v>-3.9311982174087007E-3</v>
      </c>
      <c r="H215" s="92" t="s">
        <v>4</v>
      </c>
      <c r="I215" s="97">
        <f ca="1">_xll.meDateFromTenor(I214,"1D","FOLLOWING","TGT")</f>
        <v>42802</v>
      </c>
      <c r="J215" s="95">
        <f ca="1"/>
        <v>-3.0076913046555402E-3</v>
      </c>
      <c r="K215" s="5" t="s">
        <v>4</v>
      </c>
      <c r="L215" s="97">
        <f ca="1">_xll.meDateFromTenor(L214,"1D","FOLLOWING","TGT")</f>
        <v>42802</v>
      </c>
      <c r="M215" s="95">
        <f ca="1"/>
        <v>-1.7194957998177482E-3</v>
      </c>
      <c r="N215" s="5" t="s">
        <v>4</v>
      </c>
      <c r="O215" s="97">
        <f ca="1">_xll.meDateFromTenor(O214,"1D","FOLLOWING","TGT")</f>
        <v>42802</v>
      </c>
      <c r="P215" s="95">
        <f ca="1"/>
        <v>-2.6169956810280823E-4</v>
      </c>
      <c r="Q215" s="5" t="s">
        <v>4</v>
      </c>
      <c r="R215" s="83" t="s">
        <v>4</v>
      </c>
    </row>
    <row r="216" spans="1:18" x14ac:dyDescent="0.25">
      <c r="A216" s="88">
        <v>202</v>
      </c>
      <c r="B216" s="82"/>
      <c r="C216" s="97">
        <f ca="1">_xll.meDateFromTenor(C215,"1D","FOLLOWING","TGT")</f>
        <v>42803</v>
      </c>
      <c r="D216" s="95">
        <f ca="1"/>
        <v>-4.09193582903844E-3</v>
      </c>
      <c r="E216" s="92"/>
      <c r="F216" s="97">
        <f ca="1">_xll.meDateFromTenor(F215,"1D","FOLLOWING","TGT")</f>
        <v>42803</v>
      </c>
      <c r="G216" s="95">
        <f ca="1"/>
        <v>-3.9325246470916578E-3</v>
      </c>
      <c r="H216" s="92" t="s">
        <v>4</v>
      </c>
      <c r="I216" s="97">
        <f ca="1">_xll.meDateFromTenor(I215,"1D","FOLLOWING","TGT")</f>
        <v>42803</v>
      </c>
      <c r="J216" s="95">
        <f ca="1"/>
        <v>-3.0067442442257373E-3</v>
      </c>
      <c r="K216" s="5" t="s">
        <v>4</v>
      </c>
      <c r="L216" s="97">
        <f ca="1">_xll.meDateFromTenor(L215,"1D","FOLLOWING","TGT")</f>
        <v>42803</v>
      </c>
      <c r="M216" s="95">
        <f ca="1"/>
        <v>-1.7198529283043338E-3</v>
      </c>
      <c r="N216" s="5" t="s">
        <v>4</v>
      </c>
      <c r="O216" s="97">
        <f ca="1">_xll.meDateFromTenor(O215,"1D","FOLLOWING","TGT")</f>
        <v>42803</v>
      </c>
      <c r="P216" s="95">
        <f ca="1"/>
        <v>-2.613100895530656E-4</v>
      </c>
      <c r="Q216" s="5" t="s">
        <v>4</v>
      </c>
      <c r="R216" s="83" t="s">
        <v>4</v>
      </c>
    </row>
    <row r="217" spans="1:18" x14ac:dyDescent="0.25">
      <c r="A217" s="88">
        <v>203</v>
      </c>
      <c r="B217" s="82"/>
      <c r="C217" s="97">
        <f ca="1">_xll.meDateFromTenor(C216,"1D","FOLLOWING","TGT")</f>
        <v>42804</v>
      </c>
      <c r="D217" s="95">
        <f ca="1"/>
        <v>-4.0942934536467579E-3</v>
      </c>
      <c r="E217" s="92"/>
      <c r="F217" s="97">
        <f ca="1">_xll.meDateFromTenor(F216,"1D","FOLLOWING","TGT")</f>
        <v>42804</v>
      </c>
      <c r="G217" s="95">
        <f ca="1"/>
        <v>-3.9338398960423997E-3</v>
      </c>
      <c r="H217" s="92" t="s">
        <v>4</v>
      </c>
      <c r="I217" s="97">
        <f ca="1">_xll.meDateFromTenor(I216,"1D","FOLLOWING","TGT")</f>
        <v>42804</v>
      </c>
      <c r="J217" s="95">
        <f ca="1"/>
        <v>-3.0069707191478817E-3</v>
      </c>
      <c r="K217" s="5" t="s">
        <v>4</v>
      </c>
      <c r="L217" s="97">
        <f ca="1">_xll.meDateFromTenor(L216,"1D","FOLLOWING","TGT")</f>
        <v>42804</v>
      </c>
      <c r="M217" s="95">
        <f ca="1"/>
        <v>-1.7202083349360819E-3</v>
      </c>
      <c r="N217" s="5" t="s">
        <v>4</v>
      </c>
      <c r="O217" s="97">
        <f ca="1">_xll.meDateFromTenor(O216,"1D","FOLLOWING","TGT")</f>
        <v>42804</v>
      </c>
      <c r="P217" s="95">
        <f ca="1"/>
        <v>-2.6091210677673787E-4</v>
      </c>
      <c r="Q217" s="5" t="s">
        <v>4</v>
      </c>
      <c r="R217" s="83" t="s">
        <v>4</v>
      </c>
    </row>
    <row r="218" spans="1:18" x14ac:dyDescent="0.25">
      <c r="A218" s="88">
        <v>204</v>
      </c>
      <c r="B218" s="82"/>
      <c r="C218" s="97">
        <f ca="1">_xll.meDateFromTenor(C217,"1D","FOLLOWING","TGT")</f>
        <v>42807</v>
      </c>
      <c r="D218" s="95">
        <f ca="1"/>
        <v>-4.1016443509399592E-3</v>
      </c>
      <c r="E218" s="92"/>
      <c r="F218" s="97">
        <f ca="1">_xll.meDateFromTenor(F217,"1D","FOLLOWING","TGT")</f>
        <v>42807</v>
      </c>
      <c r="G218" s="95">
        <f ca="1"/>
        <v>-3.9377264728427189E-3</v>
      </c>
      <c r="H218" s="92" t="s">
        <v>4</v>
      </c>
      <c r="I218" s="97">
        <f ca="1">_xll.meDateFromTenor(I217,"1D","FOLLOWING","TGT")</f>
        <v>42807</v>
      </c>
      <c r="J218" s="95">
        <f ca="1"/>
        <v>-3.009364022019673E-3</v>
      </c>
      <c r="K218" s="5" t="s">
        <v>4</v>
      </c>
      <c r="L218" s="97">
        <f ca="1">_xll.meDateFromTenor(L217,"1D","FOLLOWING","TGT")</f>
        <v>42807</v>
      </c>
      <c r="M218" s="95">
        <f ca="1"/>
        <v>-1.7212644306409759E-3</v>
      </c>
      <c r="N218" s="5" t="s">
        <v>4</v>
      </c>
      <c r="O218" s="97">
        <f ca="1">_xll.meDateFromTenor(O217,"1D","FOLLOWING","TGT")</f>
        <v>42807</v>
      </c>
      <c r="P218" s="95">
        <f ca="1"/>
        <v>-2.5966682873625419E-4</v>
      </c>
      <c r="Q218" s="5" t="s">
        <v>4</v>
      </c>
      <c r="R218" s="83" t="s">
        <v>4</v>
      </c>
    </row>
    <row r="219" spans="1:18" x14ac:dyDescent="0.25">
      <c r="A219" s="88">
        <v>205</v>
      </c>
      <c r="B219" s="82"/>
      <c r="C219" s="97">
        <f ca="1">_xll.meDateFromTenor(C218,"1D","FOLLOWING","TGT")</f>
        <v>42808</v>
      </c>
      <c r="D219" s="95">
        <f ca="1"/>
        <v>-4.1041322746742104E-3</v>
      </c>
      <c r="E219" s="92"/>
      <c r="F219" s="97">
        <f ca="1">_xll.meDateFromTenor(F218,"1D","FOLLOWING","TGT")</f>
        <v>42808</v>
      </c>
      <c r="G219" s="95">
        <f ca="1"/>
        <v>-3.9390049132059807E-3</v>
      </c>
      <c r="H219" s="92" t="s">
        <v>4</v>
      </c>
      <c r="I219" s="97">
        <f ca="1">_xll.meDateFromTenor(I218,"1D","FOLLOWING","TGT")</f>
        <v>42808</v>
      </c>
      <c r="J219" s="95">
        <f ca="1"/>
        <v>-3.00999994308621E-3</v>
      </c>
      <c r="K219" s="5" t="s">
        <v>4</v>
      </c>
      <c r="L219" s="97">
        <f ca="1">_xll.meDateFromTenor(L218,"1D","FOLLOWING","TGT")</f>
        <v>42808</v>
      </c>
      <c r="M219" s="95">
        <f ca="1"/>
        <v>-1.7216131567920491E-3</v>
      </c>
      <c r="N219" s="5" t="s">
        <v>4</v>
      </c>
      <c r="O219" s="97">
        <f ca="1">_xll.meDateFromTenor(O218,"1D","FOLLOWING","TGT")</f>
        <v>42808</v>
      </c>
      <c r="P219" s="95">
        <f ca="1"/>
        <v>-2.592345247015962E-4</v>
      </c>
      <c r="Q219" s="5" t="s">
        <v>4</v>
      </c>
      <c r="R219" s="83" t="s">
        <v>4</v>
      </c>
    </row>
    <row r="220" spans="1:18" x14ac:dyDescent="0.25">
      <c r="A220" s="88">
        <v>206</v>
      </c>
      <c r="B220" s="82"/>
      <c r="C220" s="97">
        <f ca="1">_xll.meDateFromTenor(C219,"1D","FOLLOWING","TGT")</f>
        <v>42809</v>
      </c>
      <c r="D220" s="95">
        <f ca="1"/>
        <v>-4.1065896944748603E-3</v>
      </c>
      <c r="E220" s="92"/>
      <c r="F220" s="97">
        <f ca="1">_xll.meDateFromTenor(F219,"1D","FOLLOWING","TGT")</f>
        <v>42809</v>
      </c>
      <c r="G220" s="95">
        <f ca="1"/>
        <v>-3.9402761300077168E-3</v>
      </c>
      <c r="H220" s="92" t="s">
        <v>4</v>
      </c>
      <c r="I220" s="97">
        <f ca="1">_xll.meDateFromTenor(I219,"1D","FOLLOWING","TGT")</f>
        <v>42809</v>
      </c>
      <c r="J220" s="95">
        <f ca="1"/>
        <v>-3.01067391091664E-3</v>
      </c>
      <c r="K220" s="5" t="s">
        <v>4</v>
      </c>
      <c r="L220" s="97">
        <f ca="1">_xll.meDateFromTenor(L219,"1D","FOLLOWING","TGT")</f>
        <v>42809</v>
      </c>
      <c r="M220" s="95">
        <f ca="1"/>
        <v>-1.7219602645576217E-3</v>
      </c>
      <c r="N220" s="5" t="s">
        <v>4</v>
      </c>
      <c r="O220" s="97">
        <f ca="1">_xll.meDateFromTenor(O219,"1D","FOLLOWING","TGT")</f>
        <v>42809</v>
      </c>
      <c r="P220" s="95">
        <f ca="1"/>
        <v>-2.5879356426435817E-4</v>
      </c>
      <c r="Q220" s="5" t="s">
        <v>4</v>
      </c>
      <c r="R220" s="83" t="s">
        <v>4</v>
      </c>
    </row>
    <row r="221" spans="1:18" x14ac:dyDescent="0.25">
      <c r="A221" s="88">
        <v>207</v>
      </c>
      <c r="B221" s="82"/>
      <c r="C221" s="97">
        <f ca="1">_xll.meDateFromTenor(C220,"1D","FOLLOWING","TGT")</f>
        <v>42810</v>
      </c>
      <c r="D221" s="95">
        <f ca="1"/>
        <v>-4.1090166116418692E-3</v>
      </c>
      <c r="E221" s="92"/>
      <c r="F221" s="97">
        <f ca="1">_xll.meDateFromTenor(F220,"1D","FOLLOWING","TGT")</f>
        <v>42810</v>
      </c>
      <c r="G221" s="95">
        <f ca="1"/>
        <v>-3.9415409146820648E-3</v>
      </c>
      <c r="H221" s="92" t="s">
        <v>4</v>
      </c>
      <c r="I221" s="97">
        <f ca="1">_xll.meDateFromTenor(I220,"1D","FOLLOWING","TGT")</f>
        <v>42810</v>
      </c>
      <c r="J221" s="95">
        <f ca="1"/>
        <v>-3.0112744626594281E-3</v>
      </c>
      <c r="K221" s="5" t="s">
        <v>4</v>
      </c>
      <c r="L221" s="97">
        <f ca="1">_xll.meDateFromTenor(L220,"1D","FOLLOWING","TGT")</f>
        <v>42810</v>
      </c>
      <c r="M221" s="95">
        <f ca="1"/>
        <v>-1.7223057746315617E-3</v>
      </c>
      <c r="N221" s="5" t="s">
        <v>4</v>
      </c>
      <c r="O221" s="97">
        <f ca="1">_xll.meDateFromTenor(O220,"1D","FOLLOWING","TGT")</f>
        <v>42810</v>
      </c>
      <c r="P221" s="95">
        <f ca="1"/>
        <v>-2.5834391698934119E-4</v>
      </c>
      <c r="Q221" s="5" t="s">
        <v>4</v>
      </c>
      <c r="R221" s="83" t="s">
        <v>4</v>
      </c>
    </row>
    <row r="222" spans="1:18" x14ac:dyDescent="0.25">
      <c r="A222" s="88">
        <v>208</v>
      </c>
      <c r="B222" s="82"/>
      <c r="C222" s="97">
        <f ca="1">_xll.meDateFromTenor(C221,"1D","FOLLOWING","TGT")</f>
        <v>42811</v>
      </c>
      <c r="D222" s="95">
        <f ca="1"/>
        <v>-4.1114130280693884E-3</v>
      </c>
      <c r="E222" s="92"/>
      <c r="F222" s="97">
        <f ca="1">_xll.meDateFromTenor(F221,"1D","FOLLOWING","TGT")</f>
        <v>42811</v>
      </c>
      <c r="G222" s="95">
        <f ca="1"/>
        <v>-3.9428000586631626E-3</v>
      </c>
      <c r="H222" s="92" t="s">
        <v>4</v>
      </c>
      <c r="I222" s="97">
        <f ca="1">_xll.meDateFromTenor(I221,"1D","FOLLOWING","TGT")</f>
        <v>42811</v>
      </c>
      <c r="J222" s="95">
        <f ca="1"/>
        <v>-3.0118348957623416E-3</v>
      </c>
      <c r="K222" s="5" t="s">
        <v>4</v>
      </c>
      <c r="L222" s="97">
        <f ca="1">_xll.meDateFromTenor(L221,"1D","FOLLOWING","TGT")</f>
        <v>42811</v>
      </c>
      <c r="M222" s="95">
        <f ca="1"/>
        <v>-1.7226497077077363E-3</v>
      </c>
      <c r="N222" s="5" t="s">
        <v>4</v>
      </c>
      <c r="O222" s="97">
        <f ca="1">_xll.meDateFromTenor(O221,"1D","FOLLOWING","TGT")</f>
        <v>42811</v>
      </c>
      <c r="P222" s="95">
        <f ca="1"/>
        <v>-2.5788555244134616E-4</v>
      </c>
      <c r="Q222" s="5" t="s">
        <v>4</v>
      </c>
      <c r="R222" s="83" t="s">
        <v>4</v>
      </c>
    </row>
    <row r="223" spans="1:18" x14ac:dyDescent="0.25">
      <c r="A223" s="88">
        <v>209</v>
      </c>
      <c r="B223" s="82"/>
      <c r="C223" s="97">
        <f ca="1">_xll.meDateFromTenor(C222,"1D","FOLLOWING","TGT")</f>
        <v>42814</v>
      </c>
      <c r="D223" s="95">
        <f ca="1"/>
        <v>-4.1184192875154402E-3</v>
      </c>
      <c r="E223" s="92"/>
      <c r="F223" s="97">
        <f ca="1">_xll.meDateFromTenor(F222,"1D","FOLLOWING","TGT")</f>
        <v>42814</v>
      </c>
      <c r="G223" s="95">
        <f ca="1"/>
        <v>-3.9465515607883242E-3</v>
      </c>
      <c r="H223" s="92" t="s">
        <v>4</v>
      </c>
      <c r="I223" s="97">
        <f ca="1">_xll.meDateFromTenor(I222,"1D","FOLLOWING","TGT")</f>
        <v>42814</v>
      </c>
      <c r="J223" s="95">
        <f ca="1"/>
        <v>-3.0135778132252683E-3</v>
      </c>
      <c r="K223" s="5" t="s">
        <v>4</v>
      </c>
      <c r="L223" s="97">
        <f ca="1">_xll.meDateFromTenor(L222,"1D","FOLLOWING","TGT")</f>
        <v>42814</v>
      </c>
      <c r="M223" s="95">
        <f ca="1"/>
        <v>-1.7236722518883436E-3</v>
      </c>
      <c r="N223" s="5" t="s">
        <v>4</v>
      </c>
      <c r="O223" s="97">
        <f ca="1">_xll.meDateFromTenor(O222,"1D","FOLLOWING","TGT")</f>
        <v>42814</v>
      </c>
      <c r="P223" s="95">
        <f ca="1"/>
        <v>-2.5645785080750315E-4</v>
      </c>
      <c r="Q223" s="5" t="s">
        <v>4</v>
      </c>
      <c r="R223" s="83" t="s">
        <v>4</v>
      </c>
    </row>
    <row r="224" spans="1:18" x14ac:dyDescent="0.25">
      <c r="A224" s="88">
        <v>210</v>
      </c>
      <c r="B224" s="82"/>
      <c r="C224" s="97">
        <f ca="1">_xll.meDateFromTenor(C223,"1D","FOLLOWING","TGT")</f>
        <v>42815</v>
      </c>
      <c r="D224" s="95">
        <f ca="1"/>
        <v>-4.120693716009094E-3</v>
      </c>
      <c r="E224" s="92"/>
      <c r="F224" s="97">
        <f ca="1">_xll.meDateFromTenor(F223,"1D","FOLLOWING","TGT")</f>
        <v>42815</v>
      </c>
      <c r="G224" s="95">
        <f ca="1"/>
        <v>-3.9477960563377946E-3</v>
      </c>
      <c r="H224" s="92" t="s">
        <v>4</v>
      </c>
      <c r="I224" s="97">
        <f ca="1">_xll.meDateFromTenor(I223,"1D","FOLLOWING","TGT")</f>
        <v>42815</v>
      </c>
      <c r="J224" s="95">
        <f ca="1"/>
        <v>-3.0141568654537443E-3</v>
      </c>
      <c r="K224" s="5" t="s">
        <v>4</v>
      </c>
      <c r="L224" s="97">
        <f ca="1">_xll.meDateFromTenor(L223,"1D","FOLLOWING","TGT")</f>
        <v>42815</v>
      </c>
      <c r="M224" s="95">
        <f ca="1"/>
        <v>-1.7240100839121318E-3</v>
      </c>
      <c r="N224" s="5" t="s">
        <v>4</v>
      </c>
      <c r="O224" s="97">
        <f ca="1">_xll.meDateFromTenor(O223,"1D","FOLLOWING","TGT")</f>
        <v>42815</v>
      </c>
      <c r="P224" s="95">
        <f ca="1"/>
        <v>-2.5596431281560623E-4</v>
      </c>
      <c r="Q224" s="5" t="s">
        <v>4</v>
      </c>
      <c r="R224" s="83" t="s">
        <v>4</v>
      </c>
    </row>
    <row r="225" spans="1:18" x14ac:dyDescent="0.25">
      <c r="A225" s="88">
        <v>211</v>
      </c>
      <c r="B225" s="82"/>
      <c r="C225" s="97">
        <f ca="1">_xll.meDateFromTenor(C224,"1D","FOLLOWING","TGT")</f>
        <v>42816</v>
      </c>
      <c r="D225" s="95">
        <f ca="1"/>
        <v>-4.1229376515200533E-3</v>
      </c>
      <c r="E225" s="92"/>
      <c r="F225" s="97">
        <f ca="1">_xll.meDateFromTenor(F224,"1D","FOLLOWING","TGT")</f>
        <v>42816</v>
      </c>
      <c r="G225" s="95">
        <f ca="1"/>
        <v>-3.9490388683647015E-3</v>
      </c>
      <c r="H225" s="92" t="s">
        <v>4</v>
      </c>
      <c r="I225" s="97">
        <f ca="1">_xll.meDateFromTenor(I224,"1D","FOLLOWING","TGT")</f>
        <v>42816</v>
      </c>
      <c r="J225" s="95">
        <f ca="1"/>
        <v>-3.0147369719776755E-3</v>
      </c>
      <c r="K225" s="5" t="s">
        <v>4</v>
      </c>
      <c r="L225" s="97">
        <f ca="1">_xll.meDateFromTenor(L224,"1D","FOLLOWING","TGT")</f>
        <v>42816</v>
      </c>
      <c r="M225" s="95">
        <f ca="1"/>
        <v>-1.724346442407492E-3</v>
      </c>
      <c r="N225" s="5" t="s">
        <v>4</v>
      </c>
      <c r="O225" s="97">
        <f ca="1">_xll.meDateFromTenor(O224,"1D","FOLLOWING","TGT")</f>
        <v>42816</v>
      </c>
      <c r="P225" s="95">
        <f ca="1"/>
        <v>-2.5546190537473635E-4</v>
      </c>
      <c r="Q225" s="5" t="s">
        <v>4</v>
      </c>
      <c r="R225" s="83" t="s">
        <v>4</v>
      </c>
    </row>
    <row r="226" spans="1:18" x14ac:dyDescent="0.25">
      <c r="A226" s="88">
        <v>212</v>
      </c>
      <c r="B226" s="82"/>
      <c r="C226" s="97">
        <f ca="1">_xll.meDateFromTenor(C225,"1D","FOLLOWING","TGT")</f>
        <v>42817</v>
      </c>
      <c r="D226" s="95">
        <f ca="1"/>
        <v>-4.1251510952887704E-3</v>
      </c>
      <c r="E226" s="92"/>
      <c r="F226" s="97">
        <f ca="1">_xll.meDateFromTenor(F225,"1D","FOLLOWING","TGT")</f>
        <v>42817</v>
      </c>
      <c r="G226" s="95">
        <f ca="1"/>
        <v>-3.9502807883031827E-3</v>
      </c>
      <c r="H226" s="92" t="s">
        <v>4</v>
      </c>
      <c r="I226" s="97">
        <f ca="1">_xll.meDateFromTenor(I225,"1D","FOLLOWING","TGT")</f>
        <v>42817</v>
      </c>
      <c r="J226" s="95">
        <f ca="1"/>
        <v>-3.0153178502994463E-3</v>
      </c>
      <c r="K226" s="5" t="s">
        <v>4</v>
      </c>
      <c r="L226" s="97">
        <f ca="1">_xll.meDateFromTenor(L225,"1D","FOLLOWING","TGT")</f>
        <v>42817</v>
      </c>
      <c r="M226" s="95">
        <f ca="1"/>
        <v>-1.7246813480682917E-3</v>
      </c>
      <c r="N226" s="5" t="s">
        <v>4</v>
      </c>
      <c r="O226" s="97">
        <f ca="1">_xll.meDateFromTenor(O225,"1D","FOLLOWING","TGT")</f>
        <v>42817</v>
      </c>
      <c r="P226" s="95">
        <f ca="1"/>
        <v>-2.5495059804969455E-4</v>
      </c>
      <c r="Q226" s="5" t="s">
        <v>4</v>
      </c>
      <c r="R226" s="83" t="s">
        <v>4</v>
      </c>
    </row>
    <row r="227" spans="1:18" x14ac:dyDescent="0.25">
      <c r="A227" s="88">
        <v>213</v>
      </c>
      <c r="B227" s="82"/>
      <c r="C227" s="97">
        <f ca="1">_xll.meDateFromTenor(C226,"1D","FOLLOWING","TGT")</f>
        <v>42818</v>
      </c>
      <c r="D227" s="95">
        <f ca="1"/>
        <v>-4.1273340493088728E-3</v>
      </c>
      <c r="E227" s="92"/>
      <c r="F227" s="97">
        <f ca="1">_xll.meDateFromTenor(F226,"1D","FOLLOWING","TGT")</f>
        <v>42818</v>
      </c>
      <c r="G227" s="95">
        <f ca="1"/>
        <v>-3.9515226075873778E-3</v>
      </c>
      <c r="H227" s="92" t="s">
        <v>4</v>
      </c>
      <c r="I227" s="97">
        <f ca="1">_xll.meDateFromTenor(I226,"1D","FOLLOWING","TGT")</f>
        <v>42818</v>
      </c>
      <c r="J227" s="95">
        <f ca="1"/>
        <v>-3.0158984461236007E-3</v>
      </c>
      <c r="K227" s="5" t="s">
        <v>4</v>
      </c>
      <c r="L227" s="97">
        <f ca="1">_xll.meDateFromTenor(L226,"1D","FOLLOWING","TGT")</f>
        <v>42818</v>
      </c>
      <c r="M227" s="95">
        <f ca="1"/>
        <v>-1.7250148215883982E-3</v>
      </c>
      <c r="N227" s="5" t="s">
        <v>4</v>
      </c>
      <c r="O227" s="97">
        <f ca="1">_xll.meDateFromTenor(O226,"1D","FOLLOWING","TGT")</f>
        <v>42818</v>
      </c>
      <c r="P227" s="95">
        <f ca="1"/>
        <v>-2.5443036040528178E-4</v>
      </c>
      <c r="Q227" s="5" t="s">
        <v>4</v>
      </c>
      <c r="R227" s="83" t="s">
        <v>4</v>
      </c>
    </row>
    <row r="228" spans="1:18" x14ac:dyDescent="0.25">
      <c r="A228" s="88">
        <v>214</v>
      </c>
      <c r="B228" s="82"/>
      <c r="C228" s="97">
        <f ca="1">_xll.meDateFromTenor(C227,"1D","FOLLOWING","TGT")</f>
        <v>42821</v>
      </c>
      <c r="D228" s="95">
        <f ca="1"/>
        <v>-4.1336999871632862E-3</v>
      </c>
      <c r="E228" s="92"/>
      <c r="F228" s="97">
        <f ca="1">_xll.meDateFromTenor(F227,"1D","FOLLOWING","TGT")</f>
        <v>42821</v>
      </c>
      <c r="G228" s="95">
        <f ca="1"/>
        <v>-3.9552553758556109E-3</v>
      </c>
      <c r="H228" s="92" t="s">
        <v>4</v>
      </c>
      <c r="I228" s="97">
        <f ca="1">_xll.meDateFromTenor(I227,"1D","FOLLOWING","TGT")</f>
        <v>42821</v>
      </c>
      <c r="J228" s="95">
        <f ca="1"/>
        <v>-3.017639819990849E-3</v>
      </c>
      <c r="K228" s="5" t="s">
        <v>4</v>
      </c>
      <c r="L228" s="97">
        <f ca="1">_xll.meDateFromTenor(L227,"1D","FOLLOWING","TGT")</f>
        <v>42821</v>
      </c>
      <c r="M228" s="95">
        <f ca="1"/>
        <v>-1.7260068562432336E-3</v>
      </c>
      <c r="N228" s="5" t="s">
        <v>4</v>
      </c>
      <c r="O228" s="97">
        <f ca="1">_xll.meDateFromTenor(O227,"1D","FOLLOWING","TGT")</f>
        <v>42821</v>
      </c>
      <c r="P228" s="95">
        <f ca="1"/>
        <v>-2.5281576120382825E-4</v>
      </c>
      <c r="Q228" s="5" t="s">
        <v>4</v>
      </c>
      <c r="R228" s="83" t="s">
        <v>4</v>
      </c>
    </row>
    <row r="229" spans="1:18" x14ac:dyDescent="0.25">
      <c r="A229" s="88">
        <v>215</v>
      </c>
      <c r="B229" s="82"/>
      <c r="C229" s="97">
        <f ca="1">_xll.meDateFromTenor(C228,"1D","FOLLOWING","TGT")</f>
        <v>42822</v>
      </c>
      <c r="D229" s="95">
        <f ca="1"/>
        <v>-4.1357609969776554E-3</v>
      </c>
      <c r="E229" s="92"/>
      <c r="F229" s="97">
        <f ca="1">_xll.meDateFromTenor(F228,"1D","FOLLOWING","TGT")</f>
        <v>42822</v>
      </c>
      <c r="G229" s="95">
        <f ca="1"/>
        <v>-3.9565047068640304E-3</v>
      </c>
      <c r="H229" s="92" t="s">
        <v>4</v>
      </c>
      <c r="I229" s="97">
        <f ca="1">_xll.meDateFromTenor(I228,"1D","FOLLOWING","TGT")</f>
        <v>42822</v>
      </c>
      <c r="J229" s="95">
        <f ca="1"/>
        <v>-3.0182203198375794E-3</v>
      </c>
      <c r="K229" s="5" t="s">
        <v>4</v>
      </c>
      <c r="L229" s="97">
        <f ca="1">_xll.meDateFromTenor(L228,"1D","FOLLOWING","TGT")</f>
        <v>42822</v>
      </c>
      <c r="M229" s="95">
        <f ca="1"/>
        <v>-1.7263348081392423E-3</v>
      </c>
      <c r="N229" s="5" t="s">
        <v>4</v>
      </c>
      <c r="O229" s="97">
        <f ca="1">_xll.meDateFromTenor(O228,"1D","FOLLOWING","TGT")</f>
        <v>42822</v>
      </c>
      <c r="P229" s="95">
        <f ca="1"/>
        <v>-2.5225949792994192E-4</v>
      </c>
      <c r="Q229" s="5" t="s">
        <v>4</v>
      </c>
      <c r="R229" s="83" t="s">
        <v>4</v>
      </c>
    </row>
    <row r="230" spans="1:18" x14ac:dyDescent="0.25">
      <c r="A230" s="88">
        <v>216</v>
      </c>
      <c r="B230" s="82"/>
      <c r="C230" s="97">
        <f ca="1">_xll.meDateFromTenor(C229,"1D","FOLLOWING","TGT")</f>
        <v>42823</v>
      </c>
      <c r="D230" s="95">
        <f ca="1"/>
        <v>-4.1377915245827124E-3</v>
      </c>
      <c r="E230" s="92"/>
      <c r="F230" s="97">
        <f ca="1">_xll.meDateFromTenor(F229,"1D","FOLLOWING","TGT")</f>
        <v>42823</v>
      </c>
      <c r="G230" s="95">
        <f ca="1"/>
        <v>-3.9577578943888513E-3</v>
      </c>
      <c r="H230" s="92" t="s">
        <v>4</v>
      </c>
      <c r="I230" s="97">
        <f ca="1">_xll.meDateFromTenor(I229,"1D","FOLLOWING","TGT")</f>
        <v>42823</v>
      </c>
      <c r="J230" s="95">
        <f ca="1"/>
        <v>-3.0188008048365506E-3</v>
      </c>
      <c r="K230" s="5" t="s">
        <v>4</v>
      </c>
      <c r="L230" s="97">
        <f ca="1">_xll.meDateFromTenor(L229,"1D","FOLLOWING","TGT")</f>
        <v>42823</v>
      </c>
      <c r="M230" s="95">
        <f ca="1"/>
        <v>-1.7266614313638951E-3</v>
      </c>
      <c r="N230" s="5" t="s">
        <v>4</v>
      </c>
      <c r="O230" s="97">
        <f ca="1">_xll.meDateFromTenor(O229,"1D","FOLLOWING","TGT")</f>
        <v>42823</v>
      </c>
      <c r="P230" s="95">
        <f ca="1"/>
        <v>-2.5169415216068976E-4</v>
      </c>
      <c r="Q230" s="5" t="s">
        <v>4</v>
      </c>
      <c r="R230" s="83" t="s">
        <v>4</v>
      </c>
    </row>
    <row r="231" spans="1:18" x14ac:dyDescent="0.25">
      <c r="A231" s="88">
        <v>217</v>
      </c>
      <c r="B231" s="82"/>
      <c r="C231" s="97">
        <f ca="1">_xll.meDateFromTenor(C230,"1D","FOLLOWING","TGT")</f>
        <v>42824</v>
      </c>
      <c r="D231" s="95">
        <f ca="1"/>
        <v>-4.1397915717166223E-3</v>
      </c>
      <c r="E231" s="92"/>
      <c r="F231" s="97">
        <f ca="1">_xll.meDateFromTenor(F230,"1D","FOLLOWING","TGT")</f>
        <v>42824</v>
      </c>
      <c r="G231" s="95">
        <f ca="1"/>
        <v>-3.9590157298642096E-3</v>
      </c>
      <c r="H231" s="92" t="s">
        <v>4</v>
      </c>
      <c r="I231" s="97">
        <f ca="1">_xll.meDateFromTenor(I230,"1D","FOLLOWING","TGT")</f>
        <v>42824</v>
      </c>
      <c r="J231" s="95">
        <f ca="1"/>
        <v>-3.0193812952701788E-3</v>
      </c>
      <c r="K231" s="5" t="s">
        <v>4</v>
      </c>
      <c r="L231" s="97">
        <f ca="1">_xll.meDateFromTenor(L230,"1D","FOLLOWING","TGT")</f>
        <v>42824</v>
      </c>
      <c r="M231" s="95">
        <f ca="1"/>
        <v>-1.7269867466110595E-3</v>
      </c>
      <c r="N231" s="5" t="s">
        <v>4</v>
      </c>
      <c r="O231" s="97">
        <f ca="1">_xll.meDateFromTenor(O230,"1D","FOLLOWING","TGT")</f>
        <v>42824</v>
      </c>
      <c r="P231" s="95">
        <f ca="1"/>
        <v>-2.5111969346087272E-4</v>
      </c>
      <c r="Q231" s="5" t="s">
        <v>4</v>
      </c>
      <c r="R231" s="83" t="s">
        <v>4</v>
      </c>
    </row>
    <row r="232" spans="1:18" x14ac:dyDescent="0.25">
      <c r="A232" s="88">
        <v>218</v>
      </c>
      <c r="B232" s="82"/>
      <c r="C232" s="97">
        <f ca="1">_xll.meDateFromTenor(C231,"1D","FOLLOWING","TGT")</f>
        <v>42825</v>
      </c>
      <c r="D232" s="95">
        <f ca="1"/>
        <v>-4.1417611395976328E-3</v>
      </c>
      <c r="E232" s="92"/>
      <c r="F232" s="97">
        <f ca="1">_xll.meDateFromTenor(F231,"1D","FOLLOWING","TGT")</f>
        <v>42825</v>
      </c>
      <c r="G232" s="95">
        <f ca="1"/>
        <v>-3.9602790047242433E-3</v>
      </c>
      <c r="H232" s="92" t="s">
        <v>4</v>
      </c>
      <c r="I232" s="97">
        <f ca="1">_xll.meDateFromTenor(I231,"1D","FOLLOWING","TGT")</f>
        <v>42825</v>
      </c>
      <c r="J232" s="95">
        <f ca="1"/>
        <v>-3.0199617896822521E-3</v>
      </c>
      <c r="K232" s="5" t="s">
        <v>4</v>
      </c>
      <c r="L232" s="97">
        <f ca="1">_xll.meDateFromTenor(L231,"1D","FOLLOWING","TGT")</f>
        <v>42825</v>
      </c>
      <c r="M232" s="95">
        <f ca="1"/>
        <v>-1.7273107745746032E-3</v>
      </c>
      <c r="N232" s="5" t="s">
        <v>4</v>
      </c>
      <c r="O232" s="97">
        <f ca="1">_xll.meDateFromTenor(O231,"1D","FOLLOWING","TGT")</f>
        <v>42825</v>
      </c>
      <c r="P232" s="95">
        <f ca="1"/>
        <v>-2.5053609139529193E-4</v>
      </c>
      <c r="Q232" s="5" t="s">
        <v>4</v>
      </c>
      <c r="R232" s="83" t="s">
        <v>4</v>
      </c>
    </row>
    <row r="233" spans="1:18" x14ac:dyDescent="0.25">
      <c r="A233" s="88">
        <v>219</v>
      </c>
      <c r="B233" s="82"/>
      <c r="C233" s="97">
        <f ca="1">_xll.meDateFromTenor(C232,"1D","FOLLOWING","TGT")</f>
        <v>42828</v>
      </c>
      <c r="D233" s="95">
        <f ca="1"/>
        <v>-4.1474869848352469E-3</v>
      </c>
      <c r="E233" s="92"/>
      <c r="F233" s="97">
        <f ca="1">_xll.meDateFromTenor(F232,"1D","FOLLOWING","TGT")</f>
        <v>42828</v>
      </c>
      <c r="G233" s="95">
        <f ca="1"/>
        <v>-3.9641093799537746E-3</v>
      </c>
      <c r="H233" s="92" t="s">
        <v>4</v>
      </c>
      <c r="I233" s="97">
        <f ca="1">_xll.meDateFromTenor(I232,"1D","FOLLOWING","TGT")</f>
        <v>42828</v>
      </c>
      <c r="J233" s="95">
        <f ca="1"/>
        <v>-3.0217032668079843E-3</v>
      </c>
      <c r="K233" s="5" t="s">
        <v>4</v>
      </c>
      <c r="L233" s="97">
        <f ca="1">_xll.meDateFromTenor(L232,"1D","FOLLOWING","TGT")</f>
        <v>42828</v>
      </c>
      <c r="M233" s="95">
        <f ca="1"/>
        <v>-1.7282753417021824E-3</v>
      </c>
      <c r="N233" s="5" t="s">
        <v>4</v>
      </c>
      <c r="O233" s="97">
        <f ca="1">_xll.meDateFromTenor(O232,"1D","FOLLOWING","TGT")</f>
        <v>42828</v>
      </c>
      <c r="P233" s="95">
        <f ca="1"/>
        <v>-2.4873012065197638E-4</v>
      </c>
      <c r="Q233" s="5" t="s">
        <v>4</v>
      </c>
      <c r="R233" s="83" t="s">
        <v>4</v>
      </c>
    </row>
    <row r="234" spans="1:18" x14ac:dyDescent="0.25">
      <c r="A234" s="88">
        <v>220</v>
      </c>
      <c r="B234" s="82"/>
      <c r="C234" s="97">
        <f ca="1">_xll.meDateFromTenor(C233,"1D","FOLLOWING","TGT")</f>
        <v>42829</v>
      </c>
      <c r="D234" s="95">
        <f ca="1"/>
        <v>-4.149334652126635E-3</v>
      </c>
      <c r="E234" s="92"/>
      <c r="F234" s="97">
        <f ca="1">_xll.meDateFromTenor(F233,"1D","FOLLOWING","TGT")</f>
        <v>42829</v>
      </c>
      <c r="G234" s="95">
        <f ca="1"/>
        <v>-3.9654021088691279E-3</v>
      </c>
      <c r="H234" s="92" t="s">
        <v>4</v>
      </c>
      <c r="I234" s="97">
        <f ca="1">_xll.meDateFromTenor(I233,"1D","FOLLOWING","TGT")</f>
        <v>42829</v>
      </c>
      <c r="J234" s="95">
        <f ca="1"/>
        <v>-3.0222837593736548E-3</v>
      </c>
      <c r="K234" s="5" t="s">
        <v>4</v>
      </c>
      <c r="L234" s="97">
        <f ca="1">_xll.meDateFromTenor(L233,"1D","FOLLOWING","TGT")</f>
        <v>42829</v>
      </c>
      <c r="M234" s="95">
        <f ca="1"/>
        <v>-1.7285944274699168E-3</v>
      </c>
      <c r="N234" s="5" t="s">
        <v>4</v>
      </c>
      <c r="O234" s="97">
        <f ca="1">_xll.meDateFromTenor(O233,"1D","FOLLOWING","TGT")</f>
        <v>42829</v>
      </c>
      <c r="P234" s="95">
        <f ca="1"/>
        <v>-2.4810964077135025E-4</v>
      </c>
      <c r="Q234" s="5" t="s">
        <v>4</v>
      </c>
      <c r="R234" s="83" t="s">
        <v>4</v>
      </c>
    </row>
    <row r="235" spans="1:18" x14ac:dyDescent="0.25">
      <c r="A235" s="88">
        <v>221</v>
      </c>
      <c r="B235" s="82"/>
      <c r="C235" s="97">
        <f ca="1">_xll.meDateFromTenor(C234,"1D","FOLLOWING","TGT")</f>
        <v>42830</v>
      </c>
      <c r="D235" s="95">
        <f ca="1"/>
        <v>-4.1511518481233134E-3</v>
      </c>
      <c r="E235" s="92"/>
      <c r="F235" s="97">
        <f ca="1">_xll.meDateFromTenor(F234,"1D","FOLLOWING","TGT")</f>
        <v>42830</v>
      </c>
      <c r="G235" s="95">
        <f ca="1"/>
        <v>-3.966702927391293E-3</v>
      </c>
      <c r="H235" s="92" t="s">
        <v>4</v>
      </c>
      <c r="I235" s="97">
        <f ca="1">_xll.meDateFromTenor(I234,"1D","FOLLOWING","TGT")</f>
        <v>42830</v>
      </c>
      <c r="J235" s="95">
        <f ca="1"/>
        <v>-3.0228642518347741E-3</v>
      </c>
      <c r="K235" s="5" t="s">
        <v>4</v>
      </c>
      <c r="L235" s="97">
        <f ca="1">_xll.meDateFromTenor(L234,"1D","FOLLOWING","TGT")</f>
        <v>42830</v>
      </c>
      <c r="M235" s="95">
        <f ca="1"/>
        <v>-1.7289123294233673E-3</v>
      </c>
      <c r="N235" s="5" t="s">
        <v>4</v>
      </c>
      <c r="O235" s="97">
        <f ca="1">_xll.meDateFromTenor(O234,"1D","FOLLOWING","TGT")</f>
        <v>42830</v>
      </c>
      <c r="P235" s="95">
        <f ca="1"/>
        <v>-2.4747986534896538E-4</v>
      </c>
      <c r="Q235" s="5" t="s">
        <v>4</v>
      </c>
      <c r="R235" s="83" t="s">
        <v>4</v>
      </c>
    </row>
    <row r="236" spans="1:18" x14ac:dyDescent="0.25">
      <c r="A236" s="88">
        <v>222</v>
      </c>
      <c r="B236" s="82"/>
      <c r="C236" s="97">
        <f ca="1">_xll.meDateFromTenor(C235,"1D","FOLLOWING","TGT")</f>
        <v>42831</v>
      </c>
      <c r="D236" s="95">
        <f ca="1"/>
        <v>-4.1529385743851455E-3</v>
      </c>
      <c r="E236" s="92"/>
      <c r="F236" s="97">
        <f ca="1">_xll.meDateFromTenor(F235,"1D","FOLLOWING","TGT")</f>
        <v>42831</v>
      </c>
      <c r="G236" s="95">
        <f ca="1"/>
        <v>-3.9680113200058556E-3</v>
      </c>
      <c r="H236" s="92" t="s">
        <v>4</v>
      </c>
      <c r="I236" s="97">
        <f ca="1">_xll.meDateFromTenor(I235,"1D","FOLLOWING","TGT")</f>
        <v>42831</v>
      </c>
      <c r="J236" s="95">
        <f ca="1"/>
        <v>-3.0234447442193564E-3</v>
      </c>
      <c r="K236" s="5" t="s">
        <v>4</v>
      </c>
      <c r="L236" s="97">
        <f ca="1">_xll.meDateFromTenor(L235,"1D","FOLLOWING","TGT")</f>
        <v>42831</v>
      </c>
      <c r="M236" s="95">
        <f ca="1"/>
        <v>-1.7292290682564017E-3</v>
      </c>
      <c r="N236" s="5" t="s">
        <v>4</v>
      </c>
      <c r="O236" s="97">
        <f ca="1">_xll.meDateFromTenor(O235,"1D","FOLLOWING","TGT")</f>
        <v>42831</v>
      </c>
      <c r="P236" s="95">
        <f ca="1"/>
        <v>-2.4684076394962276E-4</v>
      </c>
      <c r="Q236" s="5" t="s">
        <v>4</v>
      </c>
      <c r="R236" s="83" t="s">
        <v>4</v>
      </c>
    </row>
    <row r="237" spans="1:18" x14ac:dyDescent="0.25">
      <c r="A237" s="88">
        <v>223</v>
      </c>
      <c r="B237" s="82"/>
      <c r="C237" s="97">
        <f ca="1">_xll.meDateFromTenor(C236,"1D","FOLLOWING","TGT")</f>
        <v>42832</v>
      </c>
      <c r="D237" s="95">
        <f ca="1"/>
        <v>-4.1546948323091248E-3</v>
      </c>
      <c r="E237" s="92"/>
      <c r="F237" s="97">
        <f ca="1">_xll.meDateFromTenor(F236,"1D","FOLLOWING","TGT")</f>
        <v>42832</v>
      </c>
      <c r="G237" s="95">
        <f ca="1"/>
        <v>-3.9693267711983999E-3</v>
      </c>
      <c r="H237" s="92" t="s">
        <v>4</v>
      </c>
      <c r="I237" s="97">
        <f ca="1">_xll.meDateFromTenor(I236,"1D","FOLLOWING","TGT")</f>
        <v>42832</v>
      </c>
      <c r="J237" s="95">
        <f ca="1"/>
        <v>-3.0240252366319532E-3</v>
      </c>
      <c r="K237" s="5" t="s">
        <v>4</v>
      </c>
      <c r="L237" s="97">
        <f ca="1">_xll.meDateFromTenor(L236,"1D","FOLLOWING","TGT")</f>
        <v>42832</v>
      </c>
      <c r="M237" s="95">
        <f ca="1"/>
        <v>-1.7295446646628872E-3</v>
      </c>
      <c r="N237" s="5" t="s">
        <v>4</v>
      </c>
      <c r="O237" s="97">
        <f ca="1">_xll.meDateFromTenor(O236,"1D","FOLLOWING","TGT")</f>
        <v>42832</v>
      </c>
      <c r="P237" s="95">
        <f ca="1"/>
        <v>-2.4619230613812332E-4</v>
      </c>
      <c r="Q237" s="5" t="s">
        <v>4</v>
      </c>
      <c r="R237" s="83" t="s">
        <v>4</v>
      </c>
    </row>
    <row r="238" spans="1:18" x14ac:dyDescent="0.25">
      <c r="A238" s="88">
        <v>224</v>
      </c>
      <c r="B238" s="82"/>
      <c r="C238" s="97">
        <f ca="1">_xll.meDateFromTenor(C237,"1D","FOLLOWING","TGT")</f>
        <v>42835</v>
      </c>
      <c r="D238" s="95">
        <f ca="1"/>
        <v>-4.1597808126139224E-3</v>
      </c>
      <c r="E238" s="92"/>
      <c r="F238" s="97">
        <f ca="1">_xll.meDateFromTenor(F237,"1D","FOLLOWING","TGT")</f>
        <v>42835</v>
      </c>
      <c r="G238" s="95">
        <f ca="1"/>
        <v>-3.9733103210997803E-3</v>
      </c>
      <c r="H238" s="92" t="s">
        <v>4</v>
      </c>
      <c r="I238" s="97">
        <f ca="1">_xll.meDateFromTenor(I237,"1D","FOLLOWING","TGT")</f>
        <v>42835</v>
      </c>
      <c r="J238" s="95">
        <f ca="1"/>
        <v>-3.0257667139107595E-3</v>
      </c>
      <c r="K238" s="5" t="s">
        <v>4</v>
      </c>
      <c r="L238" s="97">
        <f ca="1">_xll.meDateFromTenor(L237,"1D","FOLLOWING","TGT")</f>
        <v>42835</v>
      </c>
      <c r="M238" s="95">
        <f ca="1"/>
        <v>-1.7304848062617256E-3</v>
      </c>
      <c r="N238" s="5" t="s">
        <v>4</v>
      </c>
      <c r="O238" s="97">
        <f ca="1">_xll.meDateFromTenor(O237,"1D","FOLLOWING","TGT")</f>
        <v>42835</v>
      </c>
      <c r="P238" s="95">
        <f ca="1"/>
        <v>-2.4419048987869461E-4</v>
      </c>
      <c r="Q238" s="5" t="s">
        <v>4</v>
      </c>
      <c r="R238" s="83" t="s">
        <v>4</v>
      </c>
    </row>
    <row r="239" spans="1:18" x14ac:dyDescent="0.25">
      <c r="A239" s="88">
        <v>225</v>
      </c>
      <c r="B239" s="82"/>
      <c r="C239" s="97">
        <f ca="1">_xll.meDateFromTenor(C238,"1D","FOLLOWING","TGT")</f>
        <v>42836</v>
      </c>
      <c r="D239" s="95">
        <f ca="1"/>
        <v>-4.1614152132545268E-3</v>
      </c>
      <c r="E239" s="92"/>
      <c r="F239" s="97">
        <f ca="1">_xll.meDateFromTenor(F238,"1D","FOLLOWING","TGT")</f>
        <v>42836</v>
      </c>
      <c r="G239" s="95">
        <f ca="1"/>
        <v>-3.9746488514601089E-3</v>
      </c>
      <c r="H239" s="92" t="s">
        <v>4</v>
      </c>
      <c r="I239" s="97">
        <f ca="1">_xll.meDateFromTenor(I238,"1D","FOLLOWING","TGT")</f>
        <v>42836</v>
      </c>
      <c r="J239" s="95">
        <f ca="1"/>
        <v>-3.0263472063328744E-3</v>
      </c>
      <c r="K239" s="5" t="s">
        <v>4</v>
      </c>
      <c r="L239" s="97">
        <f ca="1">_xll.meDateFromTenor(L238,"1D","FOLLOWING","TGT")</f>
        <v>42836</v>
      </c>
      <c r="M239" s="95">
        <f ca="1"/>
        <v>-1.7307960399006908E-3</v>
      </c>
      <c r="N239" s="5" t="s">
        <v>4</v>
      </c>
      <c r="O239" s="97">
        <f ca="1">_xll.meDateFromTenor(O238,"1D","FOLLOWING","TGT")</f>
        <v>42836</v>
      </c>
      <c r="P239" s="95">
        <f ca="1"/>
        <v>-2.4350430206657831E-4</v>
      </c>
      <c r="Q239" s="5" t="s">
        <v>4</v>
      </c>
      <c r="R239" s="83" t="s">
        <v>4</v>
      </c>
    </row>
    <row r="240" spans="1:18" x14ac:dyDescent="0.25">
      <c r="A240" s="88">
        <v>226</v>
      </c>
      <c r="B240" s="82"/>
      <c r="C240" s="97">
        <f ca="1">_xll.meDateFromTenor(C239,"1D","FOLLOWING","TGT")</f>
        <v>42837</v>
      </c>
      <c r="D240" s="95">
        <f ca="1"/>
        <v>-4.1630191532587846E-3</v>
      </c>
      <c r="E240" s="92"/>
      <c r="F240" s="97">
        <f ca="1">_xll.meDateFromTenor(F239,"1D","FOLLOWING","TGT")</f>
        <v>42837</v>
      </c>
      <c r="G240" s="95">
        <f ca="1"/>
        <v>-3.9759918628263467E-3</v>
      </c>
      <c r="H240" s="92" t="s">
        <v>4</v>
      </c>
      <c r="I240" s="97">
        <f ca="1">_xll.meDateFromTenor(I239,"1D","FOLLOWING","TGT")</f>
        <v>42837</v>
      </c>
      <c r="J240" s="95">
        <f ca="1"/>
        <v>-3.0269276987564611E-3</v>
      </c>
      <c r="K240" s="5" t="s">
        <v>4</v>
      </c>
      <c r="L240" s="97">
        <f ca="1">_xll.meDateFromTenor(L239,"1D","FOLLOWING","TGT")</f>
        <v>42837</v>
      </c>
      <c r="M240" s="95">
        <f ca="1"/>
        <v>-1.731106234582444E-3</v>
      </c>
      <c r="N240" s="5" t="s">
        <v>4</v>
      </c>
      <c r="O240" s="97">
        <f ca="1">_xll.meDateFromTenor(O239,"1D","FOLLOWING","TGT")</f>
        <v>42837</v>
      </c>
      <c r="P240" s="95">
        <f ca="1"/>
        <v>-2.4280860566631025E-4</v>
      </c>
      <c r="Q240" s="5" t="s">
        <v>4</v>
      </c>
      <c r="R240" s="83" t="s">
        <v>4</v>
      </c>
    </row>
    <row r="241" spans="1:18" x14ac:dyDescent="0.25">
      <c r="A241" s="88">
        <v>227</v>
      </c>
      <c r="B241" s="82"/>
      <c r="C241" s="97">
        <f ca="1">_xll.meDateFromTenor(C240,"1D","FOLLOWING","TGT")</f>
        <v>42838</v>
      </c>
      <c r="D241" s="95">
        <f ca="1"/>
        <v>-4.1645926343655271E-3</v>
      </c>
      <c r="E241" s="92"/>
      <c r="F241" s="97">
        <f ca="1">_xll.meDateFromTenor(F240,"1D","FOLLOWING","TGT")</f>
        <v>42838</v>
      </c>
      <c r="G241" s="95">
        <f ca="1"/>
        <v>-3.9773388396840805E-3</v>
      </c>
      <c r="H241" s="92" t="s">
        <v>4</v>
      </c>
      <c r="I241" s="97">
        <f ca="1">_xll.meDateFromTenor(I240,"1D","FOLLOWING","TGT")</f>
        <v>42838</v>
      </c>
      <c r="J241" s="95">
        <f ca="1"/>
        <v>-3.0275081911795088E-3</v>
      </c>
      <c r="K241" s="5" t="s">
        <v>4</v>
      </c>
      <c r="L241" s="97">
        <f ca="1">_xll.meDateFromTenor(L240,"1D","FOLLOWING","TGT")</f>
        <v>42838</v>
      </c>
      <c r="M241" s="95">
        <f ca="1"/>
        <v>-1.7314154110008536E-3</v>
      </c>
      <c r="N241" s="5" t="s">
        <v>4</v>
      </c>
      <c r="O241" s="97">
        <f ca="1">_xll.meDateFromTenor(O240,"1D","FOLLOWING","TGT")</f>
        <v>42838</v>
      </c>
      <c r="P241" s="95">
        <f ca="1"/>
        <v>-2.4210337024269151E-4</v>
      </c>
      <c r="Q241" s="5" t="s">
        <v>4</v>
      </c>
      <c r="R241" s="83" t="s">
        <v>4</v>
      </c>
    </row>
    <row r="242" spans="1:18" x14ac:dyDescent="0.25">
      <c r="A242" s="88">
        <v>228</v>
      </c>
      <c r="B242" s="82"/>
      <c r="C242" s="97">
        <f ca="1">_xll.meDateFromTenor(C241,"1D","FOLLOWING","TGT")</f>
        <v>42843</v>
      </c>
      <c r="D242" s="95">
        <f ca="1"/>
        <v>-4.1720032089407333E-3</v>
      </c>
      <c r="E242" s="92"/>
      <c r="F242" s="97">
        <f ca="1">_xll.meDateFromTenor(F241,"1D","FOLLOWING","TGT")</f>
        <v>42843</v>
      </c>
      <c r="G242" s="95">
        <f ca="1"/>
        <v>-3.9841151633406647E-3</v>
      </c>
      <c r="H242" s="92" t="s">
        <v>4</v>
      </c>
      <c r="I242" s="97">
        <f ca="1">_xll.meDateFromTenor(I241,"1D","FOLLOWING","TGT")</f>
        <v>42843</v>
      </c>
      <c r="J242" s="95">
        <f ca="1"/>
        <v>-3.0304106532935654E-3</v>
      </c>
      <c r="K242" s="5" t="s">
        <v>4</v>
      </c>
      <c r="L242" s="97">
        <f ca="1">_xll.meDateFromTenor(L241,"1D","FOLLOWING","TGT")</f>
        <v>42843</v>
      </c>
      <c r="M242" s="95">
        <f ca="1"/>
        <v>-1.7329467434281003E-3</v>
      </c>
      <c r="N242" s="5" t="s">
        <v>4</v>
      </c>
      <c r="O242" s="97">
        <f ca="1">_xll.meDateFromTenor(O241,"1D","FOLLOWING","TGT")</f>
        <v>42843</v>
      </c>
      <c r="P242" s="95">
        <f ca="1"/>
        <v>-2.3843304254237294E-4</v>
      </c>
      <c r="Q242" s="5" t="s">
        <v>4</v>
      </c>
      <c r="R242" s="83" t="s">
        <v>4</v>
      </c>
    </row>
    <row r="243" spans="1:18" x14ac:dyDescent="0.25">
      <c r="A243" s="88">
        <v>229</v>
      </c>
      <c r="B243" s="82"/>
      <c r="C243" s="97">
        <f ca="1">_xll.meDateFromTenor(C242,"1D","FOLLOWING","TGT")</f>
        <v>42844</v>
      </c>
      <c r="D243" s="95">
        <f ca="1"/>
        <v>-4.1733939683249455E-3</v>
      </c>
      <c r="E243" s="92"/>
      <c r="F243" s="97">
        <f ca="1">_xll.meDateFromTenor(F242,"1D","FOLLOWING","TGT")</f>
        <v>42844</v>
      </c>
      <c r="G243" s="95">
        <f ca="1"/>
        <v>-3.9854751073446631E-3</v>
      </c>
      <c r="H243" s="92" t="s">
        <v>4</v>
      </c>
      <c r="I243" s="97">
        <f ca="1">_xll.meDateFromTenor(I242,"1D","FOLLOWING","TGT")</f>
        <v>42844</v>
      </c>
      <c r="J243" s="95">
        <f ca="1"/>
        <v>-3.0309911457164257E-3</v>
      </c>
      <c r="K243" s="5" t="s">
        <v>4</v>
      </c>
      <c r="L243" s="97">
        <f ca="1">_xll.meDateFromTenor(L242,"1D","FOLLOWING","TGT")</f>
        <v>42844</v>
      </c>
      <c r="M243" s="95">
        <f ca="1"/>
        <v>-1.7332502448376621E-3</v>
      </c>
      <c r="N243" s="5" t="s">
        <v>4</v>
      </c>
      <c r="O243" s="97">
        <f ca="1">_xll.meDateFromTenor(O242,"1D","FOLLOWING","TGT")</f>
        <v>42844</v>
      </c>
      <c r="P243" s="95">
        <f ca="1"/>
        <v>-2.376699338394713E-4</v>
      </c>
      <c r="Q243" s="5" t="s">
        <v>4</v>
      </c>
      <c r="R243" s="83" t="s">
        <v>4</v>
      </c>
    </row>
    <row r="244" spans="1:18" x14ac:dyDescent="0.25">
      <c r="A244" s="88">
        <v>230</v>
      </c>
      <c r="B244" s="82"/>
      <c r="C244" s="97">
        <f ca="1">_xll.meDateFromTenor(C243,"1D","FOLLOWING","TGT")</f>
        <v>42845</v>
      </c>
      <c r="D244" s="95">
        <f ca="1"/>
        <v>-4.1747542793928449E-3</v>
      </c>
      <c r="E244" s="92"/>
      <c r="F244" s="97">
        <f ca="1">_xll.meDateFromTenor(F243,"1D","FOLLOWING","TGT")</f>
        <v>42845</v>
      </c>
      <c r="G244" s="95">
        <f ca="1"/>
        <v>-3.986835408239256E-3</v>
      </c>
      <c r="H244" s="92" t="s">
        <v>4</v>
      </c>
      <c r="I244" s="97">
        <f ca="1">_xll.meDateFromTenor(I243,"1D","FOLLOWING","TGT")</f>
        <v>42845</v>
      </c>
      <c r="J244" s="95">
        <f ca="1"/>
        <v>-3.031571638139267E-3</v>
      </c>
      <c r="K244" s="5" t="s">
        <v>4</v>
      </c>
      <c r="L244" s="97">
        <f ca="1">_xll.meDateFromTenor(L243,"1D","FOLLOWING","TGT")</f>
        <v>42845</v>
      </c>
      <c r="M244" s="95">
        <f ca="1"/>
        <v>-1.7335528728409514E-3</v>
      </c>
      <c r="N244" s="5" t="s">
        <v>4</v>
      </c>
      <c r="O244" s="97">
        <f ca="1">_xll.meDateFromTenor(O243,"1D","FOLLOWING","TGT")</f>
        <v>42845</v>
      </c>
      <c r="P244" s="95">
        <f ca="1"/>
        <v>-2.3689707306682607E-4</v>
      </c>
      <c r="Q244" s="5" t="s">
        <v>4</v>
      </c>
      <c r="R244" s="83" t="s">
        <v>4</v>
      </c>
    </row>
    <row r="245" spans="1:18" x14ac:dyDescent="0.25">
      <c r="A245" s="88">
        <v>231</v>
      </c>
      <c r="B245" s="82"/>
      <c r="C245" s="97">
        <f ca="1">_xll.meDateFromTenor(C244,"1D","FOLLOWING","TGT")</f>
        <v>42846</v>
      </c>
      <c r="D245" s="95">
        <f ca="1"/>
        <v>-4.1760841439005825E-3</v>
      </c>
      <c r="E245" s="92"/>
      <c r="F245" s="97">
        <f ca="1">_xll.meDateFromTenor(F244,"1D","FOLLOWING","TGT")</f>
        <v>42846</v>
      </c>
      <c r="G245" s="95">
        <f ca="1"/>
        <v>-3.9881955505100264E-3</v>
      </c>
      <c r="H245" s="92" t="s">
        <v>4</v>
      </c>
      <c r="I245" s="97">
        <f ca="1">_xll.meDateFromTenor(I244,"1D","FOLLOWING","TGT")</f>
        <v>42846</v>
      </c>
      <c r="J245" s="95">
        <f ca="1"/>
        <v>-3.0321521305620696E-3</v>
      </c>
      <c r="K245" s="5" t="s">
        <v>4</v>
      </c>
      <c r="L245" s="97">
        <f ca="1">_xll.meDateFromTenor(L244,"1D","FOLLOWING","TGT")</f>
        <v>42846</v>
      </c>
      <c r="M245" s="95">
        <f ca="1"/>
        <v>-1.7338546481318368E-3</v>
      </c>
      <c r="N245" s="5" t="s">
        <v>4</v>
      </c>
      <c r="O245" s="97">
        <f ca="1">_xll.meDateFromTenor(O244,"1D","FOLLOWING","TGT")</f>
        <v>42846</v>
      </c>
      <c r="P245" s="95">
        <f ca="1"/>
        <v>-2.3611442978923829E-4</v>
      </c>
      <c r="Q245" s="5" t="s">
        <v>4</v>
      </c>
      <c r="R245" s="83" t="s">
        <v>4</v>
      </c>
    </row>
    <row r="246" spans="1:18" x14ac:dyDescent="0.25">
      <c r="A246" s="88">
        <v>232</v>
      </c>
      <c r="B246" s="82"/>
      <c r="C246" s="97">
        <f ca="1">_xll.meDateFromTenor(C245,"1D","FOLLOWING","TGT")</f>
        <v>42849</v>
      </c>
      <c r="D246" s="95">
        <f ca="1"/>
        <v>-4.1798910718833238E-3</v>
      </c>
      <c r="E246" s="92"/>
      <c r="F246" s="97">
        <f ca="1">_xll.meDateFromTenor(F245,"1D","FOLLOWING","TGT")</f>
        <v>42849</v>
      </c>
      <c r="G246" s="95">
        <f ca="1"/>
        <v>-3.9922698704352669E-3</v>
      </c>
      <c r="H246" s="92" t="s">
        <v>4</v>
      </c>
      <c r="I246" s="97">
        <f ca="1">_xll.meDateFromTenor(I245,"1D","FOLLOWING","TGT")</f>
        <v>42849</v>
      </c>
      <c r="J246" s="95">
        <f ca="1"/>
        <v>-3.0338936078306701E-3</v>
      </c>
      <c r="K246" s="5" t="s">
        <v>4</v>
      </c>
      <c r="L246" s="97">
        <f ca="1">_xll.meDateFromTenor(L245,"1D","FOLLOWING","TGT")</f>
        <v>42849</v>
      </c>
      <c r="M246" s="95">
        <f ca="1"/>
        <v>-1.7347550646687399E-3</v>
      </c>
      <c r="N246" s="5" t="s">
        <v>4</v>
      </c>
      <c r="O246" s="97">
        <f ca="1">_xll.meDateFromTenor(O245,"1D","FOLLOWING","TGT")</f>
        <v>42849</v>
      </c>
      <c r="P246" s="95">
        <f ca="1"/>
        <v>-2.3370750057482933E-4</v>
      </c>
      <c r="Q246" s="5" t="s">
        <v>4</v>
      </c>
      <c r="R246" s="83" t="s">
        <v>4</v>
      </c>
    </row>
    <row r="247" spans="1:18" x14ac:dyDescent="0.25">
      <c r="A247" s="88">
        <v>233</v>
      </c>
      <c r="B247" s="82"/>
      <c r="C247" s="97">
        <f ca="1">_xll.meDateFromTenor(C246,"1D","FOLLOWING","TGT")</f>
        <v>42850</v>
      </c>
      <c r="D247" s="95">
        <f ca="1"/>
        <v>-4.1810991642748929E-3</v>
      </c>
      <c r="E247" s="92"/>
      <c r="F247" s="97">
        <f ca="1">_xll.meDateFromTenor(F246,"1D","FOLLOWING","TGT")</f>
        <v>42850</v>
      </c>
      <c r="G247" s="95">
        <f ca="1"/>
        <v>-3.9936242230666072E-3</v>
      </c>
      <c r="H247" s="92" t="s">
        <v>4</v>
      </c>
      <c r="I247" s="97">
        <f ca="1">_xll.meDateFromTenor(I246,"1D","FOLLOWING","TGT")</f>
        <v>42850</v>
      </c>
      <c r="J247" s="95">
        <f ca="1"/>
        <v>-3.0344741002528378E-3</v>
      </c>
      <c r="K247" s="5" t="s">
        <v>4</v>
      </c>
      <c r="L247" s="97">
        <f ca="1">_xll.meDateFromTenor(L246,"1D","FOLLOWING","TGT")</f>
        <v>42850</v>
      </c>
      <c r="M247" s="95">
        <f ca="1"/>
        <v>-1.7350536360486817E-3</v>
      </c>
      <c r="N247" s="5" t="s">
        <v>4</v>
      </c>
      <c r="O247" s="97">
        <f ca="1">_xll.meDateFromTenor(O246,"1D","FOLLOWING","TGT")</f>
        <v>42850</v>
      </c>
      <c r="P247" s="95">
        <f ca="1"/>
        <v>-2.3288542292548123E-4</v>
      </c>
      <c r="Q247" s="5" t="s">
        <v>4</v>
      </c>
      <c r="R247" s="83" t="s">
        <v>4</v>
      </c>
    </row>
    <row r="248" spans="1:18" x14ac:dyDescent="0.25">
      <c r="A248" s="88">
        <v>234</v>
      </c>
      <c r="B248" s="82"/>
      <c r="C248" s="97">
        <f ca="1">_xll.meDateFromTenor(C247,"1D","FOLLOWING","TGT")</f>
        <v>42851</v>
      </c>
      <c r="D248" s="95">
        <f ca="1"/>
        <v>-4.1822768179703429E-3</v>
      </c>
      <c r="E248" s="92"/>
      <c r="F248" s="97">
        <f ca="1">_xll.meDateFromTenor(F247,"1D","FOLLOWING","TGT")</f>
        <v>42851</v>
      </c>
      <c r="G248" s="95">
        <f ca="1"/>
        <v>-3.9949758395020542E-3</v>
      </c>
      <c r="H248" s="92" t="s">
        <v>4</v>
      </c>
      <c r="I248" s="97">
        <f ca="1">_xll.meDateFromTenor(I247,"1D","FOLLOWING","TGT")</f>
        <v>42851</v>
      </c>
      <c r="J248" s="95">
        <f ca="1"/>
        <v>-3.0350545926763717E-3</v>
      </c>
      <c r="K248" s="5" t="s">
        <v>4</v>
      </c>
      <c r="L248" s="97">
        <f ca="1">_xll.meDateFromTenor(L247,"1D","FOLLOWING","TGT")</f>
        <v>42851</v>
      </c>
      <c r="M248" s="95">
        <f ca="1"/>
        <v>-1.7353514581855565E-3</v>
      </c>
      <c r="N248" s="5" t="s">
        <v>4</v>
      </c>
      <c r="O248" s="97">
        <f ca="1">_xll.meDateFromTenor(O247,"1D","FOLLOWING","TGT")</f>
        <v>42851</v>
      </c>
      <c r="P248" s="95">
        <f ca="1"/>
        <v>-2.3205341059519556E-4</v>
      </c>
      <c r="Q248" s="5" t="s">
        <v>4</v>
      </c>
      <c r="R248" s="83" t="s">
        <v>4</v>
      </c>
    </row>
    <row r="249" spans="1:18" x14ac:dyDescent="0.25">
      <c r="A249" s="88">
        <v>235</v>
      </c>
      <c r="B249" s="82"/>
      <c r="C249" s="97">
        <f ca="1">_xll.meDateFromTenor(C248,"1D","FOLLOWING","TGT")</f>
        <v>42852</v>
      </c>
      <c r="D249" s="95">
        <f ca="1"/>
        <v>-4.1834240337538242E-3</v>
      </c>
      <c r="E249" s="92"/>
      <c r="F249" s="97">
        <f ca="1">_xll.meDateFromTenor(F248,"1D","FOLLOWING","TGT")</f>
        <v>42852</v>
      </c>
      <c r="G249" s="95">
        <f ca="1"/>
        <v>-3.9963242042271932E-3</v>
      </c>
      <c r="H249" s="92" t="s">
        <v>4</v>
      </c>
      <c r="I249" s="97">
        <f ca="1">_xll.meDateFromTenor(I248,"1D","FOLLOWING","TGT")</f>
        <v>42852</v>
      </c>
      <c r="J249" s="95">
        <f ca="1"/>
        <v>-3.0356350851017712E-3</v>
      </c>
      <c r="K249" s="5" t="s">
        <v>4</v>
      </c>
      <c r="L249" s="97">
        <f ca="1">_xll.meDateFromTenor(L248,"1D","FOLLOWING","TGT")</f>
        <v>42852</v>
      </c>
      <c r="M249" s="95">
        <f ca="1"/>
        <v>-1.7356485517732313E-3</v>
      </c>
      <c r="N249" s="5" t="s">
        <v>4</v>
      </c>
      <c r="O249" s="97">
        <f ca="1">_xll.meDateFromTenor(O248,"1D","FOLLOWING","TGT")</f>
        <v>42852</v>
      </c>
      <c r="P249" s="95">
        <f ca="1"/>
        <v>-2.3121143314877341E-4</v>
      </c>
      <c r="Q249" s="5" t="s">
        <v>4</v>
      </c>
      <c r="R249" s="83" t="s">
        <v>4</v>
      </c>
    </row>
    <row r="250" spans="1:18" x14ac:dyDescent="0.25">
      <c r="A250" s="88">
        <v>236</v>
      </c>
      <c r="B250" s="82"/>
      <c r="C250" s="97">
        <f ca="1">_xll.meDateFromTenor(C249,"1D","FOLLOWING","TGT")</f>
        <v>42853</v>
      </c>
      <c r="D250" s="95">
        <f ca="1"/>
        <v>-4.1845408134024709E-3</v>
      </c>
      <c r="E250" s="92"/>
      <c r="F250" s="97">
        <f ca="1">_xll.meDateFromTenor(F249,"1D","FOLLOWING","TGT")</f>
        <v>42853</v>
      </c>
      <c r="G250" s="95">
        <f ca="1"/>
        <v>-3.9976688017276081E-3</v>
      </c>
      <c r="H250" s="92" t="s">
        <v>4</v>
      </c>
      <c r="I250" s="97">
        <f ca="1">_xll.meDateFromTenor(I249,"1D","FOLLOWING","TGT")</f>
        <v>42853</v>
      </c>
      <c r="J250" s="95">
        <f ca="1"/>
        <v>-3.0362155775220728E-3</v>
      </c>
      <c r="K250" s="5" t="s">
        <v>4</v>
      </c>
      <c r="L250" s="97">
        <f ca="1">_xll.meDateFromTenor(L249,"1D","FOLLOWING","TGT")</f>
        <v>42853</v>
      </c>
      <c r="M250" s="95">
        <f ca="1"/>
        <v>-1.7359449375055742E-3</v>
      </c>
      <c r="N250" s="5" t="s">
        <v>4</v>
      </c>
      <c r="O250" s="97">
        <f ca="1">_xll.meDateFromTenor(O249,"1D","FOLLOWING","TGT")</f>
        <v>42853</v>
      </c>
      <c r="P250" s="95">
        <f ca="1"/>
        <v>-2.3035946015101576E-4</v>
      </c>
      <c r="Q250" s="5" t="s">
        <v>4</v>
      </c>
      <c r="R250" s="83" t="s">
        <v>4</v>
      </c>
    </row>
    <row r="251" spans="1:18" x14ac:dyDescent="0.25">
      <c r="A251" s="88">
        <v>237</v>
      </c>
      <c r="B251" s="82"/>
      <c r="C251" s="97">
        <f ca="1">_xll.meDateFromTenor(C250,"1D","FOLLOWING","TGT")</f>
        <v>42857</v>
      </c>
      <c r="D251" s="95">
        <f ca="1"/>
        <v>-4.1887036009827794E-3</v>
      </c>
      <c r="E251" s="92"/>
      <c r="F251" s="97">
        <f ca="1">_xll.meDateFromTenor(F250,"1D","FOLLOWING","TGT")</f>
        <v>42857</v>
      </c>
      <c r="G251" s="95">
        <f ca="1"/>
        <v>-4.002999209193751E-3</v>
      </c>
      <c r="H251" s="92" t="s">
        <v>4</v>
      </c>
      <c r="I251" s="97">
        <f ca="1">_xll.meDateFromTenor(I250,"1D","FOLLOWING","TGT")</f>
        <v>42857</v>
      </c>
      <c r="J251" s="95">
        <f ca="1"/>
        <v>-3.0385375472134759E-3</v>
      </c>
      <c r="K251" s="5" t="s">
        <v>4</v>
      </c>
      <c r="L251" s="97">
        <f ca="1">_xll.meDateFromTenor(L250,"1D","FOLLOWING","TGT")</f>
        <v>42857</v>
      </c>
      <c r="M251" s="95">
        <f ca="1"/>
        <v>-1.7371238157589709E-3</v>
      </c>
      <c r="N251" s="5" t="s">
        <v>4</v>
      </c>
      <c r="O251" s="97">
        <f ca="1">_xll.meDateFromTenor(O250,"1D","FOLLOWING","TGT")</f>
        <v>42857</v>
      </c>
      <c r="P251" s="95">
        <f ca="1"/>
        <v>-2.2685100394265011E-4</v>
      </c>
      <c r="Q251" s="5" t="s">
        <v>4</v>
      </c>
      <c r="R251" s="83" t="s">
        <v>4</v>
      </c>
    </row>
    <row r="252" spans="1:18" x14ac:dyDescent="0.25">
      <c r="A252" s="88">
        <v>238</v>
      </c>
      <c r="B252" s="82"/>
      <c r="C252" s="97">
        <f ca="1">_xll.meDateFromTenor(C251,"1D","FOLLOWING","TGT")</f>
        <v>42858</v>
      </c>
      <c r="D252" s="95">
        <f ca="1"/>
        <v>-4.1896682226051363E-3</v>
      </c>
      <c r="E252" s="92"/>
      <c r="F252" s="97">
        <f ca="1">_xll.meDateFromTenor(F251,"1D","FOLLOWING","TGT")</f>
        <v>42858</v>
      </c>
      <c r="G252" s="95">
        <f ca="1"/>
        <v>-4.0043172960504232E-3</v>
      </c>
      <c r="H252" s="92" t="s">
        <v>4</v>
      </c>
      <c r="I252" s="97">
        <f ca="1">_xll.meDateFromTenor(I251,"1D","FOLLOWING","TGT")</f>
        <v>42858</v>
      </c>
      <c r="J252" s="95">
        <f ca="1"/>
        <v>-3.0391180395038069E-3</v>
      </c>
      <c r="K252" s="5" t="s">
        <v>4</v>
      </c>
      <c r="L252" s="97">
        <f ca="1">_xll.meDateFromTenor(L251,"1D","FOLLOWING","TGT")</f>
        <v>42858</v>
      </c>
      <c r="M252" s="95">
        <f ca="1"/>
        <v>-1.7374169726226639E-3</v>
      </c>
      <c r="N252" s="5" t="s">
        <v>4</v>
      </c>
      <c r="O252" s="97">
        <f ca="1">_xll.meDateFromTenor(O251,"1D","FOLLOWING","TGT")</f>
        <v>42858</v>
      </c>
      <c r="P252" s="95">
        <f ca="1"/>
        <v>-2.2594859666023005E-4</v>
      </c>
      <c r="Q252" s="5" t="s">
        <v>4</v>
      </c>
      <c r="R252" s="83" t="s">
        <v>4</v>
      </c>
    </row>
    <row r="253" spans="1:18" x14ac:dyDescent="0.25">
      <c r="A253" s="88">
        <v>239</v>
      </c>
      <c r="B253" s="82"/>
      <c r="C253" s="97">
        <f ca="1">_xll.meDateFromTenor(C252,"1D","FOLLOWING","TGT")</f>
        <v>42859</v>
      </c>
      <c r="D253" s="95">
        <f ca="1"/>
        <v>-4.1906024171408651E-3</v>
      </c>
      <c r="E253" s="92"/>
      <c r="F253" s="97">
        <f ca="1">_xll.meDateFromTenor(F252,"1D","FOLLOWING","TGT")</f>
        <v>42859</v>
      </c>
      <c r="G253" s="95">
        <f ca="1"/>
        <v>-4.0056288717724257E-3</v>
      </c>
      <c r="H253" s="92" t="s">
        <v>4</v>
      </c>
      <c r="I253" s="97">
        <f ca="1">_xll.meDateFromTenor(I252,"1D","FOLLOWING","TGT")</f>
        <v>42859</v>
      </c>
      <c r="J253" s="95">
        <f ca="1"/>
        <v>-3.0396985320591775E-3</v>
      </c>
      <c r="K253" s="5" t="s">
        <v>4</v>
      </c>
      <c r="L253" s="97">
        <f ca="1">_xll.meDateFromTenor(L252,"1D","FOLLOWING","TGT")</f>
        <v>42859</v>
      </c>
      <c r="M253" s="95">
        <f ca="1"/>
        <v>-1.7377095457942293E-3</v>
      </c>
      <c r="N253" s="5" t="s">
        <v>4</v>
      </c>
      <c r="O253" s="97">
        <f ca="1">_xll.meDateFromTenor(O252,"1D","FOLLOWING","TGT")</f>
        <v>42859</v>
      </c>
      <c r="P253" s="95">
        <f ca="1"/>
        <v>-2.2503601121528051E-4</v>
      </c>
      <c r="Q253" s="5" t="s">
        <v>4</v>
      </c>
      <c r="R253" s="83" t="s">
        <v>4</v>
      </c>
    </row>
    <row r="254" spans="1:18" x14ac:dyDescent="0.25">
      <c r="A254" s="88">
        <v>240</v>
      </c>
      <c r="B254" s="82"/>
      <c r="C254" s="97">
        <f ca="1">_xll.meDateFromTenor(C253,"1D","FOLLOWING","TGT")</f>
        <v>42860</v>
      </c>
      <c r="D254" s="95">
        <f ca="1"/>
        <v>-4.1915061859886249E-3</v>
      </c>
      <c r="E254" s="92"/>
      <c r="F254" s="97">
        <f ca="1">_xll.meDateFromTenor(F253,"1D","FOLLOWING","TGT")</f>
        <v>42860</v>
      </c>
      <c r="G254" s="95">
        <f ca="1"/>
        <v>-4.0069337700218812E-3</v>
      </c>
      <c r="H254" s="92" t="s">
        <v>4</v>
      </c>
      <c r="I254" s="97">
        <f ca="1">_xll.meDateFromTenor(I253,"1D","FOLLOWING","TGT")</f>
        <v>42860</v>
      </c>
      <c r="J254" s="95">
        <f ca="1"/>
        <v>-3.0402790249765997E-3</v>
      </c>
      <c r="K254" s="5" t="s">
        <v>4</v>
      </c>
      <c r="L254" s="97">
        <f ca="1">_xll.meDateFromTenor(L253,"1D","FOLLOWING","TGT")</f>
        <v>42860</v>
      </c>
      <c r="M254" s="95">
        <f ca="1"/>
        <v>-1.7380015559675347E-3</v>
      </c>
      <c r="N254" s="5" t="s">
        <v>4</v>
      </c>
      <c r="O254" s="97">
        <f ca="1">_xll.meDateFromTenor(O253,"1D","FOLLOWING","TGT")</f>
        <v>42860</v>
      </c>
      <c r="P254" s="95">
        <f ca="1"/>
        <v>-2.2411321717260259E-4</v>
      </c>
      <c r="Q254" s="5" t="s">
        <v>4</v>
      </c>
      <c r="R254" s="83" t="s">
        <v>4</v>
      </c>
    </row>
    <row r="255" spans="1:18" x14ac:dyDescent="0.25">
      <c r="A255" s="88">
        <v>241</v>
      </c>
      <c r="B255" s="82"/>
      <c r="C255" s="97">
        <f ca="1">_xll.meDateFromTenor(C254,"1D","FOLLOWING","TGT")</f>
        <v>42863</v>
      </c>
      <c r="D255" s="95">
        <f ca="1"/>
        <v>-4.1940349541020883E-3</v>
      </c>
      <c r="E255" s="92"/>
      <c r="F255" s="97">
        <f ca="1">_xll.meDateFromTenor(F254,"1D","FOLLOWING","TGT")</f>
        <v>42863</v>
      </c>
      <c r="G255" s="95">
        <f ca="1"/>
        <v>-4.0108067365562236E-3</v>
      </c>
      <c r="H255" s="92" t="s">
        <v>4</v>
      </c>
      <c r="I255" s="97">
        <f ca="1">_xll.meDateFromTenor(I254,"1D","FOLLOWING","TGT")</f>
        <v>42863</v>
      </c>
      <c r="J255" s="95">
        <f ca="1"/>
        <v>-3.0420205017505806E-3</v>
      </c>
      <c r="K255" s="5" t="s">
        <v>4</v>
      </c>
      <c r="L255" s="97">
        <f ca="1">_xll.meDateFromTenor(L254,"1D","FOLLOWING","TGT")</f>
        <v>42863</v>
      </c>
      <c r="M255" s="95">
        <f ca="1"/>
        <v>-1.7388744154365641E-3</v>
      </c>
      <c r="N255" s="5" t="s">
        <v>4</v>
      </c>
      <c r="O255" s="97">
        <f ca="1">_xll.meDateFromTenor(O254,"1D","FOLLOWING","TGT")</f>
        <v>42863</v>
      </c>
      <c r="P255" s="95">
        <f ca="1"/>
        <v>-2.2128327910620827E-4</v>
      </c>
      <c r="Q255" s="5" t="s">
        <v>4</v>
      </c>
      <c r="R255" s="83" t="s">
        <v>4</v>
      </c>
    </row>
    <row r="256" spans="1:18" x14ac:dyDescent="0.25">
      <c r="A256" s="88">
        <v>242</v>
      </c>
      <c r="B256" s="82"/>
      <c r="C256" s="97">
        <f ca="1">_xll.meDateFromTenor(C255,"1D","FOLLOWING","TGT")</f>
        <v>42864</v>
      </c>
      <c r="D256" s="95">
        <f ca="1"/>
        <v>-4.1948170354042524E-3</v>
      </c>
      <c r="E256" s="92"/>
      <c r="F256" s="97">
        <f ca="1">_xll.meDateFromTenor(F255,"1D","FOLLOWING","TGT")</f>
        <v>42864</v>
      </c>
      <c r="G256" s="95">
        <f ca="1"/>
        <v>-4.012083261536745E-3</v>
      </c>
      <c r="H256" s="92" t="s">
        <v>4</v>
      </c>
      <c r="I256" s="97">
        <f ca="1">_xll.meDateFromTenor(I255,"1D","FOLLOWING","TGT")</f>
        <v>42864</v>
      </c>
      <c r="J256" s="95">
        <f ca="1"/>
        <v>-3.0426010010619247E-3</v>
      </c>
      <c r="K256" s="5" t="s">
        <v>4</v>
      </c>
      <c r="L256" s="97">
        <f ca="1">_xll.meDateFromTenor(L255,"1D","FOLLOWING","TGT")</f>
        <v>42864</v>
      </c>
      <c r="M256" s="95">
        <f ca="1"/>
        <v>-1.7391643805555036E-3</v>
      </c>
      <c r="N256" s="5" t="s">
        <v>4</v>
      </c>
      <c r="O256" s="97">
        <f ca="1">_xll.meDateFromTenor(O255,"1D","FOLLOWING","TGT")</f>
        <v>42864</v>
      </c>
      <c r="P256" s="95">
        <f ca="1"/>
        <v>-2.2031934632062671E-4</v>
      </c>
      <c r="Q256" s="5" t="s">
        <v>4</v>
      </c>
      <c r="R256" s="83" t="s">
        <v>4</v>
      </c>
    </row>
    <row r="257" spans="1:18" x14ac:dyDescent="0.25">
      <c r="A257" s="88">
        <v>243</v>
      </c>
      <c r="B257" s="82"/>
      <c r="C257" s="97">
        <f ca="1">_xll.meDateFromTenor(C256,"1D","FOLLOWING","TGT")</f>
        <v>42865</v>
      </c>
      <c r="D257" s="95">
        <f ca="1"/>
        <v>-4.1955686986079321E-3</v>
      </c>
      <c r="E257" s="92"/>
      <c r="F257" s="97">
        <f ca="1">_xll.meDateFromTenor(F256,"1D","FOLLOWING","TGT")</f>
        <v>42865</v>
      </c>
      <c r="G257" s="95">
        <f ca="1"/>
        <v>-4.013352277355344E-3</v>
      </c>
      <c r="H257" s="92" t="s">
        <v>4</v>
      </c>
      <c r="I257" s="97">
        <f ca="1">_xll.meDateFromTenor(I256,"1D","FOLLOWING","TGT")</f>
        <v>42865</v>
      </c>
      <c r="J257" s="95">
        <f ca="1"/>
        <v>-3.0431814865962818E-3</v>
      </c>
      <c r="K257" s="5" t="s">
        <v>4</v>
      </c>
      <c r="L257" s="97">
        <f ca="1">_xll.meDateFromTenor(L256,"1D","FOLLOWING","TGT")</f>
        <v>42865</v>
      </c>
      <c r="M257" s="95">
        <f ca="1"/>
        <v>-1.73945388614552E-3</v>
      </c>
      <c r="N257" s="5" t="s">
        <v>4</v>
      </c>
      <c r="O257" s="97">
        <f ca="1">_xll.meDateFromTenor(O256,"1D","FOLLOWING","TGT")</f>
        <v>42865</v>
      </c>
      <c r="P257" s="95">
        <f ca="1"/>
        <v>-2.1934505276132175E-4</v>
      </c>
      <c r="Q257" s="5" t="s">
        <v>4</v>
      </c>
      <c r="R257" s="83" t="s">
        <v>4</v>
      </c>
    </row>
    <row r="258" spans="1:18" x14ac:dyDescent="0.25">
      <c r="A258" s="88">
        <v>244</v>
      </c>
      <c r="B258" s="82"/>
      <c r="C258" s="97">
        <f ca="1">_xll.meDateFromTenor(C257,"1D","FOLLOWING","TGT")</f>
        <v>42866</v>
      </c>
      <c r="D258" s="95">
        <f ca="1"/>
        <v>-4.1962899451346569E-3</v>
      </c>
      <c r="E258" s="92"/>
      <c r="F258" s="97">
        <f ca="1">_xll.meDateFromTenor(F257,"1D","FOLLOWING","TGT")</f>
        <v>42866</v>
      </c>
      <c r="G258" s="95">
        <f ca="1"/>
        <v>-4.0146136176741464E-3</v>
      </c>
      <c r="H258" s="92" t="s">
        <v>4</v>
      </c>
      <c r="I258" s="97">
        <f ca="1">_xll.meDateFromTenor(I257,"1D","FOLLOWING","TGT")</f>
        <v>42866</v>
      </c>
      <c r="J258" s="95">
        <f ca="1"/>
        <v>-3.0437619533109253E-3</v>
      </c>
      <c r="K258" s="5" t="s">
        <v>4</v>
      </c>
      <c r="L258" s="97">
        <f ca="1">_xll.meDateFromTenor(L257,"1D","FOLLOWING","TGT")</f>
        <v>42866</v>
      </c>
      <c r="M258" s="95">
        <f ca="1"/>
        <v>-1.7397429529004812E-3</v>
      </c>
      <c r="N258" s="5" t="s">
        <v>4</v>
      </c>
      <c r="O258" s="97">
        <f ca="1">_xll.meDateFromTenor(O257,"1D","FOLLOWING","TGT")</f>
        <v>42866</v>
      </c>
      <c r="P258" s="95">
        <f ca="1"/>
        <v>-2.1836036799309446E-4</v>
      </c>
      <c r="Q258" s="5" t="s">
        <v>4</v>
      </c>
      <c r="R258" s="83" t="s">
        <v>4</v>
      </c>
    </row>
    <row r="259" spans="1:18" x14ac:dyDescent="0.25">
      <c r="A259" s="88">
        <v>245</v>
      </c>
      <c r="B259" s="82"/>
      <c r="C259" s="97">
        <f ca="1">_xll.meDateFromTenor(C258,"1D","FOLLOWING","TGT")</f>
        <v>42867</v>
      </c>
      <c r="D259" s="95">
        <f ca="1"/>
        <v>-4.1969807766026879E-3</v>
      </c>
      <c r="E259" s="92"/>
      <c r="F259" s="97">
        <f ca="1">_xll.meDateFromTenor(F258,"1D","FOLLOWING","TGT")</f>
        <v>42867</v>
      </c>
      <c r="G259" s="95">
        <f ca="1"/>
        <v>-4.0158671161552783E-3</v>
      </c>
      <c r="H259" s="92" t="s">
        <v>4</v>
      </c>
      <c r="I259" s="97">
        <f ca="1">_xll.meDateFromTenor(I258,"1D","FOLLOWING","TGT")</f>
        <v>42867</v>
      </c>
      <c r="J259" s="95">
        <f ca="1"/>
        <v>-3.0443424714419833E-3</v>
      </c>
      <c r="K259" s="5" t="s">
        <v>4</v>
      </c>
      <c r="L259" s="97">
        <f ca="1">_xll.meDateFromTenor(L258,"1D","FOLLOWING","TGT")</f>
        <v>42867</v>
      </c>
      <c r="M259" s="95">
        <f ca="1"/>
        <v>-1.7400316015142542E-3</v>
      </c>
      <c r="N259" s="5" t="s">
        <v>4</v>
      </c>
      <c r="O259" s="97">
        <f ca="1">_xll.meDateFromTenor(O258,"1D","FOLLOWING","TGT")</f>
        <v>42867</v>
      </c>
      <c r="P259" s="95">
        <f ca="1"/>
        <v>-2.1736526158074577E-4</v>
      </c>
      <c r="Q259" s="5" t="s">
        <v>4</v>
      </c>
      <c r="R259" s="83" t="s">
        <v>4</v>
      </c>
    </row>
    <row r="260" spans="1:18" x14ac:dyDescent="0.25">
      <c r="A260" s="88">
        <v>246</v>
      </c>
      <c r="B260" s="82"/>
      <c r="C260" s="97">
        <f ca="1">_xll.meDateFromTenor(C259,"1D","FOLLOWING","TGT")</f>
        <v>42870</v>
      </c>
      <c r="D260" s="95">
        <f ca="1"/>
        <v>-4.1988707944060621E-3</v>
      </c>
      <c r="E260" s="92"/>
      <c r="F260" s="97">
        <f ca="1">_xll.meDateFromTenor(F259,"1D","FOLLOWING","TGT")</f>
        <v>42870</v>
      </c>
      <c r="G260" s="95">
        <f ca="1"/>
        <v>-4.0195788971938888E-3</v>
      </c>
      <c r="H260" s="92" t="s">
        <v>4</v>
      </c>
      <c r="I260" s="97">
        <f ca="1">_xll.meDateFromTenor(I259,"1D","FOLLOWING","TGT")</f>
        <v>42870</v>
      </c>
      <c r="J260" s="95">
        <f ca="1"/>
        <v>-3.0460835906414014E-3</v>
      </c>
      <c r="K260" s="5" t="s">
        <v>4</v>
      </c>
      <c r="L260" s="97">
        <f ca="1">_xll.meDateFromTenor(L259,"1D","FOLLOWING","TGT")</f>
        <v>42870</v>
      </c>
      <c r="M260" s="95">
        <f ca="1"/>
        <v>-1.7408952454471204E-3</v>
      </c>
      <c r="N260" s="5" t="s">
        <v>4</v>
      </c>
      <c r="O260" s="97">
        <f ca="1">_xll.meDateFromTenor(O259,"1D","FOLLOWING","TGT")</f>
        <v>42870</v>
      </c>
      <c r="P260" s="95">
        <f ca="1"/>
        <v>-2.1431710812698182E-4</v>
      </c>
      <c r="Q260" s="5" t="s">
        <v>4</v>
      </c>
      <c r="R260" s="83" t="s">
        <v>4</v>
      </c>
    </row>
    <row r="261" spans="1:18" x14ac:dyDescent="0.25">
      <c r="A261" s="88">
        <v>247</v>
      </c>
      <c r="B261" s="82"/>
      <c r="C261" s="97">
        <f ca="1">_xll.meDateFromTenor(C260,"1D","FOLLOWING","TGT")</f>
        <v>42871</v>
      </c>
      <c r="D261" s="95">
        <f ca="1"/>
        <v>-4.1994399795759474E-3</v>
      </c>
      <c r="E261" s="92"/>
      <c r="F261" s="97">
        <f ca="1">_xll.meDateFromTenor(F260,"1D","FOLLOWING","TGT")</f>
        <v>42871</v>
      </c>
      <c r="G261" s="95">
        <f ca="1"/>
        <v>-4.0207993649455809E-3</v>
      </c>
      <c r="H261" s="92" t="s">
        <v>4</v>
      </c>
      <c r="I261" s="97">
        <f ca="1">_xll.meDateFromTenor(I260,"1D","FOLLOWING","TGT")</f>
        <v>42871</v>
      </c>
      <c r="J261" s="95">
        <f ca="1"/>
        <v>-3.0466644411333865E-3</v>
      </c>
      <c r="K261" s="5" t="s">
        <v>4</v>
      </c>
      <c r="L261" s="97">
        <f ca="1">_xll.meDateFromTenor(L260,"1D","FOLLOWING","TGT")</f>
        <v>42871</v>
      </c>
      <c r="M261" s="95">
        <f ca="1"/>
        <v>-1.741182428434816E-3</v>
      </c>
      <c r="N261" s="5" t="s">
        <v>4</v>
      </c>
      <c r="O261" s="97">
        <f ca="1">_xll.meDateFromTenor(O260,"1D","FOLLOWING","TGT")</f>
        <v>42871</v>
      </c>
      <c r="P261" s="95">
        <f ca="1"/>
        <v>-2.1328001078615785E-4</v>
      </c>
      <c r="Q261" s="5" t="s">
        <v>4</v>
      </c>
      <c r="R261" s="83" t="s">
        <v>4</v>
      </c>
    </row>
    <row r="262" spans="1:18" x14ac:dyDescent="0.25">
      <c r="A262" s="88">
        <v>248</v>
      </c>
      <c r="B262" s="82"/>
      <c r="C262" s="97">
        <f ca="1">_xll.meDateFromTenor(C261,"1D","FOLLOWING","TGT")</f>
        <v>42872</v>
      </c>
      <c r="D262" s="95">
        <f ca="1"/>
        <v>-4.1999787572584157E-3</v>
      </c>
      <c r="E262" s="92"/>
      <c r="F262" s="97">
        <f ca="1">_xll.meDateFromTenor(F261,"1D","FOLLOWING","TGT")</f>
        <v>42872</v>
      </c>
      <c r="G262" s="95">
        <f ca="1"/>
        <v>-4.0220111591702254E-3</v>
      </c>
      <c r="H262" s="92" t="s">
        <v>4</v>
      </c>
      <c r="I262" s="97">
        <f ca="1">_xll.meDateFromTenor(I261,"1D","FOLLOWING","TGT")</f>
        <v>42872</v>
      </c>
      <c r="J262" s="95">
        <f ca="1"/>
        <v>-3.0472462698884388E-3</v>
      </c>
      <c r="K262" s="5" t="s">
        <v>4</v>
      </c>
      <c r="L262" s="97">
        <f ca="1">_xll.meDateFromTenor(L261,"1D","FOLLOWING","TGT")</f>
        <v>42872</v>
      </c>
      <c r="M262" s="95">
        <f ca="1"/>
        <v>-1.7414692967506612E-3</v>
      </c>
      <c r="N262" s="5" t="s">
        <v>4</v>
      </c>
      <c r="O262" s="97">
        <f ca="1">_xll.meDateFromTenor(O261,"1D","FOLLOWING","TGT")</f>
        <v>42872</v>
      </c>
      <c r="P262" s="95">
        <f ca="1"/>
        <v>-2.1223233962521762E-4</v>
      </c>
      <c r="Q262" s="5" t="s">
        <v>4</v>
      </c>
      <c r="R262" s="83" t="s">
        <v>4</v>
      </c>
    </row>
    <row r="263" spans="1:18" x14ac:dyDescent="0.25">
      <c r="A263" s="88">
        <v>249</v>
      </c>
      <c r="B263" s="82"/>
      <c r="C263" s="97">
        <f ca="1">_xll.meDateFromTenor(C262,"1D","FOLLOWING","TGT")</f>
        <v>42873</v>
      </c>
      <c r="D263" s="95">
        <f ca="1"/>
        <v>-4.200487128497743E-3</v>
      </c>
      <c r="E263" s="92"/>
      <c r="F263" s="97">
        <f ca="1">_xll.meDateFromTenor(F262,"1D","FOLLOWING","TGT")</f>
        <v>42873</v>
      </c>
      <c r="G263" s="95">
        <f ca="1"/>
        <v>-4.0232141135299482E-3</v>
      </c>
      <c r="H263" s="92" t="s">
        <v>4</v>
      </c>
      <c r="I263" s="97">
        <f ca="1">_xll.meDateFromTenor(I262,"1D","FOLLOWING","TGT")</f>
        <v>42873</v>
      </c>
      <c r="J263" s="95">
        <f ca="1"/>
        <v>-3.047825425979088E-3</v>
      </c>
      <c r="K263" s="5" t="s">
        <v>4</v>
      </c>
      <c r="L263" s="97">
        <f ca="1">_xll.meDateFromTenor(L262,"1D","FOLLOWING","TGT")</f>
        <v>42873</v>
      </c>
      <c r="M263" s="95">
        <f ca="1"/>
        <v>-1.7417558710885229E-3</v>
      </c>
      <c r="N263" s="5" t="s">
        <v>4</v>
      </c>
      <c r="O263" s="97">
        <f ca="1">_xll.meDateFromTenor(O262,"1D","FOLLOWING","TGT")</f>
        <v>42873</v>
      </c>
      <c r="P263" s="95">
        <f ca="1"/>
        <v>-2.1117406420896205E-4</v>
      </c>
      <c r="Q263" s="5" t="s">
        <v>4</v>
      </c>
      <c r="R263" s="83" t="s">
        <v>4</v>
      </c>
    </row>
    <row r="264" spans="1:18" x14ac:dyDescent="0.25">
      <c r="A264" s="88">
        <v>250</v>
      </c>
      <c r="B264" s="82"/>
      <c r="C264" s="97">
        <f ca="1">_xll.meDateFromTenor(C263,"1D","FOLLOWING","TGT")</f>
        <v>42874</v>
      </c>
      <c r="D264" s="95">
        <f ca="1"/>
        <v>-4.2009650948130473E-3</v>
      </c>
      <c r="E264" s="92"/>
      <c r="F264" s="97">
        <f ca="1">_xll.meDateFromTenor(F263,"1D","FOLLOWING","TGT")</f>
        <v>42874</v>
      </c>
      <c r="G264" s="95">
        <f ca="1"/>
        <v>-4.0244080616868728E-3</v>
      </c>
      <c r="H264" s="92" t="s">
        <v>4</v>
      </c>
      <c r="I264" s="97">
        <f ca="1">_xll.meDateFromTenor(I263,"1D","FOLLOWING","TGT")</f>
        <v>42874</v>
      </c>
      <c r="J264" s="95">
        <f ca="1"/>
        <v>-3.0484009311422672E-3</v>
      </c>
      <c r="K264" s="5" t="s">
        <v>4</v>
      </c>
      <c r="L264" s="97">
        <f ca="1">_xll.meDateFromTenor(L263,"1D","FOLLOWING","TGT")</f>
        <v>42874</v>
      </c>
      <c r="M264" s="95">
        <f ca="1"/>
        <v>-1.7420421721422688E-3</v>
      </c>
      <c r="N264" s="5" t="s">
        <v>4</v>
      </c>
      <c r="O264" s="97">
        <f ca="1">_xll.meDateFromTenor(O263,"1D","FOLLOWING","TGT")</f>
        <v>42874</v>
      </c>
      <c r="P264" s="95">
        <f ca="1"/>
        <v>-2.1010515410219233E-4</v>
      </c>
      <c r="Q264" s="5" t="s">
        <v>4</v>
      </c>
      <c r="R264" s="83" t="s">
        <v>4</v>
      </c>
    </row>
    <row r="265" spans="1:18" x14ac:dyDescent="0.25">
      <c r="A265" s="88">
        <v>251</v>
      </c>
      <c r="B265" s="82"/>
      <c r="C265" s="97">
        <f ca="1">_xll.meDateFromTenor(C264,"1D","FOLLOWING","TGT")</f>
        <v>42877</v>
      </c>
      <c r="D265" s="95">
        <f ca="1"/>
        <v>-4.2022165792440225E-3</v>
      </c>
      <c r="E265" s="92"/>
      <c r="F265" s="97">
        <f ca="1">_xll.meDateFromTenor(F264,"1D","FOLLOWING","TGT")</f>
        <v>42877</v>
      </c>
      <c r="G265" s="95">
        <f ca="1"/>
        <v>-4.0279342055621085E-3</v>
      </c>
      <c r="H265" s="92" t="s">
        <v>4</v>
      </c>
      <c r="I265" s="97">
        <f ca="1">_xll.meDateFromTenor(I264,"1D","FOLLOWING","TGT")</f>
        <v>42877</v>
      </c>
      <c r="J265" s="95">
        <f ca="1"/>
        <v>-3.0501473956704907E-3</v>
      </c>
      <c r="K265" s="5" t="s">
        <v>4</v>
      </c>
      <c r="L265" s="97">
        <f ca="1">_xll.meDateFromTenor(L264,"1D","FOLLOWING","TGT")</f>
        <v>42877</v>
      </c>
      <c r="M265" s="95">
        <f ca="1"/>
        <v>-1.7428996425374868E-3</v>
      </c>
      <c r="N265" s="5" t="s">
        <v>4</v>
      </c>
      <c r="O265" s="97">
        <f ca="1">_xll.meDateFromTenor(O264,"1D","FOLLOWING","TGT")</f>
        <v>42877</v>
      </c>
      <c r="P265" s="95">
        <f ca="1"/>
        <v>-2.068343112868074E-4</v>
      </c>
      <c r="Q265" s="5" t="s">
        <v>4</v>
      </c>
      <c r="R265" s="83" t="s">
        <v>4</v>
      </c>
    </row>
    <row r="266" spans="1:18" x14ac:dyDescent="0.25">
      <c r="A266" s="88">
        <v>252</v>
      </c>
      <c r="B266" s="82"/>
      <c r="C266" s="97">
        <f ca="1">_xll.meDateFromTenor(C265,"1D","FOLLOWING","TGT")</f>
        <v>42878</v>
      </c>
      <c r="D266" s="95">
        <f ca="1"/>
        <v>-4.2025729406398593E-3</v>
      </c>
      <c r="E266" s="92"/>
      <c r="F266" s="97">
        <f ca="1">_xll.meDateFromTenor(F265,"1D","FOLLOWING","TGT")</f>
        <v>42878</v>
      </c>
      <c r="G266" s="95">
        <f ca="1"/>
        <v>-4.02909046552909E-3</v>
      </c>
      <c r="H266" s="92" t="s">
        <v>4</v>
      </c>
      <c r="I266" s="97">
        <f ca="1">_xll.meDateFromTenor(I265,"1D","FOLLOWING","TGT")</f>
        <v>42878</v>
      </c>
      <c r="J266" s="95">
        <f ca="1"/>
        <v>-3.0506584245270727E-3</v>
      </c>
      <c r="K266" s="5" t="s">
        <v>4</v>
      </c>
      <c r="L266" s="97">
        <f ca="1">_xll.meDateFromTenor(L265,"1D","FOLLOWING","TGT")</f>
        <v>42878</v>
      </c>
      <c r="M266" s="95">
        <f ca="1"/>
        <v>-1.7431850573934441E-3</v>
      </c>
      <c r="N266" s="5" t="s">
        <v>4</v>
      </c>
      <c r="O266" s="97">
        <f ca="1">_xll.meDateFromTenor(O265,"1D","FOLLOWING","TGT")</f>
        <v>42878</v>
      </c>
      <c r="P266" s="95">
        <f ca="1"/>
        <v>-2.0572255806599062E-4</v>
      </c>
      <c r="Q266" s="5" t="s">
        <v>4</v>
      </c>
      <c r="R266" s="83" t="s">
        <v>4</v>
      </c>
    </row>
    <row r="267" spans="1:18" x14ac:dyDescent="0.25">
      <c r="A267" s="88">
        <v>253</v>
      </c>
      <c r="B267" s="82"/>
      <c r="C267" s="97">
        <f ca="1">_xll.meDateFromTenor(C266,"1D","FOLLOWING","TGT")</f>
        <v>42879</v>
      </c>
      <c r="D267" s="95">
        <f ca="1"/>
        <v>-4.2028989044661236E-3</v>
      </c>
      <c r="E267" s="92"/>
      <c r="F267" s="97">
        <f ca="1">_xll.meDateFromTenor(F266,"1D","FOLLOWING","TGT")</f>
        <v>42879</v>
      </c>
      <c r="G267" s="95">
        <f ca="1"/>
        <v>-4.0302368876038996E-3</v>
      </c>
      <c r="H267" s="92" t="s">
        <v>4</v>
      </c>
      <c r="I267" s="97">
        <f ca="1">_xll.meDateFromTenor(I266,"1D","FOLLOWING","TGT")</f>
        <v>42879</v>
      </c>
      <c r="J267" s="95">
        <f ca="1"/>
        <v>-3.0513083805161923E-3</v>
      </c>
      <c r="K267" s="5" t="s">
        <v>4</v>
      </c>
      <c r="L267" s="97">
        <f ca="1">_xll.meDateFromTenor(L266,"1D","FOLLOWING","TGT")</f>
        <v>42879</v>
      </c>
      <c r="M267" s="95">
        <f ca="1"/>
        <v>-1.7434703024346229E-3</v>
      </c>
      <c r="N267" s="5" t="s">
        <v>4</v>
      </c>
      <c r="O267" s="97">
        <f ca="1">_xll.meDateFromTenor(O266,"1D","FOLLOWING","TGT")</f>
        <v>42879</v>
      </c>
      <c r="P267" s="95">
        <f ca="1"/>
        <v>-2.0460001797866469E-4</v>
      </c>
      <c r="Q267" s="5" t="s">
        <v>4</v>
      </c>
      <c r="R267" s="83" t="s">
        <v>4</v>
      </c>
    </row>
    <row r="268" spans="1:18" x14ac:dyDescent="0.25">
      <c r="A268" s="88">
        <v>254</v>
      </c>
      <c r="B268" s="82"/>
      <c r="C268" s="97">
        <f ca="1">_xll.meDateFromTenor(C267,"1D","FOLLOWING","TGT")</f>
        <v>42880</v>
      </c>
      <c r="D268" s="95">
        <f ca="1"/>
        <v>-4.2031944722253911E-3</v>
      </c>
      <c r="E268" s="92"/>
      <c r="F268" s="97">
        <f ca="1">_xll.meDateFromTenor(F267,"1D","FOLLOWING","TGT")</f>
        <v>42880</v>
      </c>
      <c r="G268" s="95">
        <f ca="1"/>
        <v>-4.031373305448659E-3</v>
      </c>
      <c r="H268" s="92" t="s">
        <v>4</v>
      </c>
      <c r="I268" s="97">
        <f ca="1">_xll.meDateFromTenor(I267,"1D","FOLLOWING","TGT")</f>
        <v>42880</v>
      </c>
      <c r="J268" s="95">
        <f ca="1"/>
        <v>-3.0521481144976325E-3</v>
      </c>
      <c r="K268" s="5" t="s">
        <v>4</v>
      </c>
      <c r="L268" s="97">
        <f ca="1">_xll.meDateFromTenor(L267,"1D","FOLLOWING","TGT")</f>
        <v>42880</v>
      </c>
      <c r="M268" s="95">
        <f ca="1"/>
        <v>-1.7437553983548906E-3</v>
      </c>
      <c r="N268" s="5" t="s">
        <v>4</v>
      </c>
      <c r="O268" s="97">
        <f ca="1">_xll.meDateFromTenor(O267,"1D","FOLLOWING","TGT")</f>
        <v>42880</v>
      </c>
      <c r="P268" s="95">
        <f ca="1"/>
        <v>-2.0346666058963049E-4</v>
      </c>
      <c r="Q268" s="5" t="s">
        <v>4</v>
      </c>
      <c r="R268" s="83" t="s">
        <v>4</v>
      </c>
    </row>
    <row r="269" spans="1:18" x14ac:dyDescent="0.25">
      <c r="A269" s="88">
        <v>255</v>
      </c>
      <c r="B269" s="82"/>
      <c r="C269" s="97">
        <f ca="1">_xll.meDateFromTenor(C268,"1D","FOLLOWING","TGT")</f>
        <v>42881</v>
      </c>
      <c r="D269" s="95">
        <f ca="1"/>
        <v>-4.2034596452181772E-3</v>
      </c>
      <c r="E269" s="92"/>
      <c r="F269" s="97">
        <f ca="1">_xll.meDateFromTenor(F268,"1D","FOLLOWING","TGT")</f>
        <v>42881</v>
      </c>
      <c r="G269" s="95">
        <f ca="1"/>
        <v>-4.0324995527254949E-3</v>
      </c>
      <c r="H269" s="92" t="s">
        <v>4</v>
      </c>
      <c r="I269" s="97">
        <f ca="1">_xll.meDateFromTenor(I268,"1D","FOLLOWING","TGT")</f>
        <v>42881</v>
      </c>
      <c r="J269" s="95">
        <f ca="1"/>
        <v>-3.0524693653618939E-3</v>
      </c>
      <c r="K269" s="5" t="s">
        <v>4</v>
      </c>
      <c r="L269" s="97">
        <f ca="1">_xll.meDateFromTenor(L268,"1D","FOLLOWING","TGT")</f>
        <v>42881</v>
      </c>
      <c r="M269" s="95">
        <f ca="1"/>
        <v>-1.7440403658481149E-3</v>
      </c>
      <c r="N269" s="5" t="s">
        <v>4</v>
      </c>
      <c r="O269" s="97">
        <f ca="1">_xll.meDateFromTenor(O268,"1D","FOLLOWING","TGT")</f>
        <v>42881</v>
      </c>
      <c r="P269" s="95">
        <f ca="1"/>
        <v>-2.0232245546368912E-4</v>
      </c>
      <c r="Q269" s="5" t="s">
        <v>4</v>
      </c>
      <c r="R269" s="83" t="s">
        <v>4</v>
      </c>
    </row>
    <row r="270" spans="1:18" x14ac:dyDescent="0.25">
      <c r="A270" s="88">
        <v>256</v>
      </c>
      <c r="B270" s="82"/>
      <c r="C270" s="97">
        <f ca="1">_xll.meDateFromTenor(C269,"1D","FOLLOWING","TGT")</f>
        <v>42884</v>
      </c>
      <c r="D270" s="95">
        <f ca="1"/>
        <v>-4.2040728106714775E-3</v>
      </c>
      <c r="E270" s="92"/>
      <c r="F270" s="97">
        <f ca="1">_xll.meDateFromTenor(F269,"1D","FOLLOWING","TGT")</f>
        <v>42884</v>
      </c>
      <c r="G270" s="95">
        <f ca="1"/>
        <v>-4.0358156077697112E-3</v>
      </c>
      <c r="H270" s="92" t="s">
        <v>4</v>
      </c>
      <c r="I270" s="97">
        <f ca="1">_xll.meDateFromTenor(I269,"1D","FOLLOWING","TGT")</f>
        <v>42884</v>
      </c>
      <c r="J270" s="95">
        <f ca="1"/>
        <v>-3.0578216117442144E-3</v>
      </c>
      <c r="K270" s="5" t="s">
        <v>4</v>
      </c>
      <c r="L270" s="97">
        <f ca="1">_xll.meDateFromTenor(L269,"1D","FOLLOWING","TGT")</f>
        <v>42884</v>
      </c>
      <c r="M270" s="95">
        <f ca="1"/>
        <v>-1.7448947047041998E-3</v>
      </c>
      <c r="N270" s="5" t="s">
        <v>4</v>
      </c>
      <c r="O270" s="97">
        <f ca="1">_xll.meDateFromTenor(O269,"1D","FOLLOWING","TGT")</f>
        <v>42884</v>
      </c>
      <c r="P270" s="95">
        <f ca="1"/>
        <v>-1.9882444931243207E-4</v>
      </c>
      <c r="Q270" s="5" t="s">
        <v>4</v>
      </c>
      <c r="R270" s="83" t="s">
        <v>4</v>
      </c>
    </row>
    <row r="271" spans="1:18" x14ac:dyDescent="0.25">
      <c r="A271" s="88">
        <v>257</v>
      </c>
      <c r="B271" s="82"/>
      <c r="C271" s="97">
        <f ca="1">_xll.meDateFromTenor(C270,"1D","FOLLOWING","TGT")</f>
        <v>42885</v>
      </c>
      <c r="D271" s="95">
        <f ca="1"/>
        <v>-4.20421641933999E-3</v>
      </c>
      <c r="E271" s="92"/>
      <c r="F271" s="97">
        <f ca="1">_xll.meDateFromTenor(F270,"1D","FOLLOWING","TGT")</f>
        <v>42885</v>
      </c>
      <c r="G271" s="95">
        <f ca="1"/>
        <v>-4.0368995093961009E-3</v>
      </c>
      <c r="H271" s="92" t="s">
        <v>4</v>
      </c>
      <c r="I271" s="97">
        <f ca="1">_xll.meDateFromTenor(I270,"1D","FOLLOWING","TGT")</f>
        <v>42885</v>
      </c>
      <c r="J271" s="95">
        <f ca="1"/>
        <v>-3.054791335053297E-3</v>
      </c>
      <c r="K271" s="5" t="s">
        <v>4</v>
      </c>
      <c r="L271" s="97">
        <f ca="1">_xll.meDateFromTenor(L270,"1D","FOLLOWING","TGT")</f>
        <v>42885</v>
      </c>
      <c r="M271" s="95">
        <f ca="1"/>
        <v>-1.7451793654279237E-3</v>
      </c>
      <c r="N271" s="5" t="s">
        <v>4</v>
      </c>
      <c r="O271" s="97">
        <f ca="1">_xll.meDateFromTenor(O270,"1D","FOLLOWING","TGT")</f>
        <v>42885</v>
      </c>
      <c r="P271" s="95">
        <f ca="1"/>
        <v>-1.9763654888687207E-4</v>
      </c>
      <c r="Q271" s="5" t="s">
        <v>4</v>
      </c>
      <c r="R271" s="83" t="s">
        <v>4</v>
      </c>
    </row>
    <row r="272" spans="1:18" x14ac:dyDescent="0.25">
      <c r="A272" s="88">
        <v>258</v>
      </c>
      <c r="B272" s="82"/>
      <c r="C272" s="97">
        <f ca="1">_xll.meDateFromTenor(C271,"1D","FOLLOWING","TGT")</f>
        <v>42886</v>
      </c>
      <c r="D272" s="95">
        <f ca="1"/>
        <v>-4.2043296404993269E-3</v>
      </c>
      <c r="E272" s="92"/>
      <c r="F272" s="97">
        <f ca="1">_xll.meDateFromTenor(F271,"1D","FOLLOWING","TGT")</f>
        <v>42886</v>
      </c>
      <c r="G272" s="95">
        <f ca="1"/>
        <v>-4.0379724087651926E-3</v>
      </c>
      <c r="H272" s="92" t="s">
        <v>4</v>
      </c>
      <c r="I272" s="97">
        <f ca="1">_xll.meDateFromTenor(I271,"1D","FOLLOWING","TGT")</f>
        <v>42886</v>
      </c>
      <c r="J272" s="95">
        <f ca="1"/>
        <v>-3.041896253689164E-3</v>
      </c>
      <c r="K272" s="5" t="s">
        <v>4</v>
      </c>
      <c r="L272" s="97">
        <f ca="1">_xll.meDateFromTenor(L271,"1D","FOLLOWING","TGT")</f>
        <v>42886</v>
      </c>
      <c r="M272" s="95">
        <f ca="1"/>
        <v>-1.7454640011939416E-3</v>
      </c>
      <c r="N272" s="5" t="s">
        <v>4</v>
      </c>
      <c r="O272" s="97">
        <f ca="1">_xll.meDateFromTenor(O271,"1D","FOLLOWING","TGT")</f>
        <v>42886</v>
      </c>
      <c r="P272" s="95">
        <f ca="1"/>
        <v>-1.9643764854840993E-4</v>
      </c>
      <c r="Q272" s="5" t="s">
        <v>4</v>
      </c>
      <c r="R272" s="83" t="s">
        <v>4</v>
      </c>
    </row>
    <row r="273" spans="1:18" x14ac:dyDescent="0.25">
      <c r="A273" s="88">
        <v>259</v>
      </c>
      <c r="B273" s="82"/>
      <c r="C273" s="97">
        <f ca="1">_xll.meDateFromTenor(C272,"1D","FOLLOWING","TGT")</f>
        <v>42887</v>
      </c>
      <c r="D273" s="95">
        <f ca="1"/>
        <v>-4.2044124757519841E-3</v>
      </c>
      <c r="E273" s="92"/>
      <c r="F273" s="97">
        <f ca="1">_xll.meDateFromTenor(F272,"1D","FOLLOWING","TGT")</f>
        <v>42887</v>
      </c>
      <c r="G273" s="95">
        <f ca="1"/>
        <v>-4.0390341395391089E-3</v>
      </c>
      <c r="H273" s="92" t="s">
        <v>4</v>
      </c>
      <c r="I273" s="97">
        <f ca="1">_xll.meDateFromTenor(I272,"1D","FOLLOWING","TGT")</f>
        <v>42887</v>
      </c>
      <c r="J273" s="95">
        <f ca="1"/>
        <v>-3.0559523198989986E-3</v>
      </c>
      <c r="K273" s="5" t="s">
        <v>4</v>
      </c>
      <c r="L273" s="97">
        <f ca="1">_xll.meDateFromTenor(L272,"1D","FOLLOWING","TGT")</f>
        <v>42887</v>
      </c>
      <c r="M273" s="95">
        <f ca="1"/>
        <v>-1.7466352929875106E-3</v>
      </c>
      <c r="N273" s="5" t="s">
        <v>4</v>
      </c>
      <c r="O273" s="97">
        <f ca="1">_xll.meDateFromTenor(O272,"1D","FOLLOWING","TGT")</f>
        <v>42887</v>
      </c>
      <c r="P273" s="95">
        <f ca="1"/>
        <v>-1.9522771786184662E-4</v>
      </c>
      <c r="Q273" s="5" t="s">
        <v>4</v>
      </c>
      <c r="R273" s="83" t="s">
        <v>4</v>
      </c>
    </row>
    <row r="274" spans="1:18" x14ac:dyDescent="0.25">
      <c r="A274" s="88">
        <v>260</v>
      </c>
      <c r="B274" s="82"/>
      <c r="C274" s="97">
        <f ca="1">_xll.meDateFromTenor(C273,"1D","FOLLOWING","TGT")</f>
        <v>42888</v>
      </c>
      <c r="D274" s="95">
        <f ca="1"/>
        <v>-4.2044695201868265E-3</v>
      </c>
      <c r="E274" s="92"/>
      <c r="F274" s="97">
        <f ca="1">_xll.meDateFromTenor(F273,"1D","FOLLOWING","TGT")</f>
        <v>42888</v>
      </c>
      <c r="G274" s="95">
        <f ca="1"/>
        <v>-4.0400845353799758E-3</v>
      </c>
      <c r="H274" s="92" t="s">
        <v>4</v>
      </c>
      <c r="I274" s="97">
        <f ca="1">_xll.meDateFromTenor(I273,"1D","FOLLOWING","TGT")</f>
        <v>42888</v>
      </c>
      <c r="J274" s="95">
        <f ca="1"/>
        <v>-3.0971457361312683E-3</v>
      </c>
      <c r="K274" s="5" t="s">
        <v>4</v>
      </c>
      <c r="L274" s="97">
        <f ca="1">_xll.meDateFromTenor(L273,"1D","FOLLOWING","TGT")</f>
        <v>42888</v>
      </c>
      <c r="M274" s="95">
        <f ca="1"/>
        <v>-1.7562615686278621E-3</v>
      </c>
      <c r="N274" s="5" t="s">
        <v>4</v>
      </c>
      <c r="O274" s="97">
        <f ca="1">_xll.meDateFromTenor(O273,"1D","FOLLOWING","TGT")</f>
        <v>42888</v>
      </c>
      <c r="P274" s="95">
        <f ca="1"/>
        <v>-1.9400672639198331E-4</v>
      </c>
      <c r="Q274" s="5" t="s">
        <v>4</v>
      </c>
      <c r="R274" s="83" t="s">
        <v>4</v>
      </c>
    </row>
    <row r="275" spans="1:18" x14ac:dyDescent="0.25">
      <c r="A275" s="88">
        <v>261</v>
      </c>
      <c r="B275" s="82"/>
      <c r="C275" s="97">
        <f ca="1">_xll.meDateFromTenor(C274,"1D","FOLLOWING","TGT")</f>
        <v>42891</v>
      </c>
      <c r="D275" s="95">
        <f ca="1"/>
        <v>-4.204609951011351E-3</v>
      </c>
      <c r="E275" s="92"/>
      <c r="F275" s="97">
        <f ca="1">_xll.meDateFromTenor(F274,"1D","FOLLOWING","TGT")</f>
        <v>42891</v>
      </c>
      <c r="G275" s="95">
        <f ca="1"/>
        <v>-4.0431669830822119E-3</v>
      </c>
      <c r="H275" s="92" t="s">
        <v>4</v>
      </c>
      <c r="I275" s="97">
        <f ca="1">_xll.meDateFromTenor(I274,"1D","FOLLOWING","TGT")</f>
        <v>42891</v>
      </c>
      <c r="J275" s="95">
        <f ca="1"/>
        <v>-3.0582742895904013E-3</v>
      </c>
      <c r="K275" s="5" t="s">
        <v>4</v>
      </c>
      <c r="L275" s="97">
        <f ca="1">_xll.meDateFromTenor(L274,"1D","FOLLOWING","TGT")</f>
        <v>42891</v>
      </c>
      <c r="M275" s="95">
        <f ca="1"/>
        <v>-1.8092672240919302E-3</v>
      </c>
      <c r="N275" s="5" t="s">
        <v>4</v>
      </c>
      <c r="O275" s="97">
        <f ca="1">_xll.meDateFromTenor(O274,"1D","FOLLOWING","TGT")</f>
        <v>42891</v>
      </c>
      <c r="P275" s="95">
        <f ca="1"/>
        <v>-1.902772785191314E-4</v>
      </c>
      <c r="Q275" s="5" t="s">
        <v>4</v>
      </c>
      <c r="R275" s="83" t="s">
        <v>4</v>
      </c>
    </row>
    <row r="276" spans="1:18" x14ac:dyDescent="0.25">
      <c r="A276" s="88">
        <v>262</v>
      </c>
      <c r="B276" s="82"/>
      <c r="C276" s="97">
        <f ca="1">_xll.meDateFromTenor(C275,"1D","FOLLOWING","TGT")</f>
        <v>42892</v>
      </c>
      <c r="D276" s="95">
        <f ca="1"/>
        <v>-4.2046511213463811E-3</v>
      </c>
      <c r="E276" s="92"/>
      <c r="F276" s="97">
        <f ca="1">_xll.meDateFromTenor(F275,"1D","FOLLOWING","TGT")</f>
        <v>42892</v>
      </c>
      <c r="G276" s="95">
        <f ca="1"/>
        <v>-4.0441716545824022E-3</v>
      </c>
      <c r="H276" s="92" t="s">
        <v>4</v>
      </c>
      <c r="I276" s="97">
        <f ca="1">_xll.meDateFromTenor(I275,"1D","FOLLOWING","TGT")</f>
        <v>42892</v>
      </c>
      <c r="J276" s="95">
        <f ca="1"/>
        <v>-3.0624660171959714E-3</v>
      </c>
      <c r="K276" s="5" t="s">
        <v>4</v>
      </c>
      <c r="L276" s="97">
        <f ca="1">_xll.meDateFromTenor(L275,"1D","FOLLOWING","TGT")</f>
        <v>42892</v>
      </c>
      <c r="M276" s="95">
        <f ca="1"/>
        <v>-1.8261753435109345E-3</v>
      </c>
      <c r="N276" s="5" t="s">
        <v>4</v>
      </c>
      <c r="O276" s="97">
        <f ca="1">_xll.meDateFromTenor(O275,"1D","FOLLOWING","TGT")</f>
        <v>42892</v>
      </c>
      <c r="P276" s="95">
        <f ca="1"/>
        <v>-1.8901200759280224E-4</v>
      </c>
      <c r="Q276" s="5" t="s">
        <v>4</v>
      </c>
      <c r="R276" s="83" t="s">
        <v>4</v>
      </c>
    </row>
    <row r="277" spans="1:18" x14ac:dyDescent="0.25">
      <c r="A277" s="88">
        <v>263</v>
      </c>
      <c r="B277" s="82"/>
      <c r="C277" s="97">
        <f ca="1">_xll.meDateFromTenor(C276,"1D","FOLLOWING","TGT")</f>
        <v>42893</v>
      </c>
      <c r="D277" s="95">
        <f ca="1"/>
        <v>-4.2046894722171935E-3</v>
      </c>
      <c r="E277" s="92"/>
      <c r="F277" s="97">
        <f ca="1">_xll.meDateFromTenor(F276,"1D","FOLLOWING","TGT")</f>
        <v>42893</v>
      </c>
      <c r="G277" s="95">
        <f ca="1"/>
        <v>-4.0451649889327763E-3</v>
      </c>
      <c r="H277" s="92" t="s">
        <v>4</v>
      </c>
      <c r="I277" s="97">
        <f ca="1">_xll.meDateFromTenor(I276,"1D","FOLLOWING","TGT")</f>
        <v>42893</v>
      </c>
      <c r="J277" s="95">
        <f ca="1"/>
        <v>-3.0594352744361029E-3</v>
      </c>
      <c r="K277" s="5" t="s">
        <v>4</v>
      </c>
      <c r="L277" s="97">
        <f ca="1">_xll.meDateFromTenor(L276,"1D","FOLLOWING","TGT")</f>
        <v>42893</v>
      </c>
      <c r="M277" s="95">
        <f ca="1"/>
        <v>-1.8421655195693183E-3</v>
      </c>
      <c r="N277" s="5" t="s">
        <v>4</v>
      </c>
      <c r="O277" s="97">
        <f ca="1">_xll.meDateFromTenor(O276,"1D","FOLLOWING","TGT")</f>
        <v>42893</v>
      </c>
      <c r="P277" s="95">
        <f ca="1"/>
        <v>-1.8773569756364808E-4</v>
      </c>
      <c r="Q277" s="5" t="s">
        <v>4</v>
      </c>
      <c r="R277" s="83" t="s">
        <v>4</v>
      </c>
    </row>
    <row r="278" spans="1:18" x14ac:dyDescent="0.25">
      <c r="A278" s="88">
        <v>264</v>
      </c>
      <c r="B278" s="82"/>
      <c r="C278" s="97">
        <f ca="1">_xll.meDateFromTenor(C277,"1D","FOLLOWING","TGT")</f>
        <v>42894</v>
      </c>
      <c r="D278" s="95">
        <f ca="1"/>
        <v>-4.2047250034239481E-3</v>
      </c>
      <c r="E278" s="92"/>
      <c r="F278" s="97">
        <f ca="1">_xll.meDateFromTenor(F277,"1D","FOLLOWING","TGT")</f>
        <v>42894</v>
      </c>
      <c r="G278" s="95">
        <f ca="1"/>
        <v>-4.0461470271636124E-3</v>
      </c>
      <c r="H278" s="92" t="s">
        <v>4</v>
      </c>
      <c r="I278" s="97">
        <f ca="1">_xll.meDateFromTenor(I277,"1D","FOLLOWING","TGT")</f>
        <v>42894</v>
      </c>
      <c r="J278" s="95">
        <f ca="1"/>
        <v>-3.0590465164322994E-3</v>
      </c>
      <c r="K278" s="5" t="s">
        <v>4</v>
      </c>
      <c r="L278" s="97">
        <f ca="1">_xll.meDateFromTenor(L277,"1D","FOLLOWING","TGT")</f>
        <v>42894</v>
      </c>
      <c r="M278" s="95">
        <f ca="1"/>
        <v>-1.8572607242157086E-3</v>
      </c>
      <c r="N278" s="5" t="s">
        <v>4</v>
      </c>
      <c r="O278" s="97">
        <f ca="1">_xll.meDateFromTenor(O277,"1D","FOLLOWING","TGT")</f>
        <v>42894</v>
      </c>
      <c r="P278" s="95">
        <f ca="1"/>
        <v>-1.8644836146058727E-4</v>
      </c>
      <c r="Q278" s="5" t="s">
        <v>4</v>
      </c>
      <c r="R278" s="83" t="s">
        <v>4</v>
      </c>
    </row>
    <row r="279" spans="1:18" x14ac:dyDescent="0.25">
      <c r="A279" s="88">
        <v>265</v>
      </c>
      <c r="B279" s="82"/>
      <c r="C279" s="97">
        <f ca="1">_xll.meDateFromTenor(C278,"1D","FOLLOWING","TGT")</f>
        <v>42895</v>
      </c>
      <c r="D279" s="95">
        <f ca="1"/>
        <v>-4.2047577154449289E-3</v>
      </c>
      <c r="E279" s="92"/>
      <c r="F279" s="97">
        <f ca="1">_xll.meDateFromTenor(F278,"1D","FOLLOWING","TGT")</f>
        <v>42895</v>
      </c>
      <c r="G279" s="95">
        <f ca="1"/>
        <v>-4.047117810305186E-3</v>
      </c>
      <c r="H279" s="92" t="s">
        <v>4</v>
      </c>
      <c r="I279" s="97">
        <f ca="1">_xll.meDateFromTenor(I278,"1D","FOLLOWING","TGT")</f>
        <v>42895</v>
      </c>
      <c r="J279" s="95">
        <f ca="1"/>
        <v>-3.0605962592818044E-3</v>
      </c>
      <c r="K279" s="5" t="s">
        <v>4</v>
      </c>
      <c r="L279" s="97">
        <f ca="1">_xll.meDateFromTenor(L278,"1D","FOLLOWING","TGT")</f>
        <v>42895</v>
      </c>
      <c r="M279" s="95">
        <f ca="1"/>
        <v>-1.8714839293987285E-3</v>
      </c>
      <c r="N279" s="5" t="s">
        <v>4</v>
      </c>
      <c r="O279" s="97">
        <f ca="1">_xll.meDateFromTenor(O278,"1D","FOLLOWING","TGT")</f>
        <v>42895</v>
      </c>
      <c r="P279" s="95">
        <f ca="1"/>
        <v>-1.8515001231253852E-4</v>
      </c>
      <c r="Q279" s="5" t="s">
        <v>4</v>
      </c>
      <c r="R279" s="83" t="s">
        <v>4</v>
      </c>
    </row>
    <row r="280" spans="1:18" x14ac:dyDescent="0.25">
      <c r="A280" s="88">
        <v>266</v>
      </c>
      <c r="B280" s="82"/>
      <c r="C280" s="97">
        <f ca="1">_xll.meDateFromTenor(C279,"1D","FOLLOWING","TGT")</f>
        <v>42898</v>
      </c>
      <c r="D280" s="95">
        <f ca="1"/>
        <v>-4.2048389359583549E-3</v>
      </c>
      <c r="E280" s="92"/>
      <c r="F280" s="97">
        <f ca="1">_xll.meDateFromTenor(F279,"1D","FOLLOWING","TGT")</f>
        <v>42898</v>
      </c>
      <c r="G280" s="95">
        <f ca="1"/>
        <v>-4.0499630394971124E-3</v>
      </c>
      <c r="H280" s="92" t="s">
        <v>4</v>
      </c>
      <c r="I280" s="97">
        <f ca="1">_xll.meDateFromTenor(I279,"1D","FOLLOWING","TGT")</f>
        <v>42898</v>
      </c>
      <c r="J280" s="95">
        <f ca="1"/>
        <v>-3.0622439208814142E-3</v>
      </c>
      <c r="K280" s="5" t="s">
        <v>4</v>
      </c>
      <c r="L280" s="97">
        <f ca="1">_xll.meDateFromTenor(L279,"1D","FOLLOWING","TGT")</f>
        <v>42898</v>
      </c>
      <c r="M280" s="95">
        <f ca="1"/>
        <v>-1.9091512676538231E-3</v>
      </c>
      <c r="N280" s="5" t="s">
        <v>4</v>
      </c>
      <c r="O280" s="97">
        <f ca="1">_xll.meDateFromTenor(O279,"1D","FOLLOWING","TGT")</f>
        <v>42898</v>
      </c>
      <c r="P280" s="95">
        <f ca="1"/>
        <v>-1.8118901688764862E-4</v>
      </c>
      <c r="Q280" s="5" t="s">
        <v>4</v>
      </c>
      <c r="R280" s="83" t="s">
        <v>4</v>
      </c>
    </row>
    <row r="281" spans="1:18" x14ac:dyDescent="0.25">
      <c r="A281" s="88">
        <v>267</v>
      </c>
      <c r="B281" s="82"/>
      <c r="C281" s="97">
        <f ca="1">_xll.meDateFromTenor(C280,"1D","FOLLOWING","TGT")</f>
        <v>42899</v>
      </c>
      <c r="D281" s="95">
        <f ca="1"/>
        <v>-4.2048603715971744E-3</v>
      </c>
      <c r="E281" s="92"/>
      <c r="F281" s="97">
        <f ca="1">_xll.meDateFromTenor(F280,"1D","FOLLOWING","TGT")</f>
        <v>42899</v>
      </c>
      <c r="G281" s="95">
        <f ca="1"/>
        <v>-4.0508892125844138E-3</v>
      </c>
      <c r="H281" s="92" t="s">
        <v>4</v>
      </c>
      <c r="I281" s="97">
        <f ca="1">_xll.meDateFromTenor(I280,"1D","FOLLOWING","TGT")</f>
        <v>42899</v>
      </c>
      <c r="J281" s="95">
        <f ca="1"/>
        <v>-3.0629182289732076E-3</v>
      </c>
      <c r="K281" s="5" t="s">
        <v>4</v>
      </c>
      <c r="L281" s="97">
        <f ca="1">_xll.meDateFromTenor(L280,"1D","FOLLOWING","TGT")</f>
        <v>42899</v>
      </c>
      <c r="M281" s="95">
        <f ca="1"/>
        <v>-1.9201161944696148E-3</v>
      </c>
      <c r="N281" s="5" t="s">
        <v>4</v>
      </c>
      <c r="O281" s="97">
        <f ca="1">_xll.meDateFromTenor(O280,"1D","FOLLOWING","TGT")</f>
        <v>42899</v>
      </c>
      <c r="P281" s="95">
        <f ca="1"/>
        <v>-1.7984674584883265E-4</v>
      </c>
      <c r="Q281" s="5" t="s">
        <v>4</v>
      </c>
      <c r="R281" s="83" t="s">
        <v>4</v>
      </c>
    </row>
    <row r="282" spans="1:18" x14ac:dyDescent="0.25">
      <c r="A282" s="88">
        <v>268</v>
      </c>
      <c r="B282" s="82"/>
      <c r="C282" s="97">
        <f ca="1">_xll.meDateFromTenor(C281,"1D","FOLLOWING","TGT")</f>
        <v>42900</v>
      </c>
      <c r="D282" s="95">
        <f ca="1"/>
        <v>-4.2048789884095994E-3</v>
      </c>
      <c r="E282" s="92"/>
      <c r="F282" s="97">
        <f ca="1">_xll.meDateFromTenor(F281,"1D","FOLLOWING","TGT")</f>
        <v>42900</v>
      </c>
      <c r="G282" s="95">
        <f ca="1"/>
        <v>-4.0518043357338392E-3</v>
      </c>
      <c r="H282" s="92" t="s">
        <v>4</v>
      </c>
      <c r="I282" s="97">
        <f ca="1">_xll.meDateFromTenor(I281,"1D","FOLLOWING","TGT")</f>
        <v>42900</v>
      </c>
      <c r="J282" s="95">
        <f ca="1"/>
        <v>-3.0636458652010326E-3</v>
      </c>
      <c r="K282" s="5" t="s">
        <v>4</v>
      </c>
      <c r="L282" s="97">
        <f ca="1">_xll.meDateFromTenor(L281,"1D","FOLLOWING","TGT")</f>
        <v>42900</v>
      </c>
      <c r="M282" s="95">
        <f ca="1"/>
        <v>-1.9303239815651628E-3</v>
      </c>
      <c r="N282" s="5" t="s">
        <v>4</v>
      </c>
      <c r="O282" s="97">
        <f ca="1">_xll.meDateFromTenor(O281,"1D","FOLLOWING","TGT")</f>
        <v>42900</v>
      </c>
      <c r="P282" s="95">
        <f ca="1"/>
        <v>-1.7849352690962102E-4</v>
      </c>
      <c r="Q282" s="5" t="s">
        <v>4</v>
      </c>
      <c r="R282" s="83" t="s">
        <v>4</v>
      </c>
    </row>
    <row r="283" spans="1:18" x14ac:dyDescent="0.25">
      <c r="A283" s="88">
        <v>269</v>
      </c>
      <c r="B283" s="82"/>
      <c r="C283" s="97">
        <f ca="1">_xll.meDateFromTenor(C282,"1D","FOLLOWING","TGT")</f>
        <v>42901</v>
      </c>
      <c r="D283" s="95">
        <f ca="1"/>
        <v>-4.2048947868733588E-3</v>
      </c>
      <c r="E283" s="92"/>
      <c r="F283" s="97">
        <f ca="1">_xll.meDateFromTenor(F282,"1D","FOLLOWING","TGT")</f>
        <v>42901</v>
      </c>
      <c r="G283" s="95">
        <f ca="1"/>
        <v>-4.0527084499756665E-3</v>
      </c>
      <c r="H283" s="92" t="s">
        <v>4</v>
      </c>
      <c r="I283" s="97">
        <f ca="1">_xll.meDateFromTenor(I282,"1D","FOLLOWING","TGT")</f>
        <v>42901</v>
      </c>
      <c r="J283" s="95">
        <f ca="1"/>
        <v>-3.0643803950437193E-3</v>
      </c>
      <c r="K283" s="5" t="s">
        <v>4</v>
      </c>
      <c r="L283" s="97">
        <f ca="1">_xll.meDateFromTenor(L282,"1D","FOLLOWING","TGT")</f>
        <v>42901</v>
      </c>
      <c r="M283" s="95">
        <f ca="1"/>
        <v>-1.9397976008890898E-3</v>
      </c>
      <c r="N283" s="5" t="s">
        <v>4</v>
      </c>
      <c r="O283" s="97">
        <f ca="1">_xll.meDateFromTenor(O282,"1D","FOLLOWING","TGT")</f>
        <v>42901</v>
      </c>
      <c r="P283" s="95">
        <f ca="1"/>
        <v>-1.7712937309893249E-4</v>
      </c>
      <c r="Q283" s="5" t="s">
        <v>4</v>
      </c>
      <c r="R283" s="83" t="s">
        <v>4</v>
      </c>
    </row>
    <row r="284" spans="1:18" x14ac:dyDescent="0.25">
      <c r="A284" s="88">
        <v>270</v>
      </c>
      <c r="B284" s="82"/>
      <c r="C284" s="97">
        <f ca="1">_xll.meDateFromTenor(C283,"1D","FOLLOWING","TGT")</f>
        <v>42902</v>
      </c>
      <c r="D284" s="95">
        <f ca="1"/>
        <v>-4.2049077665508028E-3</v>
      </c>
      <c r="E284" s="92"/>
      <c r="F284" s="97">
        <f ca="1">_xll.meDateFromTenor(F283,"1D","FOLLOWING","TGT")</f>
        <v>42902</v>
      </c>
      <c r="G284" s="95">
        <f ca="1"/>
        <v>-4.0536015963401738E-3</v>
      </c>
      <c r="H284" s="92" t="s">
        <v>4</v>
      </c>
      <c r="I284" s="97">
        <f ca="1">_xll.meDateFromTenor(I283,"1D","FOLLOWING","TGT")</f>
        <v>42902</v>
      </c>
      <c r="J284" s="95">
        <f ca="1"/>
        <v>-3.0650973511502687E-3</v>
      </c>
      <c r="K284" s="5" t="s">
        <v>4</v>
      </c>
      <c r="L284" s="97">
        <f ca="1">_xll.meDateFromTenor(L283,"1D","FOLLOWING","TGT")</f>
        <v>42902</v>
      </c>
      <c r="M284" s="95">
        <f ca="1"/>
        <v>-1.9485600243900228E-3</v>
      </c>
      <c r="N284" s="5" t="s">
        <v>4</v>
      </c>
      <c r="O284" s="97">
        <f ca="1">_xll.meDateFromTenor(O283,"1D","FOLLOWING","TGT")</f>
        <v>42902</v>
      </c>
      <c r="P284" s="95">
        <f ca="1"/>
        <v>-1.7575429744568529E-4</v>
      </c>
      <c r="Q284" s="5" t="s">
        <v>4</v>
      </c>
      <c r="R284" s="83" t="s">
        <v>4</v>
      </c>
    </row>
    <row r="285" spans="1:18" x14ac:dyDescent="0.25">
      <c r="A285" s="88">
        <v>271</v>
      </c>
      <c r="B285" s="82"/>
      <c r="C285" s="97">
        <f ca="1">_xll.meDateFromTenor(C284,"1D","FOLLOWING","TGT")</f>
        <v>42905</v>
      </c>
      <c r="D285" s="95">
        <f ca="1"/>
        <v>-4.2049297964085186E-3</v>
      </c>
      <c r="E285" s="92"/>
      <c r="F285" s="97">
        <f ca="1">_xll.meDateFromTenor(F284,"1D","FOLLOWING","TGT")</f>
        <v>42905</v>
      </c>
      <c r="G285" s="95">
        <f ca="1"/>
        <v>-4.0562156384725424E-3</v>
      </c>
      <c r="H285" s="92" t="s">
        <v>4</v>
      </c>
      <c r="I285" s="97">
        <f ca="1">_xll.meDateFromTenor(I284,"1D","FOLLOWING","TGT")</f>
        <v>42905</v>
      </c>
      <c r="J285" s="95">
        <f ca="1"/>
        <v>-3.06689810354311E-3</v>
      </c>
      <c r="K285" s="5" t="s">
        <v>4</v>
      </c>
      <c r="L285" s="97">
        <f ca="1">_xll.meDateFromTenor(L284,"1D","FOLLOWING","TGT")</f>
        <v>42905</v>
      </c>
      <c r="M285" s="95">
        <f ca="1"/>
        <v>-1.9708098394411013E-3</v>
      </c>
      <c r="N285" s="5" t="s">
        <v>4</v>
      </c>
      <c r="O285" s="97">
        <f ca="1">_xll.meDateFromTenor(O284,"1D","FOLLOWING","TGT")</f>
        <v>42905</v>
      </c>
      <c r="P285" s="95">
        <f ca="1"/>
        <v>-1.7156366971977772E-4</v>
      </c>
      <c r="Q285" s="5" t="s">
        <v>4</v>
      </c>
      <c r="R285" s="83" t="s">
        <v>4</v>
      </c>
    </row>
    <row r="286" spans="1:18" x14ac:dyDescent="0.25">
      <c r="A286" s="88">
        <v>272</v>
      </c>
      <c r="B286" s="82"/>
      <c r="C286" s="97">
        <f ca="1">_xll.meDateFromTenor(C285,"1D","FOLLOWING","TGT")</f>
        <v>42906</v>
      </c>
      <c r="D286" s="95">
        <f ca="1"/>
        <v>-4.2049315037276935E-3</v>
      </c>
      <c r="E286" s="92"/>
      <c r="F286" s="97">
        <f ca="1">_xll.meDateFromTenor(F285,"1D","FOLLOWING","TGT")</f>
        <v>42906</v>
      </c>
      <c r="G286" s="95">
        <f ca="1"/>
        <v>-4.0570653236305394E-3</v>
      </c>
      <c r="H286" s="92" t="s">
        <v>4</v>
      </c>
      <c r="I286" s="97">
        <f ca="1">_xll.meDateFromTenor(I285,"1D","FOLLOWING","TGT")</f>
        <v>42906</v>
      </c>
      <c r="J286" s="95">
        <f ca="1"/>
        <v>-3.0673000911951263E-3</v>
      </c>
      <c r="K286" s="5" t="s">
        <v>4</v>
      </c>
      <c r="L286" s="97">
        <f ca="1">_xll.meDateFromTenor(L285,"1D","FOLLOWING","TGT")</f>
        <v>42906</v>
      </c>
      <c r="M286" s="95">
        <f ca="1"/>
        <v>-1.9769571991363039E-3</v>
      </c>
      <c r="N286" s="5" t="s">
        <v>4</v>
      </c>
      <c r="O286" s="97">
        <f ca="1">_xll.meDateFromTenor(O285,"1D","FOLLOWING","TGT")</f>
        <v>42906</v>
      </c>
      <c r="P286" s="95">
        <f ca="1"/>
        <v>-1.7014503698548156E-4</v>
      </c>
      <c r="Q286" s="5" t="s">
        <v>4</v>
      </c>
      <c r="R286" s="83" t="s">
        <v>4</v>
      </c>
    </row>
    <row r="287" spans="1:18" x14ac:dyDescent="0.25">
      <c r="A287" s="88">
        <v>273</v>
      </c>
      <c r="B287" s="82"/>
      <c r="C287" s="97">
        <f ca="1">_xll.meDateFromTenor(C286,"1D","FOLLOWING","TGT")</f>
        <v>42907</v>
      </c>
      <c r="D287" s="95">
        <f ca="1"/>
        <v>-4.2049303930966619E-3</v>
      </c>
      <c r="E287" s="92"/>
      <c r="F287" s="97">
        <f ca="1">_xll.meDateFromTenor(F286,"1D","FOLLOWING","TGT")</f>
        <v>42907</v>
      </c>
      <c r="G287" s="95">
        <f ca="1"/>
        <v>-4.057904246062601E-3</v>
      </c>
      <c r="H287" s="92" t="s">
        <v>4</v>
      </c>
      <c r="I287" s="97">
        <f ca="1">_xll.meDateFromTenor(I286,"1D","FOLLOWING","TGT")</f>
        <v>42907</v>
      </c>
      <c r="J287" s="95">
        <f ca="1"/>
        <v>-3.0675621683560134E-3</v>
      </c>
      <c r="K287" s="5" t="s">
        <v>4</v>
      </c>
      <c r="L287" s="97">
        <f ca="1">_xll.meDateFromTenor(L286,"1D","FOLLOWING","TGT")</f>
        <v>42907</v>
      </c>
      <c r="M287" s="95">
        <f ca="1"/>
        <v>-1.9825082227516366E-3</v>
      </c>
      <c r="N287" s="5" t="s">
        <v>4</v>
      </c>
      <c r="O287" s="97">
        <f ca="1">_xll.meDateFromTenor(O286,"1D","FOLLOWING","TGT")</f>
        <v>42907</v>
      </c>
      <c r="P287" s="95">
        <f ca="1"/>
        <v>-1.6871554755321935E-4</v>
      </c>
      <c r="Q287" s="5" t="s">
        <v>4</v>
      </c>
      <c r="R287" s="83" t="s">
        <v>4</v>
      </c>
    </row>
    <row r="288" spans="1:18" x14ac:dyDescent="0.25">
      <c r="A288" s="88">
        <v>274</v>
      </c>
      <c r="B288" s="82"/>
      <c r="C288" s="97">
        <f ca="1">_xll.meDateFromTenor(C287,"1D","FOLLOWING","TGT")</f>
        <v>42908</v>
      </c>
      <c r="D288" s="95">
        <f ca="1"/>
        <v>-4.2049264648735818E-3</v>
      </c>
      <c r="E288" s="92"/>
      <c r="F288" s="97">
        <f ca="1">_xll.meDateFromTenor(F287,"1D","FOLLOWING","TGT")</f>
        <v>42908</v>
      </c>
      <c r="G288" s="95">
        <f ca="1"/>
        <v>-4.0587324467990056E-3</v>
      </c>
      <c r="H288" s="92" t="s">
        <v>4</v>
      </c>
      <c r="I288" s="97">
        <f ca="1">_xll.meDateFromTenor(I287,"1D","FOLLOWING","TGT")</f>
        <v>42908</v>
      </c>
      <c r="J288" s="95">
        <f ca="1"/>
        <v>-3.0676813141292873E-3</v>
      </c>
      <c r="K288" s="5" t="s">
        <v>4</v>
      </c>
      <c r="L288" s="97">
        <f ca="1">_xll.meDateFromTenor(L287,"1D","FOLLOWING","TGT")</f>
        <v>42908</v>
      </c>
      <c r="M288" s="95">
        <f ca="1"/>
        <v>-1.9874858822357235E-3</v>
      </c>
      <c r="N288" s="5" t="s">
        <v>4</v>
      </c>
      <c r="O288" s="97">
        <f ca="1">_xll.meDateFromTenor(O287,"1D","FOLLOWING","TGT")</f>
        <v>42908</v>
      </c>
      <c r="P288" s="95">
        <f ca="1"/>
        <v>-1.6727521445190972E-4</v>
      </c>
      <c r="Q288" s="5" t="s">
        <v>4</v>
      </c>
      <c r="R288" s="83" t="s">
        <v>4</v>
      </c>
    </row>
    <row r="289" spans="1:18" x14ac:dyDescent="0.25">
      <c r="A289" s="88">
        <v>275</v>
      </c>
      <c r="B289" s="82"/>
      <c r="C289" s="97">
        <f ca="1">_xll.meDateFromTenor(C288,"1D","FOLLOWING","TGT")</f>
        <v>42909</v>
      </c>
      <c r="D289" s="95">
        <f ca="1"/>
        <v>-4.2049197190187071E-3</v>
      </c>
      <c r="E289" s="92"/>
      <c r="F289" s="97">
        <f ca="1">_xll.meDateFromTenor(F288,"1D","FOLLOWING","TGT")</f>
        <v>42909</v>
      </c>
      <c r="G289" s="95">
        <f ca="1"/>
        <v>-4.0595499668700293E-3</v>
      </c>
      <c r="H289" s="92" t="s">
        <v>4</v>
      </c>
      <c r="I289" s="97">
        <f ca="1">_xll.meDateFromTenor(I288,"1D","FOLLOWING","TGT")</f>
        <v>42909</v>
      </c>
      <c r="J289" s="95">
        <f ca="1"/>
        <v>-3.0677402934365231E-3</v>
      </c>
      <c r="K289" s="5" t="s">
        <v>4</v>
      </c>
      <c r="L289" s="97">
        <f ca="1">_xll.meDateFromTenor(L288,"1D","FOLLOWING","TGT")</f>
        <v>42909</v>
      </c>
      <c r="M289" s="95">
        <f ca="1"/>
        <v>-1.9919131495371909E-3</v>
      </c>
      <c r="N289" s="5" t="s">
        <v>4</v>
      </c>
      <c r="O289" s="97">
        <f ca="1">_xll.meDateFromTenor(O288,"1D","FOLLOWING","TGT")</f>
        <v>42909</v>
      </c>
      <c r="P289" s="95">
        <f ca="1"/>
        <v>-1.6582405071047097E-4</v>
      </c>
      <c r="Q289" s="5" t="s">
        <v>4</v>
      </c>
      <c r="R289" s="83" t="s">
        <v>4</v>
      </c>
    </row>
    <row r="290" spans="1:18" x14ac:dyDescent="0.25">
      <c r="A290" s="88">
        <v>276</v>
      </c>
      <c r="B290" s="82"/>
      <c r="C290" s="97">
        <f ca="1">_xll.meDateFromTenor(C289,"1D","FOLLOWING","TGT")</f>
        <v>42912</v>
      </c>
      <c r="D290" s="95">
        <f ca="1"/>
        <v>-4.2048825776525023E-3</v>
      </c>
      <c r="E290" s="92"/>
      <c r="F290" s="97">
        <f ca="1">_xll.meDateFromTenor(F289,"1D","FOLLOWING","TGT")</f>
        <v>42912</v>
      </c>
      <c r="G290" s="95">
        <f ca="1"/>
        <v>-4.061938853393593E-3</v>
      </c>
      <c r="H290" s="92" t="s">
        <v>4</v>
      </c>
      <c r="I290" s="97">
        <f ca="1">_xll.meDateFromTenor(I289,"1D","FOLLOWING","TGT")</f>
        <v>42912</v>
      </c>
      <c r="J290" s="95">
        <f ca="1"/>
        <v>-3.0680096409362416E-3</v>
      </c>
      <c r="K290" s="5" t="s">
        <v>4</v>
      </c>
      <c r="L290" s="97">
        <f ca="1">_xll.meDateFromTenor(L289,"1D","FOLLOWING","TGT")</f>
        <v>42912</v>
      </c>
      <c r="M290" s="95">
        <f ca="1"/>
        <v>-2.0021223178321194E-3</v>
      </c>
      <c r="N290" s="5" t="s">
        <v>4</v>
      </c>
      <c r="O290" s="97">
        <f ca="1">_xll.meDateFromTenor(O289,"1D","FOLLOWING","TGT")</f>
        <v>42912</v>
      </c>
      <c r="P290" s="95">
        <f ca="1"/>
        <v>-1.61405705934566E-4</v>
      </c>
      <c r="Q290" s="5" t="s">
        <v>4</v>
      </c>
      <c r="R290" s="83" t="s">
        <v>4</v>
      </c>
    </row>
    <row r="291" spans="1:18" x14ac:dyDescent="0.25">
      <c r="A291" s="88">
        <v>277</v>
      </c>
      <c r="B291" s="82"/>
      <c r="C291" s="97">
        <f ca="1">_xll.meDateFromTenor(C290,"1D","FOLLOWING","TGT")</f>
        <v>42913</v>
      </c>
      <c r="D291" s="95">
        <f ca="1"/>
        <v>-4.204864563060573E-3</v>
      </c>
      <c r="E291" s="92"/>
      <c r="F291" s="97">
        <f ca="1">_xll.meDateFromTenor(F290,"1D","FOLLOWING","TGT")</f>
        <v>42913</v>
      </c>
      <c r="G291" s="95">
        <f ca="1"/>
        <v>-4.0627140611058698E-3</v>
      </c>
      <c r="H291" s="92" t="s">
        <v>4</v>
      </c>
      <c r="I291" s="97">
        <f ca="1">_xll.meDateFromTenor(I290,"1D","FOLLOWING","TGT")</f>
        <v>42913</v>
      </c>
      <c r="J291" s="95">
        <f ca="1"/>
        <v>-3.0680965435975426E-3</v>
      </c>
      <c r="K291" s="5" t="s">
        <v>4</v>
      </c>
      <c r="L291" s="97">
        <f ca="1">_xll.meDateFromTenor(L290,"1D","FOLLOWING","TGT")</f>
        <v>42913</v>
      </c>
      <c r="M291" s="95">
        <f ca="1"/>
        <v>-2.0045777358893547E-3</v>
      </c>
      <c r="N291" s="5" t="s">
        <v>4</v>
      </c>
      <c r="O291" s="97">
        <f ca="1">_xll.meDateFromTenor(O290,"1D","FOLLOWING","TGT")</f>
        <v>42913</v>
      </c>
      <c r="P291" s="95">
        <f ca="1"/>
        <v>-1.599113499217965E-4</v>
      </c>
      <c r="Q291" s="5" t="s">
        <v>4</v>
      </c>
      <c r="R291" s="83" t="s">
        <v>4</v>
      </c>
    </row>
    <row r="292" spans="1:18" x14ac:dyDescent="0.25">
      <c r="A292" s="88">
        <v>278</v>
      </c>
      <c r="B292" s="82"/>
      <c r="C292" s="97">
        <f ca="1">_xll.meDateFromTenor(C291,"1D","FOLLOWING","TGT")</f>
        <v>42914</v>
      </c>
      <c r="D292" s="95">
        <f ca="1"/>
        <v>-4.2048437312737219E-3</v>
      </c>
      <c r="E292" s="92"/>
      <c r="F292" s="97">
        <f ca="1">_xll.meDateFromTenor(F291,"1D","FOLLOWING","TGT")</f>
        <v>42914</v>
      </c>
      <c r="G292" s="95">
        <f ca="1"/>
        <v>-4.0634787933041512E-3</v>
      </c>
      <c r="H292" s="92" t="s">
        <v>4</v>
      </c>
      <c r="I292" s="97">
        <f ca="1">_xll.meDateFromTenor(I291,"1D","FOLLOWING","TGT")</f>
        <v>42914</v>
      </c>
      <c r="J292" s="95">
        <f ca="1"/>
        <v>-3.0681850273999761E-3</v>
      </c>
      <c r="K292" s="5" t="s">
        <v>4</v>
      </c>
      <c r="L292" s="97">
        <f ca="1">_xll.meDateFromTenor(L291,"1D","FOLLOWING","TGT")</f>
        <v>42914</v>
      </c>
      <c r="M292" s="95">
        <f ca="1"/>
        <v>-2.0065976215070946E-3</v>
      </c>
      <c r="N292" s="5" t="s">
        <v>4</v>
      </c>
      <c r="O292" s="97">
        <f ca="1">_xll.meDateFromTenor(O291,"1D","FOLLOWING","TGT")</f>
        <v>42914</v>
      </c>
      <c r="P292" s="95">
        <f ca="1"/>
        <v>-1.5840622841349039E-4</v>
      </c>
      <c r="Q292" s="5" t="s">
        <v>4</v>
      </c>
      <c r="R292" s="83" t="s">
        <v>4</v>
      </c>
    </row>
    <row r="293" spans="1:18" x14ac:dyDescent="0.25">
      <c r="A293" s="88">
        <v>279</v>
      </c>
      <c r="B293" s="82"/>
      <c r="C293" s="97">
        <f ca="1">_xll.meDateFromTenor(C292,"1D","FOLLOWING","TGT")</f>
        <v>42915</v>
      </c>
      <c r="D293" s="95">
        <f ca="1"/>
        <v>-4.2048200831684701E-3</v>
      </c>
      <c r="E293" s="92"/>
      <c r="F293" s="97">
        <f ca="1">_xll.meDateFromTenor(F292,"1D","FOLLOWING","TGT")</f>
        <v>42915</v>
      </c>
      <c r="G293" s="95">
        <f ca="1"/>
        <v>-4.0642330910187173E-3</v>
      </c>
      <c r="H293" s="92" t="s">
        <v>4</v>
      </c>
      <c r="I293" s="97">
        <f ca="1">_xll.meDateFromTenor(I292,"1D","FOLLOWING","TGT")</f>
        <v>42915</v>
      </c>
      <c r="J293" s="95">
        <f ca="1"/>
        <v>-3.0682746686780523E-3</v>
      </c>
      <c r="K293" s="5" t="s">
        <v>4</v>
      </c>
      <c r="L293" s="97">
        <f ca="1">_xll.meDateFromTenor(L292,"1D","FOLLOWING","TGT")</f>
        <v>42915</v>
      </c>
      <c r="M293" s="95">
        <f ca="1"/>
        <v>-2.0082049466339635E-3</v>
      </c>
      <c r="N293" s="5" t="s">
        <v>4</v>
      </c>
      <c r="O293" s="97">
        <f ca="1">_xll.meDateFromTenor(O292,"1D","FOLLOWING","TGT")</f>
        <v>42915</v>
      </c>
      <c r="P293" s="95">
        <f ca="1"/>
        <v>-1.5689035443856644E-4</v>
      </c>
      <c r="Q293" s="5" t="s">
        <v>4</v>
      </c>
      <c r="R293" s="83" t="s">
        <v>4</v>
      </c>
    </row>
    <row r="294" spans="1:18" x14ac:dyDescent="0.25">
      <c r="A294" s="88">
        <v>280</v>
      </c>
      <c r="B294" s="82"/>
      <c r="C294" s="97">
        <f ca="1">_xll.meDateFromTenor(C293,"1D","FOLLOWING","TGT")</f>
        <v>42916</v>
      </c>
      <c r="D294" s="95">
        <f ca="1"/>
        <v>-4.2047936180271694E-3</v>
      </c>
      <c r="E294" s="92"/>
      <c r="F294" s="97">
        <f ca="1">_xll.meDateFromTenor(F293,"1D","FOLLOWING","TGT")</f>
        <v>42916</v>
      </c>
      <c r="G294" s="95">
        <f ca="1"/>
        <v>-4.0649769952798426E-3</v>
      </c>
      <c r="H294" s="92" t="s">
        <v>4</v>
      </c>
      <c r="I294" s="97">
        <f ca="1">_xll.meDateFromTenor(I293,"1D","FOLLOWING","TGT")</f>
        <v>42916</v>
      </c>
      <c r="J294" s="95">
        <f ca="1"/>
        <v>-3.0683638862906391E-3</v>
      </c>
      <c r="K294" s="5" t="s">
        <v>4</v>
      </c>
      <c r="L294" s="97">
        <f ca="1">_xll.meDateFromTenor(L293,"1D","FOLLOWING","TGT")</f>
        <v>42916</v>
      </c>
      <c r="M294" s="95">
        <f ca="1"/>
        <v>-2.009422683218587E-3</v>
      </c>
      <c r="N294" s="5" t="s">
        <v>4</v>
      </c>
      <c r="O294" s="97">
        <f ca="1">_xll.meDateFromTenor(O293,"1D","FOLLOWING","TGT")</f>
        <v>42916</v>
      </c>
      <c r="P294" s="95">
        <f ca="1"/>
        <v>-1.5536374102594286E-4</v>
      </c>
      <c r="Q294" s="5" t="s">
        <v>4</v>
      </c>
      <c r="R294" s="83" t="s">
        <v>4</v>
      </c>
    </row>
    <row r="295" spans="1:18" x14ac:dyDescent="0.25">
      <c r="A295" s="88">
        <v>281</v>
      </c>
      <c r="B295" s="82"/>
      <c r="C295" s="97">
        <f ca="1">_xll.meDateFromTenor(C294,"1D","FOLLOWING","TGT")</f>
        <v>42919</v>
      </c>
      <c r="D295" s="95">
        <f ca="1"/>
        <v>-4.2046973247248376E-3</v>
      </c>
      <c r="E295" s="92"/>
      <c r="F295" s="97">
        <f ca="1">_xll.meDateFromTenor(F294,"1D","FOLLOWING","TGT")</f>
        <v>42919</v>
      </c>
      <c r="G295" s="95">
        <f ca="1"/>
        <v>-4.0671467576453551E-3</v>
      </c>
      <c r="H295" s="92" t="s">
        <v>4</v>
      </c>
      <c r="I295" s="97">
        <f ca="1">_xll.meDateFromTenor(I294,"1D","FOLLOWING","TGT")</f>
        <v>42919</v>
      </c>
      <c r="J295" s="95">
        <f ca="1"/>
        <v>-3.0686309188390714E-3</v>
      </c>
      <c r="K295" s="5" t="s">
        <v>4</v>
      </c>
      <c r="L295" s="97">
        <f ca="1">_xll.meDateFromTenor(L294,"1D","FOLLOWING","TGT")</f>
        <v>42919</v>
      </c>
      <c r="M295" s="95">
        <f ca="1"/>
        <v>-2.0109680812052328E-3</v>
      </c>
      <c r="N295" s="5" t="s">
        <v>4</v>
      </c>
      <c r="O295" s="97">
        <f ca="1">_xll.meDateFromTenor(O294,"1D","FOLLOWING","TGT")</f>
        <v>42919</v>
      </c>
      <c r="P295" s="95">
        <f ca="1"/>
        <v>-1.5071959445106094E-4</v>
      </c>
      <c r="Q295" s="5" t="s">
        <v>4</v>
      </c>
      <c r="R295" s="83" t="s">
        <v>4</v>
      </c>
    </row>
    <row r="296" spans="1:18" x14ac:dyDescent="0.25">
      <c r="A296" s="88">
        <v>282</v>
      </c>
      <c r="B296" s="82"/>
      <c r="C296" s="97">
        <f ca="1">_xll.meDateFromTenor(C295,"1D","FOLLOWING","TGT")</f>
        <v>42920</v>
      </c>
      <c r="D296" s="95">
        <f ca="1"/>
        <v>-4.2046595946619858E-3</v>
      </c>
      <c r="E296" s="92"/>
      <c r="F296" s="97">
        <f ca="1">_xll.meDateFromTenor(F295,"1D","FOLLOWING","TGT")</f>
        <v>42920</v>
      </c>
      <c r="G296" s="95">
        <f ca="1"/>
        <v>-4.0678494750924533E-3</v>
      </c>
      <c r="H296" s="92" t="s">
        <v>4</v>
      </c>
      <c r="I296" s="97">
        <f ca="1">_xll.meDateFromTenor(I295,"1D","FOLLOWING","TGT")</f>
        <v>42920</v>
      </c>
      <c r="J296" s="95">
        <f ca="1"/>
        <v>-3.0687199925130185E-3</v>
      </c>
      <c r="K296" s="5" t="s">
        <v>4</v>
      </c>
      <c r="L296" s="97">
        <f ca="1">_xll.meDateFromTenor(L295,"1D","FOLLOWING","TGT")</f>
        <v>42920</v>
      </c>
      <c r="M296" s="95">
        <f ca="1"/>
        <v>-2.0108571831071228E-3</v>
      </c>
      <c r="N296" s="5" t="s">
        <v>4</v>
      </c>
      <c r="O296" s="97">
        <f ca="1">_xll.meDateFromTenor(O295,"1D","FOLLOWING","TGT")</f>
        <v>42920</v>
      </c>
      <c r="P296" s="95">
        <f ca="1"/>
        <v>-1.4915015357682459E-4</v>
      </c>
      <c r="Q296" s="5" t="s">
        <v>4</v>
      </c>
      <c r="R296" s="83" t="s">
        <v>4</v>
      </c>
    </row>
    <row r="297" spans="1:18" x14ac:dyDescent="0.25">
      <c r="A297" s="88">
        <v>283</v>
      </c>
      <c r="B297" s="82"/>
      <c r="C297" s="97">
        <f ca="1">_xll.meDateFromTenor(C296,"1D","FOLLOWING","TGT")</f>
        <v>42921</v>
      </c>
      <c r="D297" s="95">
        <f ca="1"/>
        <v>-4.2046190485173218E-3</v>
      </c>
      <c r="E297" s="92"/>
      <c r="F297" s="97">
        <f ca="1">_xll.meDateFromTenor(F296,"1D","FOLLOWING","TGT")</f>
        <v>42921</v>
      </c>
      <c r="G297" s="95">
        <f ca="1"/>
        <v>-4.0685418644192482E-3</v>
      </c>
      <c r="H297" s="92" t="s">
        <v>4</v>
      </c>
      <c r="I297" s="97">
        <f ca="1">_xll.meDateFromTenor(I296,"1D","FOLLOWING","TGT")</f>
        <v>42921</v>
      </c>
      <c r="J297" s="95">
        <f ca="1"/>
        <v>-3.0688090439195811E-3</v>
      </c>
      <c r="K297" s="5" t="s">
        <v>4</v>
      </c>
      <c r="L297" s="97">
        <f ca="1">_xll.meDateFromTenor(L296,"1D","FOLLOWING","TGT")</f>
        <v>42921</v>
      </c>
      <c r="M297" s="95">
        <f ca="1"/>
        <v>-2.0104715562098917E-3</v>
      </c>
      <c r="N297" s="5" t="s">
        <v>4</v>
      </c>
      <c r="O297" s="97">
        <f ca="1">_xll.meDateFromTenor(O296,"1D","FOLLOWING","TGT")</f>
        <v>42921</v>
      </c>
      <c r="P297" s="95">
        <f ca="1"/>
        <v>-1.475700384094814E-4</v>
      </c>
      <c r="Q297" s="5" t="s">
        <v>4</v>
      </c>
      <c r="R297" s="83" t="s">
        <v>4</v>
      </c>
    </row>
    <row r="298" spans="1:18" x14ac:dyDescent="0.25">
      <c r="A298" s="88">
        <v>284</v>
      </c>
      <c r="B298" s="82"/>
      <c r="C298" s="97">
        <f ca="1">_xll.meDateFromTenor(C297,"1D","FOLLOWING","TGT")</f>
        <v>42922</v>
      </c>
      <c r="D298" s="95">
        <f ca="1"/>
        <v>-4.2045756865690675E-3</v>
      </c>
      <c r="E298" s="92"/>
      <c r="F298" s="97">
        <f ca="1">_xll.meDateFromTenor(F297,"1D","FOLLOWING","TGT")</f>
        <v>42922</v>
      </c>
      <c r="G298" s="95">
        <f ca="1"/>
        <v>-4.0692238268377652E-3</v>
      </c>
      <c r="H298" s="92" t="s">
        <v>4</v>
      </c>
      <c r="I298" s="97">
        <f ca="1">_xll.meDateFromTenor(I297,"1D","FOLLOWING","TGT")</f>
        <v>42922</v>
      </c>
      <c r="J298" s="95">
        <f ca="1"/>
        <v>-3.0688981034765724E-3</v>
      </c>
      <c r="K298" s="5" t="s">
        <v>4</v>
      </c>
      <c r="L298" s="97">
        <f ca="1">_xll.meDateFromTenor(L297,"1D","FOLLOWING","TGT")</f>
        <v>42922</v>
      </c>
      <c r="M298" s="95">
        <f ca="1"/>
        <v>-2.009834172462165E-3</v>
      </c>
      <c r="N298" s="5" t="s">
        <v>4</v>
      </c>
      <c r="O298" s="97">
        <f ca="1">_xll.meDateFromTenor(O297,"1D","FOLLOWING","TGT")</f>
        <v>42922</v>
      </c>
      <c r="P298" s="95">
        <f ca="1"/>
        <v>-1.4597926197794988E-4</v>
      </c>
      <c r="Q298" s="5" t="s">
        <v>4</v>
      </c>
      <c r="R298" s="83" t="s">
        <v>4</v>
      </c>
    </row>
    <row r="299" spans="1:18" x14ac:dyDescent="0.25">
      <c r="A299" s="88">
        <v>285</v>
      </c>
      <c r="B299" s="82"/>
      <c r="C299" s="97">
        <f ca="1">_xll.meDateFromTenor(C298,"1D","FOLLOWING","TGT")</f>
        <v>42923</v>
      </c>
      <c r="D299" s="95">
        <f ca="1"/>
        <v>-4.2045295089362389E-3</v>
      </c>
      <c r="E299" s="92"/>
      <c r="F299" s="97">
        <f ca="1">_xll.meDateFromTenor(F298,"1D","FOLLOWING","TGT")</f>
        <v>42923</v>
      </c>
      <c r="G299" s="95">
        <f ca="1"/>
        <v>-4.069895263560031E-3</v>
      </c>
      <c r="H299" s="92" t="s">
        <v>4</v>
      </c>
      <c r="I299" s="97">
        <f ca="1">_xll.meDateFromTenor(I298,"1D","FOLLOWING","TGT")</f>
        <v>42923</v>
      </c>
      <c r="J299" s="95">
        <f ca="1"/>
        <v>-3.0689871690000908E-3</v>
      </c>
      <c r="K299" s="5" t="s">
        <v>4</v>
      </c>
      <c r="L299" s="97">
        <f ca="1">_xll.meDateFromTenor(L298,"1D","FOLLOWING","TGT")</f>
        <v>42923</v>
      </c>
      <c r="M299" s="95">
        <f ca="1"/>
        <v>-2.0089680038125669E-3</v>
      </c>
      <c r="N299" s="5" t="s">
        <v>4</v>
      </c>
      <c r="O299" s="97">
        <f ca="1">_xll.meDateFromTenor(O298,"1D","FOLLOWING","TGT")</f>
        <v>42923</v>
      </c>
      <c r="P299" s="95">
        <f ca="1"/>
        <v>-1.4437783731114834E-4</v>
      </c>
      <c r="Q299" s="5" t="s">
        <v>4</v>
      </c>
      <c r="R299" s="83" t="s">
        <v>4</v>
      </c>
    </row>
    <row r="300" spans="1:18" x14ac:dyDescent="0.25">
      <c r="A300" s="88">
        <v>286</v>
      </c>
      <c r="B300" s="82"/>
      <c r="C300" s="97">
        <f ca="1">_xll.meDateFromTenor(C299,"1D","FOLLOWING","TGT")</f>
        <v>42926</v>
      </c>
      <c r="D300" s="95">
        <f ca="1"/>
        <v>-4.2043740830007836E-3</v>
      </c>
      <c r="E300" s="92"/>
      <c r="F300" s="97">
        <f ca="1">_xll.meDateFromTenor(F299,"1D","FOLLOWING","TGT")</f>
        <v>42926</v>
      </c>
      <c r="G300" s="95">
        <f ca="1"/>
        <v>-4.0718454316695926E-3</v>
      </c>
      <c r="H300" s="92" t="s">
        <v>4</v>
      </c>
      <c r="I300" s="97">
        <f ca="1">_xll.meDateFromTenor(I299,"1D","FOLLOWING","TGT")</f>
        <v>42926</v>
      </c>
      <c r="J300" s="95">
        <f ca="1"/>
        <v>-3.0692543564066668E-3</v>
      </c>
      <c r="K300" s="5" t="s">
        <v>4</v>
      </c>
      <c r="L300" s="97">
        <f ca="1">_xll.meDateFromTenor(L299,"1D","FOLLOWING","TGT")</f>
        <v>42926</v>
      </c>
      <c r="M300" s="95">
        <f ca="1"/>
        <v>-2.0052265079387953E-3</v>
      </c>
      <c r="N300" s="5" t="s">
        <v>4</v>
      </c>
      <c r="O300" s="97">
        <f ca="1">_xll.meDateFromTenor(O299,"1D","FOLLOWING","TGT")</f>
        <v>42926</v>
      </c>
      <c r="P300" s="95">
        <f ca="1"/>
        <v>-1.3950980418830949E-4</v>
      </c>
      <c r="Q300" s="5" t="s">
        <v>4</v>
      </c>
      <c r="R300" s="83" t="s">
        <v>4</v>
      </c>
    </row>
    <row r="301" spans="1:18" x14ac:dyDescent="0.25">
      <c r="A301" s="88">
        <v>287</v>
      </c>
      <c r="B301" s="82"/>
      <c r="C301" s="97">
        <f ca="1">_xll.meDateFromTenor(C300,"1D","FOLLOWING","TGT")</f>
        <v>42927</v>
      </c>
      <c r="D301" s="95">
        <f ca="1"/>
        <v>-4.2043166438593405E-3</v>
      </c>
      <c r="E301" s="92"/>
      <c r="F301" s="97">
        <f ca="1">_xll.meDateFromTenor(F300,"1D","FOLLOWING","TGT")</f>
        <v>42927</v>
      </c>
      <c r="G301" s="95">
        <f ca="1"/>
        <v>-4.0724737777271224E-3</v>
      </c>
      <c r="H301" s="92" t="s">
        <v>4</v>
      </c>
      <c r="I301" s="97">
        <f ca="1">_xll.meDateFromTenor(I300,"1D","FOLLOWING","TGT")</f>
        <v>42927</v>
      </c>
      <c r="J301" s="95">
        <f ca="1"/>
        <v>-3.0693434191611103E-3</v>
      </c>
      <c r="K301" s="5" t="s">
        <v>4</v>
      </c>
      <c r="L301" s="97">
        <f ca="1">_xll.meDateFromTenor(L300,"1D","FOLLOWING","TGT")</f>
        <v>42927</v>
      </c>
      <c r="M301" s="95">
        <f ca="1"/>
        <v>-2.0036749191679622E-3</v>
      </c>
      <c r="N301" s="5" t="s">
        <v>4</v>
      </c>
      <c r="O301" s="97">
        <f ca="1">_xll.meDateFromTenor(O300,"1D","FOLLOWING","TGT")</f>
        <v>42927</v>
      </c>
      <c r="P301" s="95">
        <f ca="1"/>
        <v>-1.3786591686961328E-4</v>
      </c>
      <c r="Q301" s="5" t="s">
        <v>4</v>
      </c>
      <c r="R301" s="83" t="s">
        <v>4</v>
      </c>
    </row>
    <row r="302" spans="1:18" x14ac:dyDescent="0.25">
      <c r="A302" s="88">
        <v>288</v>
      </c>
      <c r="B302" s="82"/>
      <c r="C302" s="97">
        <f ca="1">_xll.meDateFromTenor(C301,"1D","FOLLOWING","TGT")</f>
        <v>42928</v>
      </c>
      <c r="D302" s="95">
        <f ca="1"/>
        <v>-4.2042563896281804E-3</v>
      </c>
      <c r="E302" s="92"/>
      <c r="F302" s="97">
        <f ca="1">_xll.meDateFromTenor(F301,"1D","FOLLOWING","TGT")</f>
        <v>42928</v>
      </c>
      <c r="G302" s="95">
        <f ca="1"/>
        <v>-4.0730911041485345E-3</v>
      </c>
      <c r="H302" s="92" t="s">
        <v>4</v>
      </c>
      <c r="I302" s="97">
        <f ca="1">_xll.meDateFromTenor(I301,"1D","FOLLOWING","TGT")</f>
        <v>42928</v>
      </c>
      <c r="J302" s="95">
        <f ca="1"/>
        <v>-3.069432481758757E-3</v>
      </c>
      <c r="K302" s="5" t="s">
        <v>4</v>
      </c>
      <c r="L302" s="97">
        <f ca="1">_xll.meDateFromTenor(L301,"1D","FOLLOWING","TGT")</f>
        <v>42928</v>
      </c>
      <c r="M302" s="95">
        <f ca="1"/>
        <v>-2.0020094052383831E-3</v>
      </c>
      <c r="N302" s="5" t="s">
        <v>4</v>
      </c>
      <c r="O302" s="97">
        <f ca="1">_xll.meDateFromTenor(O301,"1D","FOLLOWING","TGT")</f>
        <v>42928</v>
      </c>
      <c r="P302" s="95">
        <f ca="1"/>
        <v>-1.3621144646023989E-4</v>
      </c>
      <c r="Q302" s="5" t="s">
        <v>4</v>
      </c>
      <c r="R302" s="83" t="s">
        <v>4</v>
      </c>
    </row>
    <row r="303" spans="1:18" x14ac:dyDescent="0.25">
      <c r="A303" s="88">
        <v>289</v>
      </c>
      <c r="B303" s="82"/>
      <c r="C303" s="97">
        <f ca="1">_xll.meDateFromTenor(C302,"1D","FOLLOWING","TGT")</f>
        <v>42929</v>
      </c>
      <c r="D303" s="95">
        <f ca="1"/>
        <v>-4.2041933205057003E-3</v>
      </c>
      <c r="E303" s="92"/>
      <c r="F303" s="97">
        <f ca="1">_xll.meDateFromTenor(F302,"1D","FOLLOWING","TGT")</f>
        <v>42929</v>
      </c>
      <c r="G303" s="95">
        <f ca="1"/>
        <v>-4.0736973121458554E-3</v>
      </c>
      <c r="H303" s="92" t="s">
        <v>4</v>
      </c>
      <c r="I303" s="97">
        <f ca="1">_xll.meDateFromTenor(I302,"1D","FOLLOWING","TGT")</f>
        <v>42929</v>
      </c>
      <c r="J303" s="95">
        <f ca="1"/>
        <v>-3.0695215442416201E-3</v>
      </c>
      <c r="K303" s="5" t="s">
        <v>4</v>
      </c>
      <c r="L303" s="97">
        <f ca="1">_xll.meDateFromTenor(L302,"1D","FOLLOWING","TGT")</f>
        <v>42929</v>
      </c>
      <c r="M303" s="95">
        <f ca="1"/>
        <v>-2.0002529380986822E-3</v>
      </c>
      <c r="N303" s="5" t="s">
        <v>4</v>
      </c>
      <c r="O303" s="97">
        <f ca="1">_xll.meDateFromTenor(O302,"1D","FOLLOWING","TGT")</f>
        <v>42929</v>
      </c>
      <c r="P303" s="95">
        <f ca="1"/>
        <v>-1.3454640598910744E-4</v>
      </c>
      <c r="Q303" s="5" t="s">
        <v>4</v>
      </c>
      <c r="R303" s="83" t="s">
        <v>4</v>
      </c>
    </row>
    <row r="304" spans="1:18" x14ac:dyDescent="0.25">
      <c r="A304" s="88">
        <v>290</v>
      </c>
      <c r="B304" s="82"/>
      <c r="C304" s="97">
        <f ca="1">_xll.meDateFromTenor(C303,"1D","FOLLOWING","TGT")</f>
        <v>42930</v>
      </c>
      <c r="D304" s="95">
        <f ca="1"/>
        <v>-4.204127436610805E-3</v>
      </c>
      <c r="E304" s="92"/>
      <c r="F304" s="97">
        <f ca="1">_xll.meDateFromTenor(F303,"1D","FOLLOWING","TGT")</f>
        <v>42930</v>
      </c>
      <c r="G304" s="95">
        <f ca="1"/>
        <v>-4.0742923029311127E-3</v>
      </c>
      <c r="H304" s="92" t="s">
        <v>4</v>
      </c>
      <c r="I304" s="97">
        <f ca="1">_xll.meDateFromTenor(I303,"1D","FOLLOWING","TGT")</f>
        <v>42930</v>
      </c>
      <c r="J304" s="95">
        <f ca="1"/>
        <v>-3.0696106067664972E-3</v>
      </c>
      <c r="K304" s="5" t="s">
        <v>4</v>
      </c>
      <c r="L304" s="97">
        <f ca="1">_xll.meDateFromTenor(L303,"1D","FOLLOWING","TGT")</f>
        <v>42930</v>
      </c>
      <c r="M304" s="95">
        <f ca="1"/>
        <v>-1.9984284896974848E-3</v>
      </c>
      <c r="N304" s="5" t="s">
        <v>4</v>
      </c>
      <c r="O304" s="97">
        <f ca="1">_xll.meDateFromTenor(O303,"1D","FOLLOWING","TGT")</f>
        <v>42930</v>
      </c>
      <c r="P304" s="95">
        <f ca="1"/>
        <v>-1.3287080848513468E-4</v>
      </c>
      <c r="Q304" s="5" t="s">
        <v>4</v>
      </c>
      <c r="R304" s="83" t="s">
        <v>4</v>
      </c>
    </row>
    <row r="305" spans="1:18" x14ac:dyDescent="0.25">
      <c r="A305" s="88">
        <v>291</v>
      </c>
      <c r="B305" s="82"/>
      <c r="C305" s="97">
        <f ca="1">_xll.meDateFromTenor(C304,"1D","FOLLOWING","TGT")</f>
        <v>42933</v>
      </c>
      <c r="D305" s="95">
        <f ca="1"/>
        <v>-4.2039128974802331E-3</v>
      </c>
      <c r="E305" s="92"/>
      <c r="F305" s="97">
        <f ca="1">_xll.meDateFromTenor(F304,"1D","FOLLOWING","TGT")</f>
        <v>42933</v>
      </c>
      <c r="G305" s="95">
        <f ca="1"/>
        <v>-4.076008984134764E-3</v>
      </c>
      <c r="H305" s="92" t="s">
        <v>4</v>
      </c>
      <c r="I305" s="97">
        <f ca="1">_xll.meDateFromTenor(I304,"1D","FOLLOWING","TGT")</f>
        <v>42933</v>
      </c>
      <c r="J305" s="95">
        <f ca="1"/>
        <v>-3.0698777944026395E-3</v>
      </c>
      <c r="K305" s="5" t="s">
        <v>4</v>
      </c>
      <c r="L305" s="97">
        <f ca="1">_xll.meDateFromTenor(L304,"1D","FOLLOWING","TGT")</f>
        <v>42933</v>
      </c>
      <c r="M305" s="95">
        <f ca="1"/>
        <v>-1.9927726611918685E-3</v>
      </c>
      <c r="N305" s="5" t="s">
        <v>4</v>
      </c>
      <c r="O305" s="97">
        <f ca="1">_xll.meDateFromTenor(O304,"1D","FOLLOWING","TGT")</f>
        <v>42933</v>
      </c>
      <c r="P305" s="95">
        <f ca="1"/>
        <v>-1.2778080406535911E-4</v>
      </c>
      <c r="Q305" s="5" t="s">
        <v>4</v>
      </c>
      <c r="R305" s="83" t="s">
        <v>4</v>
      </c>
    </row>
    <row r="306" spans="1:18" x14ac:dyDescent="0.25">
      <c r="A306" s="88">
        <v>292</v>
      </c>
      <c r="B306" s="82"/>
      <c r="C306" s="97">
        <f ca="1">_xll.meDateFromTenor(C305,"1D","FOLLOWING","TGT")</f>
        <v>42934</v>
      </c>
      <c r="D306" s="95">
        <f ca="1"/>
        <v>-4.203835755644203E-3</v>
      </c>
      <c r="E306" s="92"/>
      <c r="F306" s="97">
        <f ca="1">_xll.meDateFromTenor(F305,"1D","FOLLOWING","TGT")</f>
        <v>42934</v>
      </c>
      <c r="G306" s="95">
        <f ca="1"/>
        <v>-4.0765581181920309E-3</v>
      </c>
      <c r="H306" s="92" t="s">
        <v>4</v>
      </c>
      <c r="I306" s="97">
        <f ca="1">_xll.meDateFromTenor(I305,"1D","FOLLOWING","TGT")</f>
        <v>42934</v>
      </c>
      <c r="J306" s="95">
        <f ca="1"/>
        <v>-3.0699668569417905E-3</v>
      </c>
      <c r="K306" s="5" t="s">
        <v>4</v>
      </c>
      <c r="L306" s="97">
        <f ca="1">_xll.meDateFromTenor(L305,"1D","FOLLOWING","TGT")</f>
        <v>42934</v>
      </c>
      <c r="M306" s="95">
        <f ca="1"/>
        <v>-1.9908777857364523E-3</v>
      </c>
      <c r="N306" s="5" t="s">
        <v>4</v>
      </c>
      <c r="O306" s="97">
        <f ca="1">_xll.meDateFromTenor(O305,"1D","FOLLOWING","TGT")</f>
        <v>42934</v>
      </c>
      <c r="P306" s="95">
        <f ca="1"/>
        <v>-1.2606310871920981E-4</v>
      </c>
      <c r="Q306" s="5" t="s">
        <v>4</v>
      </c>
      <c r="R306" s="83" t="s">
        <v>4</v>
      </c>
    </row>
    <row r="307" spans="1:18" x14ac:dyDescent="0.25">
      <c r="A307" s="88">
        <v>293</v>
      </c>
      <c r="B307" s="82"/>
      <c r="C307" s="97">
        <f ca="1">_xll.meDateFromTenor(C306,"1D","FOLLOWING","TGT")</f>
        <v>42935</v>
      </c>
      <c r="D307" s="95">
        <f ca="1"/>
        <v>-4.203755799828679E-3</v>
      </c>
      <c r="E307" s="92"/>
      <c r="F307" s="97">
        <f ca="1">_xll.meDateFromTenor(F306,"1D","FOLLOWING","TGT")</f>
        <v>42935</v>
      </c>
      <c r="G307" s="95">
        <f ca="1"/>
        <v>-4.077095541097365E-3</v>
      </c>
      <c r="H307" s="92" t="s">
        <v>4</v>
      </c>
      <c r="I307" s="97">
        <f ca="1">_xll.meDateFromTenor(I306,"1D","FOLLOWING","TGT")</f>
        <v>42935</v>
      </c>
      <c r="J307" s="95">
        <f ca="1"/>
        <v>-3.0700559194831493E-3</v>
      </c>
      <c r="K307" s="5" t="s">
        <v>4</v>
      </c>
      <c r="L307" s="97">
        <f ca="1">_xll.meDateFromTenor(L306,"1D","FOLLOWING","TGT")</f>
        <v>42935</v>
      </c>
      <c r="M307" s="95">
        <f ca="1"/>
        <v>-1.9889829102810361E-3</v>
      </c>
      <c r="N307" s="5" t="s">
        <v>4</v>
      </c>
      <c r="O307" s="97">
        <f ca="1">_xll.meDateFromTenor(O306,"1D","FOLLOWING","TGT")</f>
        <v>42935</v>
      </c>
      <c r="P307" s="95">
        <f ca="1"/>
        <v>-1.243349214848128E-4</v>
      </c>
      <c r="Q307" s="5" t="s">
        <v>4</v>
      </c>
      <c r="R307" s="83" t="s">
        <v>4</v>
      </c>
    </row>
    <row r="308" spans="1:18" x14ac:dyDescent="0.25">
      <c r="A308" s="88">
        <v>294</v>
      </c>
      <c r="B308" s="82"/>
      <c r="C308" s="97">
        <f ca="1">_xll.meDateFromTenor(C307,"1D","FOLLOWING","TGT")</f>
        <v>42936</v>
      </c>
      <c r="D308" s="95">
        <f ca="1"/>
        <v>-4.203673029874011E-3</v>
      </c>
      <c r="E308" s="92"/>
      <c r="F308" s="97">
        <f ca="1">_xll.meDateFromTenor(F307,"1D","FOLLOWING","TGT")</f>
        <v>42936</v>
      </c>
      <c r="G308" s="95">
        <f ca="1"/>
        <v>-4.0776211540627964E-3</v>
      </c>
      <c r="H308" s="92" t="s">
        <v>4</v>
      </c>
      <c r="I308" s="97">
        <f ca="1">_xll.meDateFromTenor(I307,"1D","FOLLOWING","TGT")</f>
        <v>42936</v>
      </c>
      <c r="J308" s="95">
        <f ca="1"/>
        <v>-3.0701449820237001E-3</v>
      </c>
      <c r="K308" s="5" t="s">
        <v>4</v>
      </c>
      <c r="L308" s="97">
        <f ca="1">_xll.meDateFromTenor(L307,"1D","FOLLOWING","TGT")</f>
        <v>42936</v>
      </c>
      <c r="M308" s="95">
        <f ca="1"/>
        <v>-1.9870880348256195E-3</v>
      </c>
      <c r="N308" s="5" t="s">
        <v>4</v>
      </c>
      <c r="O308" s="97">
        <f ca="1">_xll.meDateFromTenor(O307,"1D","FOLLOWING","TGT")</f>
        <v>42936</v>
      </c>
      <c r="P308" s="95">
        <f ca="1"/>
        <v>-1.2259625539108631E-4</v>
      </c>
      <c r="Q308" s="5" t="s">
        <v>4</v>
      </c>
      <c r="R308" s="83" t="s">
        <v>4</v>
      </c>
    </row>
    <row r="309" spans="1:18" x14ac:dyDescent="0.25">
      <c r="A309" s="88">
        <v>295</v>
      </c>
      <c r="B309" s="82"/>
      <c r="C309" s="97">
        <f ca="1">_xll.meDateFromTenor(C308,"1D","FOLLOWING","TGT")</f>
        <v>42937</v>
      </c>
      <c r="D309" s="95">
        <f ca="1"/>
        <v>-4.2035874461769929E-3</v>
      </c>
      <c r="E309" s="92"/>
      <c r="F309" s="97">
        <f ca="1">_xll.meDateFromTenor(F308,"1D","FOLLOWING","TGT")</f>
        <v>42937</v>
      </c>
      <c r="G309" s="95">
        <f ca="1"/>
        <v>-4.0781348583003489E-3</v>
      </c>
      <c r="H309" s="92" t="s">
        <v>4</v>
      </c>
      <c r="I309" s="97">
        <f ca="1">_xll.meDateFromTenor(I308,"1D","FOLLOWING","TGT")</f>
        <v>42937</v>
      </c>
      <c r="J309" s="95">
        <f ca="1"/>
        <v>-3.070234044563659E-3</v>
      </c>
      <c r="K309" s="5" t="s">
        <v>4</v>
      </c>
      <c r="L309" s="97">
        <f ca="1">_xll.meDateFromTenor(L308,"1D","FOLLOWING","TGT")</f>
        <v>42937</v>
      </c>
      <c r="M309" s="95">
        <f ca="1"/>
        <v>-1.9851931593702033E-3</v>
      </c>
      <c r="N309" s="5" t="s">
        <v>4</v>
      </c>
      <c r="O309" s="97">
        <f ca="1">_xll.meDateFromTenor(O308,"1D","FOLLOWING","TGT")</f>
        <v>42937</v>
      </c>
      <c r="P309" s="95">
        <f ca="1"/>
        <v>-1.2084712346694911E-4</v>
      </c>
      <c r="Q309" s="5" t="s">
        <v>4</v>
      </c>
      <c r="R309" s="83" t="s">
        <v>4</v>
      </c>
    </row>
    <row r="310" spans="1:18" x14ac:dyDescent="0.25">
      <c r="A310" s="88">
        <v>296</v>
      </c>
      <c r="B310" s="82"/>
      <c r="C310" s="97">
        <f ca="1">_xll.meDateFromTenor(C309,"1D","FOLLOWING","TGT")</f>
        <v>42940</v>
      </c>
      <c r="D310" s="95">
        <f ca="1"/>
        <v>-4.2033138131055692E-3</v>
      </c>
      <c r="E310" s="92"/>
      <c r="F310" s="97">
        <f ca="1">_xll.meDateFromTenor(F309,"1D","FOLLOWING","TGT")</f>
        <v>42940</v>
      </c>
      <c r="G310" s="95">
        <f ca="1"/>
        <v>-4.079603530766006E-3</v>
      </c>
      <c r="H310" s="92" t="s">
        <v>4</v>
      </c>
      <c r="I310" s="97">
        <f ca="1">_xll.meDateFromTenor(I309,"1D","FOLLOWING","TGT")</f>
        <v>42940</v>
      </c>
      <c r="J310" s="95">
        <f ca="1"/>
        <v>-3.0705012321844446E-3</v>
      </c>
      <c r="K310" s="5" t="s">
        <v>4</v>
      </c>
      <c r="L310" s="97">
        <f ca="1">_xll.meDateFromTenor(L309,"1D","FOLLOWING","TGT")</f>
        <v>42940</v>
      </c>
      <c r="M310" s="95">
        <f ca="1"/>
        <v>-1.9795085330039544E-3</v>
      </c>
      <c r="N310" s="5" t="s">
        <v>4</v>
      </c>
      <c r="O310" s="97">
        <f ca="1">_xll.meDateFromTenor(O309,"1D","FOLLOWING","TGT")</f>
        <v>42940</v>
      </c>
      <c r="P310" s="95">
        <f ca="1"/>
        <v>-1.1553706300125713E-4</v>
      </c>
      <c r="Q310" s="5" t="s">
        <v>4</v>
      </c>
      <c r="R310" s="83" t="s">
        <v>4</v>
      </c>
    </row>
    <row r="311" spans="1:18" x14ac:dyDescent="0.25">
      <c r="A311" s="88">
        <v>297</v>
      </c>
      <c r="B311" s="82"/>
      <c r="C311" s="97">
        <f ca="1">_xll.meDateFromTenor(C310,"1D","FOLLOWING","TGT")</f>
        <v>42941</v>
      </c>
      <c r="D311" s="95">
        <f ca="1"/>
        <v>-4.2032169749508519E-3</v>
      </c>
      <c r="E311" s="92"/>
      <c r="F311" s="97">
        <f ca="1">_xll.meDateFromTenor(F310,"1D","FOLLOWING","TGT")</f>
        <v>42941</v>
      </c>
      <c r="G311" s="95">
        <f ca="1"/>
        <v>-4.080068612212313E-3</v>
      </c>
      <c r="H311" s="92" t="s">
        <v>4</v>
      </c>
      <c r="I311" s="97">
        <f ca="1">_xll.meDateFromTenor(I310,"1D","FOLLOWING","TGT")</f>
        <v>42941</v>
      </c>
      <c r="J311" s="95">
        <f ca="1"/>
        <v>-3.070590294724678E-3</v>
      </c>
      <c r="K311" s="5" t="s">
        <v>4</v>
      </c>
      <c r="L311" s="97">
        <f ca="1">_xll.meDateFromTenor(L310,"1D","FOLLOWING","TGT")</f>
        <v>42941</v>
      </c>
      <c r="M311" s="95">
        <f ca="1"/>
        <v>-1.9776136575485382E-3</v>
      </c>
      <c r="N311" s="5" t="s">
        <v>4</v>
      </c>
      <c r="O311" s="97">
        <f ca="1">_xll.meDateFromTenor(O310,"1D","FOLLOWING","TGT")</f>
        <v>42941</v>
      </c>
      <c r="P311" s="95">
        <f ca="1"/>
        <v>-1.1374619804466146E-4</v>
      </c>
      <c r="Q311" s="5" t="s">
        <v>4</v>
      </c>
      <c r="R311" s="83" t="s">
        <v>4</v>
      </c>
    </row>
    <row r="312" spans="1:18" x14ac:dyDescent="0.25">
      <c r="A312" s="88">
        <v>298</v>
      </c>
      <c r="B312" s="82"/>
      <c r="C312" s="97">
        <f ca="1">_xll.meDateFromTenor(C311,"1D","FOLLOWING","TGT")</f>
        <v>42942</v>
      </c>
      <c r="D312" s="95">
        <f ca="1"/>
        <v>-4.2031173240851816E-3</v>
      </c>
      <c r="E312" s="92"/>
      <c r="F312" s="97">
        <f ca="1">_xll.meDateFromTenor(F311,"1D","FOLLOWING","TGT")</f>
        <v>42942</v>
      </c>
      <c r="G312" s="95">
        <f ca="1"/>
        <v>-4.0805212909908756E-3</v>
      </c>
      <c r="H312" s="92" t="s">
        <v>4</v>
      </c>
      <c r="I312" s="97">
        <f ca="1">_xll.meDateFromTenor(I311,"1D","FOLLOWING","TGT")</f>
        <v>42942</v>
      </c>
      <c r="J312" s="95">
        <f ca="1"/>
        <v>-3.0706793572649275E-3</v>
      </c>
      <c r="K312" s="5" t="s">
        <v>4</v>
      </c>
      <c r="L312" s="97">
        <f ca="1">_xll.meDateFromTenor(L311,"1D","FOLLOWING","TGT")</f>
        <v>42942</v>
      </c>
      <c r="M312" s="95">
        <f ca="1"/>
        <v>-1.975718782093122E-3</v>
      </c>
      <c r="N312" s="5" t="s">
        <v>4</v>
      </c>
      <c r="O312" s="97">
        <f ca="1">_xll.meDateFromTenor(O311,"1D","FOLLOWING","TGT")</f>
        <v>42942</v>
      </c>
      <c r="P312" s="95">
        <f ca="1"/>
        <v>-1.1194493240224763E-4</v>
      </c>
      <c r="Q312" s="5" t="s">
        <v>4</v>
      </c>
      <c r="R312" s="83" t="s">
        <v>4</v>
      </c>
    </row>
    <row r="313" spans="1:18" x14ac:dyDescent="0.25">
      <c r="A313" s="88">
        <v>299</v>
      </c>
      <c r="B313" s="82"/>
      <c r="C313" s="97">
        <f ca="1">_xll.meDateFromTenor(C312,"1D","FOLLOWING","TGT")</f>
        <v>42943</v>
      </c>
      <c r="D313" s="95">
        <f ca="1"/>
        <v>-4.2030148597513861E-3</v>
      </c>
      <c r="E313" s="92"/>
      <c r="F313" s="97">
        <f ca="1">_xll.meDateFromTenor(F312,"1D","FOLLOWING","TGT")</f>
        <v>42943</v>
      </c>
      <c r="G313" s="95">
        <f ca="1"/>
        <v>-4.0809614683137204E-3</v>
      </c>
      <c r="H313" s="92" t="s">
        <v>4</v>
      </c>
      <c r="I313" s="97">
        <f ca="1">_xll.meDateFromTenor(I312,"1D","FOLLOWING","TGT")</f>
        <v>42943</v>
      </c>
      <c r="J313" s="95">
        <f ca="1"/>
        <v>-3.0707684198051878E-3</v>
      </c>
      <c r="K313" s="5" t="s">
        <v>4</v>
      </c>
      <c r="L313" s="97">
        <f ca="1">_xll.meDateFromTenor(L312,"1D","FOLLOWING","TGT")</f>
        <v>42943</v>
      </c>
      <c r="M313" s="95">
        <f ca="1"/>
        <v>-1.9738239066377054E-3</v>
      </c>
      <c r="N313" s="5" t="s">
        <v>4</v>
      </c>
      <c r="O313" s="97">
        <f ca="1">_xll.meDateFromTenor(O312,"1D","FOLLOWING","TGT")</f>
        <v>42943</v>
      </c>
      <c r="P313" s="95">
        <f ca="1"/>
        <v>-1.1013327910293382E-4</v>
      </c>
      <c r="Q313" s="5" t="s">
        <v>4</v>
      </c>
      <c r="R313" s="83" t="s">
        <v>4</v>
      </c>
    </row>
    <row r="314" spans="1:18" x14ac:dyDescent="0.25">
      <c r="A314" s="88">
        <v>300</v>
      </c>
      <c r="B314" s="82"/>
      <c r="C314" s="97">
        <f ca="1">_xll.meDateFromTenor(C313,"1D","FOLLOWING","TGT")</f>
        <v>42944</v>
      </c>
      <c r="D314" s="95">
        <f ca="1"/>
        <v>-4.2029095825855123E-3</v>
      </c>
      <c r="E314" s="92"/>
      <c r="F314" s="97">
        <f ca="1">_xll.meDateFromTenor(F313,"1D","FOLLOWING","TGT")</f>
        <v>42944</v>
      </c>
      <c r="G314" s="95">
        <f ca="1"/>
        <v>-4.0813890453928739E-3</v>
      </c>
      <c r="H314" s="92" t="s">
        <v>4</v>
      </c>
      <c r="I314" s="97">
        <f ca="1">_xll.meDateFromTenor(I313,"1D","FOLLOWING","TGT")</f>
        <v>42944</v>
      </c>
      <c r="J314" s="95">
        <f ca="1"/>
        <v>-3.0708574823454446E-3</v>
      </c>
      <c r="K314" s="5" t="s">
        <v>4</v>
      </c>
      <c r="L314" s="97">
        <f ca="1">_xll.meDateFromTenor(L313,"1D","FOLLOWING","TGT")</f>
        <v>42944</v>
      </c>
      <c r="M314" s="95">
        <f ca="1"/>
        <v>-1.9719290311822893E-3</v>
      </c>
      <c r="N314" s="5" t="s">
        <v>4</v>
      </c>
      <c r="O314" s="97">
        <f ca="1">_xll.meDateFromTenor(O313,"1D","FOLLOWING","TGT")</f>
        <v>42944</v>
      </c>
      <c r="P314" s="95">
        <f ca="1"/>
        <v>-1.0831125117563885E-4</v>
      </c>
      <c r="Q314" s="5" t="s">
        <v>4</v>
      </c>
      <c r="R314" s="83" t="s">
        <v>4</v>
      </c>
    </row>
    <row r="315" spans="1:18" x14ac:dyDescent="0.25">
      <c r="A315" s="88">
        <v>301</v>
      </c>
      <c r="B315" s="82"/>
      <c r="C315" s="97">
        <f ca="1">_xll.meDateFromTenor(C314,"1D","FOLLOWING","TGT")</f>
        <v>42947</v>
      </c>
      <c r="D315" s="95">
        <f ca="1"/>
        <v>-4.2025768746829506E-3</v>
      </c>
      <c r="E315" s="92"/>
      <c r="F315" s="97">
        <f ca="1">_xll.meDateFromTenor(F314,"1D","FOLLOWING","TGT")</f>
        <v>42947</v>
      </c>
      <c r="G315" s="95">
        <f ca="1"/>
        <v>-4.08259518728845E-3</v>
      </c>
      <c r="H315" s="92" t="s">
        <v>4</v>
      </c>
      <c r="I315" s="97">
        <f ca="1">_xll.meDateFromTenor(I314,"1D","FOLLOWING","TGT")</f>
        <v>42947</v>
      </c>
      <c r="J315" s="95">
        <f ca="1"/>
        <v>-3.0711246699662072E-3</v>
      </c>
      <c r="K315" s="5" t="s">
        <v>4</v>
      </c>
      <c r="L315" s="97">
        <f ca="1">_xll.meDateFromTenor(L314,"1D","FOLLOWING","TGT")</f>
        <v>42947</v>
      </c>
      <c r="M315" s="95">
        <f ca="1"/>
        <v>-1.9662444048160403E-3</v>
      </c>
      <c r="N315" s="5" t="s">
        <v>4</v>
      </c>
      <c r="O315" s="97">
        <f ca="1">_xll.meDateFromTenor(O314,"1D","FOLLOWING","TGT")</f>
        <v>42947</v>
      </c>
      <c r="P315" s="95">
        <f ca="1"/>
        <v>-1.0278304991505087E-4</v>
      </c>
      <c r="Q315" s="5" t="s">
        <v>4</v>
      </c>
      <c r="R315" s="83" t="s">
        <v>4</v>
      </c>
    </row>
    <row r="316" spans="1:18" x14ac:dyDescent="0.25">
      <c r="A316" s="88">
        <v>302</v>
      </c>
      <c r="B316" s="82"/>
      <c r="C316" s="97">
        <f ca="1">_xll.meDateFromTenor(C315,"1D","FOLLOWING","TGT")</f>
        <v>42948</v>
      </c>
      <c r="D316" s="95">
        <f ca="1"/>
        <v>-4.2024603470948163E-3</v>
      </c>
      <c r="E316" s="92"/>
      <c r="F316" s="97">
        <f ca="1">_xll.meDateFromTenor(F315,"1D","FOLLOWING","TGT")</f>
        <v>42948</v>
      </c>
      <c r="G316" s="95">
        <f ca="1"/>
        <v>-4.0829713755131045E-3</v>
      </c>
      <c r="H316" s="92" t="s">
        <v>4</v>
      </c>
      <c r="I316" s="97">
        <f ca="1">_xll.meDateFromTenor(I315,"1D","FOLLOWING","TGT")</f>
        <v>42948</v>
      </c>
      <c r="J316" s="95">
        <f ca="1"/>
        <v>-3.0712137325064623E-3</v>
      </c>
      <c r="K316" s="5" t="s">
        <v>4</v>
      </c>
      <c r="L316" s="97">
        <f ca="1">_xll.meDateFromTenor(L315,"1D","FOLLOWING","TGT")</f>
        <v>42948</v>
      </c>
      <c r="M316" s="95">
        <f ca="1"/>
        <v>-1.9643495293606241E-3</v>
      </c>
      <c r="N316" s="5" t="s">
        <v>4</v>
      </c>
      <c r="O316" s="97">
        <f ca="1">_xll.meDateFromTenor(O315,"1D","FOLLOWING","TGT")</f>
        <v>42948</v>
      </c>
      <c r="P316" s="95">
        <f ca="1"/>
        <v>-1.0091965376501573E-4</v>
      </c>
      <c r="Q316" s="5" t="s">
        <v>4</v>
      </c>
      <c r="R316" s="83" t="s">
        <v>4</v>
      </c>
    </row>
    <row r="317" spans="1:18" x14ac:dyDescent="0.25">
      <c r="A317" s="88">
        <v>303</v>
      </c>
      <c r="B317" s="82"/>
      <c r="C317" s="97">
        <f ca="1">_xll.meDateFromTenor(C316,"1D","FOLLOWING","TGT")</f>
        <v>42949</v>
      </c>
      <c r="D317" s="95">
        <f ca="1"/>
        <v>-4.2023410070678446E-3</v>
      </c>
      <c r="E317" s="92"/>
      <c r="F317" s="97">
        <f ca="1">_xll.meDateFromTenor(F316,"1D","FOLLOWING","TGT")</f>
        <v>42949</v>
      </c>
      <c r="G317" s="95">
        <f ca="1"/>
        <v>-4.0833344695541994E-3</v>
      </c>
      <c r="H317" s="92" t="s">
        <v>4</v>
      </c>
      <c r="I317" s="97">
        <f ca="1">_xll.meDateFromTenor(I316,"1D","FOLLOWING","TGT")</f>
        <v>42949</v>
      </c>
      <c r="J317" s="95">
        <f ca="1"/>
        <v>-3.071302795046717E-3</v>
      </c>
      <c r="K317" s="5" t="s">
        <v>4</v>
      </c>
      <c r="L317" s="97">
        <f ca="1">_xll.meDateFromTenor(L316,"1D","FOLLOWING","TGT")</f>
        <v>42949</v>
      </c>
      <c r="M317" s="95">
        <f ca="1"/>
        <v>-1.9624546539052075E-3</v>
      </c>
      <c r="N317" s="5" t="s">
        <v>4</v>
      </c>
      <c r="O317" s="97">
        <f ca="1">_xll.meDateFromTenor(O316,"1D","FOLLOWING","TGT")</f>
        <v>42949</v>
      </c>
      <c r="P317" s="95">
        <f ca="1"/>
        <v>-9.9045948131591655E-5</v>
      </c>
      <c r="Q317" s="5" t="s">
        <v>4</v>
      </c>
      <c r="R317" s="83" t="s">
        <v>4</v>
      </c>
    </row>
    <row r="318" spans="1:18" x14ac:dyDescent="0.25">
      <c r="A318" s="88">
        <v>304</v>
      </c>
      <c r="B318" s="82"/>
      <c r="C318" s="97">
        <f ca="1">_xll.meDateFromTenor(C317,"1D","FOLLOWING","TGT")</f>
        <v>42950</v>
      </c>
      <c r="D318" s="95">
        <f ca="1"/>
        <v>-4.2022188549194484E-3</v>
      </c>
      <c r="E318" s="92"/>
      <c r="F318" s="97">
        <f ca="1">_xll.meDateFromTenor(F317,"1D","FOLLOWING","TGT")</f>
        <v>42950</v>
      </c>
      <c r="G318" s="95">
        <f ca="1"/>
        <v>-4.0836843964880453E-3</v>
      </c>
      <c r="H318" s="92" t="s">
        <v>4</v>
      </c>
      <c r="I318" s="97">
        <f ca="1">_xll.meDateFromTenor(I317,"1D","FOLLOWING","TGT")</f>
        <v>42950</v>
      </c>
      <c r="J318" s="95">
        <f ca="1"/>
        <v>-3.0713918575869721E-3</v>
      </c>
      <c r="K318" s="5" t="s">
        <v>4</v>
      </c>
      <c r="L318" s="97">
        <f ca="1">_xll.meDateFromTenor(L317,"1D","FOLLOWING","TGT")</f>
        <v>42950</v>
      </c>
      <c r="M318" s="95">
        <f ca="1"/>
        <v>-1.9605597784497913E-3</v>
      </c>
      <c r="N318" s="5" t="s">
        <v>4</v>
      </c>
      <c r="O318" s="97">
        <f ca="1">_xll.meDateFromTenor(O317,"1D","FOLLOWING","TGT")</f>
        <v>42950</v>
      </c>
      <c r="P318" s="95">
        <f ca="1"/>
        <v>-9.7161946043697455E-5</v>
      </c>
      <c r="Q318" s="5" t="s">
        <v>4</v>
      </c>
      <c r="R318" s="83" t="s">
        <v>4</v>
      </c>
    </row>
    <row r="319" spans="1:18" x14ac:dyDescent="0.25">
      <c r="A319" s="88">
        <v>305</v>
      </c>
      <c r="B319" s="82"/>
      <c r="C319" s="97">
        <f ca="1">_xll.meDateFromTenor(C318,"1D","FOLLOWING","TGT")</f>
        <v>42951</v>
      </c>
      <c r="D319" s="95">
        <f ca="1"/>
        <v>-4.2020938907680883E-3</v>
      </c>
      <c r="E319" s="92"/>
      <c r="F319" s="97">
        <f ca="1">_xll.meDateFromTenor(F318,"1D","FOLLOWING","TGT")</f>
        <v>42951</v>
      </c>
      <c r="G319" s="95">
        <f ca="1"/>
        <v>-4.0840211868480789E-3</v>
      </c>
      <c r="H319" s="92" t="s">
        <v>4</v>
      </c>
      <c r="I319" s="97">
        <f ca="1">_xll.meDateFromTenor(I318,"1D","FOLLOWING","TGT")</f>
        <v>42951</v>
      </c>
      <c r="J319" s="95">
        <f ca="1"/>
        <v>-3.0714809201272267E-3</v>
      </c>
      <c r="K319" s="5" t="s">
        <v>4</v>
      </c>
      <c r="L319" s="97">
        <f ca="1">_xll.meDateFromTenor(L318,"1D","FOLLOWING","TGT")</f>
        <v>42951</v>
      </c>
      <c r="M319" s="95">
        <f ca="1"/>
        <v>-1.9586649029943752E-3</v>
      </c>
      <c r="N319" s="5" t="s">
        <v>4</v>
      </c>
      <c r="O319" s="97">
        <f ca="1">_xll.meDateFromTenor(O318,"1D","FOLLOWING","TGT")</f>
        <v>42951</v>
      </c>
      <c r="P319" s="95">
        <f ca="1"/>
        <v>-9.5267660530251339E-5</v>
      </c>
      <c r="Q319" s="5" t="s">
        <v>4</v>
      </c>
      <c r="R319" s="83" t="s">
        <v>4</v>
      </c>
    </row>
    <row r="320" spans="1:18" x14ac:dyDescent="0.25">
      <c r="A320" s="88">
        <v>306</v>
      </c>
      <c r="B320" s="82"/>
      <c r="C320" s="97">
        <f ca="1">_xll.meDateFromTenor(C319,"1D","FOLLOWING","TGT")</f>
        <v>42954</v>
      </c>
      <c r="D320" s="95">
        <f ca="1"/>
        <v>-4.2017021273594857E-3</v>
      </c>
      <c r="E320" s="92"/>
      <c r="F320" s="97">
        <f ca="1">_xll.meDateFromTenor(F319,"1D","FOLLOWING","TGT")</f>
        <v>42954</v>
      </c>
      <c r="G320" s="95">
        <f ca="1"/>
        <v>-4.0849533024624922E-3</v>
      </c>
      <c r="H320" s="92" t="s">
        <v>4</v>
      </c>
      <c r="I320" s="97">
        <f ca="1">_xll.meDateFromTenor(I319,"1D","FOLLOWING","TGT")</f>
        <v>42954</v>
      </c>
      <c r="J320" s="95">
        <f ca="1"/>
        <v>-3.0717481077479894E-3</v>
      </c>
      <c r="K320" s="5" t="s">
        <v>4</v>
      </c>
      <c r="L320" s="97">
        <f ca="1">_xll.meDateFromTenor(L319,"1D","FOLLOWING","TGT")</f>
        <v>42954</v>
      </c>
      <c r="M320" s="95">
        <f ca="1"/>
        <v>-1.9529802766281264E-3</v>
      </c>
      <c r="N320" s="5" t="s">
        <v>4</v>
      </c>
      <c r="O320" s="97">
        <f ca="1">_xll.meDateFromTenor(O319,"1D","FOLLOWING","TGT")</f>
        <v>42954</v>
      </c>
      <c r="P320" s="95">
        <f ca="1"/>
        <v>-8.9523233725787588E-5</v>
      </c>
      <c r="Q320" s="5" t="s">
        <v>4</v>
      </c>
      <c r="R320" s="83" t="s">
        <v>4</v>
      </c>
    </row>
    <row r="321" spans="1:18" x14ac:dyDescent="0.25">
      <c r="A321" s="88">
        <v>307</v>
      </c>
      <c r="B321" s="82"/>
      <c r="C321" s="97">
        <f ca="1">_xll.meDateFromTenor(C320,"1D","FOLLOWING","TGT")</f>
        <v>42955</v>
      </c>
      <c r="D321" s="95">
        <f ca="1"/>
        <v>-4.2015659163791019E-3</v>
      </c>
      <c r="E321" s="92"/>
      <c r="F321" s="97">
        <f ca="1">_xll.meDateFromTenor(F320,"1D","FOLLOWING","TGT")</f>
        <v>42955</v>
      </c>
      <c r="G321" s="95">
        <f ca="1"/>
        <v>-4.0852381105044655E-3</v>
      </c>
      <c r="H321" s="92" t="s">
        <v>4</v>
      </c>
      <c r="I321" s="97">
        <f ca="1">_xll.meDateFromTenor(I320,"1D","FOLLOWING","TGT")</f>
        <v>42955</v>
      </c>
      <c r="J321" s="95">
        <f ca="1"/>
        <v>-3.0718371702882462E-3</v>
      </c>
      <c r="K321" s="5" t="s">
        <v>4</v>
      </c>
      <c r="L321" s="97">
        <f ca="1">_xll.meDateFromTenor(L320,"1D","FOLLOWING","TGT")</f>
        <v>42955</v>
      </c>
      <c r="M321" s="95">
        <f ca="1"/>
        <v>-1.95108540117271E-3</v>
      </c>
      <c r="N321" s="5" t="s">
        <v>4</v>
      </c>
      <c r="O321" s="97">
        <f ca="1">_xll.meDateFromTenor(O320,"1D","FOLLOWING","TGT")</f>
        <v>42955</v>
      </c>
      <c r="P321" s="95">
        <f ca="1"/>
        <v>-8.7587944799319563E-5</v>
      </c>
      <c r="Q321" s="5" t="s">
        <v>4</v>
      </c>
      <c r="R321" s="83" t="s">
        <v>4</v>
      </c>
    </row>
    <row r="322" spans="1:18" x14ac:dyDescent="0.25">
      <c r="A322" s="88">
        <v>308</v>
      </c>
      <c r="B322" s="82"/>
      <c r="C322" s="97">
        <f ca="1">_xll.meDateFromTenor(C321,"1D","FOLLOWING","TGT")</f>
        <v>42956</v>
      </c>
      <c r="D322" s="95">
        <f ca="1"/>
        <v>-4.2014268940269162E-3</v>
      </c>
      <c r="E322" s="92"/>
      <c r="F322" s="97">
        <f ca="1">_xll.meDateFromTenor(F321,"1D","FOLLOWING","TGT")</f>
        <v>42956</v>
      </c>
      <c r="G322" s="95">
        <f ca="1"/>
        <v>-4.0855100639612205E-3</v>
      </c>
      <c r="H322" s="92" t="s">
        <v>4</v>
      </c>
      <c r="I322" s="97">
        <f ca="1">_xll.meDateFromTenor(I321,"1D","FOLLOWING","TGT")</f>
        <v>42956</v>
      </c>
      <c r="J322" s="95">
        <f ca="1"/>
        <v>-3.0719262328285095E-3</v>
      </c>
      <c r="K322" s="5" t="s">
        <v>4</v>
      </c>
      <c r="L322" s="97">
        <f ca="1">_xll.meDateFromTenor(L321,"1D","FOLLOWING","TGT")</f>
        <v>42956</v>
      </c>
      <c r="M322" s="95">
        <f ca="1"/>
        <v>-1.9491905257172937E-3</v>
      </c>
      <c r="N322" s="5" t="s">
        <v>4</v>
      </c>
      <c r="O322" s="97">
        <f ca="1">_xll.meDateFromTenor(O321,"1D","FOLLOWING","TGT")</f>
        <v>42956</v>
      </c>
      <c r="P322" s="95">
        <f ca="1"/>
        <v>-8.5642437591892183E-5</v>
      </c>
      <c r="Q322" s="5" t="s">
        <v>4</v>
      </c>
      <c r="R322" s="83" t="s">
        <v>4</v>
      </c>
    </row>
    <row r="323" spans="1:18" x14ac:dyDescent="0.25">
      <c r="A323" s="88">
        <v>309</v>
      </c>
      <c r="B323" s="82"/>
      <c r="C323" s="97">
        <f ca="1">_xll.meDateFromTenor(C322,"1D","FOLLOWING","TGT")</f>
        <v>42957</v>
      </c>
      <c r="D323" s="95">
        <f ca="1"/>
        <v>-4.2012850603019292E-3</v>
      </c>
      <c r="E323" s="92"/>
      <c r="F323" s="97">
        <f ca="1">_xll.meDateFromTenor(F322,"1D","FOLLOWING","TGT")</f>
        <v>42957</v>
      </c>
      <c r="G323" s="95">
        <f ca="1"/>
        <v>-4.0857692192304779E-3</v>
      </c>
      <c r="H323" s="92" t="s">
        <v>4</v>
      </c>
      <c r="I323" s="97">
        <f ca="1">_xll.meDateFromTenor(I322,"1D","FOLLOWING","TGT")</f>
        <v>42957</v>
      </c>
      <c r="J323" s="95">
        <f ca="1"/>
        <v>-3.0720152953687559E-3</v>
      </c>
      <c r="K323" s="5" t="s">
        <v>4</v>
      </c>
      <c r="L323" s="97">
        <f ca="1">_xll.meDateFromTenor(L322,"1D","FOLLOWING","TGT")</f>
        <v>42957</v>
      </c>
      <c r="M323" s="95">
        <f ca="1"/>
        <v>-1.9472956502618775E-3</v>
      </c>
      <c r="N323" s="5" t="s">
        <v>4</v>
      </c>
      <c r="O323" s="97">
        <f ca="1">_xll.meDateFromTenor(O322,"1D","FOLLOWING","TGT")</f>
        <v>42957</v>
      </c>
      <c r="P323" s="95">
        <f ca="1"/>
        <v>-8.3686725132424197E-5</v>
      </c>
      <c r="Q323" s="5" t="s">
        <v>4</v>
      </c>
      <c r="R323" s="83" t="s">
        <v>4</v>
      </c>
    </row>
    <row r="324" spans="1:18" x14ac:dyDescent="0.25">
      <c r="A324" s="88">
        <v>310</v>
      </c>
      <c r="B324" s="82"/>
      <c r="C324" s="97">
        <f ca="1">_xll.meDateFromTenor(C323,"1D","FOLLOWING","TGT")</f>
        <v>42958</v>
      </c>
      <c r="D324" s="95">
        <f ca="1"/>
        <v>-4.2011404155211096E-3</v>
      </c>
      <c r="E324" s="92"/>
      <c r="F324" s="97">
        <f ca="1">_xll.meDateFromTenor(F323,"1D","FOLLOWING","TGT")</f>
        <v>42958</v>
      </c>
      <c r="G324" s="95">
        <f ca="1"/>
        <v>-4.0860156327099549E-3</v>
      </c>
      <c r="H324" s="92" t="s">
        <v>4</v>
      </c>
      <c r="I324" s="97">
        <f ca="1">_xll.meDateFromTenor(I323,"1D","FOLLOWING","TGT")</f>
        <v>42958</v>
      </c>
      <c r="J324" s="95">
        <f ca="1"/>
        <v>-3.0721043579089793E-3</v>
      </c>
      <c r="K324" s="5" t="s">
        <v>4</v>
      </c>
      <c r="L324" s="97">
        <f ca="1">_xll.meDateFromTenor(L323,"1D","FOLLOWING","TGT")</f>
        <v>42958</v>
      </c>
      <c r="M324" s="95">
        <f ca="1"/>
        <v>-1.9454007748064611E-3</v>
      </c>
      <c r="N324" s="5" t="s">
        <v>4</v>
      </c>
      <c r="O324" s="97">
        <f ca="1">_xll.meDateFromTenor(O323,"1D","FOLLOWING","TGT")</f>
        <v>42958</v>
      </c>
      <c r="P324" s="95">
        <f ca="1"/>
        <v>-8.1720820449833869E-5</v>
      </c>
      <c r="Q324" s="5" t="s">
        <v>4</v>
      </c>
      <c r="R324" s="83" t="s">
        <v>4</v>
      </c>
    </row>
    <row r="325" spans="1:18" x14ac:dyDescent="0.25">
      <c r="A325" s="88">
        <v>311</v>
      </c>
      <c r="B325" s="82"/>
      <c r="C325" s="97">
        <f ca="1">_xll.meDateFromTenor(C324,"1D","FOLLOWING","TGT")</f>
        <v>42961</v>
      </c>
      <c r="D325" s="95">
        <f ca="1"/>
        <v>-4.2006896157873452E-3</v>
      </c>
      <c r="E325" s="92"/>
      <c r="F325" s="97">
        <f ca="1">_xll.meDateFromTenor(F324,"1D","FOLLOWING","TGT")</f>
        <v>42961</v>
      </c>
      <c r="G325" s="95">
        <f ca="1"/>
        <v>-4.0866789863869052E-3</v>
      </c>
      <c r="H325" s="92" t="s">
        <v>4</v>
      </c>
      <c r="I325" s="97">
        <f ca="1">_xll.meDateFromTenor(I324,"1D","FOLLOWING","TGT")</f>
        <v>42961</v>
      </c>
      <c r="J325" s="95">
        <f ca="1"/>
        <v>-3.072371545529775E-3</v>
      </c>
      <c r="K325" s="5" t="s">
        <v>4</v>
      </c>
      <c r="L325" s="97">
        <f ca="1">_xll.meDateFromTenor(L324,"1D","FOLLOWING","TGT")</f>
        <v>42961</v>
      </c>
      <c r="M325" s="95">
        <f ca="1"/>
        <v>-1.9397161484402121E-3</v>
      </c>
      <c r="N325" s="5" t="s">
        <v>4</v>
      </c>
      <c r="O325" s="97">
        <f ca="1">_xll.meDateFromTenor(O324,"1D","FOLLOWING","TGT")</f>
        <v>42961</v>
      </c>
      <c r="P325" s="95">
        <f ca="1"/>
        <v>-7.5762083352514571E-5</v>
      </c>
      <c r="Q325" s="5" t="s">
        <v>4</v>
      </c>
      <c r="R325" s="83" t="s">
        <v>4</v>
      </c>
    </row>
    <row r="326" spans="1:18" x14ac:dyDescent="0.25">
      <c r="A326" s="88">
        <v>312</v>
      </c>
      <c r="B326" s="82"/>
      <c r="C326" s="97">
        <f ca="1">_xll.meDateFromTenor(C325,"1D","FOLLOWING","TGT")</f>
        <v>42962</v>
      </c>
      <c r="D326" s="95">
        <f ca="1"/>
        <v>-4.200533727686584E-3</v>
      </c>
      <c r="E326" s="92"/>
      <c r="F326" s="97">
        <f ca="1">_xll.meDateFromTenor(F325,"1D","FOLLOWING","TGT")</f>
        <v>42962</v>
      </c>
      <c r="G326" s="95">
        <f ca="1"/>
        <v>-4.0868749966844562E-3</v>
      </c>
      <c r="H326" s="92" t="s">
        <v>4</v>
      </c>
      <c r="I326" s="97">
        <f ca="1">_xll.meDateFromTenor(I325,"1D","FOLLOWING","TGT")</f>
        <v>42962</v>
      </c>
      <c r="J326" s="95">
        <f ca="1"/>
        <v>-3.0724606080695968E-3</v>
      </c>
      <c r="K326" s="5" t="s">
        <v>4</v>
      </c>
      <c r="L326" s="97">
        <f ca="1">_xll.meDateFromTenor(L325,"1D","FOLLOWING","TGT")</f>
        <v>42962</v>
      </c>
      <c r="M326" s="95">
        <f ca="1"/>
        <v>-1.937821272984796E-3</v>
      </c>
      <c r="N326" s="5" t="s">
        <v>4</v>
      </c>
      <c r="O326" s="97">
        <f ca="1">_xll.meDateFromTenor(O325,"1D","FOLLOWING","TGT")</f>
        <v>42962</v>
      </c>
      <c r="P326" s="95">
        <f ca="1"/>
        <v>-7.3755540066620413E-5</v>
      </c>
      <c r="Q326" s="5" t="s">
        <v>4</v>
      </c>
      <c r="R326" s="83" t="s">
        <v>4</v>
      </c>
    </row>
    <row r="327" spans="1:18" x14ac:dyDescent="0.25">
      <c r="A327" s="88">
        <v>313</v>
      </c>
      <c r="B327" s="82"/>
      <c r="C327" s="97">
        <f ca="1">_xll.meDateFromTenor(C326,"1D","FOLLOWING","TGT")</f>
        <v>42963</v>
      </c>
      <c r="D327" s="95">
        <f ca="1"/>
        <v>-4.2003750293199138E-3</v>
      </c>
      <c r="E327" s="92"/>
      <c r="F327" s="97">
        <f ca="1">_xll.meDateFromTenor(F326,"1D","FOLLOWING","TGT")</f>
        <v>42963</v>
      </c>
      <c r="G327" s="95">
        <f ca="1"/>
        <v>-4.0870585471808243E-3</v>
      </c>
      <c r="H327" s="92" t="s">
        <v>4</v>
      </c>
      <c r="I327" s="97">
        <f ca="1">_xll.meDateFromTenor(I326,"1D","FOLLOWING","TGT")</f>
        <v>42963</v>
      </c>
      <c r="J327" s="95">
        <f ca="1"/>
        <v>-3.0725496706102847E-3</v>
      </c>
      <c r="K327" s="5" t="s">
        <v>4</v>
      </c>
      <c r="L327" s="97">
        <f ca="1">_xll.meDateFromTenor(L326,"1D","FOLLOWING","TGT")</f>
        <v>42963</v>
      </c>
      <c r="M327" s="95">
        <f ca="1"/>
        <v>-1.9359263975293796E-3</v>
      </c>
      <c r="N327" s="5" t="s">
        <v>4</v>
      </c>
      <c r="O327" s="97">
        <f ca="1">_xll.meDateFromTenor(O326,"1D","FOLLOWING","TGT")</f>
        <v>42963</v>
      </c>
      <c r="P327" s="95">
        <f ca="1"/>
        <v>-7.1738869702196514E-5</v>
      </c>
      <c r="Q327" s="5" t="s">
        <v>4</v>
      </c>
      <c r="R327" s="83" t="s">
        <v>4</v>
      </c>
    </row>
    <row r="328" spans="1:18" x14ac:dyDescent="0.25">
      <c r="A328" s="88">
        <v>314</v>
      </c>
      <c r="B328" s="82"/>
      <c r="C328" s="97">
        <f ca="1">_xll.meDateFromTenor(C327,"1D","FOLLOWING","TGT")</f>
        <v>42964</v>
      </c>
      <c r="D328" s="95">
        <f ca="1"/>
        <v>-4.2002135204468605E-3</v>
      </c>
      <c r="E328" s="92"/>
      <c r="F328" s="97">
        <f ca="1">_xll.meDateFromTenor(F327,"1D","FOLLOWING","TGT")</f>
        <v>42964</v>
      </c>
      <c r="G328" s="95">
        <f ca="1"/>
        <v>-4.0872296942737266E-3</v>
      </c>
      <c r="H328" s="92" t="s">
        <v>4</v>
      </c>
      <c r="I328" s="97">
        <f ca="1">_xll.meDateFromTenor(I327,"1D","FOLLOWING","TGT")</f>
        <v>42964</v>
      </c>
      <c r="J328" s="95">
        <f ca="1"/>
        <v>-3.0726387331521565E-3</v>
      </c>
      <c r="K328" s="5" t="s">
        <v>4</v>
      </c>
      <c r="L328" s="97">
        <f ca="1">_xll.meDateFromTenor(L327,"1D","FOLLOWING","TGT")</f>
        <v>42964</v>
      </c>
      <c r="M328" s="95">
        <f ca="1"/>
        <v>-1.9340315220739634E-3</v>
      </c>
      <c r="N328" s="5" t="s">
        <v>4</v>
      </c>
      <c r="O328" s="97">
        <f ca="1">_xll.meDateFromTenor(O327,"1D","FOLLOWING","TGT")</f>
        <v>42964</v>
      </c>
      <c r="P328" s="95">
        <f ca="1"/>
        <v>-6.9712085288161515E-5</v>
      </c>
      <c r="Q328" s="5" t="s">
        <v>4</v>
      </c>
      <c r="R328" s="83" t="s">
        <v>4</v>
      </c>
    </row>
    <row r="329" spans="1:18" x14ac:dyDescent="0.25">
      <c r="A329" s="88">
        <v>315</v>
      </c>
      <c r="B329" s="82"/>
      <c r="C329" s="97">
        <f ca="1">_xll.meDateFromTenor(C328,"1D","FOLLOWING","TGT")</f>
        <v>42965</v>
      </c>
      <c r="D329" s="95">
        <f ca="1"/>
        <v>-4.2000492015440427E-3</v>
      </c>
      <c r="E329" s="92"/>
      <c r="F329" s="97">
        <f ca="1">_xll.meDateFromTenor(F328,"1D","FOLLOWING","TGT")</f>
        <v>42965</v>
      </c>
      <c r="G329" s="95">
        <f ca="1"/>
        <v>-4.0873884943608838E-3</v>
      </c>
      <c r="H329" s="92" t="s">
        <v>4</v>
      </c>
      <c r="I329" s="97">
        <f ca="1">_xll.meDateFromTenor(I328,"1D","FOLLOWING","TGT")</f>
        <v>42965</v>
      </c>
      <c r="J329" s="95">
        <f ca="1"/>
        <v>-3.0727277956907944E-3</v>
      </c>
      <c r="K329" s="5" t="s">
        <v>4</v>
      </c>
      <c r="L329" s="97">
        <f ca="1">_xll.meDateFromTenor(L328,"1D","FOLLOWING","TGT")</f>
        <v>42965</v>
      </c>
      <c r="M329" s="95">
        <f ca="1"/>
        <v>-1.932136646618547E-3</v>
      </c>
      <c r="N329" s="5" t="s">
        <v>4</v>
      </c>
      <c r="O329" s="97">
        <f ca="1">_xll.meDateFromTenor(O328,"1D","FOLLOWING","TGT")</f>
        <v>42965</v>
      </c>
      <c r="P329" s="95">
        <f ca="1"/>
        <v>-6.7675199853433666E-5</v>
      </c>
      <c r="Q329" s="5" t="s">
        <v>4</v>
      </c>
      <c r="R329" s="83" t="s">
        <v>4</v>
      </c>
    </row>
    <row r="330" spans="1:18" x14ac:dyDescent="0.25">
      <c r="A330" s="88">
        <v>316</v>
      </c>
      <c r="B330" s="82"/>
      <c r="C330" s="97">
        <f ca="1">_xll.meDateFromTenor(C329,"1D","FOLLOWING","TGT")</f>
        <v>42968</v>
      </c>
      <c r="D330" s="95">
        <f ca="1"/>
        <v>-4.1995393844027618E-3</v>
      </c>
      <c r="E330" s="92"/>
      <c r="F330" s="97">
        <f ca="1">_xll.meDateFromTenor(F329,"1D","FOLLOWING","TGT")</f>
        <v>42968</v>
      </c>
      <c r="G330" s="95">
        <f ca="1"/>
        <v>-4.0877913765650711E-3</v>
      </c>
      <c r="H330" s="92" t="s">
        <v>4</v>
      </c>
      <c r="I330" s="97">
        <f ca="1">_xll.meDateFromTenor(I329,"1D","FOLLOWING","TGT")</f>
        <v>42968</v>
      </c>
      <c r="J330" s="95">
        <f ca="1"/>
        <v>-3.0729949833340807E-3</v>
      </c>
      <c r="K330" s="5" t="s">
        <v>4</v>
      </c>
      <c r="L330" s="97">
        <f ca="1">_xll.meDateFromTenor(L329,"1D","FOLLOWING","TGT")</f>
        <v>42968</v>
      </c>
      <c r="M330" s="95">
        <f ca="1"/>
        <v>-1.9264520202522983E-3</v>
      </c>
      <c r="N330" s="5" t="s">
        <v>4</v>
      </c>
      <c r="O330" s="97">
        <f ca="1">_xll.meDateFromTenor(O329,"1D","FOLLOWING","TGT")</f>
        <v>42968</v>
      </c>
      <c r="P330" s="95">
        <f ca="1"/>
        <v>-6.1504067714279306E-5</v>
      </c>
      <c r="Q330" s="5" t="s">
        <v>4</v>
      </c>
      <c r="R330" s="83" t="s">
        <v>4</v>
      </c>
    </row>
    <row r="331" spans="1:18" x14ac:dyDescent="0.25">
      <c r="A331" s="88">
        <v>317</v>
      </c>
      <c r="B331" s="82"/>
      <c r="C331" s="97">
        <f ca="1">_xll.meDateFromTenor(C330,"1D","FOLLOWING","TGT")</f>
        <v>42969</v>
      </c>
      <c r="D331" s="95">
        <f ca="1"/>
        <v>-4.1993638258833732E-3</v>
      </c>
      <c r="E331" s="92"/>
      <c r="F331" s="97">
        <f ca="1">_xll.meDateFromTenor(F330,"1D","FOLLOWING","TGT")</f>
        <v>42969</v>
      </c>
      <c r="G331" s="95">
        <f ca="1"/>
        <v>-4.0879013526064359E-3</v>
      </c>
      <c r="H331" s="92" t="s">
        <v>4</v>
      </c>
      <c r="I331" s="97">
        <f ca="1">_xll.meDateFromTenor(I330,"1D","FOLLOWING","TGT")</f>
        <v>42969</v>
      </c>
      <c r="J331" s="95">
        <f ca="1"/>
        <v>-3.0730840458518139E-3</v>
      </c>
      <c r="K331" s="5" t="s">
        <v>4</v>
      </c>
      <c r="L331" s="97">
        <f ca="1">_xll.meDateFromTenor(L330,"1D","FOLLOWING","TGT")</f>
        <v>42969</v>
      </c>
      <c r="M331" s="95">
        <f ca="1"/>
        <v>-1.9245571447968819E-3</v>
      </c>
      <c r="N331" s="5" t="s">
        <v>4</v>
      </c>
      <c r="O331" s="97">
        <f ca="1">_xll.meDateFromTenor(O330,"1D","FOLLOWING","TGT")</f>
        <v>42969</v>
      </c>
      <c r="P331" s="95">
        <f ca="1"/>
        <v>-5.9426908485965692E-5</v>
      </c>
      <c r="Q331" s="5" t="s">
        <v>4</v>
      </c>
      <c r="R331" s="83" t="s">
        <v>4</v>
      </c>
    </row>
    <row r="332" spans="1:18" x14ac:dyDescent="0.25">
      <c r="A332" s="88">
        <v>318</v>
      </c>
      <c r="B332" s="82"/>
      <c r="C332" s="97">
        <f ca="1">_xll.meDateFromTenor(C331,"1D","FOLLOWING","TGT")</f>
        <v>42970</v>
      </c>
      <c r="D332" s="95">
        <f ca="1"/>
        <v>-4.1991854576850507E-3</v>
      </c>
      <c r="E332" s="92"/>
      <c r="F332" s="97">
        <f ca="1">_xll.meDateFromTenor(F331,"1D","FOLLOWING","TGT")</f>
        <v>42970</v>
      </c>
      <c r="G332" s="95">
        <f ca="1"/>
        <v>-4.0879992636306487E-3</v>
      </c>
      <c r="H332" s="92" t="s">
        <v>4</v>
      </c>
      <c r="I332" s="97">
        <f ca="1">_xll.meDateFromTenor(I331,"1D","FOLLOWING","TGT")</f>
        <v>42970</v>
      </c>
      <c r="J332" s="95">
        <f ca="1"/>
        <v>-3.0731731083080177E-3</v>
      </c>
      <c r="K332" s="5" t="s">
        <v>4</v>
      </c>
      <c r="L332" s="97">
        <f ca="1">_xll.meDateFromTenor(L331,"1D","FOLLOWING","TGT")</f>
        <v>42970</v>
      </c>
      <c r="M332" s="95">
        <f ca="1"/>
        <v>-1.9226622693414657E-3</v>
      </c>
      <c r="N332" s="5" t="s">
        <v>4</v>
      </c>
      <c r="O332" s="97">
        <f ca="1">_xll.meDateFromTenor(O331,"1D","FOLLOWING","TGT")</f>
        <v>42970</v>
      </c>
      <c r="P332" s="95">
        <f ca="1"/>
        <v>-5.7339713381552115E-5</v>
      </c>
      <c r="Q332" s="5" t="s">
        <v>4</v>
      </c>
      <c r="R332" s="83" t="s">
        <v>4</v>
      </c>
    </row>
    <row r="333" spans="1:18" x14ac:dyDescent="0.25">
      <c r="A333" s="88">
        <v>319</v>
      </c>
      <c r="B333" s="82"/>
      <c r="C333" s="97">
        <f ca="1">_xll.meDateFromTenor(C332,"1D","FOLLOWING","TGT")</f>
        <v>42971</v>
      </c>
      <c r="D333" s="95">
        <f ca="1"/>
        <v>-4.1990042801247629E-3</v>
      </c>
      <c r="E333" s="92"/>
      <c r="F333" s="97">
        <f ca="1">_xll.meDateFromTenor(F332,"1D","FOLLOWING","TGT")</f>
        <v>42971</v>
      </c>
      <c r="G333" s="95">
        <f ca="1"/>
        <v>-4.088085166035431E-3</v>
      </c>
      <c r="H333" s="92" t="s">
        <v>4</v>
      </c>
      <c r="I333" s="97">
        <f ca="1">_xll.meDateFromTenor(I332,"1D","FOLLOWING","TGT")</f>
        <v>42971</v>
      </c>
      <c r="J333" s="95">
        <f ca="1"/>
        <v>-3.0732621709323236E-3</v>
      </c>
      <c r="K333" s="5" t="s">
        <v>4</v>
      </c>
      <c r="L333" s="97">
        <f ca="1">_xll.meDateFromTenor(L332,"1D","FOLLOWING","TGT")</f>
        <v>42971</v>
      </c>
      <c r="M333" s="95">
        <f ca="1"/>
        <v>-1.9207673938860493E-3</v>
      </c>
      <c r="N333" s="5" t="s">
        <v>4</v>
      </c>
      <c r="O333" s="97">
        <f ca="1">_xll.meDateFromTenor(O332,"1D","FOLLOWING","TGT")</f>
        <v>42971</v>
      </c>
      <c r="P333" s="95">
        <f ca="1"/>
        <v>-5.52424954299567E-5</v>
      </c>
      <c r="Q333" s="5" t="s">
        <v>4</v>
      </c>
      <c r="R333" s="83" t="s">
        <v>4</v>
      </c>
    </row>
    <row r="334" spans="1:18" x14ac:dyDescent="0.25">
      <c r="A334" s="88">
        <v>320</v>
      </c>
      <c r="B334" s="82"/>
      <c r="C334" s="97">
        <f ca="1">_xll.meDateFromTenor(C333,"1D","FOLLOWING","TGT")</f>
        <v>42972</v>
      </c>
      <c r="D334" s="95">
        <f ca="1"/>
        <v>-4.1988202933201935E-3</v>
      </c>
      <c r="E334" s="92"/>
      <c r="F334" s="97">
        <f ca="1">_xll.meDateFromTenor(F333,"1D","FOLLOWING","TGT")</f>
        <v>42972</v>
      </c>
      <c r="G334" s="95">
        <f ca="1"/>
        <v>-4.088159116218501E-3</v>
      </c>
      <c r="H334" s="92" t="s">
        <v>4</v>
      </c>
      <c r="I334" s="97">
        <f ca="1">_xll.meDateFromTenor(I333,"1D","FOLLOWING","TGT")</f>
        <v>42972</v>
      </c>
      <c r="J334" s="95">
        <f ca="1"/>
        <v>-3.0733512337862618E-3</v>
      </c>
      <c r="K334" s="5" t="s">
        <v>4</v>
      </c>
      <c r="L334" s="97">
        <f ca="1">_xll.meDateFromTenor(L333,"1D","FOLLOWING","TGT")</f>
        <v>42972</v>
      </c>
      <c r="M334" s="95">
        <f ca="1"/>
        <v>-1.9188725184306331E-3</v>
      </c>
      <c r="N334" s="5" t="s">
        <v>4</v>
      </c>
      <c r="O334" s="97">
        <f ca="1">_xll.meDateFromTenor(O333,"1D","FOLLOWING","TGT")</f>
        <v>42972</v>
      </c>
      <c r="P334" s="95">
        <f ca="1"/>
        <v>-5.3135267660098145E-5</v>
      </c>
      <c r="Q334" s="5" t="s">
        <v>4</v>
      </c>
      <c r="R334" s="83" t="s">
        <v>4</v>
      </c>
    </row>
    <row r="335" spans="1:18" x14ac:dyDescent="0.25">
      <c r="A335" s="88">
        <v>321</v>
      </c>
      <c r="B335" s="82"/>
      <c r="C335" s="97">
        <f ca="1">_xll.meDateFromTenor(C334,"1D","FOLLOWING","TGT")</f>
        <v>42975</v>
      </c>
      <c r="D335" s="95">
        <f ca="1"/>
        <v>-4.1982514781426783E-3</v>
      </c>
      <c r="E335" s="92"/>
      <c r="F335" s="97">
        <f ca="1">_xll.meDateFromTenor(F334,"1D","FOLLOWING","TGT")</f>
        <v>42975</v>
      </c>
      <c r="G335" s="95">
        <f ca="1"/>
        <v>-4.0883098174146265E-3</v>
      </c>
      <c r="H335" s="92" t="s">
        <v>4</v>
      </c>
      <c r="I335" s="97">
        <f ca="1">_xll.meDateFromTenor(I334,"1D","FOLLOWING","TGT")</f>
        <v>42975</v>
      </c>
      <c r="J335" s="95">
        <f ca="1"/>
        <v>-3.0736184210933431E-3</v>
      </c>
      <c r="K335" s="5" t="s">
        <v>4</v>
      </c>
      <c r="L335" s="97">
        <f ca="1">_xll.meDateFromTenor(L334,"1D","FOLLOWING","TGT")</f>
        <v>42975</v>
      </c>
      <c r="M335" s="95">
        <f ca="1"/>
        <v>-1.9131878920643842E-3</v>
      </c>
      <c r="N335" s="5" t="s">
        <v>4</v>
      </c>
      <c r="O335" s="97">
        <f ca="1">_xll.meDateFromTenor(O334,"1D","FOLLOWING","TGT")</f>
        <v>42975</v>
      </c>
      <c r="P335" s="95">
        <f ca="1"/>
        <v>-4.6753655730128756E-5</v>
      </c>
      <c r="Q335" s="5" t="s">
        <v>4</v>
      </c>
      <c r="R335" s="83" t="s">
        <v>4</v>
      </c>
    </row>
    <row r="336" spans="1:18" x14ac:dyDescent="0.25">
      <c r="A336" s="88">
        <v>322</v>
      </c>
      <c r="B336" s="82"/>
      <c r="C336" s="97">
        <f ca="1">_xll.meDateFromTenor(C335,"1D","FOLLOWING","TGT")</f>
        <v>42976</v>
      </c>
      <c r="D336" s="95">
        <f ca="1"/>
        <v>-4.1980562552612621E-3</v>
      </c>
      <c r="E336" s="92"/>
      <c r="F336" s="97">
        <f ca="1">_xll.meDateFromTenor(F335,"1D","FOLLOWING","TGT")</f>
        <v>42976</v>
      </c>
      <c r="G336" s="95">
        <f ca="1"/>
        <v>-4.0883365226880367E-3</v>
      </c>
      <c r="H336" s="92" t="s">
        <v>4</v>
      </c>
      <c r="I336" s="97">
        <f ca="1">_xll.meDateFromTenor(I335,"1D","FOLLOWING","TGT")</f>
        <v>42976</v>
      </c>
      <c r="J336" s="95">
        <f ca="1"/>
        <v>-3.0737074880026402E-3</v>
      </c>
      <c r="K336" s="5" t="s">
        <v>4</v>
      </c>
      <c r="L336" s="97">
        <f ca="1">_xll.meDateFromTenor(L335,"1D","FOLLOWING","TGT")</f>
        <v>42976</v>
      </c>
      <c r="M336" s="95">
        <f ca="1"/>
        <v>-1.9112930166089678E-3</v>
      </c>
      <c r="N336" s="5" t="s">
        <v>4</v>
      </c>
      <c r="O336" s="97">
        <f ca="1">_xll.meDateFromTenor(O335,"1D","FOLLOWING","TGT")</f>
        <v>42976</v>
      </c>
      <c r="P336" s="95">
        <f ca="1"/>
        <v>-4.4606518976402583E-5</v>
      </c>
      <c r="Q336" s="5" t="s">
        <v>4</v>
      </c>
      <c r="R336" s="83" t="s">
        <v>4</v>
      </c>
    </row>
    <row r="337" spans="1:18" x14ac:dyDescent="0.25">
      <c r="A337" s="88">
        <v>323</v>
      </c>
      <c r="B337" s="82"/>
      <c r="C337" s="97">
        <f ca="1">_xll.meDateFromTenor(C336,"1D","FOLLOWING","TGT")</f>
        <v>42977</v>
      </c>
      <c r="D337" s="95">
        <f ca="1"/>
        <v>-4.1978582237246487E-3</v>
      </c>
      <c r="E337" s="92"/>
      <c r="F337" s="97">
        <f ca="1">_xll.meDateFromTenor(F336,"1D","FOLLOWING","TGT")</f>
        <v>42977</v>
      </c>
      <c r="G337" s="95">
        <f ca="1"/>
        <v>-4.0883515577283293E-3</v>
      </c>
      <c r="H337" s="92" t="s">
        <v>4</v>
      </c>
      <c r="I337" s="97">
        <f ca="1">_xll.meDateFromTenor(I336,"1D","FOLLOWING","TGT")</f>
        <v>42977</v>
      </c>
      <c r="J337" s="95">
        <f ca="1"/>
        <v>-3.0737965461738528E-3</v>
      </c>
      <c r="K337" s="5" t="s">
        <v>4</v>
      </c>
      <c r="L337" s="97">
        <f ca="1">_xll.meDateFromTenor(L336,"1D","FOLLOWING","TGT")</f>
        <v>42977</v>
      </c>
      <c r="M337" s="95">
        <f ca="1"/>
        <v>-1.9093981411535516E-3</v>
      </c>
      <c r="N337" s="5" t="s">
        <v>4</v>
      </c>
      <c r="O337" s="97">
        <f ca="1">_xll.meDateFromTenor(O336,"1D","FOLLOWING","TGT")</f>
        <v>42977</v>
      </c>
      <c r="P337" s="95">
        <f ca="1"/>
        <v>-4.2449437549005979E-5</v>
      </c>
      <c r="Q337" s="5" t="s">
        <v>4</v>
      </c>
      <c r="R337" s="83" t="s">
        <v>4</v>
      </c>
    </row>
    <row r="338" spans="1:18" x14ac:dyDescent="0.25">
      <c r="A338" s="88">
        <v>324</v>
      </c>
      <c r="B338" s="82"/>
      <c r="C338" s="97">
        <f ca="1">_xll.meDateFromTenor(C337,"1D","FOLLOWING","TGT")</f>
        <v>42978</v>
      </c>
      <c r="D338" s="95">
        <f ca="1"/>
        <v>-4.1976573838496956E-3</v>
      </c>
      <c r="E338" s="92"/>
      <c r="F338" s="97">
        <f ca="1">_xll.meDateFromTenor(F337,"1D","FOLLOWING","TGT")</f>
        <v>42978</v>
      </c>
      <c r="G338" s="95">
        <f ca="1"/>
        <v>-4.0883549789332251E-3</v>
      </c>
      <c r="H338" s="92" t="s">
        <v>4</v>
      </c>
      <c r="I338" s="97">
        <f ca="1">_xll.meDateFromTenor(I337,"1D","FOLLOWING","TGT")</f>
        <v>42978</v>
      </c>
      <c r="J338" s="95">
        <f ca="1"/>
        <v>-3.0738855924086214E-3</v>
      </c>
      <c r="K338" s="5" t="s">
        <v>4</v>
      </c>
      <c r="L338" s="97">
        <f ca="1">_xll.meDateFromTenor(L337,"1D","FOLLOWING","TGT")</f>
        <v>42978</v>
      </c>
      <c r="M338" s="95">
        <f ca="1"/>
        <v>-1.9075032656981354E-3</v>
      </c>
      <c r="N338" s="5" t="s">
        <v>4</v>
      </c>
      <c r="O338" s="97">
        <f ca="1">_xll.meDateFromTenor(O337,"1D","FOLLOWING","TGT")</f>
        <v>42978</v>
      </c>
      <c r="P338" s="95">
        <f ca="1"/>
        <v>-4.0282424476857057E-5</v>
      </c>
      <c r="Q338" s="5" t="s">
        <v>4</v>
      </c>
      <c r="R338" s="83" t="s">
        <v>4</v>
      </c>
    </row>
    <row r="339" spans="1:18" x14ac:dyDescent="0.25">
      <c r="A339" s="88">
        <v>325</v>
      </c>
      <c r="B339" s="82"/>
      <c r="C339" s="97">
        <f ca="1">_xll.meDateFromTenor(C338,"1D","FOLLOWING","TGT")</f>
        <v>42979</v>
      </c>
      <c r="D339" s="95">
        <f ca="1"/>
        <v>-4.1974537354754204E-3</v>
      </c>
      <c r="E339" s="92"/>
      <c r="F339" s="97">
        <f ca="1">_xll.meDateFromTenor(F338,"1D","FOLLOWING","TGT")</f>
        <v>42979</v>
      </c>
      <c r="G339" s="95">
        <f ca="1"/>
        <v>-4.0883468427004421E-3</v>
      </c>
      <c r="H339" s="92" t="s">
        <v>4</v>
      </c>
      <c r="I339" s="97">
        <f ca="1">_xll.meDateFromTenor(I338,"1D","FOLLOWING","TGT")</f>
        <v>42979</v>
      </c>
      <c r="J339" s="95">
        <f ca="1"/>
        <v>-3.0739746712543621E-3</v>
      </c>
      <c r="K339" s="5" t="s">
        <v>4</v>
      </c>
      <c r="L339" s="97">
        <f ca="1">_xll.meDateFromTenor(L338,"1D","FOLLOWING","TGT")</f>
        <v>42979</v>
      </c>
      <c r="M339" s="95">
        <f ca="1"/>
        <v>-1.9056083902427193E-3</v>
      </c>
      <c r="N339" s="5" t="s">
        <v>4</v>
      </c>
      <c r="O339" s="97">
        <f ca="1">_xll.meDateFromTenor(O338,"1D","FOLLOWING","TGT")</f>
        <v>42979</v>
      </c>
      <c r="P339" s="95">
        <f ca="1"/>
        <v>-3.8105492788874636E-5</v>
      </c>
      <c r="Q339" s="5" t="s">
        <v>4</v>
      </c>
      <c r="R339" s="83" t="s">
        <v>4</v>
      </c>
    </row>
    <row r="340" spans="1:18" x14ac:dyDescent="0.25">
      <c r="A340" s="88">
        <v>326</v>
      </c>
      <c r="B340" s="82"/>
      <c r="C340" s="97">
        <f ca="1">_xll.meDateFromTenor(C339,"1D","FOLLOWING","TGT")</f>
        <v>42982</v>
      </c>
      <c r="D340" s="95">
        <f ca="1"/>
        <v>-4.1968281025102083E-3</v>
      </c>
      <c r="E340" s="92"/>
      <c r="F340" s="97">
        <f ca="1">_xll.meDateFromTenor(F339,"1D","FOLLOWING","TGT")</f>
        <v>42982</v>
      </c>
      <c r="G340" s="95">
        <f ca="1"/>
        <v>-4.0882536533532066E-3</v>
      </c>
      <c r="H340" s="92" t="s">
        <v>4</v>
      </c>
      <c r="I340" s="97">
        <f ca="1">_xll.meDateFromTenor(I339,"1D","FOLLOWING","TGT")</f>
        <v>42982</v>
      </c>
      <c r="J340" s="95">
        <f ca="1"/>
        <v>-3.0742416746623912E-3</v>
      </c>
      <c r="K340" s="5" t="s">
        <v>4</v>
      </c>
      <c r="L340" s="97">
        <f ca="1">_xll.meDateFromTenor(L339,"1D","FOLLOWING","TGT")</f>
        <v>42982</v>
      </c>
      <c r="M340" s="95">
        <f ca="1"/>
        <v>-1.8999237638764701E-3</v>
      </c>
      <c r="N340" s="5" t="s">
        <v>4</v>
      </c>
      <c r="O340" s="97">
        <f ca="1">_xll.meDateFromTenor(O339,"1D","FOLLOWING","TGT")</f>
        <v>42982</v>
      </c>
      <c r="P340" s="95">
        <f ca="1"/>
        <v>-3.1515316319110457E-5</v>
      </c>
      <c r="Q340" s="5" t="s">
        <v>4</v>
      </c>
      <c r="R340" s="83" t="s">
        <v>4</v>
      </c>
    </row>
    <row r="341" spans="1:18" x14ac:dyDescent="0.25">
      <c r="A341" s="88">
        <v>327</v>
      </c>
      <c r="B341" s="82"/>
      <c r="C341" s="97">
        <f ca="1">_xll.meDateFromTenor(C340,"1D","FOLLOWING","TGT")</f>
        <v>42983</v>
      </c>
      <c r="D341" s="95">
        <f ca="1"/>
        <v>-4.1966261902754987E-3</v>
      </c>
      <c r="E341" s="92"/>
      <c r="F341" s="97">
        <f ca="1">_xll.meDateFromTenor(F340,"1D","FOLLOWING","TGT")</f>
        <v>42983</v>
      </c>
      <c r="G341" s="95">
        <f ca="1"/>
        <v>-4.0881998269561397E-3</v>
      </c>
      <c r="H341" s="92" t="s">
        <v>4</v>
      </c>
      <c r="I341" s="97">
        <f ca="1">_xll.meDateFromTenor(I340,"1D","FOLLOWING","TGT")</f>
        <v>42983</v>
      </c>
      <c r="J341" s="95">
        <f ca="1"/>
        <v>-3.0743309214153816E-3</v>
      </c>
      <c r="K341" s="5" t="s">
        <v>4</v>
      </c>
      <c r="L341" s="97">
        <f ca="1">_xll.meDateFromTenor(L340,"1D","FOLLOWING","TGT")</f>
        <v>42983</v>
      </c>
      <c r="M341" s="95">
        <f ca="1"/>
        <v>-1.8980288884210537E-3</v>
      </c>
      <c r="N341" s="5" t="s">
        <v>4</v>
      </c>
      <c r="O341" s="97">
        <f ca="1">_xll.meDateFromTenor(O340,"1D","FOLLOWING","TGT")</f>
        <v>42983</v>
      </c>
      <c r="P341" s="95">
        <f ca="1"/>
        <v>-2.9298840456978443E-5</v>
      </c>
      <c r="Q341" s="5" t="s">
        <v>4</v>
      </c>
      <c r="R341" s="83" t="s">
        <v>4</v>
      </c>
    </row>
    <row r="342" spans="1:18" x14ac:dyDescent="0.25">
      <c r="A342" s="88">
        <v>328</v>
      </c>
      <c r="B342" s="82"/>
      <c r="C342" s="97">
        <f ca="1">_xll.meDateFromTenor(C341,"1D","FOLLOWING","TGT")</f>
        <v>42984</v>
      </c>
      <c r="D342" s="95">
        <f ca="1"/>
        <v>-4.1964344381413277E-3</v>
      </c>
      <c r="E342" s="92"/>
      <c r="F342" s="97">
        <f ca="1">_xll.meDateFromTenor(F341,"1D","FOLLOWING","TGT")</f>
        <v>42984</v>
      </c>
      <c r="G342" s="95">
        <f ca="1"/>
        <v>-4.088134578765442E-3</v>
      </c>
      <c r="H342" s="92" t="s">
        <v>4</v>
      </c>
      <c r="I342" s="97">
        <f ca="1">_xll.meDateFromTenor(I341,"1D","FOLLOWING","TGT")</f>
        <v>42984</v>
      </c>
      <c r="J342" s="95">
        <f ca="1"/>
        <v>-3.0744200594461381E-3</v>
      </c>
      <c r="K342" s="5" t="s">
        <v>4</v>
      </c>
      <c r="L342" s="97">
        <f ca="1">_xll.meDateFromTenor(L341,"1D","FOLLOWING","TGT")</f>
        <v>42984</v>
      </c>
      <c r="M342" s="95">
        <f ca="1"/>
        <v>-1.8961340129656375E-3</v>
      </c>
      <c r="N342" s="5" t="s">
        <v>4</v>
      </c>
      <c r="O342" s="97">
        <f ca="1">_xll.meDateFromTenor(O341,"1D","FOLLOWING","TGT")</f>
        <v>42984</v>
      </c>
      <c r="P342" s="95">
        <f ca="1"/>
        <v>-2.7072511123605518E-5</v>
      </c>
      <c r="Q342" s="5" t="s">
        <v>4</v>
      </c>
      <c r="R342" s="83" t="s">
        <v>4</v>
      </c>
    </row>
    <row r="343" spans="1:18" x14ac:dyDescent="0.25">
      <c r="A343" s="88">
        <v>329</v>
      </c>
      <c r="B343" s="82"/>
      <c r="C343" s="97">
        <f ca="1">_xll.meDateFromTenor(C342,"1D","FOLLOWING","TGT")</f>
        <v>42985</v>
      </c>
      <c r="D343" s="95">
        <f ca="1"/>
        <v>-4.1962528456362946E-3</v>
      </c>
      <c r="E343" s="92"/>
      <c r="F343" s="97">
        <f ca="1">_xll.meDateFromTenor(F342,"1D","FOLLOWING","TGT")</f>
        <v>42985</v>
      </c>
      <c r="G343" s="95">
        <f ca="1"/>
        <v>-4.0880578188342859E-3</v>
      </c>
      <c r="H343" s="92" t="s">
        <v>4</v>
      </c>
      <c r="I343" s="97">
        <f ca="1">_xll.meDateFromTenor(I342,"1D","FOLLOWING","TGT")</f>
        <v>42985</v>
      </c>
      <c r="J343" s="95">
        <f ca="1"/>
        <v>-3.0745090464958913E-3</v>
      </c>
      <c r="K343" s="5" t="s">
        <v>4</v>
      </c>
      <c r="L343" s="97">
        <f ca="1">_xll.meDateFromTenor(L342,"1D","FOLLOWING","TGT")</f>
        <v>42985</v>
      </c>
      <c r="M343" s="95">
        <f ca="1"/>
        <v>-1.8942391375102211E-3</v>
      </c>
      <c r="N343" s="5" t="s">
        <v>4</v>
      </c>
      <c r="O343" s="97">
        <f ca="1">_xll.meDateFromTenor(O342,"1D","FOLLOWING","TGT")</f>
        <v>42985</v>
      </c>
      <c r="P343" s="95">
        <f ca="1"/>
        <v>-2.4836341347909822E-5</v>
      </c>
      <c r="Q343" s="5" t="s">
        <v>4</v>
      </c>
      <c r="R343" s="83" t="s">
        <v>4</v>
      </c>
    </row>
    <row r="344" spans="1:18" x14ac:dyDescent="0.25">
      <c r="A344" s="88">
        <v>330</v>
      </c>
      <c r="B344" s="82"/>
      <c r="C344" s="97">
        <f ca="1">_xll.meDateFromTenor(C343,"1D","FOLLOWING","TGT")</f>
        <v>42986</v>
      </c>
      <c r="D344" s="95">
        <f ca="1"/>
        <v>-4.1960814123283008E-3</v>
      </c>
      <c r="E344" s="92"/>
      <c r="F344" s="97">
        <f ca="1">_xll.meDateFromTenor(F343,"1D","FOLLOWING","TGT")</f>
        <v>42986</v>
      </c>
      <c r="G344" s="95">
        <f ca="1"/>
        <v>-4.0879694572158445E-3</v>
      </c>
      <c r="H344" s="92" t="s">
        <v>4</v>
      </c>
      <c r="I344" s="97">
        <f ca="1">_xll.meDateFromTenor(I343,"1D","FOLLOWING","TGT")</f>
        <v>42986</v>
      </c>
      <c r="J344" s="95">
        <f ca="1"/>
        <v>-3.0745980341802719E-3</v>
      </c>
      <c r="K344" s="5" t="s">
        <v>4</v>
      </c>
      <c r="L344" s="97">
        <f ca="1">_xll.meDateFromTenor(L343,"1D","FOLLOWING","TGT")</f>
        <v>42986</v>
      </c>
      <c r="M344" s="95">
        <f ca="1"/>
        <v>-1.892344262054805E-3</v>
      </c>
      <c r="N344" s="5" t="s">
        <v>4</v>
      </c>
      <c r="O344" s="97">
        <f ca="1">_xll.meDateFromTenor(O343,"1D","FOLLOWING","TGT")</f>
        <v>42986</v>
      </c>
      <c r="P344" s="95">
        <f ca="1"/>
        <v>-2.25903441588102E-5</v>
      </c>
      <c r="Q344" s="5" t="s">
        <v>4</v>
      </c>
      <c r="R344" s="83" t="s">
        <v>4</v>
      </c>
    </row>
    <row r="345" spans="1:18" x14ac:dyDescent="0.25">
      <c r="A345" s="88">
        <v>331</v>
      </c>
      <c r="B345" s="82"/>
      <c r="C345" s="97">
        <f ca="1">_xll.meDateFromTenor(C344,"1D","FOLLOWING","TGT")</f>
        <v>42989</v>
      </c>
      <c r="D345" s="95">
        <f ca="1"/>
        <v>-4.1956280628204778E-3</v>
      </c>
      <c r="E345" s="92"/>
      <c r="F345" s="97">
        <f ca="1">_xll.meDateFromTenor(F344,"1D","FOLLOWING","TGT")</f>
        <v>42989</v>
      </c>
      <c r="G345" s="95">
        <f ca="1"/>
        <v>-4.0876338627685322E-3</v>
      </c>
      <c r="H345" s="92" t="s">
        <v>4</v>
      </c>
      <c r="I345" s="97">
        <f ca="1">_xll.meDateFromTenor(I344,"1D","FOLLOWING","TGT")</f>
        <v>42989</v>
      </c>
      <c r="J345" s="95">
        <f ca="1"/>
        <v>-3.0748652966569108E-3</v>
      </c>
      <c r="K345" s="5" t="s">
        <v>4</v>
      </c>
      <c r="L345" s="97">
        <f ca="1">_xll.meDateFromTenor(L344,"1D","FOLLOWING","TGT")</f>
        <v>42989</v>
      </c>
      <c r="M345" s="95">
        <f ca="1"/>
        <v>-1.8866596356885562E-3</v>
      </c>
      <c r="N345" s="5" t="s">
        <v>4</v>
      </c>
      <c r="O345" s="97">
        <f ca="1">_xll.meDateFromTenor(O344,"1D","FOLLOWING","TGT")</f>
        <v>42989</v>
      </c>
      <c r="P345" s="95">
        <f ca="1"/>
        <v>-1.5793518400271538E-5</v>
      </c>
      <c r="Q345" s="5" t="s">
        <v>4</v>
      </c>
      <c r="R345" s="83" t="s">
        <v>4</v>
      </c>
    </row>
    <row r="346" spans="1:18" x14ac:dyDescent="0.25">
      <c r="A346" s="88">
        <v>332</v>
      </c>
      <c r="B346" s="82"/>
      <c r="C346" s="97">
        <f ca="1">_xll.meDateFromTenor(C345,"1D","FOLLOWING","TGT")</f>
        <v>42990</v>
      </c>
      <c r="D346" s="95">
        <f ca="1"/>
        <v>-4.1954972615732E-3</v>
      </c>
      <c r="E346" s="92"/>
      <c r="F346" s="97">
        <f ca="1">_xll.meDateFromTenor(F345,"1D","FOLLOWING","TGT")</f>
        <v>42990</v>
      </c>
      <c r="G346" s="95">
        <f ca="1"/>
        <v>-4.0874981949326726E-3</v>
      </c>
      <c r="H346" s="92" t="s">
        <v>4</v>
      </c>
      <c r="I346" s="97">
        <f ca="1">_xll.meDateFromTenor(I345,"1D","FOLLOWING","TGT")</f>
        <v>42990</v>
      </c>
      <c r="J346" s="95">
        <f ca="1"/>
        <v>-3.0749535383210523E-3</v>
      </c>
      <c r="K346" s="5" t="s">
        <v>4</v>
      </c>
      <c r="L346" s="97">
        <f ca="1">_xll.meDateFromTenor(L345,"1D","FOLLOWING","TGT")</f>
        <v>42990</v>
      </c>
      <c r="M346" s="95">
        <f ca="1"/>
        <v>-1.8847647602331398E-3</v>
      </c>
      <c r="N346" s="5" t="s">
        <v>4</v>
      </c>
      <c r="O346" s="97">
        <f ca="1">_xll.meDateFromTenor(O345,"1D","FOLLOWING","TGT")</f>
        <v>42990</v>
      </c>
      <c r="P346" s="95">
        <f ca="1"/>
        <v>-1.350834184674047E-5</v>
      </c>
      <c r="Q346" s="5" t="s">
        <v>4</v>
      </c>
      <c r="R346" s="83" t="s">
        <v>4</v>
      </c>
    </row>
    <row r="347" spans="1:18" x14ac:dyDescent="0.25">
      <c r="A347" s="88">
        <v>333</v>
      </c>
      <c r="B347" s="82"/>
      <c r="C347" s="97">
        <f ca="1">_xll.meDateFromTenor(C346,"1D","FOLLOWING","TGT")</f>
        <v>42991</v>
      </c>
      <c r="D347" s="95">
        <f ca="1"/>
        <v>-4.1953766172374563E-3</v>
      </c>
      <c r="E347" s="92"/>
      <c r="F347" s="97">
        <f ca="1">_xll.meDateFromTenor(F346,"1D","FOLLOWING","TGT")</f>
        <v>42991</v>
      </c>
      <c r="G347" s="95">
        <f ca="1"/>
        <v>-4.0873504756753897E-3</v>
      </c>
      <c r="H347" s="92" t="s">
        <v>4</v>
      </c>
      <c r="I347" s="97">
        <f ca="1">_xll.meDateFromTenor(I346,"1D","FOLLOWING","TGT")</f>
        <v>42991</v>
      </c>
      <c r="J347" s="95">
        <f ca="1"/>
        <v>-3.0750434217374206E-3</v>
      </c>
      <c r="K347" s="5" t="s">
        <v>4</v>
      </c>
      <c r="L347" s="97">
        <f ca="1">_xll.meDateFromTenor(L346,"1D","FOLLOWING","TGT")</f>
        <v>42991</v>
      </c>
      <c r="M347" s="95">
        <f ca="1"/>
        <v>-1.8828698847777236E-3</v>
      </c>
      <c r="N347" s="5" t="s">
        <v>4</v>
      </c>
      <c r="O347" s="97">
        <f ca="1">_xll.meDateFromTenor(O346,"1D","FOLLOWING","TGT")</f>
        <v>42991</v>
      </c>
      <c r="P347" s="95">
        <f ca="1"/>
        <v>-1.121340302439805E-5</v>
      </c>
      <c r="Q347" s="5" t="s">
        <v>4</v>
      </c>
      <c r="R347" s="83" t="s">
        <v>4</v>
      </c>
    </row>
    <row r="348" spans="1:18" x14ac:dyDescent="0.25">
      <c r="A348" s="88">
        <v>334</v>
      </c>
      <c r="B348" s="82"/>
      <c r="C348" s="97">
        <f ca="1">_xll.meDateFromTenor(C347,"1D","FOLLOWING","TGT")</f>
        <v>42992</v>
      </c>
      <c r="D348" s="95">
        <f ca="1"/>
        <v>-4.1952661291004834E-3</v>
      </c>
      <c r="E348" s="92"/>
      <c r="F348" s="97">
        <f ca="1">_xll.meDateFromTenor(F347,"1D","FOLLOWING","TGT")</f>
        <v>42992</v>
      </c>
      <c r="G348" s="95">
        <f ca="1"/>
        <v>-4.0871906150498566E-3</v>
      </c>
      <c r="H348" s="92" t="s">
        <v>4</v>
      </c>
      <c r="I348" s="97">
        <f ca="1">_xll.meDateFromTenor(I347,"1D","FOLLOWING","TGT")</f>
        <v>42992</v>
      </c>
      <c r="J348" s="95">
        <f ca="1"/>
        <v>-3.0751355438491329E-3</v>
      </c>
      <c r="K348" s="5" t="s">
        <v>4</v>
      </c>
      <c r="L348" s="97">
        <f ca="1">_xll.meDateFromTenor(L347,"1D","FOLLOWING","TGT")</f>
        <v>42992</v>
      </c>
      <c r="M348" s="95">
        <f ca="1"/>
        <v>-1.880975009322307E-3</v>
      </c>
      <c r="N348" s="5" t="s">
        <v>4</v>
      </c>
      <c r="O348" s="97">
        <f ca="1">_xll.meDateFromTenor(O347,"1D","FOLLOWING","TGT")</f>
        <v>42992</v>
      </c>
      <c r="P348" s="95">
        <f ca="1"/>
        <v>-8.9087149621623531E-6</v>
      </c>
      <c r="Q348" s="5" t="s">
        <v>4</v>
      </c>
      <c r="R348" s="83" t="s">
        <v>4</v>
      </c>
    </row>
    <row r="349" spans="1:18" x14ac:dyDescent="0.25">
      <c r="A349" s="88">
        <v>335</v>
      </c>
      <c r="B349" s="82"/>
      <c r="C349" s="97">
        <f ca="1">_xll.meDateFromTenor(C348,"1D","FOLLOWING","TGT")</f>
        <v>42993</v>
      </c>
      <c r="D349" s="95">
        <f ca="1"/>
        <v>-4.19516579708612E-3</v>
      </c>
      <c r="E349" s="92"/>
      <c r="F349" s="97">
        <f ca="1">_xll.meDateFromTenor(F348,"1D","FOLLOWING","TGT")</f>
        <v>42993</v>
      </c>
      <c r="G349" s="95">
        <f ca="1"/>
        <v>-4.0870185231092438E-3</v>
      </c>
      <c r="H349" s="92" t="s">
        <v>4</v>
      </c>
      <c r="I349" s="97">
        <f ca="1">_xll.meDateFromTenor(I348,"1D","FOLLOWING","TGT")</f>
        <v>42993</v>
      </c>
      <c r="J349" s="95">
        <f ca="1"/>
        <v>-3.0752215468179303E-3</v>
      </c>
      <c r="K349" s="5" t="s">
        <v>4</v>
      </c>
      <c r="L349" s="97">
        <f ca="1">_xll.meDateFromTenor(L348,"1D","FOLLOWING","TGT")</f>
        <v>42993</v>
      </c>
      <c r="M349" s="95">
        <f ca="1"/>
        <v>-1.8790801338668909E-3</v>
      </c>
      <c r="N349" s="5" t="s">
        <v>4</v>
      </c>
      <c r="O349" s="97">
        <f ca="1">_xll.meDateFromTenor(O348,"1D","FOLLOWING","TGT")</f>
        <v>42993</v>
      </c>
      <c r="P349" s="95">
        <f ca="1"/>
        <v>-6.5942906889523316E-6</v>
      </c>
      <c r="Q349" s="5" t="s">
        <v>4</v>
      </c>
      <c r="R349" s="83" t="s">
        <v>4</v>
      </c>
    </row>
    <row r="350" spans="1:18" x14ac:dyDescent="0.25">
      <c r="A350" s="88">
        <v>336</v>
      </c>
      <c r="B350" s="82"/>
      <c r="C350" s="97">
        <f ca="1">_xll.meDateFromTenor(C349,"1D","FOLLOWING","TGT")</f>
        <v>42996</v>
      </c>
      <c r="D350" s="95">
        <f ca="1"/>
        <v>-4.194925731160648E-3</v>
      </c>
      <c r="E350" s="92"/>
      <c r="F350" s="97">
        <f ca="1">_xll.meDateFromTenor(F349,"1D","FOLLOWING","TGT")</f>
        <v>42996</v>
      </c>
      <c r="G350" s="95">
        <f ca="1"/>
        <v>-4.0864279599286558E-3</v>
      </c>
      <c r="H350" s="92" t="s">
        <v>4</v>
      </c>
      <c r="I350" s="97">
        <f ca="1">_xll.meDateFromTenor(I349,"1D","FOLLOWING","TGT")</f>
        <v>42996</v>
      </c>
      <c r="J350" s="95">
        <f ca="1"/>
        <v>-3.0755313445061032E-3</v>
      </c>
      <c r="K350" s="5" t="s">
        <v>4</v>
      </c>
      <c r="L350" s="97">
        <f ca="1">_xll.meDateFromTenor(L349,"1D","FOLLOWING","TGT")</f>
        <v>42996</v>
      </c>
      <c r="M350" s="95">
        <f ca="1"/>
        <v>-1.8733955075006421E-3</v>
      </c>
      <c r="N350" s="5" t="s">
        <v>4</v>
      </c>
      <c r="O350" s="97">
        <f ca="1">_xll.meDateFromTenor(O349,"1D","FOLLOWING","TGT")</f>
        <v>42996</v>
      </c>
      <c r="P350" s="95">
        <f ca="1"/>
        <v>4.0726910734048116E-7</v>
      </c>
      <c r="Q350" s="5" t="s">
        <v>4</v>
      </c>
      <c r="R350" s="83" t="s">
        <v>4</v>
      </c>
    </row>
    <row r="351" spans="1:18" x14ac:dyDescent="0.25">
      <c r="A351" s="88">
        <v>337</v>
      </c>
      <c r="B351" s="82"/>
      <c r="C351" s="97">
        <f ca="1">_xll.meDateFromTenor(C350,"1D","FOLLOWING","TGT")</f>
        <v>42997</v>
      </c>
      <c r="D351" s="95">
        <f ca="1"/>
        <v>-4.1948660179327302E-3</v>
      </c>
      <c r="E351" s="92"/>
      <c r="F351" s="97">
        <f ca="1">_xll.meDateFromTenor(F350,"1D","FOLLOWING","TGT")</f>
        <v>42997</v>
      </c>
      <c r="G351" s="95">
        <f ca="1"/>
        <v>-4.0862060432594518E-3</v>
      </c>
      <c r="H351" s="92" t="s">
        <v>4</v>
      </c>
      <c r="I351" s="97">
        <f ca="1">_xll.meDateFromTenor(I350,"1D","FOLLOWING","TGT")</f>
        <v>42997</v>
      </c>
      <c r="J351" s="95">
        <f ca="1"/>
        <v>-3.0755777969789498E-3</v>
      </c>
      <c r="K351" s="5" t="s">
        <v>4</v>
      </c>
      <c r="L351" s="97">
        <f ca="1">_xll.meDateFromTenor(L350,"1D","FOLLOWING","TGT")</f>
        <v>42997</v>
      </c>
      <c r="M351" s="95">
        <f ca="1"/>
        <v>-1.871500632045226E-3</v>
      </c>
      <c r="N351" s="5" t="s">
        <v>4</v>
      </c>
      <c r="O351" s="97">
        <f ca="1">_xll.meDateFromTenor(O350,"1D","FOLLOWING","TGT")</f>
        <v>42997</v>
      </c>
      <c r="P351" s="95">
        <f ca="1"/>
        <v>2.7605079352636811E-6</v>
      </c>
      <c r="Q351" s="5" t="s">
        <v>4</v>
      </c>
      <c r="R351" s="83" t="s">
        <v>4</v>
      </c>
    </row>
    <row r="352" spans="1:18" x14ac:dyDescent="0.25">
      <c r="A352" s="88">
        <v>338</v>
      </c>
      <c r="B352" s="82"/>
      <c r="C352" s="97">
        <f ca="1">_xll.meDateFromTenor(C351,"1D","FOLLOWING","TGT")</f>
        <v>42998</v>
      </c>
      <c r="D352" s="95">
        <f ca="1"/>
        <v>-4.1948164581331326E-3</v>
      </c>
      <c r="E352" s="92"/>
      <c r="F352" s="97">
        <f ca="1">_xll.meDateFromTenor(F351,"1D","FOLLOWING","TGT")</f>
        <v>42998</v>
      </c>
      <c r="G352" s="95">
        <f ca="1"/>
        <v>-4.085971445541031E-3</v>
      </c>
      <c r="H352" s="92" t="s">
        <v>4</v>
      </c>
      <c r="I352" s="97">
        <f ca="1">_xll.meDateFromTenor(I351,"1D","FOLLOWING","TGT")</f>
        <v>42998</v>
      </c>
      <c r="J352" s="95">
        <f ca="1"/>
        <v>-3.0756668595192044E-3</v>
      </c>
      <c r="K352" s="5" t="s">
        <v>4</v>
      </c>
      <c r="L352" s="97">
        <f ca="1">_xll.meDateFromTenor(L351,"1D","FOLLOWING","TGT")</f>
        <v>42998</v>
      </c>
      <c r="M352" s="95">
        <f ca="1"/>
        <v>-1.8696057565898093E-3</v>
      </c>
      <c r="N352" s="5" t="s">
        <v>4</v>
      </c>
      <c r="O352" s="97">
        <f ca="1">_xll.meDateFromTenor(O351,"1D","FOLLOWING","TGT")</f>
        <v>42998</v>
      </c>
      <c r="P352" s="95">
        <f ca="1"/>
        <v>5.1234178295690648E-6</v>
      </c>
      <c r="Q352" s="5" t="s">
        <v>4</v>
      </c>
      <c r="R352" s="83" t="s">
        <v>4</v>
      </c>
    </row>
    <row r="353" spans="1:18" x14ac:dyDescent="0.25">
      <c r="A353" s="88">
        <v>339</v>
      </c>
      <c r="B353" s="82"/>
      <c r="C353" s="97">
        <f ca="1">_xll.meDateFromTenor(C352,"1D","FOLLOWING","TGT")</f>
        <v>42999</v>
      </c>
      <c r="D353" s="95">
        <f ca="1"/>
        <v>-4.1947770515643468E-3</v>
      </c>
      <c r="E353" s="92"/>
      <c r="F353" s="97">
        <f ca="1">_xll.meDateFromTenor(F352,"1D","FOLLOWING","TGT")</f>
        <v>42999</v>
      </c>
      <c r="G353" s="95">
        <f ca="1"/>
        <v>-4.0857240768265666E-3</v>
      </c>
      <c r="H353" s="92" t="s">
        <v>4</v>
      </c>
      <c r="I353" s="97">
        <f ca="1">_xll.meDateFromTenor(I352,"1D","FOLLOWING","TGT")</f>
        <v>42999</v>
      </c>
      <c r="J353" s="95">
        <f ca="1"/>
        <v>-3.0767699872918945E-3</v>
      </c>
      <c r="K353" s="5" t="s">
        <v>4</v>
      </c>
      <c r="L353" s="97">
        <f ca="1">_xll.meDateFromTenor(L352,"1D","FOLLOWING","TGT")</f>
        <v>42999</v>
      </c>
      <c r="M353" s="95">
        <f ca="1"/>
        <v>-1.8677108811343932E-3</v>
      </c>
      <c r="N353" s="5" t="s">
        <v>4</v>
      </c>
      <c r="O353" s="97">
        <f ca="1">_xll.meDateFromTenor(O352,"1D","FOLLOWING","TGT")</f>
        <v>42999</v>
      </c>
      <c r="P353" s="95">
        <f ca="1"/>
        <v>7.4959857613377868E-6</v>
      </c>
      <c r="Q353" s="5" t="s">
        <v>4</v>
      </c>
      <c r="R353" s="83" t="s">
        <v>4</v>
      </c>
    </row>
    <row r="354" spans="1:18" x14ac:dyDescent="0.25">
      <c r="A354" s="88">
        <v>340</v>
      </c>
      <c r="B354" s="82"/>
      <c r="C354" s="97">
        <f ca="1">_xll.meDateFromTenor(C353,"1D","FOLLOWING","TGT")</f>
        <v>43000</v>
      </c>
      <c r="D354" s="95">
        <f ca="1"/>
        <v>-4.1947477973519609E-3</v>
      </c>
      <c r="E354" s="92"/>
      <c r="F354" s="97">
        <f ca="1">_xll.meDateFromTenor(F353,"1D","FOLLOWING","TGT")</f>
        <v>43000</v>
      </c>
      <c r="G354" s="95">
        <f ca="1"/>
        <v>-4.0854638471692298E-3</v>
      </c>
      <c r="H354" s="92" t="s">
        <v>4</v>
      </c>
      <c r="I354" s="97">
        <f ca="1">_xll.meDateFromTenor(I353,"1D","FOLLOWING","TGT")</f>
        <v>43000</v>
      </c>
      <c r="J354" s="95">
        <f ca="1"/>
        <v>-3.079101600526908E-3</v>
      </c>
      <c r="K354" s="5" t="s">
        <v>4</v>
      </c>
      <c r="L354" s="97">
        <f ca="1">_xll.meDateFromTenor(L353,"1D","FOLLOWING","TGT")</f>
        <v>43000</v>
      </c>
      <c r="M354" s="95">
        <f ca="1"/>
        <v>-1.8658160056789768E-3</v>
      </c>
      <c r="N354" s="5" t="s">
        <v>4</v>
      </c>
      <c r="O354" s="97">
        <f ca="1">_xll.meDateFromTenor(O353,"1D","FOLLOWING","TGT")</f>
        <v>43000</v>
      </c>
      <c r="P354" s="95">
        <f ca="1"/>
        <v>9.8781987016517334E-6</v>
      </c>
      <c r="Q354" s="5" t="s">
        <v>4</v>
      </c>
      <c r="R354" s="83" t="s">
        <v>4</v>
      </c>
    </row>
    <row r="355" spans="1:18" x14ac:dyDescent="0.25">
      <c r="A355" s="88">
        <v>341</v>
      </c>
      <c r="B355" s="82"/>
      <c r="C355" s="97">
        <f ca="1">_xll.meDateFromTenor(C354,"1D","FOLLOWING","TGT")</f>
        <v>43003</v>
      </c>
      <c r="D355" s="95">
        <f ca="1"/>
        <v>-4.1947209458755852E-3</v>
      </c>
      <c r="E355" s="92"/>
      <c r="F355" s="97">
        <f ca="1">_xll.meDateFromTenor(F354,"1D","FOLLOWING","TGT")</f>
        <v>43003</v>
      </c>
      <c r="G355" s="95">
        <f ca="1"/>
        <v>-4.0846050930717125E-3</v>
      </c>
      <c r="H355" s="92" t="s">
        <v>4</v>
      </c>
      <c r="I355" s="97">
        <f ca="1">_xll.meDateFromTenor(I354,"1D","FOLLOWING","TGT")</f>
        <v>43003</v>
      </c>
      <c r="J355" s="95">
        <f ca="1"/>
        <v>-3.0930303788358599E-3</v>
      </c>
      <c r="K355" s="5" t="s">
        <v>4</v>
      </c>
      <c r="L355" s="97">
        <f ca="1">_xll.meDateFromTenor(L354,"1D","FOLLOWING","TGT")</f>
        <v>43003</v>
      </c>
      <c r="M355" s="95">
        <f ca="1"/>
        <v>-1.8601313793127278E-3</v>
      </c>
      <c r="N355" s="5" t="s">
        <v>4</v>
      </c>
      <c r="O355" s="97">
        <f ca="1">_xll.meDateFromTenor(O354,"1D","FOLLOWING","TGT")</f>
        <v>43003</v>
      </c>
      <c r="P355" s="95">
        <f ca="1"/>
        <v>1.7082577284678444E-5</v>
      </c>
      <c r="Q355" s="5" t="s">
        <v>4</v>
      </c>
      <c r="R355" s="83" t="s">
        <v>4</v>
      </c>
    </row>
    <row r="356" spans="1:18" x14ac:dyDescent="0.25">
      <c r="A356" s="88">
        <v>342</v>
      </c>
      <c r="B356" s="82"/>
      <c r="C356" s="97">
        <f ca="1">_xll.meDateFromTenor(C355,"1D","FOLLOWING","TGT")</f>
        <v>43004</v>
      </c>
      <c r="D356" s="95">
        <f ca="1"/>
        <v>-4.1947322975122159E-3</v>
      </c>
      <c r="E356" s="92"/>
      <c r="F356" s="97">
        <f ca="1">_xll.meDateFromTenor(F355,"1D","FOLLOWING","TGT")</f>
        <v>43004</v>
      </c>
      <c r="G356" s="95">
        <f ca="1"/>
        <v>-4.0842925201746124E-3</v>
      </c>
      <c r="H356" s="92" t="s">
        <v>4</v>
      </c>
      <c r="I356" s="97">
        <f ca="1">_xll.meDateFromTenor(I355,"1D","FOLLOWING","TGT")</f>
        <v>43004</v>
      </c>
      <c r="J356" s="95">
        <f ca="1"/>
        <v>-3.0998389597501372E-3</v>
      </c>
      <c r="K356" s="5" t="s">
        <v>4</v>
      </c>
      <c r="L356" s="97">
        <f ca="1">_xll.meDateFromTenor(L355,"1D","FOLLOWING","TGT")</f>
        <v>43004</v>
      </c>
      <c r="M356" s="95">
        <f ca="1"/>
        <v>-1.8582365038573116E-3</v>
      </c>
      <c r="N356" s="5" t="s">
        <v>4</v>
      </c>
      <c r="O356" s="97">
        <f ca="1">_xll.meDateFromTenor(O355,"1D","FOLLOWING","TGT")</f>
        <v>43004</v>
      </c>
      <c r="P356" s="95">
        <f ca="1"/>
        <v>1.950323996998722E-5</v>
      </c>
      <c r="Q356" s="5" t="s">
        <v>4</v>
      </c>
      <c r="R356" s="83" t="s">
        <v>4</v>
      </c>
    </row>
    <row r="357" spans="1:18" x14ac:dyDescent="0.25">
      <c r="A357" s="88">
        <v>343</v>
      </c>
      <c r="B357" s="82"/>
      <c r="C357" s="97">
        <f ca="1">_xll.meDateFromTenor(C356,"1D","FOLLOWING","TGT")</f>
        <v>43005</v>
      </c>
      <c r="D357" s="95">
        <f ca="1"/>
        <v>-4.1947537992386152E-3</v>
      </c>
      <c r="E357" s="92"/>
      <c r="F357" s="97">
        <f ca="1">_xll.meDateFromTenor(F356,"1D","FOLLOWING","TGT")</f>
        <v>43005</v>
      </c>
      <c r="G357" s="95">
        <f ca="1"/>
        <v>-4.0839666366005029E-3</v>
      </c>
      <c r="H357" s="92" t="s">
        <v>4</v>
      </c>
      <c r="I357" s="97">
        <f ca="1">_xll.meDateFromTenor(I356,"1D","FOLLOWING","TGT")</f>
        <v>43005</v>
      </c>
      <c r="J357" s="95">
        <f ca="1"/>
        <v>-3.1076575390417242E-3</v>
      </c>
      <c r="K357" s="5" t="s">
        <v>4</v>
      </c>
      <c r="L357" s="97">
        <f ca="1">_xll.meDateFromTenor(L356,"1D","FOLLOWING","TGT")</f>
        <v>43005</v>
      </c>
      <c r="M357" s="95">
        <f ca="1"/>
        <v>-1.8563416284018953E-3</v>
      </c>
      <c r="N357" s="5" t="s">
        <v>4</v>
      </c>
      <c r="O357" s="97">
        <f ca="1">_xll.meDateFromTenor(O356,"1D","FOLLOWING","TGT")</f>
        <v>43005</v>
      </c>
      <c r="P357" s="95">
        <f ca="1"/>
        <v>2.1933482519248646E-5</v>
      </c>
      <c r="Q357" s="5" t="s">
        <v>4</v>
      </c>
      <c r="R357" s="83" t="s">
        <v>4</v>
      </c>
    </row>
    <row r="358" spans="1:18" x14ac:dyDescent="0.25">
      <c r="A358" s="88">
        <v>344</v>
      </c>
      <c r="B358" s="82"/>
      <c r="C358" s="97">
        <f ca="1">_xll.meDateFromTenor(C357,"1D","FOLLOWING","TGT")</f>
        <v>43006</v>
      </c>
      <c r="D358" s="95">
        <f ca="1"/>
        <v>-4.194785450774674E-3</v>
      </c>
      <c r="E358" s="92"/>
      <c r="F358" s="97">
        <f ca="1">_xll.meDateFromTenor(F357,"1D","FOLLOWING","TGT")</f>
        <v>43006</v>
      </c>
      <c r="G358" s="95">
        <f ca="1"/>
        <v>-4.0836273524025553E-3</v>
      </c>
      <c r="H358" s="92" t="s">
        <v>4</v>
      </c>
      <c r="I358" s="97">
        <f ca="1">_xll.meDateFromTenor(I357,"1D","FOLLOWING","TGT")</f>
        <v>43006</v>
      </c>
      <c r="J358" s="95">
        <f ca="1"/>
        <v>-3.1164424192936151E-3</v>
      </c>
      <c r="K358" s="5" t="s">
        <v>4</v>
      </c>
      <c r="L358" s="97">
        <f ca="1">_xll.meDateFromTenor(L357,"1D","FOLLOWING","TGT")</f>
        <v>43006</v>
      </c>
      <c r="M358" s="95">
        <f ca="1"/>
        <v>-1.8544467529464791E-3</v>
      </c>
      <c r="N358" s="5" t="s">
        <v>4</v>
      </c>
      <c r="O358" s="97">
        <f ca="1">_xll.meDateFromTenor(O357,"1D","FOLLOWING","TGT")</f>
        <v>43006</v>
      </c>
      <c r="P358" s="95">
        <f ca="1"/>
        <v>2.4373291903543822E-5</v>
      </c>
      <c r="Q358" s="5" t="s">
        <v>4</v>
      </c>
      <c r="R358" s="83" t="s">
        <v>4</v>
      </c>
    </row>
    <row r="359" spans="1:18" x14ac:dyDescent="0.25">
      <c r="A359" s="88">
        <v>345</v>
      </c>
      <c r="B359" s="82"/>
      <c r="C359" s="97">
        <f ca="1">_xll.meDateFromTenor(C358,"1D","FOLLOWING","TGT")</f>
        <v>43007</v>
      </c>
      <c r="D359" s="95">
        <f ca="1"/>
        <v>-4.1948272514429341E-3</v>
      </c>
      <c r="E359" s="92"/>
      <c r="F359" s="97">
        <f ca="1">_xll.meDateFromTenor(F358,"1D","FOLLOWING","TGT")</f>
        <v>43007</v>
      </c>
      <c r="G359" s="95">
        <f ca="1"/>
        <v>-4.083274577633942E-3</v>
      </c>
      <c r="H359" s="92" t="s">
        <v>4</v>
      </c>
      <c r="I359" s="97">
        <f ca="1">_xll.meDateFromTenor(I358,"1D","FOLLOWING","TGT")</f>
        <v>43007</v>
      </c>
      <c r="J359" s="95">
        <f ca="1"/>
        <v>-3.1261499030888098E-3</v>
      </c>
      <c r="K359" s="5" t="s">
        <v>4</v>
      </c>
      <c r="L359" s="97">
        <f ca="1">_xll.meDateFromTenor(L358,"1D","FOLLOWING","TGT")</f>
        <v>43007</v>
      </c>
      <c r="M359" s="95">
        <f ca="1"/>
        <v>-1.8525518774910629E-3</v>
      </c>
      <c r="N359" s="5" t="s">
        <v>4</v>
      </c>
      <c r="O359" s="97">
        <f ca="1">_xll.meDateFromTenor(O358,"1D","FOLLOWING","TGT")</f>
        <v>43007</v>
      </c>
      <c r="P359" s="95">
        <f ca="1"/>
        <v>2.6822655093954745E-5</v>
      </c>
      <c r="Q359" s="5" t="s">
        <v>4</v>
      </c>
      <c r="R359" s="83" t="s">
        <v>4</v>
      </c>
    </row>
    <row r="360" spans="1:18" x14ac:dyDescent="0.25">
      <c r="A360" s="88">
        <v>346</v>
      </c>
      <c r="B360" s="82"/>
      <c r="C360" s="97">
        <f ca="1">_xll.meDateFromTenor(C359,"1D","FOLLOWING","TGT")</f>
        <v>43010</v>
      </c>
      <c r="D360" s="95">
        <f ca="1"/>
        <v>-4.195013544684878E-3</v>
      </c>
      <c r="E360" s="92"/>
      <c r="F360" s="97">
        <f ca="1">_xll.meDateFromTenor(F359,"1D","FOLLOWING","TGT")</f>
        <v>43010</v>
      </c>
      <c r="G360" s="95">
        <f ca="1"/>
        <v>-4.0821344104358375E-3</v>
      </c>
      <c r="H360" s="92" t="s">
        <v>4</v>
      </c>
      <c r="I360" s="97">
        <f ca="1">_xll.meDateFromTenor(I359,"1D","FOLLOWING","TGT")</f>
        <v>43010</v>
      </c>
      <c r="J360" s="95">
        <f ca="1"/>
        <v>-3.1603710015641801E-3</v>
      </c>
      <c r="K360" s="5" t="s">
        <v>4</v>
      </c>
      <c r="L360" s="97">
        <f ca="1">_xll.meDateFromTenor(L359,"1D","FOLLOWING","TGT")</f>
        <v>43010</v>
      </c>
      <c r="M360" s="95">
        <f ca="1"/>
        <v>-1.8468672511248137E-3</v>
      </c>
      <c r="N360" s="5" t="s">
        <v>4</v>
      </c>
      <c r="O360" s="97">
        <f ca="1">_xll.meDateFromTenor(O359,"1D","FOLLOWING","TGT")</f>
        <v>43010</v>
      </c>
      <c r="P360" s="95">
        <f ca="1"/>
        <v>3.4227937212695048E-5</v>
      </c>
      <c r="Q360" s="5" t="s">
        <v>4</v>
      </c>
      <c r="R360" s="83" t="s">
        <v>4</v>
      </c>
    </row>
    <row r="361" spans="1:18" x14ac:dyDescent="0.25">
      <c r="A361" s="88">
        <v>347</v>
      </c>
      <c r="B361" s="82"/>
      <c r="C361" s="97">
        <f ca="1">_xll.meDateFromTenor(C360,"1D","FOLLOWING","TGT")</f>
        <v>43011</v>
      </c>
      <c r="D361" s="95">
        <f ca="1"/>
        <v>-4.1950959378067587E-3</v>
      </c>
      <c r="E361" s="92"/>
      <c r="F361" s="97">
        <f ca="1">_xll.meDateFromTenor(F360,"1D","FOLLOWING","TGT")</f>
        <v>43011</v>
      </c>
      <c r="G361" s="95">
        <f ca="1"/>
        <v>-4.0817268324669816E-3</v>
      </c>
      <c r="H361" s="92" t="s">
        <v>4</v>
      </c>
      <c r="I361" s="97">
        <f ca="1">_xll.meDateFromTenor(I360,"1D","FOLLOWING","TGT")</f>
        <v>43011</v>
      </c>
      <c r="J361" s="95">
        <f ca="1"/>
        <v>-3.173331925362555E-3</v>
      </c>
      <c r="K361" s="5" t="s">
        <v>4</v>
      </c>
      <c r="L361" s="97">
        <f ca="1">_xll.meDateFromTenor(L360,"1D","FOLLOWING","TGT")</f>
        <v>43011</v>
      </c>
      <c r="M361" s="95">
        <f ca="1"/>
        <v>-1.8449723756693976E-3</v>
      </c>
      <c r="N361" s="5" t="s">
        <v>4</v>
      </c>
      <c r="O361" s="97">
        <f ca="1">_xll.meDateFromTenor(O360,"1D","FOLLOWING","TGT")</f>
        <v>43011</v>
      </c>
      <c r="P361" s="95">
        <f ca="1"/>
        <v>3.6715385338382584E-5</v>
      </c>
      <c r="Q361" s="5" t="s">
        <v>4</v>
      </c>
      <c r="R361" s="83" t="s">
        <v>4</v>
      </c>
    </row>
    <row r="362" spans="1:18" x14ac:dyDescent="0.25">
      <c r="A362" s="88">
        <v>348</v>
      </c>
      <c r="B362" s="82"/>
      <c r="C362" s="97">
        <f ca="1">_xll.meDateFromTenor(C361,"1D","FOLLOWING","TGT")</f>
        <v>43012</v>
      </c>
      <c r="D362" s="95">
        <f ca="1"/>
        <v>-4.1951884777827742E-3</v>
      </c>
      <c r="E362" s="92"/>
      <c r="F362" s="97">
        <f ca="1">_xll.meDateFromTenor(F361,"1D","FOLLOWING","TGT")</f>
        <v>43012</v>
      </c>
      <c r="G362" s="95">
        <f ca="1"/>
        <v>-4.0813056654974778E-3</v>
      </c>
      <c r="H362" s="92" t="s">
        <v>4</v>
      </c>
      <c r="I362" s="97">
        <f ca="1">_xll.meDateFromTenor(I361,"1D","FOLLOWING","TGT")</f>
        <v>43012</v>
      </c>
      <c r="J362" s="95">
        <f ca="1"/>
        <v>-3.1869969656192179E-3</v>
      </c>
      <c r="K362" s="5" t="s">
        <v>4</v>
      </c>
      <c r="L362" s="97">
        <f ca="1">_xll.meDateFromTenor(L361,"1D","FOLLOWING","TGT")</f>
        <v>43012</v>
      </c>
      <c r="M362" s="95">
        <f ca="1"/>
        <v>-1.8430775002139814E-3</v>
      </c>
      <c r="N362" s="5" t="s">
        <v>4</v>
      </c>
      <c r="O362" s="97">
        <f ca="1">_xll.meDateFromTenor(O361,"1D","FOLLOWING","TGT")</f>
        <v>43012</v>
      </c>
      <c r="P362" s="95">
        <f ca="1"/>
        <v>3.9212322125593266E-5</v>
      </c>
      <c r="Q362" s="5" t="s">
        <v>4</v>
      </c>
      <c r="R362" s="83" t="s">
        <v>4</v>
      </c>
    </row>
    <row r="363" spans="1:18" x14ac:dyDescent="0.25">
      <c r="A363" s="88">
        <v>349</v>
      </c>
      <c r="B363" s="82"/>
      <c r="C363" s="97">
        <f ca="1">_xll.meDateFromTenor(C362,"1D","FOLLOWING","TGT")</f>
        <v>43013</v>
      </c>
      <c r="D363" s="95">
        <f ca="1"/>
        <v>-4.1952911642519908E-3</v>
      </c>
      <c r="E363" s="92"/>
      <c r="F363" s="97">
        <f ca="1">_xll.meDateFromTenor(F362,"1D","FOLLOWING","TGT")</f>
        <v>43013</v>
      </c>
      <c r="G363" s="95">
        <f ca="1"/>
        <v>-4.0808711708846535E-3</v>
      </c>
      <c r="H363" s="92" t="s">
        <v>4</v>
      </c>
      <c r="I363" s="97">
        <f ca="1">_xll.meDateFromTenor(I362,"1D","FOLLOWING","TGT")</f>
        <v>43013</v>
      </c>
      <c r="J363" s="95">
        <f ca="1"/>
        <v>-3.2013224249171665E-3</v>
      </c>
      <c r="K363" s="5" t="s">
        <v>4</v>
      </c>
      <c r="L363" s="97">
        <f ca="1">_xll.meDateFromTenor(L362,"1D","FOLLOWING","TGT")</f>
        <v>43013</v>
      </c>
      <c r="M363" s="95">
        <f ca="1"/>
        <v>-1.8411826247585652E-3</v>
      </c>
      <c r="N363" s="5" t="s">
        <v>4</v>
      </c>
      <c r="O363" s="97">
        <f ca="1">_xll.meDateFromTenor(O362,"1D","FOLLOWING","TGT")</f>
        <v>43013</v>
      </c>
      <c r="P363" s="95">
        <f ca="1"/>
        <v>4.1718734545408219E-5</v>
      </c>
      <c r="Q363" s="5" t="s">
        <v>4</v>
      </c>
      <c r="R363" s="83" t="s">
        <v>4</v>
      </c>
    </row>
    <row r="364" spans="1:18" x14ac:dyDescent="0.25">
      <c r="A364" s="88">
        <v>350</v>
      </c>
      <c r="B364" s="82"/>
      <c r="C364" s="97">
        <f ca="1">_xll.meDateFromTenor(C363,"1D","FOLLOWING","TGT")</f>
        <v>43014</v>
      </c>
      <c r="D364" s="95">
        <f ca="1"/>
        <v>-4.195403996534508E-3</v>
      </c>
      <c r="E364" s="92"/>
      <c r="F364" s="97">
        <f ca="1">_xll.meDateFromTenor(F363,"1D","FOLLOWING","TGT")</f>
        <v>43014</v>
      </c>
      <c r="G364" s="95">
        <f ca="1"/>
        <v>-4.0804236099858376E-3</v>
      </c>
      <c r="H364" s="92" t="s">
        <v>4</v>
      </c>
      <c r="I364" s="97">
        <f ca="1">_xll.meDateFromTenor(I363,"1D","FOLLOWING","TGT")</f>
        <v>43014</v>
      </c>
      <c r="J364" s="95">
        <f ca="1"/>
        <v>-3.2162646058393964E-3</v>
      </c>
      <c r="K364" s="5" t="s">
        <v>4</v>
      </c>
      <c r="L364" s="97">
        <f ca="1">_xll.meDateFromTenor(L363,"1D","FOLLOWING","TGT")</f>
        <v>43014</v>
      </c>
      <c r="M364" s="95">
        <f ca="1"/>
        <v>-1.8392877493031488E-3</v>
      </c>
      <c r="N364" s="5" t="s">
        <v>4</v>
      </c>
      <c r="O364" s="97">
        <f ca="1">_xll.meDateFromTenor(O363,"1D","FOLLOWING","TGT")</f>
        <v>43014</v>
      </c>
      <c r="P364" s="95">
        <f ca="1"/>
        <v>4.423460956890933E-5</v>
      </c>
      <c r="Q364" s="5" t="s">
        <v>4</v>
      </c>
      <c r="R364" s="83" t="s">
        <v>4</v>
      </c>
    </row>
    <row r="365" spans="1:18" x14ac:dyDescent="0.25">
      <c r="A365" s="88">
        <v>351</v>
      </c>
      <c r="B365" s="82"/>
      <c r="C365" s="97">
        <f ca="1">_xll.meDateFromTenor(C364,"1D","FOLLOWING","TGT")</f>
        <v>43017</v>
      </c>
      <c r="D365" s="95">
        <f ca="1"/>
        <v>-4.1958033644854398E-3</v>
      </c>
      <c r="E365" s="92"/>
      <c r="F365" s="97">
        <f ca="1">_xll.meDateFromTenor(F364,"1D","FOLLOWING","TGT")</f>
        <v>43017</v>
      </c>
      <c r="G365" s="95">
        <f ca="1"/>
        <v>-4.0790051431467125E-3</v>
      </c>
      <c r="H365" s="92" t="s">
        <v>4</v>
      </c>
      <c r="I365" s="97">
        <f ca="1">_xll.meDateFromTenor(I364,"1D","FOLLOWING","TGT")</f>
        <v>43017</v>
      </c>
      <c r="J365" s="95">
        <f ca="1"/>
        <v>-3.264354504181746E-3</v>
      </c>
      <c r="K365" s="5" t="s">
        <v>4</v>
      </c>
      <c r="L365" s="97">
        <f ca="1">_xll.meDateFromTenor(L364,"1D","FOLLOWING","TGT")</f>
        <v>43017</v>
      </c>
      <c r="M365" s="95">
        <f ca="1"/>
        <v>-1.8336031229368999E-3</v>
      </c>
      <c r="N365" s="5" t="s">
        <v>4</v>
      </c>
      <c r="O365" s="97">
        <f ca="1">_xll.meDateFromTenor(O364,"1D","FOLLOWING","TGT")</f>
        <v>43017</v>
      </c>
      <c r="P365" s="95">
        <f ca="1"/>
        <v>5.1838879972342702E-5</v>
      </c>
      <c r="Q365" s="5" t="s">
        <v>4</v>
      </c>
      <c r="R365" s="83" t="s">
        <v>4</v>
      </c>
    </row>
    <row r="366" spans="1:18" x14ac:dyDescent="0.25">
      <c r="A366" s="88">
        <v>352</v>
      </c>
      <c r="B366" s="82"/>
      <c r="C366" s="97">
        <f ca="1">_xll.meDateFromTenor(C365,"1D","FOLLOWING","TGT")</f>
        <v>43018</v>
      </c>
      <c r="D366" s="95">
        <f ca="1"/>
        <v>-4.1959567757652305E-3</v>
      </c>
      <c r="E366" s="92"/>
      <c r="F366" s="97">
        <f ca="1">_xll.meDateFromTenor(F365,"1D","FOLLOWING","TGT")</f>
        <v>43018</v>
      </c>
      <c r="G366" s="95">
        <f ca="1"/>
        <v>-4.0785079306772049E-3</v>
      </c>
      <c r="H366" s="92" t="s">
        <v>4</v>
      </c>
      <c r="I366" s="97">
        <f ca="1">_xll.meDateFromTenor(I365,"1D","FOLLOWING","TGT")</f>
        <v>43018</v>
      </c>
      <c r="J366" s="95">
        <f ca="1"/>
        <v>-3.281326597431074E-3</v>
      </c>
      <c r="K366" s="5" t="s">
        <v>4</v>
      </c>
      <c r="L366" s="97">
        <f ca="1">_xll.meDateFromTenor(L365,"1D","FOLLOWING","TGT")</f>
        <v>43018</v>
      </c>
      <c r="M366" s="95">
        <f ca="1"/>
        <v>-1.8317082474814837E-3</v>
      </c>
      <c r="N366" s="5" t="s">
        <v>4</v>
      </c>
      <c r="O366" s="97">
        <f ca="1">_xll.meDateFromTenor(O365,"1D","FOLLOWING","TGT")</f>
        <v>43018</v>
      </c>
      <c r="P366" s="95">
        <f ca="1"/>
        <v>5.4392475121402511E-5</v>
      </c>
      <c r="Q366" s="5" t="s">
        <v>4</v>
      </c>
      <c r="R366" s="83" t="s">
        <v>4</v>
      </c>
    </row>
    <row r="367" spans="1:18" x14ac:dyDescent="0.25">
      <c r="A367" s="88">
        <v>353</v>
      </c>
      <c r="B367" s="82"/>
      <c r="C367" s="97">
        <f ca="1">_xll.meDateFromTenor(C366,"1D","FOLLOWING","TGT")</f>
        <v>43019</v>
      </c>
      <c r="D367" s="95">
        <f ca="1"/>
        <v>-4.1961203305695971E-3</v>
      </c>
      <c r="E367" s="92"/>
      <c r="F367" s="97">
        <f ca="1">_xll.meDateFromTenor(F366,"1D","FOLLOWING","TGT")</f>
        <v>43019</v>
      </c>
      <c r="G367" s="95">
        <f ca="1"/>
        <v>-4.0779989587083438E-3</v>
      </c>
      <c r="H367" s="92" t="s">
        <v>4</v>
      </c>
      <c r="I367" s="97">
        <f ca="1">_xll.meDateFromTenor(I366,"1D","FOLLOWING","TGT")</f>
        <v>43019</v>
      </c>
      <c r="J367" s="95">
        <f ca="1"/>
        <v>-3.2986969252196681E-3</v>
      </c>
      <c r="K367" s="5" t="s">
        <v>4</v>
      </c>
      <c r="L367" s="97">
        <f ca="1">_xll.meDateFromTenor(L366,"1D","FOLLOWING","TGT")</f>
        <v>43019</v>
      </c>
      <c r="M367" s="95">
        <f ca="1"/>
        <v>-1.8298133720260673E-3</v>
      </c>
      <c r="N367" s="5" t="s">
        <v>4</v>
      </c>
      <c r="O367" s="97">
        <f ca="1">_xll.meDateFromTenor(O366,"1D","FOLLOWING","TGT")</f>
        <v>43019</v>
      </c>
      <c r="P367" s="95">
        <f ca="1"/>
        <v>5.6955467729555498E-5</v>
      </c>
      <c r="Q367" s="5" t="s">
        <v>4</v>
      </c>
      <c r="R367" s="83" t="s">
        <v>4</v>
      </c>
    </row>
    <row r="368" spans="1:18" x14ac:dyDescent="0.25">
      <c r="A368" s="88">
        <v>354</v>
      </c>
      <c r="B368" s="82"/>
      <c r="C368" s="97">
        <f ca="1">_xll.meDateFromTenor(C367,"1D","FOLLOWING","TGT")</f>
        <v>43020</v>
      </c>
      <c r="D368" s="95">
        <f ca="1"/>
        <v>-4.1962940286545125E-3</v>
      </c>
      <c r="E368" s="92"/>
      <c r="F368" s="97">
        <f ca="1">_xll.meDateFromTenor(F367,"1D","FOLLOWING","TGT")</f>
        <v>43020</v>
      </c>
      <c r="G368" s="95">
        <f ca="1"/>
        <v>-4.0774784885974566E-3</v>
      </c>
      <c r="H368" s="92" t="s">
        <v>4</v>
      </c>
      <c r="I368" s="97">
        <f ca="1">_xll.meDateFromTenor(I367,"1D","FOLLOWING","TGT")</f>
        <v>43020</v>
      </c>
      <c r="J368" s="95">
        <f ca="1"/>
        <v>-3.3164217901305269E-3</v>
      </c>
      <c r="K368" s="5" t="s">
        <v>4</v>
      </c>
      <c r="L368" s="97">
        <f ca="1">_xll.meDateFromTenor(L367,"1D","FOLLOWING","TGT")</f>
        <v>43020</v>
      </c>
      <c r="M368" s="95">
        <f ca="1"/>
        <v>-1.8279184965706511E-3</v>
      </c>
      <c r="N368" s="5" t="s">
        <v>4</v>
      </c>
      <c r="O368" s="97">
        <f ca="1">_xll.meDateFromTenor(O367,"1D","FOLLOWING","TGT")</f>
        <v>43020</v>
      </c>
      <c r="P368" s="95">
        <f ca="1"/>
        <v>5.9527844767883603E-5</v>
      </c>
      <c r="Q368" s="5" t="s">
        <v>4</v>
      </c>
      <c r="R368" s="83" t="s">
        <v>4</v>
      </c>
    </row>
    <row r="369" spans="1:18" x14ac:dyDescent="0.25">
      <c r="A369" s="88">
        <v>355</v>
      </c>
      <c r="B369" s="82"/>
      <c r="C369" s="97">
        <f ca="1">_xll.meDateFromTenor(C368,"1D","FOLLOWING","TGT")</f>
        <v>43021</v>
      </c>
      <c r="D369" s="95">
        <f ca="1"/>
        <v>-4.1964778690197768E-3</v>
      </c>
      <c r="E369" s="92"/>
      <c r="F369" s="97">
        <f ca="1">_xll.meDateFromTenor(F368,"1D","FOLLOWING","TGT")</f>
        <v>43021</v>
      </c>
      <c r="G369" s="95">
        <f ca="1"/>
        <v>-4.0769467817018713E-3</v>
      </c>
      <c r="H369" s="92" t="s">
        <v>4</v>
      </c>
      <c r="I369" s="97">
        <f ca="1">_xll.meDateFromTenor(I368,"1D","FOLLOWING","TGT")</f>
        <v>43021</v>
      </c>
      <c r="J369" s="95">
        <f ca="1"/>
        <v>-3.334457494746648E-3</v>
      </c>
      <c r="K369" s="5" t="s">
        <v>4</v>
      </c>
      <c r="L369" s="97">
        <f ca="1">_xll.meDateFromTenor(L368,"1D","FOLLOWING","TGT")</f>
        <v>43021</v>
      </c>
      <c r="M369" s="95">
        <f ca="1"/>
        <v>-1.8260236211152345E-3</v>
      </c>
      <c r="N369" s="5" t="s">
        <v>4</v>
      </c>
      <c r="O369" s="97">
        <f ca="1">_xll.meDateFromTenor(O368,"1D","FOLLOWING","TGT")</f>
        <v>43021</v>
      </c>
      <c r="P369" s="95">
        <f ca="1"/>
        <v>6.2109593207468117E-5</v>
      </c>
      <c r="Q369" s="5" t="s">
        <v>4</v>
      </c>
      <c r="R369" s="83" t="s">
        <v>4</v>
      </c>
    </row>
    <row r="370" spans="1:18" x14ac:dyDescent="0.25">
      <c r="A370" s="88">
        <v>356</v>
      </c>
      <c r="B370" s="82"/>
      <c r="C370" s="97">
        <f ca="1">_xll.meDateFromTenor(C369,"1D","FOLLOWING","TGT")</f>
        <v>43024</v>
      </c>
      <c r="D370" s="95">
        <f ca="1"/>
        <v>-4.1970902413523969E-3</v>
      </c>
      <c r="E370" s="92"/>
      <c r="F370" s="97">
        <f ca="1">_xll.meDateFromTenor(F369,"1D","FOLLOWING","TGT")</f>
        <v>43024</v>
      </c>
      <c r="G370" s="95">
        <f ca="1"/>
        <v>-4.0752868538802044E-3</v>
      </c>
      <c r="H370" s="92" t="s">
        <v>4</v>
      </c>
      <c r="I370" s="97">
        <f ca="1">_xll.meDateFromTenor(I369,"1D","FOLLOWING","TGT")</f>
        <v>43024</v>
      </c>
      <c r="J370" s="95">
        <f ca="1"/>
        <v>-3.3899926726565421E-3</v>
      </c>
      <c r="K370" s="5" t="s">
        <v>4</v>
      </c>
      <c r="L370" s="97">
        <f ca="1">_xll.meDateFromTenor(L369,"1D","FOLLOWING","TGT")</f>
        <v>43024</v>
      </c>
      <c r="M370" s="95">
        <f ca="1"/>
        <v>-1.8203389947489858E-3</v>
      </c>
      <c r="N370" s="5" t="s">
        <v>4</v>
      </c>
      <c r="O370" s="97">
        <f ca="1">_xll.meDateFromTenor(O369,"1D","FOLLOWING","TGT")</f>
        <v>43024</v>
      </c>
      <c r="P370" s="95">
        <f ca="1"/>
        <v>6.9910936644574577E-5</v>
      </c>
      <c r="Q370" s="5" t="s">
        <v>4</v>
      </c>
      <c r="R370" s="83" t="s">
        <v>4</v>
      </c>
    </row>
    <row r="371" spans="1:18" x14ac:dyDescent="0.25">
      <c r="A371" s="88">
        <v>357</v>
      </c>
      <c r="B371" s="82"/>
      <c r="C371" s="97">
        <f ca="1">_xll.meDateFromTenor(C370,"1D","FOLLOWING","TGT")</f>
        <v>43025</v>
      </c>
      <c r="D371" s="95">
        <f ca="1"/>
        <v>-4.1973146474765244E-3</v>
      </c>
      <c r="E371" s="92"/>
      <c r="F371" s="97">
        <f ca="1">_xll.meDateFromTenor(F370,"1D","FOLLOWING","TGT")</f>
        <v>43025</v>
      </c>
      <c r="G371" s="95">
        <f ca="1"/>
        <v>-4.0747128134191032E-3</v>
      </c>
      <c r="H371" s="92" t="s">
        <v>4</v>
      </c>
      <c r="I371" s="97">
        <f ca="1">_xll.meDateFromTenor(I370,"1D","FOLLOWING","TGT")</f>
        <v>43025</v>
      </c>
      <c r="J371" s="95">
        <f ca="1"/>
        <v>-3.4088347619236773E-3</v>
      </c>
      <c r="K371" s="5" t="s">
        <v>4</v>
      </c>
      <c r="L371" s="97">
        <f ca="1">_xll.meDateFromTenor(L370,"1D","FOLLOWING","TGT")</f>
        <v>43025</v>
      </c>
      <c r="M371" s="95">
        <f ca="1"/>
        <v>-1.8184441192935696E-3</v>
      </c>
      <c r="N371" s="5" t="s">
        <v>4</v>
      </c>
      <c r="O371" s="97">
        <f ca="1">_xll.meDateFromTenor(O370,"1D","FOLLOWING","TGT")</f>
        <v>43025</v>
      </c>
      <c r="P371" s="95">
        <f ca="1"/>
        <v>7.253004039999971E-5</v>
      </c>
      <c r="Q371" s="5" t="s">
        <v>4</v>
      </c>
      <c r="R371" s="83" t="s">
        <v>4</v>
      </c>
    </row>
    <row r="372" spans="1:18" x14ac:dyDescent="0.25">
      <c r="A372" s="88">
        <v>358</v>
      </c>
      <c r="B372" s="82"/>
      <c r="C372" s="97">
        <f ca="1">_xll.meDateFromTenor(C371,"1D","FOLLOWING","TGT")</f>
        <v>43026</v>
      </c>
      <c r="D372" s="95">
        <f ca="1"/>
        <v>-4.1975491937406018E-3</v>
      </c>
      <c r="E372" s="92"/>
      <c r="F372" s="97">
        <f ca="1">_xll.meDateFromTenor(F371,"1D","FOLLOWING","TGT")</f>
        <v>43026</v>
      </c>
      <c r="G372" s="95">
        <f ca="1"/>
        <v>-4.0741288429599438E-3</v>
      </c>
      <c r="H372" s="92" t="s">
        <v>4</v>
      </c>
      <c r="I372" s="97">
        <f ca="1">_xll.meDateFromTenor(I371,"1D","FOLLOWING","TGT")</f>
        <v>43026</v>
      </c>
      <c r="J372" s="95">
        <f ca="1"/>
        <v>-3.4277692038110568E-3</v>
      </c>
      <c r="K372" s="5" t="s">
        <v>4</v>
      </c>
      <c r="L372" s="97">
        <f ca="1">_xll.meDateFromTenor(L371,"1D","FOLLOWING","TGT")</f>
        <v>43026</v>
      </c>
      <c r="M372" s="95">
        <f ca="1"/>
        <v>-1.8165492438381534E-3</v>
      </c>
      <c r="N372" s="5" t="s">
        <v>4</v>
      </c>
      <c r="O372" s="97">
        <f ca="1">_xll.meDateFromTenor(O371,"1D","FOLLOWING","TGT")</f>
        <v>43026</v>
      </c>
      <c r="P372" s="95">
        <f ca="1"/>
        <v>7.5158450412088433E-5</v>
      </c>
      <c r="Q372" s="5" t="s">
        <v>4</v>
      </c>
      <c r="R372" s="83" t="s">
        <v>4</v>
      </c>
    </row>
    <row r="373" spans="1:18" x14ac:dyDescent="0.25">
      <c r="A373" s="88">
        <v>359</v>
      </c>
      <c r="B373" s="82"/>
      <c r="C373" s="97">
        <f ca="1">_xll.meDateFromTenor(C372,"1D","FOLLOWING","TGT")</f>
        <v>43027</v>
      </c>
      <c r="D373" s="95">
        <f ca="1"/>
        <v>-4.1977938795400016E-3</v>
      </c>
      <c r="E373" s="92"/>
      <c r="F373" s="97">
        <f ca="1">_xll.meDateFromTenor(F372,"1D","FOLLOWING","TGT")</f>
        <v>43027</v>
      </c>
      <c r="G373" s="95">
        <f ca="1"/>
        <v>-4.0735352038600526E-3</v>
      </c>
      <c r="H373" s="92" t="s">
        <v>4</v>
      </c>
      <c r="I373" s="97">
        <f ca="1">_xll.meDateFromTenor(I372,"1D","FOLLOWING","TGT")</f>
        <v>43027</v>
      </c>
      <c r="J373" s="95">
        <f ca="1"/>
        <v>-3.4467523009016812E-3</v>
      </c>
      <c r="K373" s="5" t="s">
        <v>4</v>
      </c>
      <c r="L373" s="97">
        <f ca="1">_xll.meDateFromTenor(L372,"1D","FOLLOWING","TGT")</f>
        <v>43027</v>
      </c>
      <c r="M373" s="95">
        <f ca="1"/>
        <v>-1.814654368382737E-3</v>
      </c>
      <c r="N373" s="5" t="s">
        <v>4</v>
      </c>
      <c r="O373" s="97">
        <f ca="1">_xll.meDateFromTenor(O372,"1D","FOLLOWING","TGT")</f>
        <v>43027</v>
      </c>
      <c r="P373" s="95">
        <f ca="1"/>
        <v>7.779615365192274E-5</v>
      </c>
      <c r="Q373" s="5" t="s">
        <v>4</v>
      </c>
      <c r="R373" s="83" t="s">
        <v>4</v>
      </c>
    </row>
    <row r="374" spans="1:18" x14ac:dyDescent="0.25">
      <c r="A374" s="88">
        <v>360</v>
      </c>
      <c r="B374" s="82"/>
      <c r="C374" s="97">
        <f ca="1">_xll.meDateFromTenor(C373,"1D","FOLLOWING","TGT")</f>
        <v>43028</v>
      </c>
      <c r="D374" s="95">
        <f ca="1"/>
        <v>-4.1980487049080306E-3</v>
      </c>
      <c r="E374" s="92"/>
      <c r="F374" s="97">
        <f ca="1">_xll.meDateFromTenor(F373,"1D","FOLLOWING","TGT")</f>
        <v>43028</v>
      </c>
      <c r="G374" s="95">
        <f ca="1"/>
        <v>-4.0729321574767569E-3</v>
      </c>
      <c r="H374" s="92" t="s">
        <v>4</v>
      </c>
      <c r="I374" s="97">
        <f ca="1">_xll.meDateFromTenor(I373,"1D","FOLLOWING","TGT")</f>
        <v>43028</v>
      </c>
      <c r="J374" s="95">
        <f ca="1"/>
        <v>-3.4657403557785439E-3</v>
      </c>
      <c r="K374" s="5" t="s">
        <v>4</v>
      </c>
      <c r="L374" s="97">
        <f ca="1">_xll.meDateFromTenor(L373,"1D","FOLLOWING","TGT")</f>
        <v>43028</v>
      </c>
      <c r="M374" s="95">
        <f ca="1"/>
        <v>-1.8127594929273206E-3</v>
      </c>
      <c r="N374" s="5" t="s">
        <v>4</v>
      </c>
      <c r="O374" s="97">
        <f ca="1">_xll.meDateFromTenor(O373,"1D","FOLLOWING","TGT")</f>
        <v>43028</v>
      </c>
      <c r="P374" s="95">
        <f ca="1"/>
        <v>8.0443137090583733E-5</v>
      </c>
      <c r="Q374" s="5" t="s">
        <v>4</v>
      </c>
      <c r="R374" s="83" t="s">
        <v>4</v>
      </c>
    </row>
    <row r="375" spans="1:18" x14ac:dyDescent="0.25">
      <c r="A375" s="88">
        <v>361</v>
      </c>
      <c r="B375" s="82"/>
      <c r="C375" s="97">
        <f ca="1">_xll.meDateFromTenor(C374,"1D","FOLLOWING","TGT")</f>
        <v>43031</v>
      </c>
      <c r="D375" s="95">
        <f ca="1"/>
        <v>-4.1988740108577227E-3</v>
      </c>
      <c r="E375" s="92"/>
      <c r="F375" s="97">
        <f ca="1">_xll.meDateFromTenor(F374,"1D","FOLLOWING","TGT")</f>
        <v>43031</v>
      </c>
      <c r="G375" s="95">
        <f ca="1"/>
        <v>-4.0710691881997241E-3</v>
      </c>
      <c r="H375" s="92" t="s">
        <v>4</v>
      </c>
      <c r="I375" s="97">
        <f ca="1">_xll.meDateFromTenor(I374,"1D","FOLLOWING","TGT")</f>
        <v>43031</v>
      </c>
      <c r="J375" s="95">
        <f ca="1"/>
        <v>-3.5222972929565485E-3</v>
      </c>
      <c r="K375" s="5" t="s">
        <v>4</v>
      </c>
      <c r="L375" s="97">
        <f ca="1">_xll.meDateFromTenor(L374,"1D","FOLLOWING","TGT")</f>
        <v>43031</v>
      </c>
      <c r="M375" s="95">
        <f ca="1"/>
        <v>-1.8070748665610719E-3</v>
      </c>
      <c r="N375" s="5" t="s">
        <v>4</v>
      </c>
      <c r="O375" s="97">
        <f ca="1">_xll.meDateFromTenor(O374,"1D","FOLLOWING","TGT")</f>
        <v>43031</v>
      </c>
      <c r="P375" s="95">
        <f ca="1"/>
        <v>8.8439638310343246E-5</v>
      </c>
      <c r="Q375" s="5" t="s">
        <v>4</v>
      </c>
      <c r="R375" s="83" t="s">
        <v>4</v>
      </c>
    </row>
    <row r="376" spans="1:18" x14ac:dyDescent="0.25">
      <c r="A376" s="88">
        <v>362</v>
      </c>
      <c r="B376" s="82"/>
      <c r="C376" s="97">
        <f ca="1">_xll.meDateFromTenor(C375,"1D","FOLLOWING","TGT")</f>
        <v>43032</v>
      </c>
      <c r="D376" s="95">
        <f ca="1"/>
        <v>-4.1991693880089054E-3</v>
      </c>
      <c r="E376" s="92"/>
      <c r="F376" s="97">
        <f ca="1">_xll.meDateFromTenor(F375,"1D","FOLLOWING","TGT")</f>
        <v>43032</v>
      </c>
      <c r="G376" s="95">
        <f ca="1"/>
        <v>-4.07043112625609E-3</v>
      </c>
      <c r="H376" s="92" t="s">
        <v>4</v>
      </c>
      <c r="I376" s="97">
        <f ca="1">_xll.meDateFromTenor(I375,"1D","FOLLOWING","TGT")</f>
        <v>43032</v>
      </c>
      <c r="J376" s="95">
        <f ca="1"/>
        <v>-3.5408682048083447E-3</v>
      </c>
      <c r="K376" s="5" t="s">
        <v>4</v>
      </c>
      <c r="L376" s="97">
        <f ca="1">_xll.meDateFromTenor(L375,"1D","FOLLOWING","TGT")</f>
        <v>43032</v>
      </c>
      <c r="M376" s="95">
        <f ca="1"/>
        <v>-1.8051799911056555E-3</v>
      </c>
      <c r="N376" s="5" t="s">
        <v>4</v>
      </c>
      <c r="O376" s="97">
        <f ca="1">_xll.meDateFromTenor(O375,"1D","FOLLOWING","TGT")</f>
        <v>43032</v>
      </c>
      <c r="P376" s="95">
        <f ca="1"/>
        <v>9.1123612255126834E-5</v>
      </c>
      <c r="Q376" s="5" t="s">
        <v>4</v>
      </c>
      <c r="R376" s="83" t="s">
        <v>4</v>
      </c>
    </row>
    <row r="377" spans="1:18" x14ac:dyDescent="0.25">
      <c r="A377" s="88">
        <v>363</v>
      </c>
      <c r="B377" s="82"/>
      <c r="C377" s="97">
        <f ca="1">_xll.meDateFromTenor(C376,"1D","FOLLOWING","TGT")</f>
        <v>43033</v>
      </c>
      <c r="D377" s="95">
        <f ca="1"/>
        <v>-4.199474902139011E-3</v>
      </c>
      <c r="E377" s="92"/>
      <c r="F377" s="97">
        <f ca="1">_xll.meDateFromTenor(F376,"1D","FOLLOWING","TGT")</f>
        <v>43033</v>
      </c>
      <c r="G377" s="95">
        <f ca="1"/>
        <v>-4.0697849638156912E-3</v>
      </c>
      <c r="H377" s="92" t="s">
        <v>4</v>
      </c>
      <c r="I377" s="97">
        <f ca="1">_xll.meDateFromTenor(I376,"1D","FOLLOWING","TGT")</f>
        <v>43033</v>
      </c>
      <c r="J377" s="95">
        <f ca="1"/>
        <v>-3.5592255873613649E-3</v>
      </c>
      <c r="K377" s="5" t="s">
        <v>4</v>
      </c>
      <c r="L377" s="97">
        <f ca="1">_xll.meDateFromTenor(L376,"1D","FOLLOWING","TGT")</f>
        <v>43033</v>
      </c>
      <c r="M377" s="95">
        <f ca="1"/>
        <v>-1.8032851156502393E-3</v>
      </c>
      <c r="N377" s="5" t="s">
        <v>4</v>
      </c>
      <c r="O377" s="97">
        <f ca="1">_xll.meDateFromTenor(O376,"1D","FOLLOWING","TGT")</f>
        <v>43033</v>
      </c>
      <c r="P377" s="95">
        <f ca="1"/>
        <v>9.3816801254144533E-5</v>
      </c>
      <c r="Q377" s="5" t="s">
        <v>4</v>
      </c>
      <c r="R377" s="83" t="s">
        <v>4</v>
      </c>
    </row>
    <row r="378" spans="1:18" x14ac:dyDescent="0.25">
      <c r="A378" s="88">
        <v>364</v>
      </c>
      <c r="B378" s="82"/>
      <c r="C378" s="97">
        <f ca="1">_xll.meDateFromTenor(C377,"1D","FOLLOWING","TGT")</f>
        <v>43034</v>
      </c>
      <c r="D378" s="95">
        <f ca="1"/>
        <v>-4.1997905524028267E-3</v>
      </c>
      <c r="E378" s="92"/>
      <c r="F378" s="97">
        <f ca="1">_xll.meDateFromTenor(F377,"1D","FOLLOWING","TGT")</f>
        <v>43034</v>
      </c>
      <c r="G378" s="95">
        <f ca="1"/>
        <v>-4.0691309622358524E-3</v>
      </c>
      <c r="H378" s="92" t="s">
        <v>4</v>
      </c>
      <c r="I378" s="97">
        <f ca="1">_xll.meDateFromTenor(I377,"1D","FOLLOWING","TGT")</f>
        <v>43034</v>
      </c>
      <c r="J378" s="95">
        <f ca="1"/>
        <v>-3.5773257431986087E-3</v>
      </c>
      <c r="K378" s="5" t="s">
        <v>4</v>
      </c>
      <c r="L378" s="97">
        <f ca="1">_xll.meDateFromTenor(L377,"1D","FOLLOWING","TGT")</f>
        <v>43034</v>
      </c>
      <c r="M378" s="95">
        <f ca="1"/>
        <v>-1.8013902401948227E-3</v>
      </c>
      <c r="N378" s="5" t="s">
        <v>4</v>
      </c>
      <c r="O378" s="97">
        <f ca="1">_xll.meDateFromTenor(O377,"1D","FOLLOWING","TGT")</f>
        <v>43034</v>
      </c>
      <c r="P378" s="95">
        <f ca="1"/>
        <v>9.6519192278478311E-5</v>
      </c>
      <c r="Q378" s="5" t="s">
        <v>4</v>
      </c>
      <c r="R378" s="83" t="s">
        <v>4</v>
      </c>
    </row>
    <row r="379" spans="1:18" x14ac:dyDescent="0.25">
      <c r="A379" s="88">
        <v>365</v>
      </c>
      <c r="B379" s="82"/>
      <c r="C379" s="97">
        <f ca="1">_xll.meDateFromTenor(C378,"1D","FOLLOWING","TGT")</f>
        <v>43035</v>
      </c>
      <c r="D379" s="95">
        <f ca="1"/>
        <v>-4.2001163385917417E-3</v>
      </c>
      <c r="E379" s="92"/>
      <c r="F379" s="97">
        <f ca="1">_xll.meDateFromTenor(F378,"1D","FOLLOWING","TGT")</f>
        <v>43035</v>
      </c>
      <c r="G379" s="95">
        <f ca="1"/>
        <v>-4.068469382873907E-3</v>
      </c>
      <c r="H379" s="92" t="s">
        <v>4</v>
      </c>
      <c r="I379" s="97">
        <f ca="1">_xll.meDateFromTenor(I378,"1D","FOLLOWING","TGT")</f>
        <v>43035</v>
      </c>
      <c r="J379" s="95">
        <f ca="1"/>
        <v>-3.5951249749030709E-3</v>
      </c>
      <c r="K379" s="5" t="s">
        <v>4</v>
      </c>
      <c r="L379" s="97">
        <f ca="1">_xll.meDateFromTenor(L378,"1D","FOLLOWING","TGT")</f>
        <v>43035</v>
      </c>
      <c r="M379" s="95">
        <f ca="1"/>
        <v>-1.7994953647394066E-3</v>
      </c>
      <c r="N379" s="5" t="s">
        <v>4</v>
      </c>
      <c r="O379" s="97">
        <f ca="1">_xll.meDateFromTenor(O378,"1D","FOLLOWING","TGT")</f>
        <v>43035</v>
      </c>
      <c r="P379" s="95">
        <f ca="1"/>
        <v>9.9230772299209187E-5</v>
      </c>
      <c r="Q379" s="5" t="s">
        <v>4</v>
      </c>
      <c r="R379" s="83" t="s">
        <v>4</v>
      </c>
    </row>
    <row r="380" spans="1:18" x14ac:dyDescent="0.25">
      <c r="A380" s="88">
        <v>366</v>
      </c>
      <c r="B380" s="82"/>
      <c r="C380" s="97">
        <f ca="1">_xll.meDateFromTenor(C379,"1D","FOLLOWING","TGT")</f>
        <v>43038</v>
      </c>
      <c r="D380" s="95">
        <f ca="1"/>
        <v>-4.2011545071960477E-3</v>
      </c>
      <c r="E380" s="92"/>
      <c r="F380" s="97">
        <f ca="1">_xll.meDateFromTenor(F379,"1D","FOLLOWING","TGT")</f>
        <v>43038</v>
      </c>
      <c r="G380" s="95">
        <f ca="1"/>
        <v>-4.0664417916686842E-3</v>
      </c>
      <c r="H380" s="92" t="s">
        <v>4</v>
      </c>
      <c r="I380" s="97">
        <f ca="1">_xll.meDateFromTenor(I379,"1D","FOLLOWING","TGT")</f>
        <v>43038</v>
      </c>
      <c r="J380" s="95">
        <f ca="1"/>
        <v>-3.6462801510497469E-3</v>
      </c>
      <c r="K380" s="5" t="s">
        <v>4</v>
      </c>
      <c r="L380" s="97">
        <f ca="1">_xll.meDateFromTenor(L379,"1D","FOLLOWING","TGT")</f>
        <v>43038</v>
      </c>
      <c r="M380" s="95">
        <f ca="1"/>
        <v>-1.7938107383731578E-3</v>
      </c>
      <c r="N380" s="5" t="s">
        <v>4</v>
      </c>
      <c r="O380" s="97">
        <f ca="1">_xll.meDateFromTenor(O379,"1D","FOLLOWING","TGT")</f>
        <v>43038</v>
      </c>
      <c r="P380" s="95">
        <f ca="1"/>
        <v>1.0742051605060126E-4</v>
      </c>
      <c r="Q380" s="5" t="s">
        <v>4</v>
      </c>
      <c r="R380" s="83" t="s">
        <v>4</v>
      </c>
    </row>
    <row r="381" spans="1:18" x14ac:dyDescent="0.25">
      <c r="A381" s="88">
        <v>367</v>
      </c>
      <c r="B381" s="82"/>
      <c r="C381" s="97">
        <f ca="1">_xll.meDateFromTenor(C380,"1D","FOLLOWING","TGT")</f>
        <v>43039</v>
      </c>
      <c r="D381" s="95">
        <f ca="1"/>
        <v>-4.2015208320480557E-3</v>
      </c>
      <c r="E381" s="92"/>
      <c r="F381" s="97">
        <f ca="1">_xll.meDateFromTenor(F380,"1D","FOLLOWING","TGT")</f>
        <v>43039</v>
      </c>
      <c r="G381" s="95">
        <f ca="1"/>
        <v>-4.0657525147515762E-3</v>
      </c>
      <c r="H381" s="92" t="s">
        <v>4</v>
      </c>
      <c r="I381" s="97">
        <f ca="1">_xll.meDateFromTenor(I380,"1D","FOLLOWING","TGT")</f>
        <v>43039</v>
      </c>
      <c r="J381" s="95">
        <f ca="1"/>
        <v>-3.6624387120530576E-3</v>
      </c>
      <c r="K381" s="5" t="s">
        <v>4</v>
      </c>
      <c r="L381" s="97">
        <f ca="1">_xll.meDateFromTenor(L380,"1D","FOLLOWING","TGT")</f>
        <v>43039</v>
      </c>
      <c r="M381" s="95">
        <f ca="1"/>
        <v>-1.7919158629177416E-3</v>
      </c>
      <c r="N381" s="5" t="s">
        <v>4</v>
      </c>
      <c r="O381" s="97">
        <f ca="1">_xll.meDateFromTenor(O380,"1D","FOLLOWING","TGT")</f>
        <v>43039</v>
      </c>
      <c r="P381" s="95">
        <f ca="1"/>
        <v>1.1016872176773638E-4</v>
      </c>
      <c r="Q381" s="5" t="s">
        <v>4</v>
      </c>
      <c r="R381" s="83" t="s">
        <v>4</v>
      </c>
    </row>
    <row r="382" spans="1:18" x14ac:dyDescent="0.25">
      <c r="A382" s="88">
        <v>368</v>
      </c>
      <c r="B382" s="82"/>
      <c r="C382" s="97">
        <f ca="1">_xll.meDateFromTenor(C381,"1D","FOLLOWING","TGT")</f>
        <v>43040</v>
      </c>
      <c r="D382" s="95">
        <f ca="1"/>
        <v>-4.2018972899865448E-3</v>
      </c>
      <c r="E382" s="92"/>
      <c r="F382" s="97">
        <f ca="1">_xll.meDateFromTenor(F381,"1D","FOLLOWING","TGT")</f>
        <v>43040</v>
      </c>
      <c r="G382" s="95">
        <f ca="1"/>
        <v>-4.0650569668389952E-3</v>
      </c>
      <c r="H382" s="92" t="s">
        <v>4</v>
      </c>
      <c r="I382" s="97">
        <f ca="1">_xll.meDateFromTenor(I381,"1D","FOLLOWING","TGT")</f>
        <v>43040</v>
      </c>
      <c r="J382" s="95">
        <f ca="1"/>
        <v>-3.6780778618385741E-3</v>
      </c>
      <c r="K382" s="5" t="s">
        <v>4</v>
      </c>
      <c r="L382" s="97">
        <f ca="1">_xll.meDateFromTenor(L381,"1D","FOLLOWING","TGT")</f>
        <v>43040</v>
      </c>
      <c r="M382" s="95">
        <f ca="1"/>
        <v>-1.790020987462325E-3</v>
      </c>
      <c r="N382" s="5" t="s">
        <v>4</v>
      </c>
      <c r="O382" s="97">
        <f ca="1">_xll.meDateFromTenor(O381,"1D","FOLLOWING","TGT")</f>
        <v>43040</v>
      </c>
      <c r="P382" s="95">
        <f ca="1"/>
        <v>1.1292605133667656E-4</v>
      </c>
      <c r="Q382" s="5" t="s">
        <v>4</v>
      </c>
      <c r="R382" s="83" t="s">
        <v>4</v>
      </c>
    </row>
    <row r="383" spans="1:18" x14ac:dyDescent="0.25">
      <c r="A383" s="88">
        <v>369</v>
      </c>
      <c r="B383" s="82"/>
      <c r="C383" s="97">
        <f ca="1">_xll.meDateFromTenor(C382,"1D","FOLLOWING","TGT")</f>
        <v>43041</v>
      </c>
      <c r="D383" s="95">
        <f ca="1"/>
        <v>-4.2022838811193175E-3</v>
      </c>
      <c r="E383" s="92"/>
      <c r="F383" s="97">
        <f ca="1">_xll.meDateFromTenor(F382,"1D","FOLLOWING","TGT")</f>
        <v>43041</v>
      </c>
      <c r="G383" s="95">
        <f ca="1"/>
        <v>-4.0643554092882721E-3</v>
      </c>
      <c r="H383" s="92" t="s">
        <v>4</v>
      </c>
      <c r="I383" s="97">
        <f ca="1">_xll.meDateFromTenor(I382,"1D","FOLLOWING","TGT")</f>
        <v>43041</v>
      </c>
      <c r="J383" s="95">
        <f ca="1"/>
        <v>-3.6931539029892921E-3</v>
      </c>
      <c r="K383" s="5" t="s">
        <v>4</v>
      </c>
      <c r="L383" s="97">
        <f ca="1">_xll.meDateFromTenor(L382,"1D","FOLLOWING","TGT")</f>
        <v>43041</v>
      </c>
      <c r="M383" s="95">
        <f ca="1"/>
        <v>-1.7881261120069089E-3</v>
      </c>
      <c r="N383" s="5" t="s">
        <v>4</v>
      </c>
      <c r="O383" s="97">
        <f ca="1">_xll.meDateFromTenor(O382,"1D","FOLLOWING","TGT")</f>
        <v>43041</v>
      </c>
      <c r="P383" s="95">
        <f ca="1"/>
        <v>1.1569249172850308E-4</v>
      </c>
      <c r="Q383" s="5" t="s">
        <v>4</v>
      </c>
      <c r="R383" s="83" t="s">
        <v>4</v>
      </c>
    </row>
    <row r="384" spans="1:18" x14ac:dyDescent="0.25">
      <c r="A384" s="88">
        <v>370</v>
      </c>
      <c r="B384" s="82"/>
      <c r="C384" s="97">
        <f ca="1">_xll.meDateFromTenor(C383,"1D","FOLLOWING","TGT")</f>
        <v>43042</v>
      </c>
      <c r="D384" s="95">
        <f ca="1"/>
        <v>-4.2026806044397347E-3</v>
      </c>
      <c r="E384" s="92"/>
      <c r="F384" s="97">
        <f ca="1">_xll.meDateFromTenor(F383,"1D","FOLLOWING","TGT")</f>
        <v>43042</v>
      </c>
      <c r="G384" s="95">
        <f ca="1"/>
        <v>-4.0636479776282163E-3</v>
      </c>
      <c r="H384" s="92" t="s">
        <v>4</v>
      </c>
      <c r="I384" s="97">
        <f ca="1">_xll.meDateFromTenor(I383,"1D","FOLLOWING","TGT")</f>
        <v>43042</v>
      </c>
      <c r="J384" s="95">
        <f ca="1"/>
        <v>-3.7076231380882073E-3</v>
      </c>
      <c r="K384" s="5" t="s">
        <v>4</v>
      </c>
      <c r="L384" s="97">
        <f ca="1">_xll.meDateFromTenor(L383,"1D","FOLLOWING","TGT")</f>
        <v>43042</v>
      </c>
      <c r="M384" s="95">
        <f ca="1"/>
        <v>-1.7862312365514927E-3</v>
      </c>
      <c r="N384" s="5" t="s">
        <v>4</v>
      </c>
      <c r="O384" s="97">
        <f ca="1">_xll.meDateFromTenor(O383,"1D","FOLLOWING","TGT")</f>
        <v>43042</v>
      </c>
      <c r="P384" s="95">
        <f ca="1"/>
        <v>1.1846802991429708E-4</v>
      </c>
      <c r="Q384" s="5" t="s">
        <v>4</v>
      </c>
      <c r="R384" s="83" t="s">
        <v>4</v>
      </c>
    </row>
    <row r="385" spans="1:18" x14ac:dyDescent="0.25">
      <c r="A385" s="88">
        <v>371</v>
      </c>
      <c r="B385" s="82"/>
      <c r="C385" s="97">
        <f ca="1">_xll.meDateFromTenor(C384,"1D","FOLLOWING","TGT")</f>
        <v>43045</v>
      </c>
      <c r="D385" s="95">
        <f ca="1"/>
        <v>-4.2039315643792596E-3</v>
      </c>
      <c r="E385" s="92"/>
      <c r="F385" s="97">
        <f ca="1">_xll.meDateFromTenor(F384,"1D","FOLLOWING","TGT")</f>
        <v>43045</v>
      </c>
      <c r="G385" s="95">
        <f ca="1"/>
        <v>-4.0614862568253886E-3</v>
      </c>
      <c r="H385" s="92" t="s">
        <v>4</v>
      </c>
      <c r="I385" s="97">
        <f ca="1">_xll.meDateFromTenor(I384,"1D","FOLLOWING","TGT")</f>
        <v>43045</v>
      </c>
      <c r="J385" s="95">
        <f ca="1"/>
        <v>-3.746953032904119E-3</v>
      </c>
      <c r="K385" s="5" t="s">
        <v>4</v>
      </c>
      <c r="L385" s="97">
        <f ca="1">_xll.meDateFromTenor(L384,"1D","FOLLOWING","TGT")</f>
        <v>43045</v>
      </c>
      <c r="M385" s="95">
        <f ca="1"/>
        <v>-1.7805466101852437E-3</v>
      </c>
      <c r="N385" s="5" t="s">
        <v>4</v>
      </c>
      <c r="O385" s="97">
        <f ca="1">_xll.meDateFromTenor(O384,"1D","FOLLOWING","TGT")</f>
        <v>43045</v>
      </c>
      <c r="P385" s="95">
        <f ca="1"/>
        <v>1.2684910094630137E-4</v>
      </c>
      <c r="Q385" s="5" t="s">
        <v>4</v>
      </c>
      <c r="R385" s="83" t="s">
        <v>4</v>
      </c>
    </row>
    <row r="386" spans="1:18" x14ac:dyDescent="0.25">
      <c r="A386" s="88">
        <v>372</v>
      </c>
      <c r="B386" s="82"/>
      <c r="C386" s="97">
        <f ca="1">_xll.meDateFromTenor(C385,"1D","FOLLOWING","TGT")</f>
        <v>43046</v>
      </c>
      <c r="D386" s="95">
        <f ca="1"/>
        <v>-4.2043688126645051E-3</v>
      </c>
      <c r="E386" s="92"/>
      <c r="F386" s="97">
        <f ca="1">_xll.meDateFromTenor(F385,"1D","FOLLOWING","TGT")</f>
        <v>43046</v>
      </c>
      <c r="G386" s="95">
        <f ca="1"/>
        <v>-4.0607508959043075E-3</v>
      </c>
      <c r="H386" s="92" t="s">
        <v>4</v>
      </c>
      <c r="I386" s="97">
        <f ca="1">_xll.meDateFromTenor(I385,"1D","FOLLOWING","TGT")</f>
        <v>43046</v>
      </c>
      <c r="J386" s="95">
        <f ca="1"/>
        <v>-3.7585580696257999E-3</v>
      </c>
      <c r="K386" s="5" t="s">
        <v>4</v>
      </c>
      <c r="L386" s="97">
        <f ca="1">_xll.meDateFromTenor(L385,"1D","FOLLOWING","TGT")</f>
        <v>43046</v>
      </c>
      <c r="M386" s="95">
        <f ca="1"/>
        <v>-1.7786517347298276E-3</v>
      </c>
      <c r="N386" s="5" t="s">
        <v>4</v>
      </c>
      <c r="O386" s="97">
        <f ca="1">_xll.meDateFromTenor(O385,"1D","FOLLOWING","TGT")</f>
        <v>43046</v>
      </c>
      <c r="P386" s="95">
        <f ca="1"/>
        <v>1.2966090001878154E-4</v>
      </c>
      <c r="Q386" s="5" t="s">
        <v>4</v>
      </c>
      <c r="R386" s="83" t="s">
        <v>4</v>
      </c>
    </row>
    <row r="387" spans="1:18" x14ac:dyDescent="0.25">
      <c r="A387" s="88">
        <v>373</v>
      </c>
      <c r="B387" s="82"/>
      <c r="C387" s="97">
        <f ca="1">_xll.meDateFromTenor(C386,"1D","FOLLOWING","TGT")</f>
        <v>43047</v>
      </c>
      <c r="D387" s="95">
        <f ca="1"/>
        <v>-4.2048161910042126E-3</v>
      </c>
      <c r="E387" s="92"/>
      <c r="F387" s="97">
        <f ca="1">_xll.meDateFromTenor(F386,"1D","FOLLOWING","TGT")</f>
        <v>43047</v>
      </c>
      <c r="G387" s="95">
        <f ca="1"/>
        <v>-4.0600073186335276E-3</v>
      </c>
      <c r="H387" s="92" t="s">
        <v>4</v>
      </c>
      <c r="I387" s="97">
        <f ca="1">_xll.meDateFromTenor(I386,"1D","FOLLOWING","TGT")</f>
        <v>43047</v>
      </c>
      <c r="J387" s="95">
        <f ca="1"/>
        <v>-3.7693378132106652E-3</v>
      </c>
      <c r="K387" s="5" t="s">
        <v>4</v>
      </c>
      <c r="L387" s="97">
        <f ca="1">_xll.meDateFromTenor(L386,"1D","FOLLOWING","TGT")</f>
        <v>43047</v>
      </c>
      <c r="M387" s="95">
        <f ca="1"/>
        <v>-1.776756859274411E-3</v>
      </c>
      <c r="N387" s="5" t="s">
        <v>4</v>
      </c>
      <c r="O387" s="97">
        <f ca="1">_xll.meDateFromTenor(O386,"1D","FOLLOWING","TGT")</f>
        <v>43047</v>
      </c>
      <c r="P387" s="95">
        <f ca="1"/>
        <v>1.324817317406371E-4</v>
      </c>
      <c r="Q387" s="5" t="s">
        <v>4</v>
      </c>
      <c r="R387" s="83" t="s">
        <v>4</v>
      </c>
    </row>
    <row r="388" spans="1:18" x14ac:dyDescent="0.25">
      <c r="A388" s="88">
        <v>374</v>
      </c>
      <c r="B388" s="82"/>
      <c r="C388" s="97">
        <f ca="1">_xll.meDateFromTenor(C387,"1D","FOLLOWING","TGT")</f>
        <v>43048</v>
      </c>
      <c r="D388" s="95">
        <f ca="1"/>
        <v>-4.2052736987877593E-3</v>
      </c>
      <c r="E388" s="92"/>
      <c r="F388" s="97">
        <f ca="1">_xll.meDateFromTenor(F387,"1D","FOLLOWING","TGT")</f>
        <v>43048</v>
      </c>
      <c r="G388" s="95">
        <f ca="1"/>
        <v>-4.0592550313992741E-3</v>
      </c>
      <c r="H388" s="92" t="s">
        <v>4</v>
      </c>
      <c r="I388" s="97">
        <f ca="1">_xll.meDateFromTenor(I387,"1D","FOLLOWING","TGT")</f>
        <v>43048</v>
      </c>
      <c r="J388" s="95">
        <f ca="1"/>
        <v>-3.7792485662417109E-3</v>
      </c>
      <c r="K388" s="5" t="s">
        <v>4</v>
      </c>
      <c r="L388" s="97">
        <f ca="1">_xll.meDateFromTenor(L387,"1D","FOLLOWING","TGT")</f>
        <v>43048</v>
      </c>
      <c r="M388" s="95">
        <f ca="1"/>
        <v>-1.7748619838189948E-3</v>
      </c>
      <c r="N388" s="5" t="s">
        <v>4</v>
      </c>
      <c r="O388" s="97">
        <f ca="1">_xll.meDateFromTenor(O387,"1D","FOLLOWING","TGT")</f>
        <v>43048</v>
      </c>
      <c r="P388" s="95">
        <f ca="1"/>
        <v>1.353115830829494E-4</v>
      </c>
      <c r="Q388" s="5" t="s">
        <v>4</v>
      </c>
      <c r="R388" s="83" t="s">
        <v>4</v>
      </c>
    </row>
    <row r="389" spans="1:18" x14ac:dyDescent="0.25">
      <c r="A389" s="88">
        <v>375</v>
      </c>
      <c r="B389" s="82"/>
      <c r="C389" s="97">
        <f ca="1">_xll.meDateFromTenor(C388,"1D","FOLLOWING","TGT")</f>
        <v>43049</v>
      </c>
      <c r="D389" s="95">
        <f ca="1"/>
        <v>-4.2057413354836815E-3</v>
      </c>
      <c r="E389" s="92"/>
      <c r="F389" s="97">
        <f ca="1">_xll.meDateFromTenor(F388,"1D","FOLLOWING","TGT")</f>
        <v>43049</v>
      </c>
      <c r="G389" s="95">
        <f ca="1"/>
        <v>-4.0584935405877723E-3</v>
      </c>
      <c r="H389" s="92" t="s">
        <v>4</v>
      </c>
      <c r="I389" s="97">
        <f ca="1">_xll.meDateFromTenor(I388,"1D","FOLLOWING","TGT")</f>
        <v>43049</v>
      </c>
      <c r="J389" s="95">
        <f ca="1"/>
        <v>-3.7882466313019355E-3</v>
      </c>
      <c r="K389" s="5" t="s">
        <v>4</v>
      </c>
      <c r="L389" s="97">
        <f ca="1">_xll.meDateFromTenor(L388,"1D","FOLLOWING","TGT")</f>
        <v>43049</v>
      </c>
      <c r="M389" s="95">
        <f ca="1"/>
        <v>-1.7729671083635786E-3</v>
      </c>
      <c r="N389" s="5" t="s">
        <v>4</v>
      </c>
      <c r="O389" s="97">
        <f ca="1">_xll.meDateFromTenor(O388,"1D","FOLLOWING","TGT")</f>
        <v>43049</v>
      </c>
      <c r="P389" s="95">
        <f ca="1"/>
        <v>1.3815044101680001E-4</v>
      </c>
      <c r="Q389" s="5" t="s">
        <v>4</v>
      </c>
      <c r="R389" s="83" t="s">
        <v>4</v>
      </c>
    </row>
    <row r="390" spans="1:18" x14ac:dyDescent="0.25">
      <c r="A390" s="88">
        <v>376</v>
      </c>
      <c r="B390" s="82"/>
      <c r="C390" s="97">
        <f ca="1">_xll.meDateFromTenor(C389,"1D","FOLLOWING","TGT")</f>
        <v>43052</v>
      </c>
      <c r="D390" s="95">
        <f ca="1"/>
        <v>-4.2072050148044271E-3</v>
      </c>
      <c r="E390" s="92"/>
      <c r="F390" s="97">
        <f ca="1">_xll.meDateFromTenor(F389,"1D","FOLLOWING","TGT")</f>
        <v>43052</v>
      </c>
      <c r="G390" s="95">
        <f ca="1"/>
        <v>-4.0561489105520043E-3</v>
      </c>
      <c r="H390" s="92" t="s">
        <v>4</v>
      </c>
      <c r="I390" s="97">
        <f ca="1">_xll.meDateFromTenor(I389,"1D","FOLLOWING","TGT")</f>
        <v>43052</v>
      </c>
      <c r="J390" s="95">
        <f ca="1"/>
        <v>-3.8093277244876456E-3</v>
      </c>
      <c r="K390" s="5" t="s">
        <v>4</v>
      </c>
      <c r="L390" s="97">
        <f ca="1">_xll.meDateFromTenor(L389,"1D","FOLLOWING","TGT")</f>
        <v>43052</v>
      </c>
      <c r="M390" s="95">
        <f ca="1"/>
        <v>-1.7672824819973296E-3</v>
      </c>
      <c r="N390" s="5" t="s">
        <v>4</v>
      </c>
      <c r="O390" s="97">
        <f ca="1">_xll.meDateFromTenor(O389,"1D","FOLLOWING","TGT")</f>
        <v>43052</v>
      </c>
      <c r="P390" s="95">
        <f ca="1"/>
        <v>1.4672092407839633E-4</v>
      </c>
      <c r="Q390" s="5" t="s">
        <v>4</v>
      </c>
      <c r="R390" s="83" t="s">
        <v>4</v>
      </c>
    </row>
    <row r="391" spans="1:18" x14ac:dyDescent="0.25">
      <c r="A391" s="88">
        <v>377</v>
      </c>
      <c r="B391" s="82"/>
      <c r="C391" s="97">
        <f ca="1">_xll.meDateFromTenor(C390,"1D","FOLLOWING","TGT")</f>
        <v>43053</v>
      </c>
      <c r="D391" s="95">
        <f ca="1"/>
        <v>-4.2077131627865638E-3</v>
      </c>
      <c r="E391" s="92"/>
      <c r="F391" s="97">
        <f ca="1">_xll.meDateFromTenor(F390,"1D","FOLLOWING","TGT")</f>
        <v>43053</v>
      </c>
      <c r="G391" s="95">
        <f ca="1"/>
        <v>-4.0553456692937404E-3</v>
      </c>
      <c r="H391" s="92" t="s">
        <v>4</v>
      </c>
      <c r="I391" s="97">
        <f ca="1">_xll.meDateFromTenor(I390,"1D","FOLLOWING","TGT")</f>
        <v>43053</v>
      </c>
      <c r="J391" s="95">
        <f ca="1"/>
        <v>-3.8142380634945514E-3</v>
      </c>
      <c r="K391" s="5" t="s">
        <v>4</v>
      </c>
      <c r="L391" s="97">
        <f ca="1">_xll.meDateFromTenor(L390,"1D","FOLLOWING","TGT")</f>
        <v>43053</v>
      </c>
      <c r="M391" s="95">
        <f ca="1"/>
        <v>-1.7653876065419133E-3</v>
      </c>
      <c r="N391" s="5" t="s">
        <v>4</v>
      </c>
      <c r="O391" s="97">
        <f ca="1">_xll.meDateFromTenor(O390,"1D","FOLLOWING","TGT")</f>
        <v>43053</v>
      </c>
      <c r="P391" s="95">
        <f ca="1"/>
        <v>1.4959567808921467E-4</v>
      </c>
      <c r="Q391" s="5" t="s">
        <v>4</v>
      </c>
      <c r="R391" s="83" t="s">
        <v>4</v>
      </c>
    </row>
    <row r="392" spans="1:18" x14ac:dyDescent="0.25">
      <c r="A392" s="88">
        <v>378</v>
      </c>
      <c r="B392" s="82"/>
      <c r="C392" s="97">
        <f ca="1">_xll.meDateFromTenor(C391,"1D","FOLLOWING","TGT")</f>
        <v>43054</v>
      </c>
      <c r="D392" s="95">
        <f ca="1"/>
        <v>-4.2082314372189344E-3</v>
      </c>
      <c r="E392" s="92"/>
      <c r="F392" s="97">
        <f ca="1">_xll.meDateFromTenor(F391,"1D","FOLLOWING","TGT")</f>
        <v>43054</v>
      </c>
      <c r="G392" s="95">
        <f ca="1"/>
        <v>-4.054530756389345E-3</v>
      </c>
      <c r="H392" s="92" t="s">
        <v>4</v>
      </c>
      <c r="I392" s="97">
        <f ca="1">_xll.meDateFromTenor(I391,"1D","FOLLOWING","TGT")</f>
        <v>43054</v>
      </c>
      <c r="J392" s="95">
        <f ca="1"/>
        <v>-3.8180172274456204E-3</v>
      </c>
      <c r="K392" s="5" t="s">
        <v>4</v>
      </c>
      <c r="L392" s="97">
        <f ca="1">_xll.meDateFromTenor(L391,"1D","FOLLOWING","TGT")</f>
        <v>43054</v>
      </c>
      <c r="M392" s="95">
        <f ca="1"/>
        <v>-1.7634927310864971E-3</v>
      </c>
      <c r="N392" s="5" t="s">
        <v>4</v>
      </c>
      <c r="O392" s="97">
        <f ca="1">_xll.meDateFromTenor(O391,"1D","FOLLOWING","TGT")</f>
        <v>43054</v>
      </c>
      <c r="P392" s="95">
        <f ca="1"/>
        <v>1.5247937354697904E-4</v>
      </c>
      <c r="Q392" s="5" t="s">
        <v>4</v>
      </c>
      <c r="R392" s="83" t="s">
        <v>4</v>
      </c>
    </row>
    <row r="393" spans="1:18" x14ac:dyDescent="0.25">
      <c r="A393" s="88">
        <v>379</v>
      </c>
      <c r="B393" s="82"/>
      <c r="C393" s="97">
        <f ca="1">_xll.meDateFromTenor(C392,"1D","FOLLOWING","TGT")</f>
        <v>43055</v>
      </c>
      <c r="D393" s="95">
        <f ca="1"/>
        <v>-4.2087598375287749E-3</v>
      </c>
      <c r="E393" s="92"/>
      <c r="F393" s="97">
        <f ca="1">_xll.meDateFromTenor(F392,"1D","FOLLOWING","TGT")</f>
        <v>43055</v>
      </c>
      <c r="G393" s="95">
        <f ca="1"/>
        <v>-4.0537036782250435E-3</v>
      </c>
      <c r="H393" s="92" t="s">
        <v>4</v>
      </c>
      <c r="I393" s="97">
        <f ca="1">_xll.meDateFromTenor(I392,"1D","FOLLOWING","TGT")</f>
        <v>43055</v>
      </c>
      <c r="J393" s="95">
        <f ca="1"/>
        <v>-3.8206215189238494E-3</v>
      </c>
      <c r="K393" s="5" t="s">
        <v>4</v>
      </c>
      <c r="L393" s="97">
        <f ca="1">_xll.meDateFromTenor(L392,"1D","FOLLOWING","TGT")</f>
        <v>43055</v>
      </c>
      <c r="M393" s="95">
        <f ca="1"/>
        <v>-1.7615978556310809E-3</v>
      </c>
      <c r="N393" s="5" t="s">
        <v>4</v>
      </c>
      <c r="O393" s="97">
        <f ca="1">_xll.meDateFromTenor(O392,"1D","FOLLOWING","TGT")</f>
        <v>43055</v>
      </c>
      <c r="P393" s="95">
        <f ca="1"/>
        <v>1.5537199742277045E-4</v>
      </c>
      <c r="Q393" s="5" t="s">
        <v>4</v>
      </c>
      <c r="R393" s="83" t="s">
        <v>4</v>
      </c>
    </row>
    <row r="394" spans="1:18" x14ac:dyDescent="0.25">
      <c r="A394" s="88">
        <v>380</v>
      </c>
      <c r="B394" s="82"/>
      <c r="C394" s="97">
        <f ca="1">_xll.meDateFromTenor(C393,"1D","FOLLOWING","TGT")</f>
        <v>43056</v>
      </c>
      <c r="D394" s="95">
        <f ca="1"/>
        <v>-4.209298363699765E-3</v>
      </c>
      <c r="E394" s="92"/>
      <c r="F394" s="97">
        <f ca="1">_xll.meDateFromTenor(F393,"1D","FOLLOWING","TGT")</f>
        <v>43056</v>
      </c>
      <c r="G394" s="95">
        <f ca="1"/>
        <v>-4.0528639411870574E-3</v>
      </c>
      <c r="H394" s="92" t="s">
        <v>4</v>
      </c>
      <c r="I394" s="97">
        <f ca="1">_xll.meDateFromTenor(I393,"1D","FOLLOWING","TGT")</f>
        <v>43056</v>
      </c>
      <c r="J394" s="95">
        <f ca="1"/>
        <v>-3.8220072405122361E-3</v>
      </c>
      <c r="K394" s="5" t="s">
        <v>4</v>
      </c>
      <c r="L394" s="97">
        <f ca="1">_xll.meDateFromTenor(L393,"1D","FOLLOWING","TGT")</f>
        <v>43056</v>
      </c>
      <c r="M394" s="95">
        <f ca="1"/>
        <v>-1.7597029801756645E-3</v>
      </c>
      <c r="N394" s="5" t="s">
        <v>4</v>
      </c>
      <c r="O394" s="97">
        <f ca="1">_xll.meDateFromTenor(O393,"1D","FOLLOWING","TGT")</f>
        <v>43056</v>
      </c>
      <c r="P394" s="95">
        <f ca="1"/>
        <v>1.5827353668767071E-4</v>
      </c>
      <c r="Q394" s="5" t="s">
        <v>4</v>
      </c>
      <c r="R394" s="83" t="s">
        <v>4</v>
      </c>
    </row>
    <row r="395" spans="1:18" x14ac:dyDescent="0.25">
      <c r="A395" s="88">
        <v>381</v>
      </c>
      <c r="B395" s="82"/>
      <c r="C395" s="97">
        <f ca="1">_xll.meDateFromTenor(C394,"1D","FOLLOWING","TGT")</f>
        <v>43059</v>
      </c>
      <c r="D395" s="95">
        <f ca="1"/>
        <v>-4.2109746902100342E-3</v>
      </c>
      <c r="E395" s="92"/>
      <c r="F395" s="97">
        <f ca="1">_xll.meDateFromTenor(F394,"1D","FOLLOWING","TGT")</f>
        <v>43059</v>
      </c>
      <c r="G395" s="95">
        <f ca="1"/>
        <v>-4.0502638406932356E-3</v>
      </c>
      <c r="H395" s="92" t="s">
        <v>4</v>
      </c>
      <c r="I395" s="97">
        <f ca="1">_xll.meDateFromTenor(I394,"1D","FOLLOWING","TGT")</f>
        <v>43059</v>
      </c>
      <c r="J395" s="95">
        <f ca="1"/>
        <v>-3.8184160117683084E-3</v>
      </c>
      <c r="K395" s="5" t="s">
        <v>4</v>
      </c>
      <c r="L395" s="97">
        <f ca="1">_xll.meDateFromTenor(L394,"1D","FOLLOWING","TGT")</f>
        <v>43059</v>
      </c>
      <c r="M395" s="95">
        <f ca="1"/>
        <v>-1.7540183538094156E-3</v>
      </c>
      <c r="N395" s="5" t="s">
        <v>4</v>
      </c>
      <c r="O395" s="97">
        <f ca="1">_xll.meDateFromTenor(O394,"1D","FOLLOWING","TGT")</f>
        <v>43059</v>
      </c>
      <c r="P395" s="95">
        <f ca="1"/>
        <v>1.6703151652783848E-4</v>
      </c>
      <c r="Q395" s="5" t="s">
        <v>4</v>
      </c>
      <c r="R395" s="83" t="s">
        <v>4</v>
      </c>
    </row>
    <row r="396" spans="1:18" x14ac:dyDescent="0.25">
      <c r="A396" s="88">
        <v>382</v>
      </c>
      <c r="B396" s="82"/>
      <c r="C396" s="97">
        <f ca="1">_xll.meDateFromTenor(C395,"1D","FOLLOWING","TGT")</f>
        <v>43060</v>
      </c>
      <c r="D396" s="95">
        <f ca="1"/>
        <v>-4.2115537136094838E-3</v>
      </c>
      <c r="E396" s="92"/>
      <c r="F396" s="97">
        <f ca="1">_xll.meDateFromTenor(F395,"1D","FOLLOWING","TGT")</f>
        <v>43060</v>
      </c>
      <c r="G396" s="95">
        <f ca="1"/>
        <v>-4.0493685320227533E-3</v>
      </c>
      <c r="H396" s="92" t="s">
        <v>4</v>
      </c>
      <c r="I396" s="97">
        <f ca="1">_xll.meDateFromTenor(I395,"1D","FOLLOWING","TGT")</f>
        <v>43060</v>
      </c>
      <c r="J396" s="95">
        <f ca="1"/>
        <v>-3.814490479627293E-3</v>
      </c>
      <c r="K396" s="5" t="s">
        <v>4</v>
      </c>
      <c r="L396" s="97">
        <f ca="1">_xll.meDateFromTenor(L395,"1D","FOLLOWING","TGT")</f>
        <v>43060</v>
      </c>
      <c r="M396" s="95">
        <f ca="1"/>
        <v>-1.7521234783539994E-3</v>
      </c>
      <c r="N396" s="5" t="s">
        <v>4</v>
      </c>
      <c r="O396" s="97">
        <f ca="1">_xll.meDateFromTenor(O395,"1D","FOLLOWING","TGT")</f>
        <v>43060</v>
      </c>
      <c r="P396" s="95">
        <f ca="1"/>
        <v>1.6996858705998859E-4</v>
      </c>
      <c r="Q396" s="5" t="s">
        <v>4</v>
      </c>
      <c r="R396" s="83" t="s">
        <v>4</v>
      </c>
    </row>
    <row r="397" spans="1:18" x14ac:dyDescent="0.25">
      <c r="A397" s="88">
        <v>383</v>
      </c>
      <c r="B397" s="82"/>
      <c r="C397" s="97">
        <f ca="1">_xll.meDateFromTenor(C396,"1D","FOLLOWING","TGT")</f>
        <v>43061</v>
      </c>
      <c r="D397" s="95">
        <f ca="1"/>
        <v>-4.2121428599992683E-3</v>
      </c>
      <c r="E397" s="92"/>
      <c r="F397" s="97">
        <f ca="1">_xll.meDateFromTenor(F396,"1D","FOLLOWING","TGT")</f>
        <v>43061</v>
      </c>
      <c r="G397" s="95">
        <f ca="1"/>
        <v>-4.0484580964097053E-3</v>
      </c>
      <c r="H397" s="92" t="s">
        <v>4</v>
      </c>
      <c r="I397" s="97">
        <f ca="1">_xll.meDateFromTenor(I396,"1D","FOLLOWING","TGT")</f>
        <v>43061</v>
      </c>
      <c r="J397" s="95">
        <f ca="1"/>
        <v>-3.8091278905114205E-3</v>
      </c>
      <c r="K397" s="5" t="s">
        <v>4</v>
      </c>
      <c r="L397" s="97">
        <f ca="1">_xll.meDateFromTenor(L396,"1D","FOLLOWING","TGT")</f>
        <v>43061</v>
      </c>
      <c r="M397" s="95">
        <f ca="1"/>
        <v>-1.750228602898583E-3</v>
      </c>
      <c r="N397" s="5" t="s">
        <v>4</v>
      </c>
      <c r="O397" s="97">
        <f ca="1">_xll.meDateFromTenor(O396,"1D","FOLLOWING","TGT")</f>
        <v>43061</v>
      </c>
      <c r="P397" s="95">
        <f ca="1"/>
        <v>1.7291450783665498E-4</v>
      </c>
      <c r="Q397" s="5" t="s">
        <v>4</v>
      </c>
      <c r="R397" s="83" t="s">
        <v>4</v>
      </c>
    </row>
    <row r="398" spans="1:18" x14ac:dyDescent="0.25">
      <c r="A398" s="88">
        <v>384</v>
      </c>
      <c r="B398" s="82"/>
      <c r="C398" s="97">
        <f ca="1">_xll.meDateFromTenor(C397,"1D","FOLLOWING","TGT")</f>
        <v>43062</v>
      </c>
      <c r="D398" s="95">
        <f ca="1"/>
        <v>-4.212742129122593E-3</v>
      </c>
      <c r="E398" s="92"/>
      <c r="F398" s="97">
        <f ca="1">_xll.meDateFromTenor(F397,"1D","FOLLOWING","TGT")</f>
        <v>43062</v>
      </c>
      <c r="G398" s="95">
        <f ca="1"/>
        <v>-4.0475320402403149E-3</v>
      </c>
      <c r="H398" s="92" t="s">
        <v>4</v>
      </c>
      <c r="I398" s="97">
        <f ca="1">_xll.meDateFromTenor(I397,"1D","FOLLOWING","TGT")</f>
        <v>43062</v>
      </c>
      <c r="J398" s="95">
        <f ca="1"/>
        <v>-3.8022845470036871E-3</v>
      </c>
      <c r="K398" s="5" t="s">
        <v>4</v>
      </c>
      <c r="L398" s="97">
        <f ca="1">_xll.meDateFromTenor(L397,"1D","FOLLOWING","TGT")</f>
        <v>43062</v>
      </c>
      <c r="M398" s="95">
        <f ca="1"/>
        <v>-1.7483337274431668E-3</v>
      </c>
      <c r="N398" s="5" t="s">
        <v>4</v>
      </c>
      <c r="O398" s="97">
        <f ca="1">_xll.meDateFromTenor(O397,"1D","FOLLOWING","TGT")</f>
        <v>43062</v>
      </c>
      <c r="P398" s="95">
        <f ca="1"/>
        <v>1.7586926582891874E-4</v>
      </c>
      <c r="Q398" s="5" t="s">
        <v>4</v>
      </c>
      <c r="R398" s="83" t="s">
        <v>4</v>
      </c>
    </row>
    <row r="399" spans="1:18" x14ac:dyDescent="0.25">
      <c r="A399" s="88">
        <v>385</v>
      </c>
      <c r="B399" s="82"/>
      <c r="C399" s="97">
        <f ca="1">_xll.meDateFromTenor(C398,"1D","FOLLOWING","TGT")</f>
        <v>43063</v>
      </c>
      <c r="D399" s="95">
        <f ca="1"/>
        <v>-4.2133515201253635E-3</v>
      </c>
      <c r="E399" s="92"/>
      <c r="F399" s="97">
        <f ca="1">_xll.meDateFromTenor(F398,"1D","FOLLOWING","TGT")</f>
        <v>43063</v>
      </c>
      <c r="G399" s="95">
        <f ca="1"/>
        <v>-4.0465898699008091E-3</v>
      </c>
      <c r="H399" s="92" t="s">
        <v>4</v>
      </c>
      <c r="I399" s="97">
        <f ca="1">_xll.meDateFromTenor(I398,"1D","FOLLOWING","TGT")</f>
        <v>43063</v>
      </c>
      <c r="J399" s="95">
        <f ca="1"/>
        <v>-3.7939167516870902E-3</v>
      </c>
      <c r="K399" s="5" t="s">
        <v>4</v>
      </c>
      <c r="L399" s="97">
        <f ca="1">_xll.meDateFromTenor(L398,"1D","FOLLOWING","TGT")</f>
        <v>43063</v>
      </c>
      <c r="M399" s="95">
        <f ca="1"/>
        <v>-1.7464388519877504E-3</v>
      </c>
      <c r="N399" s="5" t="s">
        <v>4</v>
      </c>
      <c r="O399" s="97">
        <f ca="1">_xll.meDateFromTenor(O398,"1D","FOLLOWING","TGT")</f>
        <v>43063</v>
      </c>
      <c r="P399" s="95">
        <f ca="1"/>
        <v>1.7883284800786195E-4</v>
      </c>
      <c r="Q399" s="5" t="s">
        <v>4</v>
      </c>
      <c r="R399" s="83" t="s">
        <v>4</v>
      </c>
    </row>
    <row r="400" spans="1:18" x14ac:dyDescent="0.25">
      <c r="A400" s="88">
        <v>386</v>
      </c>
      <c r="B400" s="82"/>
      <c r="C400" s="97">
        <f ca="1">_xll.meDateFromTenor(C399,"1D","FOLLOWING","TGT")</f>
        <v>43066</v>
      </c>
      <c r="D400" s="95">
        <f ca="1"/>
        <v>-4.2152404211194261E-3</v>
      </c>
      <c r="E400" s="92"/>
      <c r="F400" s="97">
        <f ca="1">_xll.meDateFromTenor(F399,"1D","FOLLOWING","TGT")</f>
        <v>43066</v>
      </c>
      <c r="G400" s="95">
        <f ca="1"/>
        <v>-4.0436617377238209E-3</v>
      </c>
      <c r="H400" s="92" t="s">
        <v>4</v>
      </c>
      <c r="I400" s="97">
        <f ca="1">_xll.meDateFromTenor(I399,"1D","FOLLOWING","TGT")</f>
        <v>43066</v>
      </c>
      <c r="J400" s="95">
        <f ca="1"/>
        <v>-3.7592296807140886E-3</v>
      </c>
      <c r="K400" s="5" t="s">
        <v>4</v>
      </c>
      <c r="L400" s="97">
        <f ca="1">_xll.meDateFromTenor(L399,"1D","FOLLOWING","TGT")</f>
        <v>43066</v>
      </c>
      <c r="M400" s="95">
        <f ca="1"/>
        <v>-1.7407542256215017E-3</v>
      </c>
      <c r="N400" s="5" t="s">
        <v>4</v>
      </c>
      <c r="O400" s="97">
        <f ca="1">_xll.meDateFromTenor(O399,"1D","FOLLOWING","TGT")</f>
        <v>43066</v>
      </c>
      <c r="P400" s="95">
        <f ca="1"/>
        <v>1.8777640937558116E-4</v>
      </c>
      <c r="Q400" s="5" t="s">
        <v>4</v>
      </c>
      <c r="R400" s="83" t="s">
        <v>4</v>
      </c>
    </row>
    <row r="401" spans="1:18" x14ac:dyDescent="0.25">
      <c r="A401" s="88">
        <v>387</v>
      </c>
      <c r="B401" s="82"/>
      <c r="C401" s="97">
        <f ca="1">_xll.meDateFromTenor(C400,"1D","FOLLOWING","TGT")</f>
        <v>43067</v>
      </c>
      <c r="D401" s="95">
        <f ca="1"/>
        <v>-4.2158902957504241E-3</v>
      </c>
      <c r="E401" s="92"/>
      <c r="F401" s="97">
        <f ca="1">_xll.meDateFromTenor(F400,"1D","FOLLOWING","TGT")</f>
        <v>43067</v>
      </c>
      <c r="G401" s="95">
        <f ca="1"/>
        <v>-4.0426501745660813E-3</v>
      </c>
      <c r="H401" s="92" t="s">
        <v>4</v>
      </c>
      <c r="I401" s="97">
        <f ca="1">_xll.meDateFromTenor(I400,"1D","FOLLOWING","TGT")</f>
        <v>43067</v>
      </c>
      <c r="J401" s="95">
        <f ca="1"/>
        <v>-3.7443271039920073E-3</v>
      </c>
      <c r="K401" s="5" t="s">
        <v>4</v>
      </c>
      <c r="L401" s="97">
        <f ca="1">_xll.meDateFromTenor(L400,"1D","FOLLOWING","TGT")</f>
        <v>43067</v>
      </c>
      <c r="M401" s="95">
        <f ca="1"/>
        <v>-1.7388593501660853E-3</v>
      </c>
      <c r="N401" s="5" t="s">
        <v>4</v>
      </c>
      <c r="O401" s="97">
        <f ca="1">_xll.meDateFromTenor(O400,"1D","FOLLOWING","TGT")</f>
        <v>43067</v>
      </c>
      <c r="P401" s="95">
        <f ca="1"/>
        <v>1.9077515801205596E-4</v>
      </c>
      <c r="Q401" s="5" t="s">
        <v>4</v>
      </c>
      <c r="R401" s="83" t="s">
        <v>4</v>
      </c>
    </row>
    <row r="402" spans="1:18" x14ac:dyDescent="0.25">
      <c r="A402" s="88">
        <v>388</v>
      </c>
      <c r="B402" s="82"/>
      <c r="C402" s="97">
        <f ca="1">_xll.meDateFromTenor(C401,"1D","FOLLOWING","TGT")</f>
        <v>43068</v>
      </c>
      <c r="D402" s="95">
        <f ca="1"/>
        <v>-4.2165502899365048E-3</v>
      </c>
      <c r="E402" s="92"/>
      <c r="F402" s="97">
        <f ca="1">_xll.meDateFromTenor(F401,"1D","FOLLOWING","TGT")</f>
        <v>43068</v>
      </c>
      <c r="G402" s="95">
        <f ca="1"/>
        <v>-4.0416200291693415E-3</v>
      </c>
      <c r="H402" s="92" t="s">
        <v>4</v>
      </c>
      <c r="I402" s="97">
        <f ca="1">_xll.meDateFromTenor(I401,"1D","FOLLOWING","TGT")</f>
        <v>43068</v>
      </c>
      <c r="J402" s="95">
        <f ca="1"/>
        <v>-3.7276815883760489E-3</v>
      </c>
      <c r="K402" s="5" t="s">
        <v>4</v>
      </c>
      <c r="L402" s="97">
        <f ca="1">_xll.meDateFromTenor(L401,"1D","FOLLOWING","TGT")</f>
        <v>43068</v>
      </c>
      <c r="M402" s="95">
        <f ca="1"/>
        <v>-1.7369644747106691E-3</v>
      </c>
      <c r="N402" s="5" t="s">
        <v>4</v>
      </c>
      <c r="O402" s="97">
        <f ca="1">_xll.meDateFromTenor(O401,"1D","FOLLOWING","TGT")</f>
        <v>43068</v>
      </c>
      <c r="P402" s="95">
        <f ca="1"/>
        <v>1.9378266569061728E-4</v>
      </c>
      <c r="Q402" s="5" t="s">
        <v>4</v>
      </c>
      <c r="R402" s="83" t="s">
        <v>4</v>
      </c>
    </row>
    <row r="403" spans="1:18" x14ac:dyDescent="0.25">
      <c r="A403" s="88">
        <v>389</v>
      </c>
      <c r="B403" s="82"/>
      <c r="C403" s="97">
        <f ca="1">_xll.meDateFromTenor(C402,"1D","FOLLOWING","TGT")</f>
        <v>43069</v>
      </c>
      <c r="D403" s="95">
        <f ca="1"/>
        <v>-4.2172204031399874E-3</v>
      </c>
      <c r="E403" s="92"/>
      <c r="F403" s="97">
        <f ca="1">_xll.meDateFromTenor(F402,"1D","FOLLOWING","TGT")</f>
        <v>43069</v>
      </c>
      <c r="G403" s="95">
        <f ca="1"/>
        <v>-4.0405708079198285E-3</v>
      </c>
      <c r="H403" s="92" t="s">
        <v>4</v>
      </c>
      <c r="I403" s="97">
        <f ca="1">_xll.meDateFromTenor(I402,"1D","FOLLOWING","TGT")</f>
        <v>43069</v>
      </c>
      <c r="J403" s="95">
        <f ca="1"/>
        <v>-3.709249436449207E-3</v>
      </c>
      <c r="K403" s="5" t="s">
        <v>4</v>
      </c>
      <c r="L403" s="97">
        <f ca="1">_xll.meDateFromTenor(L402,"1D","FOLLOWING","TGT")</f>
        <v>43069</v>
      </c>
      <c r="M403" s="95">
        <f ca="1"/>
        <v>-1.7350695992552527E-3</v>
      </c>
      <c r="N403" s="5" t="s">
        <v>4</v>
      </c>
      <c r="O403" s="97">
        <f ca="1">_xll.meDateFromTenor(O402,"1D","FOLLOWING","TGT")</f>
        <v>43069</v>
      </c>
      <c r="P403" s="95">
        <f ca="1"/>
        <v>1.9679891938234695E-4</v>
      </c>
      <c r="Q403" s="5" t="s">
        <v>4</v>
      </c>
      <c r="R403" s="83" t="s">
        <v>4</v>
      </c>
    </row>
    <row r="404" spans="1:18" x14ac:dyDescent="0.25">
      <c r="A404" s="88">
        <v>390</v>
      </c>
      <c r="B404" s="82"/>
      <c r="C404" s="97">
        <f ca="1">_xll.meDateFromTenor(C403,"1D","FOLLOWING","TGT")</f>
        <v>43070</v>
      </c>
      <c r="D404" s="95">
        <f ca="1"/>
        <v>-4.2179006349426507E-3</v>
      </c>
      <c r="E404" s="92"/>
      <c r="F404" s="97">
        <f ca="1">_xll.meDateFromTenor(F403,"1D","FOLLOWING","TGT")</f>
        <v>43070</v>
      </c>
      <c r="G404" s="95">
        <f ca="1"/>
        <v>-4.039502017203764E-3</v>
      </c>
      <c r="H404" s="92" t="s">
        <v>4</v>
      </c>
      <c r="I404" s="97">
        <f ca="1">_xll.meDateFromTenor(I403,"1D","FOLLOWING","TGT")</f>
        <v>43070</v>
      </c>
      <c r="J404" s="95">
        <f ca="1"/>
        <v>-3.6889869507944809E-3</v>
      </c>
      <c r="K404" s="5" t="s">
        <v>4</v>
      </c>
      <c r="L404" s="97">
        <f ca="1">_xll.meDateFromTenor(L403,"1D","FOLLOWING","TGT")</f>
        <v>43070</v>
      </c>
      <c r="M404" s="95">
        <f ca="1"/>
        <v>-1.7331747237998363E-3</v>
      </c>
      <c r="N404" s="5" t="s">
        <v>4</v>
      </c>
      <c r="O404" s="97">
        <f ca="1">_xll.meDateFromTenor(O403,"1D","FOLLOWING","TGT")</f>
        <v>43070</v>
      </c>
      <c r="P404" s="95">
        <f ca="1"/>
        <v>1.9982390605832628E-4</v>
      </c>
      <c r="Q404" s="5" t="s">
        <v>4</v>
      </c>
      <c r="R404" s="83" t="s">
        <v>4</v>
      </c>
    </row>
    <row r="405" spans="1:18" x14ac:dyDescent="0.25">
      <c r="A405" s="88">
        <v>391</v>
      </c>
      <c r="B405" s="82"/>
      <c r="C405" s="97">
        <f ca="1">_xll.meDateFromTenor(C404,"1D","FOLLOWING","TGT")</f>
        <v>43073</v>
      </c>
      <c r="D405" s="95">
        <f ca="1"/>
        <v>-4.2199978575808705E-3</v>
      </c>
      <c r="E405" s="92"/>
      <c r="F405" s="97">
        <f ca="1">_xll.meDateFromTenor(F404,"1D","FOLLOWING","TGT")</f>
        <v>43073</v>
      </c>
      <c r="G405" s="95">
        <f ca="1"/>
        <v>-4.0361732921184957E-3</v>
      </c>
      <c r="H405" s="92" t="s">
        <v>4</v>
      </c>
      <c r="I405" s="97">
        <f ca="1">_xll.meDateFromTenor(I404,"1D","FOLLOWING","TGT")</f>
        <v>43073</v>
      </c>
      <c r="J405" s="95">
        <f ca="1"/>
        <v>-3.6167805172929693E-3</v>
      </c>
      <c r="K405" s="5" t="s">
        <v>4</v>
      </c>
      <c r="L405" s="97">
        <f ca="1">_xll.meDateFromTenor(L404,"1D","FOLLOWING","TGT")</f>
        <v>43073</v>
      </c>
      <c r="M405" s="95">
        <f ca="1"/>
        <v>-1.7274900974335876E-3</v>
      </c>
      <c r="N405" s="5" t="s">
        <v>4</v>
      </c>
      <c r="O405" s="97">
        <f ca="1">_xll.meDateFromTenor(O404,"1D","FOLLOWING","TGT")</f>
        <v>43073</v>
      </c>
      <c r="P405" s="95">
        <f ca="1"/>
        <v>2.0895113370257662E-4</v>
      </c>
      <c r="Q405" s="5" t="s">
        <v>4</v>
      </c>
      <c r="R405" s="83" t="s">
        <v>4</v>
      </c>
    </row>
    <row r="406" spans="1:18" x14ac:dyDescent="0.25">
      <c r="A406" s="88">
        <v>392</v>
      </c>
      <c r="B406" s="82"/>
      <c r="C406" s="97">
        <f ca="1">_xll.meDateFromTenor(C405,"1D","FOLLOWING","TGT")</f>
        <v>43074</v>
      </c>
      <c r="D406" s="95">
        <f ca="1"/>
        <v>-4.2206934820954167E-3</v>
      </c>
      <c r="E406" s="92"/>
      <c r="F406" s="97">
        <f ca="1">_xll.meDateFromTenor(F405,"1D","FOLLOWING","TGT")</f>
        <v>43074</v>
      </c>
      <c r="G406" s="95">
        <f ca="1"/>
        <v>-4.035021510853146E-3</v>
      </c>
      <c r="H406" s="92" t="s">
        <v>4</v>
      </c>
      <c r="I406" s="97">
        <f ca="1">_xll.meDateFromTenor(I405,"1D","FOLLOWING","TGT")</f>
        <v>43074</v>
      </c>
      <c r="J406" s="95">
        <f ca="1"/>
        <v>-3.588793192768351E-3</v>
      </c>
      <c r="K406" s="5" t="s">
        <v>4</v>
      </c>
      <c r="L406" s="97">
        <f ca="1">_xll.meDateFromTenor(L405,"1D","FOLLOWING","TGT")</f>
        <v>43074</v>
      </c>
      <c r="M406" s="95">
        <f ca="1"/>
        <v>-1.7255830023150487E-3</v>
      </c>
      <c r="N406" s="5" t="s">
        <v>4</v>
      </c>
      <c r="O406" s="97">
        <f ca="1">_xll.meDateFromTenor(O405,"1D","FOLLOWING","TGT")</f>
        <v>43074</v>
      </c>
      <c r="P406" s="95">
        <f ca="1"/>
        <v>2.1201092202636953E-4</v>
      </c>
      <c r="Q406" s="5" t="s">
        <v>4</v>
      </c>
      <c r="R406" s="83" t="s">
        <v>4</v>
      </c>
    </row>
    <row r="407" spans="1:18" x14ac:dyDescent="0.25">
      <c r="A407" s="88">
        <v>393</v>
      </c>
      <c r="B407" s="82"/>
      <c r="C407" s="97">
        <f ca="1">_xll.meDateFromTenor(C406,"1D","FOLLOWING","TGT")</f>
        <v>43075</v>
      </c>
      <c r="D407" s="95">
        <f ca="1"/>
        <v>-4.221374146702872E-3</v>
      </c>
      <c r="E407" s="92"/>
      <c r="F407" s="97">
        <f ca="1">_xll.meDateFromTenor(F406,"1D","FOLLOWING","TGT")</f>
        <v>43075</v>
      </c>
      <c r="G407" s="95">
        <f ca="1"/>
        <v>-4.0338490327804701E-3</v>
      </c>
      <c r="H407" s="92" t="s">
        <v>4</v>
      </c>
      <c r="I407" s="97">
        <f ca="1">_xll.meDateFromTenor(I406,"1D","FOLLOWING","TGT")</f>
        <v>43075</v>
      </c>
      <c r="J407" s="95">
        <f ca="1"/>
        <v>-3.5589578687008905E-3</v>
      </c>
      <c r="K407" s="5" t="s">
        <v>4</v>
      </c>
      <c r="L407" s="97">
        <f ca="1">_xll.meDateFromTenor(L406,"1D","FOLLOWING","TGT")</f>
        <v>43075</v>
      </c>
      <c r="M407" s="95">
        <f ca="1"/>
        <v>-1.7236515624040659E-3</v>
      </c>
      <c r="N407" s="5" t="s">
        <v>4</v>
      </c>
      <c r="O407" s="97">
        <f ca="1">_xll.meDateFromTenor(O406,"1D","FOLLOWING","TGT")</f>
        <v>43075</v>
      </c>
      <c r="P407" s="95">
        <f ca="1"/>
        <v>2.1507937818981922E-4</v>
      </c>
      <c r="Q407" s="5" t="s">
        <v>4</v>
      </c>
      <c r="R407" s="83" t="s">
        <v>4</v>
      </c>
    </row>
    <row r="408" spans="1:18" x14ac:dyDescent="0.25">
      <c r="A408" s="88">
        <v>394</v>
      </c>
      <c r="B408" s="82"/>
      <c r="C408" s="97">
        <f ca="1">_xll.meDateFromTenor(C407,"1D","FOLLOWING","TGT")</f>
        <v>43076</v>
      </c>
      <c r="D408" s="95">
        <f ca="1"/>
        <v>-4.2220398524687175E-3</v>
      </c>
      <c r="E408" s="92"/>
      <c r="F408" s="97">
        <f ca="1">_xll.meDateFromTenor(F407,"1D","FOLLOWING","TGT")</f>
        <v>43076</v>
      </c>
      <c r="G408" s="95">
        <f ca="1"/>
        <v>-4.0326567050147982E-3</v>
      </c>
      <c r="H408" s="92" t="s">
        <v>4</v>
      </c>
      <c r="I408" s="97">
        <f ca="1">_xll.meDateFromTenor(I407,"1D","FOLLOWING","TGT")</f>
        <v>43076</v>
      </c>
      <c r="J408" s="95">
        <f ca="1"/>
        <v>-3.5274316689436346E-3</v>
      </c>
      <c r="K408" s="5" t="s">
        <v>4</v>
      </c>
      <c r="L408" s="97">
        <f ca="1">_xll.meDateFromTenor(L407,"1D","FOLLOWING","TGT")</f>
        <v>43076</v>
      </c>
      <c r="M408" s="95">
        <f ca="1"/>
        <v>-1.7216959195013415E-3</v>
      </c>
      <c r="N408" s="5" t="s">
        <v>4</v>
      </c>
      <c r="O408" s="97">
        <f ca="1">_xll.meDateFromTenor(O407,"1D","FOLLOWING","TGT")</f>
        <v>43076</v>
      </c>
      <c r="P408" s="95">
        <f ca="1"/>
        <v>2.1815648916400786E-4</v>
      </c>
      <c r="Q408" s="5" t="s">
        <v>4</v>
      </c>
      <c r="R408" s="83" t="s">
        <v>4</v>
      </c>
    </row>
    <row r="409" spans="1:18" x14ac:dyDescent="0.25">
      <c r="A409" s="88">
        <v>395</v>
      </c>
      <c r="B409" s="82"/>
      <c r="C409" s="97">
        <f ca="1">_xll.meDateFromTenor(C408,"1D","FOLLOWING","TGT")</f>
        <v>43077</v>
      </c>
      <c r="D409" s="95">
        <f ca="1"/>
        <v>-4.222690600139023E-3</v>
      </c>
      <c r="E409" s="92"/>
      <c r="F409" s="97">
        <f ca="1">_xll.meDateFromTenor(F408,"1D","FOLLOWING","TGT")</f>
        <v>43077</v>
      </c>
      <c r="G409" s="95">
        <f ca="1"/>
        <v>-4.0314453746704603E-3</v>
      </c>
      <c r="H409" s="92" t="s">
        <v>4</v>
      </c>
      <c r="I409" s="97">
        <f ca="1">_xll.meDateFromTenor(I408,"1D","FOLLOWING","TGT")</f>
        <v>43077</v>
      </c>
      <c r="J409" s="95">
        <f ca="1"/>
        <v>-3.4943717173496389E-3</v>
      </c>
      <c r="K409" s="5" t="s">
        <v>4</v>
      </c>
      <c r="L409" s="97">
        <f ca="1">_xll.meDateFromTenor(L408,"1D","FOLLOWING","TGT")</f>
        <v>43077</v>
      </c>
      <c r="M409" s="95">
        <f ca="1"/>
        <v>-1.7197162154075779E-3</v>
      </c>
      <c r="N409" s="5" t="s">
        <v>4</v>
      </c>
      <c r="O409" s="97">
        <f ca="1">_xll.meDateFromTenor(O408,"1D","FOLLOWING","TGT")</f>
        <v>43077</v>
      </c>
      <c r="P409" s="95">
        <f ca="1"/>
        <v>2.2124224192001629E-4</v>
      </c>
      <c r="Q409" s="5" t="s">
        <v>4</v>
      </c>
      <c r="R409" s="83" t="s">
        <v>4</v>
      </c>
    </row>
    <row r="410" spans="1:18" x14ac:dyDescent="0.25">
      <c r="A410" s="88">
        <v>396</v>
      </c>
      <c r="B410" s="82"/>
      <c r="C410" s="97">
        <f ca="1">_xll.meDateFromTenor(C409,"1D","FOLLOWING","TGT")</f>
        <v>43080</v>
      </c>
      <c r="D410" s="95">
        <f ca="1"/>
        <v>-4.2245531007572001E-3</v>
      </c>
      <c r="E410" s="92"/>
      <c r="F410" s="97">
        <f ca="1">_xll.meDateFromTenor(F409,"1D","FOLLOWING","TGT")</f>
        <v>43080</v>
      </c>
      <c r="G410" s="95">
        <f ca="1"/>
        <v>-4.0277058393087531E-3</v>
      </c>
      <c r="H410" s="92" t="s">
        <v>4</v>
      </c>
      <c r="I410" s="97">
        <f ca="1">_xll.meDateFromTenor(I409,"1D","FOLLOWING","TGT")</f>
        <v>43080</v>
      </c>
      <c r="J410" s="95">
        <f ca="1"/>
        <v>-3.3875605900777141E-3</v>
      </c>
      <c r="K410" s="5" t="s">
        <v>4</v>
      </c>
      <c r="L410" s="97">
        <f ca="1">_xll.meDateFromTenor(L409,"1D","FOLLOWING","TGT")</f>
        <v>43080</v>
      </c>
      <c r="M410" s="95">
        <f ca="1"/>
        <v>-1.7136341539870726E-3</v>
      </c>
      <c r="N410" s="5" t="s">
        <v>4</v>
      </c>
      <c r="O410" s="97">
        <f ca="1">_xll.meDateFromTenor(O409,"1D","FOLLOWING","TGT")</f>
        <v>43080</v>
      </c>
      <c r="P410" s="95">
        <f ca="1"/>
        <v>2.3055122058977779E-4</v>
      </c>
      <c r="Q410" s="5" t="s">
        <v>4</v>
      </c>
      <c r="R410" s="83" t="s">
        <v>4</v>
      </c>
    </row>
    <row r="411" spans="1:18" x14ac:dyDescent="0.25">
      <c r="A411" s="88">
        <v>397</v>
      </c>
      <c r="B411" s="82"/>
      <c r="C411" s="97">
        <f ca="1">_xll.meDateFromTenor(C410,"1D","FOLLOWING","TGT")</f>
        <v>43081</v>
      </c>
      <c r="D411" s="95">
        <f ca="1"/>
        <v>-4.2251440226996895E-3</v>
      </c>
      <c r="E411" s="92"/>
      <c r="F411" s="97">
        <f ca="1">_xll.meDateFromTenor(F410,"1D","FOLLOWING","TGT")</f>
        <v>43081</v>
      </c>
      <c r="G411" s="95">
        <f ca="1"/>
        <v>-4.0264269697930545E-3</v>
      </c>
      <c r="H411" s="92" t="s">
        <v>4</v>
      </c>
      <c r="I411" s="97">
        <f ca="1">_xll.meDateFromTenor(I410,"1D","FOLLOWING","TGT")</f>
        <v>43081</v>
      </c>
      <c r="J411" s="95">
        <f ca="1"/>
        <v>-3.3499368696672653E-3</v>
      </c>
      <c r="K411" s="5" t="s">
        <v>4</v>
      </c>
      <c r="L411" s="97">
        <f ca="1">_xll.meDateFromTenor(L410,"1D","FOLLOWING","TGT")</f>
        <v>43081</v>
      </c>
      <c r="M411" s="95">
        <f ca="1"/>
        <v>-1.7115596231361738E-3</v>
      </c>
      <c r="N411" s="5" t="s">
        <v>4</v>
      </c>
      <c r="O411" s="97">
        <f ca="1">_xll.meDateFromTenor(O410,"1D","FOLLOWING","TGT")</f>
        <v>43081</v>
      </c>
      <c r="P411" s="95">
        <f ca="1"/>
        <v>2.3367141018388194E-4</v>
      </c>
      <c r="Q411" s="5" t="s">
        <v>4</v>
      </c>
      <c r="R411" s="83" t="s">
        <v>4</v>
      </c>
    </row>
    <row r="412" spans="1:18" x14ac:dyDescent="0.25">
      <c r="A412" s="88">
        <v>398</v>
      </c>
      <c r="B412" s="82"/>
      <c r="C412" s="97">
        <f ca="1">_xll.meDateFromTenor(C411,"1D","FOLLOWING","TGT")</f>
        <v>43082</v>
      </c>
      <c r="D412" s="95">
        <f ca="1"/>
        <v>-4.2257199901089004E-3</v>
      </c>
      <c r="E412" s="92"/>
      <c r="F412" s="97">
        <f ca="1">_xll.meDateFromTenor(F411,"1D","FOLLOWING","TGT")</f>
        <v>43082</v>
      </c>
      <c r="G412" s="95">
        <f ca="1"/>
        <v>-4.0251333332703403E-3</v>
      </c>
      <c r="H412" s="92" t="s">
        <v>4</v>
      </c>
      <c r="I412" s="97">
        <f ca="1">_xll.meDateFromTenor(I411,"1D","FOLLOWING","TGT")</f>
        <v>43082</v>
      </c>
      <c r="J412" s="95">
        <f ca="1"/>
        <v>-3.3115650166853352E-3</v>
      </c>
      <c r="K412" s="5" t="s">
        <v>4</v>
      </c>
      <c r="L412" s="97">
        <f ca="1">_xll.meDateFromTenor(L411,"1D","FOLLOWING","TGT")</f>
        <v>43082</v>
      </c>
      <c r="M412" s="95">
        <f ca="1"/>
        <v>-1.7094617400977472E-3</v>
      </c>
      <c r="N412" s="5" t="s">
        <v>4</v>
      </c>
      <c r="O412" s="97">
        <f ca="1">_xll.meDateFromTenor(O411,"1D","FOLLOWING","TGT")</f>
        <v>43082</v>
      </c>
      <c r="P412" s="95">
        <f ca="1"/>
        <v>2.3680017641521329E-4</v>
      </c>
      <c r="Q412" s="5" t="s">
        <v>4</v>
      </c>
      <c r="R412" s="83" t="s">
        <v>4</v>
      </c>
    </row>
    <row r="413" spans="1:18" x14ac:dyDescent="0.25">
      <c r="A413" s="88">
        <v>399</v>
      </c>
      <c r="B413" s="82"/>
      <c r="C413" s="97">
        <f ca="1">_xll.meDateFromTenor(C412,"1D","FOLLOWING","TGT")</f>
        <v>43083</v>
      </c>
      <c r="D413" s="95">
        <f ca="1"/>
        <v>-4.2262810036078902E-3</v>
      </c>
      <c r="E413" s="92"/>
      <c r="F413" s="97">
        <f ca="1">_xll.meDateFromTenor(F412,"1D","FOLLOWING","TGT")</f>
        <v>43083</v>
      </c>
      <c r="G413" s="95">
        <f ca="1"/>
        <v>-4.0238257768549415E-3</v>
      </c>
      <c r="H413" s="92" t="s">
        <v>4</v>
      </c>
      <c r="I413" s="97">
        <f ca="1">_xll.meDateFromTenor(I412,"1D","FOLLOWING","TGT")</f>
        <v>43083</v>
      </c>
      <c r="J413" s="95">
        <f ca="1"/>
        <v>-3.2726021549849705E-3</v>
      </c>
      <c r="K413" s="5" t="s">
        <v>4</v>
      </c>
      <c r="L413" s="97">
        <f ca="1">_xll.meDateFromTenor(L412,"1D","FOLLOWING","TGT")</f>
        <v>43083</v>
      </c>
      <c r="M413" s="95">
        <f ca="1"/>
        <v>-1.7073406466724941E-3</v>
      </c>
      <c r="N413" s="5" t="s">
        <v>4</v>
      </c>
      <c r="O413" s="97">
        <f ca="1">_xll.meDateFromTenor(O412,"1D","FOLLOWING","TGT")</f>
        <v>43083</v>
      </c>
      <c r="P413" s="95">
        <f ca="1"/>
        <v>2.3993750625485411E-4</v>
      </c>
      <c r="Q413" s="5" t="s">
        <v>4</v>
      </c>
      <c r="R413" s="83" t="s">
        <v>4</v>
      </c>
    </row>
    <row r="414" spans="1:18" x14ac:dyDescent="0.25">
      <c r="A414" s="88">
        <v>400</v>
      </c>
      <c r="B414" s="82"/>
      <c r="C414" s="97">
        <f ca="1">_xll.meDateFromTenor(C413,"1D","FOLLOWING","TGT")</f>
        <v>43084</v>
      </c>
      <c r="D414" s="95">
        <f ca="1"/>
        <v>-4.2268270642168426E-3</v>
      </c>
      <c r="E414" s="92"/>
      <c r="F414" s="97">
        <f ca="1">_xll.meDateFromTenor(F413,"1D","FOLLOWING","TGT")</f>
        <v>43084</v>
      </c>
      <c r="G414" s="95">
        <f ca="1"/>
        <v>-4.0225051476611888E-3</v>
      </c>
      <c r="H414" s="92" t="s">
        <v>4</v>
      </c>
      <c r="I414" s="97">
        <f ca="1">_xll.meDateFromTenor(I413,"1D","FOLLOWING","TGT")</f>
        <v>43084</v>
      </c>
      <c r="J414" s="95">
        <f ca="1"/>
        <v>-3.2332054084192275E-3</v>
      </c>
      <c r="K414" s="5" t="s">
        <v>4</v>
      </c>
      <c r="L414" s="97">
        <f ca="1">_xll.meDateFromTenor(L413,"1D","FOLLOWING","TGT")</f>
        <v>43084</v>
      </c>
      <c r="M414" s="95">
        <f ca="1"/>
        <v>-1.7051964846611176E-3</v>
      </c>
      <c r="N414" s="5" t="s">
        <v>4</v>
      </c>
      <c r="O414" s="97">
        <f ca="1">_xll.meDateFromTenor(O413,"1D","FOLLOWING","TGT")</f>
        <v>43084</v>
      </c>
      <c r="P414" s="95">
        <f ca="1"/>
        <v>2.4308338667388511E-4</v>
      </c>
      <c r="Q414" s="5" t="s">
        <v>4</v>
      </c>
      <c r="R414" s="83" t="s">
        <v>4</v>
      </c>
    </row>
    <row r="415" spans="1:18" x14ac:dyDescent="0.25">
      <c r="A415" s="88">
        <v>401</v>
      </c>
      <c r="B415" s="82"/>
      <c r="C415" s="97">
        <f ca="1">_xll.meDateFromTenor(C414,"1D","FOLLOWING","TGT")</f>
        <v>43087</v>
      </c>
      <c r="D415" s="95">
        <f ca="1"/>
        <v>-4.2283755339995732E-3</v>
      </c>
      <c r="E415" s="92"/>
      <c r="F415" s="97">
        <f ca="1">_xll.meDateFromTenor(F414,"1D","FOLLOWING","TGT")</f>
        <v>43087</v>
      </c>
      <c r="G415" s="95">
        <f ca="1"/>
        <v>-4.0184732945531083E-3</v>
      </c>
      <c r="H415" s="92" t="s">
        <v>4</v>
      </c>
      <c r="I415" s="97">
        <f ca="1">_xll.meDateFromTenor(I414,"1D","FOLLOWING","TGT")</f>
        <v>43087</v>
      </c>
      <c r="J415" s="95">
        <f ca="1"/>
        <v>-3.1139830980602252E-3</v>
      </c>
      <c r="K415" s="5" t="s">
        <v>4</v>
      </c>
      <c r="L415" s="97">
        <f ca="1">_xll.meDateFromTenor(L414,"1D","FOLLOWING","TGT")</f>
        <v>43087</v>
      </c>
      <c r="M415" s="95">
        <f ca="1"/>
        <v>-1.6986270051172687E-3</v>
      </c>
      <c r="N415" s="5" t="s">
        <v>4</v>
      </c>
      <c r="O415" s="97">
        <f ca="1">_xll.meDateFromTenor(O414,"1D","FOLLOWING","TGT")</f>
        <v>43087</v>
      </c>
      <c r="P415" s="95">
        <f ca="1"/>
        <v>2.5257220111813729E-4</v>
      </c>
      <c r="Q415" s="5" t="s">
        <v>4</v>
      </c>
      <c r="R415" s="83" t="s">
        <v>4</v>
      </c>
    </row>
    <row r="416" spans="1:18" x14ac:dyDescent="0.25">
      <c r="A416" s="88">
        <v>402</v>
      </c>
      <c r="B416" s="82"/>
      <c r="C416" s="97">
        <f ca="1">_xll.meDateFromTenor(C415,"1D","FOLLOWING","TGT")</f>
        <v>43088</v>
      </c>
      <c r="D416" s="95">
        <f ca="1"/>
        <v>-4.2288617891770297E-3</v>
      </c>
      <c r="E416" s="92"/>
      <c r="F416" s="97">
        <f ca="1">_xll.meDateFromTenor(F415,"1D","FOLLOWING","TGT")</f>
        <v>43088</v>
      </c>
      <c r="G416" s="95">
        <f ca="1"/>
        <v>-4.0171088453892405E-3</v>
      </c>
      <c r="H416" s="92" t="s">
        <v>4</v>
      </c>
      <c r="I416" s="97">
        <f ca="1">_xll.meDateFromTenor(I415,"1D","FOLLOWING","TGT")</f>
        <v>43088</v>
      </c>
      <c r="J416" s="95">
        <f ca="1"/>
        <v>-3.0744220505634751E-3</v>
      </c>
      <c r="K416" s="5" t="s">
        <v>4</v>
      </c>
      <c r="L416" s="97">
        <f ca="1">_xll.meDateFromTenor(L415,"1D","FOLLOWING","TGT")</f>
        <v>43088</v>
      </c>
      <c r="M416" s="95">
        <f ca="1"/>
        <v>-1.6963919867684198E-3</v>
      </c>
      <c r="N416" s="5" t="s">
        <v>4</v>
      </c>
      <c r="O416" s="97">
        <f ca="1">_xll.meDateFromTenor(O415,"1D","FOLLOWING","TGT")</f>
        <v>43088</v>
      </c>
      <c r="P416" s="95">
        <f ca="1"/>
        <v>2.5575215356554552E-4</v>
      </c>
      <c r="Q416" s="5" t="s">
        <v>4</v>
      </c>
      <c r="R416" s="83" t="s">
        <v>4</v>
      </c>
    </row>
    <row r="417" spans="1:18" x14ac:dyDescent="0.25">
      <c r="A417" s="88">
        <v>403</v>
      </c>
      <c r="B417" s="82"/>
      <c r="C417" s="97">
        <f ca="1">_xll.meDateFromTenor(C416,"1D","FOLLOWING","TGT")</f>
        <v>43089</v>
      </c>
      <c r="D417" s="95">
        <f ca="1"/>
        <v>-4.2293330948042218E-3</v>
      </c>
      <c r="E417" s="92"/>
      <c r="F417" s="97">
        <f ca="1">_xll.meDateFromTenor(F416,"1D","FOLLOWING","TGT")</f>
        <v>43089</v>
      </c>
      <c r="G417" s="95">
        <f ca="1"/>
        <v>-4.0157355590186693E-3</v>
      </c>
      <c r="H417" s="92" t="s">
        <v>4</v>
      </c>
      <c r="I417" s="97">
        <f ca="1">_xll.meDateFromTenor(I416,"1D","FOLLOWING","TGT")</f>
        <v>43089</v>
      </c>
      <c r="J417" s="95">
        <f ca="1"/>
        <v>-3.0352127374665993E-3</v>
      </c>
      <c r="K417" s="5" t="s">
        <v>4</v>
      </c>
      <c r="L417" s="97">
        <f ca="1">_xll.meDateFromTenor(L416,"1D","FOLLOWING","TGT")</f>
        <v>43089</v>
      </c>
      <c r="M417" s="95">
        <f ca="1"/>
        <v>-1.6941346088369584E-3</v>
      </c>
      <c r="N417" s="5" t="s">
        <v>4</v>
      </c>
      <c r="O417" s="97">
        <f ca="1">_xll.meDateFromTenor(O416,"1D","FOLLOWING","TGT")</f>
        <v>43089</v>
      </c>
      <c r="P417" s="95">
        <f ca="1"/>
        <v>2.5894059144775214E-4</v>
      </c>
      <c r="Q417" s="5" t="s">
        <v>4</v>
      </c>
      <c r="R417" s="83" t="s">
        <v>4</v>
      </c>
    </row>
    <row r="418" spans="1:18" x14ac:dyDescent="0.25">
      <c r="A418" s="88">
        <v>404</v>
      </c>
      <c r="B418" s="82"/>
      <c r="C418" s="97">
        <f ca="1">_xll.meDateFromTenor(C417,"1D","FOLLOWING","TGT")</f>
        <v>43090</v>
      </c>
      <c r="D418" s="95">
        <f ca="1"/>
        <v>-4.2297894518970036E-3</v>
      </c>
      <c r="E418" s="92"/>
      <c r="F418" s="97">
        <f ca="1">_xll.meDateFromTenor(F417,"1D","FOLLOWING","TGT")</f>
        <v>43090</v>
      </c>
      <c r="G418" s="95">
        <f ca="1"/>
        <v>-4.0143542825557266E-3</v>
      </c>
      <c r="H418" s="92" t="s">
        <v>4</v>
      </c>
      <c r="I418" s="97">
        <f ca="1">_xll.meDateFromTenor(I417,"1D","FOLLOWING","TGT")</f>
        <v>43090</v>
      </c>
      <c r="J418" s="95">
        <f ca="1"/>
        <v>-2.9964880285683424E-3</v>
      </c>
      <c r="K418" s="5" t="s">
        <v>4</v>
      </c>
      <c r="L418" s="97">
        <f ca="1">_xll.meDateFromTenor(L417,"1D","FOLLOWING","TGT")</f>
        <v>43090</v>
      </c>
      <c r="M418" s="95">
        <f ca="1"/>
        <v>-1.6918550131235868E-3</v>
      </c>
      <c r="N418" s="5" t="s">
        <v>4</v>
      </c>
      <c r="O418" s="97">
        <f ca="1">_xll.meDateFromTenor(O417,"1D","FOLLOWING","TGT")</f>
        <v>43090</v>
      </c>
      <c r="P418" s="95">
        <f ca="1"/>
        <v>2.6213750173583828E-4</v>
      </c>
      <c r="Q418" s="5" t="s">
        <v>4</v>
      </c>
      <c r="R418" s="83" t="s">
        <v>4</v>
      </c>
    </row>
    <row r="419" spans="1:18" x14ac:dyDescent="0.25">
      <c r="A419" s="88">
        <v>405</v>
      </c>
      <c r="B419" s="82"/>
      <c r="C419" s="97">
        <f ca="1">_xll.meDateFromTenor(C418,"1D","FOLLOWING","TGT")</f>
        <v>43091</v>
      </c>
      <c r="D419" s="95">
        <f ca="1"/>
        <v>-4.2302308607149453E-3</v>
      </c>
      <c r="E419" s="92"/>
      <c r="F419" s="97">
        <f ca="1">_xll.meDateFromTenor(F418,"1D","FOLLOWING","TGT")</f>
        <v>43091</v>
      </c>
      <c r="G419" s="95">
        <f ca="1"/>
        <v>-4.0129658631147406E-3</v>
      </c>
      <c r="H419" s="92" t="s">
        <v>4</v>
      </c>
      <c r="I419" s="97">
        <f ca="1">_xll.meDateFromTenor(I418,"1D","FOLLOWING","TGT")</f>
        <v>43091</v>
      </c>
      <c r="J419" s="95">
        <f ca="1"/>
        <v>-2.95828377745021E-3</v>
      </c>
      <c r="K419" s="5" t="s">
        <v>4</v>
      </c>
      <c r="L419" s="97">
        <f ca="1">_xll.meDateFromTenor(L418,"1D","FOLLOWING","TGT")</f>
        <v>43091</v>
      </c>
      <c r="M419" s="95">
        <f ca="1"/>
        <v>-1.6895533414290076E-3</v>
      </c>
      <c r="N419" s="5" t="s">
        <v>4</v>
      </c>
      <c r="O419" s="97">
        <f ca="1">_xll.meDateFromTenor(O418,"1D","FOLLOWING","TGT")</f>
        <v>43091</v>
      </c>
      <c r="P419" s="95">
        <f ca="1"/>
        <v>2.6534287140088516E-4</v>
      </c>
      <c r="Q419" s="5" t="s">
        <v>4</v>
      </c>
      <c r="R419" s="83" t="s">
        <v>4</v>
      </c>
    </row>
    <row r="420" spans="1:18" x14ac:dyDescent="0.25">
      <c r="A420" s="88">
        <v>406</v>
      </c>
      <c r="B420" s="82"/>
      <c r="C420" s="97">
        <f ca="1">_xll.meDateFromTenor(C419,"1D","FOLLOWING","TGT")</f>
        <v>43096</v>
      </c>
      <c r="D420" s="95">
        <f ca="1"/>
        <v>-4.2322137095285317E-3</v>
      </c>
      <c r="E420" s="92"/>
      <c r="F420" s="97">
        <f ca="1">_xll.meDateFromTenor(F419,"1D","FOLLOWING","TGT")</f>
        <v>43096</v>
      </c>
      <c r="G420" s="95">
        <f ca="1"/>
        <v>-4.0059462702407298E-3</v>
      </c>
      <c r="H420" s="92" t="s">
        <v>4</v>
      </c>
      <c r="I420" s="97">
        <f ca="1">_xll.meDateFromTenor(I419,"1D","FOLLOWING","TGT")</f>
        <v>43096</v>
      </c>
      <c r="J420" s="95">
        <f ca="1"/>
        <v>-2.7754753720131034E-3</v>
      </c>
      <c r="K420" s="5" t="s">
        <v>4</v>
      </c>
      <c r="L420" s="97">
        <f ca="1">_xll.meDateFromTenor(L419,"1D","FOLLOWING","TGT")</f>
        <v>43096</v>
      </c>
      <c r="M420" s="95">
        <f ca="1"/>
        <v>-1.6777188062625688E-3</v>
      </c>
      <c r="N420" s="5" t="s">
        <v>4</v>
      </c>
      <c r="O420" s="97">
        <f ca="1">_xll.meDateFromTenor(O419,"1D","FOLLOWING","TGT")</f>
        <v>43096</v>
      </c>
      <c r="P420" s="95">
        <f ca="1"/>
        <v>2.8149615436838852E-4</v>
      </c>
      <c r="Q420" s="5" t="s">
        <v>4</v>
      </c>
      <c r="R420" s="83" t="s">
        <v>4</v>
      </c>
    </row>
    <row r="421" spans="1:18" x14ac:dyDescent="0.25">
      <c r="A421" s="88">
        <v>407</v>
      </c>
      <c r="B421" s="82"/>
      <c r="C421" s="97">
        <f ca="1">_xll.meDateFromTenor(C420,"1D","FOLLOWING","TGT")</f>
        <v>43097</v>
      </c>
      <c r="D421" s="95">
        <f ca="1"/>
        <v>-4.2325654452082251E-3</v>
      </c>
      <c r="E421" s="92"/>
      <c r="F421" s="97">
        <f ca="1">_xll.meDateFromTenor(F420,"1D","FOLLOWING","TGT")</f>
        <v>43097</v>
      </c>
      <c r="G421" s="95">
        <f ca="1"/>
        <v>-4.0045327823324218E-3</v>
      </c>
      <c r="H421" s="92" t="s">
        <v>4</v>
      </c>
      <c r="I421" s="97">
        <f ca="1">_xll.meDateFromTenor(I420,"1D","FOLLOWING","TGT")</f>
        <v>43097</v>
      </c>
      <c r="J421" s="95">
        <f ca="1"/>
        <v>-2.7406374576467458E-3</v>
      </c>
      <c r="K421" s="5" t="s">
        <v>4</v>
      </c>
      <c r="L421" s="97">
        <f ca="1">_xll.meDateFromTenor(L420,"1D","FOLLOWING","TGT")</f>
        <v>43097</v>
      </c>
      <c r="M421" s="95">
        <f ca="1"/>
        <v>-1.6752876564954885E-3</v>
      </c>
      <c r="N421" s="5" t="s">
        <v>4</v>
      </c>
      <c r="O421" s="97">
        <f ca="1">_xll.meDateFromTenor(O420,"1D","FOLLOWING","TGT")</f>
        <v>43097</v>
      </c>
      <c r="P421" s="95">
        <f ca="1"/>
        <v>2.8475200668791301E-4</v>
      </c>
      <c r="Q421" s="5" t="s">
        <v>4</v>
      </c>
      <c r="R421" s="83" t="s">
        <v>4</v>
      </c>
    </row>
    <row r="422" spans="1:18" x14ac:dyDescent="0.25">
      <c r="A422" s="88">
        <v>408</v>
      </c>
      <c r="B422" s="82"/>
      <c r="C422" s="97">
        <f ca="1">_xll.meDateFromTenor(C421,"1D","FOLLOWING","TGT")</f>
        <v>43098</v>
      </c>
      <c r="D422" s="95">
        <f ca="1"/>
        <v>-4.2329022377125547E-3</v>
      </c>
      <c r="E422" s="92"/>
      <c r="F422" s="97">
        <f ca="1">_xll.meDateFromTenor(F421,"1D","FOLLOWING","TGT")</f>
        <v>43098</v>
      </c>
      <c r="G422" s="95">
        <f ca="1"/>
        <v>-4.0031180812463846E-3</v>
      </c>
      <c r="H422" s="92" t="s">
        <v>4</v>
      </c>
      <c r="I422" s="97">
        <f ca="1">_xll.meDateFromTenor(I421,"1D","FOLLOWING","TGT")</f>
        <v>43098</v>
      </c>
      <c r="J422" s="95">
        <f ca="1"/>
        <v>-2.7064011977508554E-3</v>
      </c>
      <c r="K422" s="5" t="s">
        <v>4</v>
      </c>
      <c r="L422" s="97">
        <f ca="1">_xll.meDateFromTenor(L421,"1D","FOLLOWING","TGT")</f>
        <v>43098</v>
      </c>
      <c r="M422" s="95">
        <f ca="1"/>
        <v>-1.6728354233521161E-3</v>
      </c>
      <c r="N422" s="5" t="s">
        <v>4</v>
      </c>
      <c r="O422" s="97">
        <f ca="1">_xll.meDateFromTenor(O421,"1D","FOLLOWING","TGT")</f>
        <v>43098</v>
      </c>
      <c r="P422" s="95">
        <f ca="1"/>
        <v>2.880162271819693E-4</v>
      </c>
      <c r="Q422" s="5" t="s">
        <v>4</v>
      </c>
      <c r="R422" s="83" t="s">
        <v>4</v>
      </c>
    </row>
    <row r="423" spans="1:18" x14ac:dyDescent="0.25">
      <c r="A423" s="88">
        <v>409</v>
      </c>
      <c r="B423" s="82"/>
      <c r="C423" s="97">
        <f ca="1">_xll.meDateFromTenor(C422,"1D","FOLLOWING","TGT")</f>
        <v>43102</v>
      </c>
      <c r="D423" s="95">
        <f ca="1"/>
        <v>-4.2340999927454881E-3</v>
      </c>
      <c r="E423" s="92"/>
      <c r="F423" s="97">
        <f ca="1">_xll.meDateFromTenor(F422,"1D","FOLLOWING","TGT")</f>
        <v>43102</v>
      </c>
      <c r="G423" s="95">
        <f ca="1"/>
        <v>-3.9974640874115277E-3</v>
      </c>
      <c r="H423" s="92" t="s">
        <v>4</v>
      </c>
      <c r="I423" s="97">
        <f ca="1">_xll.meDateFromTenor(I422,"1D","FOLLOWING","TGT")</f>
        <v>43102</v>
      </c>
      <c r="J423" s="95">
        <f ca="1"/>
        <v>-2.575704693415858E-3</v>
      </c>
      <c r="K423" s="5" t="s">
        <v>4</v>
      </c>
      <c r="L423" s="97">
        <f ca="1">_xll.meDateFromTenor(L422,"1D","FOLLOWING","TGT")</f>
        <v>43102</v>
      </c>
      <c r="M423" s="95">
        <f ca="1"/>
        <v>-1.6628184930297472E-3</v>
      </c>
      <c r="N423" s="5" t="s">
        <v>4</v>
      </c>
      <c r="O423" s="97">
        <f ca="1">_xll.meDateFromTenor(O422,"1D","FOLLOWING","TGT")</f>
        <v>43102</v>
      </c>
      <c r="P423" s="95">
        <f ca="1"/>
        <v>3.0115653032513874E-4</v>
      </c>
      <c r="Q423" s="5" t="s">
        <v>4</v>
      </c>
      <c r="R423" s="83" t="s">
        <v>4</v>
      </c>
    </row>
    <row r="424" spans="1:18" x14ac:dyDescent="0.25">
      <c r="A424" s="88">
        <v>410</v>
      </c>
      <c r="B424" s="82"/>
      <c r="C424" s="97">
        <f ca="1">_xll.meDateFromTenor(C423,"1D","FOLLOWING","TGT")</f>
        <v>43103</v>
      </c>
      <c r="D424" s="95">
        <f ca="1"/>
        <v>-4.2343620810485483E-3</v>
      </c>
      <c r="E424" s="92"/>
      <c r="F424" s="97">
        <f ca="1">_xll.meDateFromTenor(F423,"1D","FOLLOWING","TGT")</f>
        <v>43103</v>
      </c>
      <c r="G424" s="95">
        <f ca="1"/>
        <v>-3.9960556867018864E-3</v>
      </c>
      <c r="H424" s="92" t="s">
        <v>4</v>
      </c>
      <c r="I424" s="97">
        <f ca="1">_xll.meDateFromTenor(I423,"1D","FOLLOWING","TGT")</f>
        <v>43103</v>
      </c>
      <c r="J424" s="95">
        <f ca="1"/>
        <v>-2.5446506987802132E-3</v>
      </c>
      <c r="K424" s="5" t="s">
        <v>4</v>
      </c>
      <c r="L424" s="97">
        <f ca="1">_xll.meDateFromTenor(L423,"1D","FOLLOWING","TGT")</f>
        <v>43103</v>
      </c>
      <c r="M424" s="95">
        <f ca="1"/>
        <v>-1.6602629700154469E-3</v>
      </c>
      <c r="N424" s="5" t="s">
        <v>4</v>
      </c>
      <c r="O424" s="97">
        <f ca="1">_xll.meDateFromTenor(O423,"1D","FOLLOWING","TGT")</f>
        <v>43103</v>
      </c>
      <c r="P424" s="95">
        <f ca="1"/>
        <v>3.0446239625807488E-4</v>
      </c>
      <c r="Q424" s="5" t="s">
        <v>4</v>
      </c>
      <c r="R424" s="83" t="s">
        <v>4</v>
      </c>
    </row>
    <row r="425" spans="1:18" x14ac:dyDescent="0.25">
      <c r="A425" s="88">
        <v>411</v>
      </c>
      <c r="B425" s="82"/>
      <c r="C425" s="97">
        <f ca="1">_xll.meDateFromTenor(C424,"1D","FOLLOWING","TGT")</f>
        <v>43104</v>
      </c>
      <c r="D425" s="95">
        <f ca="1"/>
        <v>-4.2346092308734873E-3</v>
      </c>
      <c r="E425" s="92"/>
      <c r="F425" s="97">
        <f ca="1">_xll.meDateFromTenor(F424,"1D","FOLLOWING","TGT")</f>
        <v>43104</v>
      </c>
      <c r="G425" s="95">
        <f ca="1"/>
        <v>-3.9946491128010821E-3</v>
      </c>
      <c r="H425" s="92" t="s">
        <v>4</v>
      </c>
      <c r="I425" s="97">
        <f ca="1">_xll.meDateFromTenor(I424,"1D","FOLLOWING","TGT")</f>
        <v>43104</v>
      </c>
      <c r="J425" s="95">
        <f ca="1"/>
        <v>-2.5142679557781916E-3</v>
      </c>
      <c r="K425" s="5" t="s">
        <v>4</v>
      </c>
      <c r="L425" s="97">
        <f ca="1">_xll.meDateFromTenor(L424,"1D","FOLLOWING","TGT")</f>
        <v>43104</v>
      </c>
      <c r="M425" s="95">
        <f ca="1"/>
        <v>-1.6576872144290673E-3</v>
      </c>
      <c r="N425" s="5" t="s">
        <v>4</v>
      </c>
      <c r="O425" s="97">
        <f ca="1">_xll.meDateFromTenor(O424,"1D","FOLLOWING","TGT")</f>
        <v>43104</v>
      </c>
      <c r="P425" s="95">
        <f ca="1"/>
        <v>3.0777655219203141E-4</v>
      </c>
      <c r="Q425" s="5" t="s">
        <v>4</v>
      </c>
      <c r="R425" s="83" t="s">
        <v>4</v>
      </c>
    </row>
    <row r="426" spans="1:18" x14ac:dyDescent="0.25">
      <c r="A426" s="88">
        <v>412</v>
      </c>
      <c r="B426" s="82"/>
      <c r="C426" s="97">
        <f ca="1">_xll.meDateFromTenor(C425,"1D","FOLLOWING","TGT")</f>
        <v>43105</v>
      </c>
      <c r="D426" s="95">
        <f ca="1"/>
        <v>-4.2348414423908354E-3</v>
      </c>
      <c r="E426" s="92"/>
      <c r="F426" s="97">
        <f ca="1">_xll.meDateFromTenor(F425,"1D","FOLLOWING","TGT")</f>
        <v>43105</v>
      </c>
      <c r="G426" s="95">
        <f ca="1"/>
        <v>-3.9932431701240325E-3</v>
      </c>
      <c r="H426" s="92" t="s">
        <v>4</v>
      </c>
      <c r="I426" s="97">
        <f ca="1">_xll.meDateFromTenor(I425,"1D","FOLLOWING","TGT")</f>
        <v>43105</v>
      </c>
      <c r="J426" s="95">
        <f ca="1"/>
        <v>-2.4845680639369897E-3</v>
      </c>
      <c r="K426" s="5" t="s">
        <v>4</v>
      </c>
      <c r="L426" s="97">
        <f ca="1">_xll.meDateFromTenor(L425,"1D","FOLLOWING","TGT")</f>
        <v>43105</v>
      </c>
      <c r="M426" s="95">
        <f ca="1"/>
        <v>-1.6550913680713113E-3</v>
      </c>
      <c r="N426" s="5" t="s">
        <v>4</v>
      </c>
      <c r="O426" s="97">
        <f ca="1">_xll.meDateFromTenor(O425,"1D","FOLLOWING","TGT")</f>
        <v>43105</v>
      </c>
      <c r="P426" s="95">
        <f ca="1"/>
        <v>3.1109898509809012E-4</v>
      </c>
      <c r="Q426" s="5" t="s">
        <v>4</v>
      </c>
      <c r="R426" s="83" t="s">
        <v>4</v>
      </c>
    </row>
    <row r="427" spans="1:18" x14ac:dyDescent="0.25">
      <c r="A427" s="88">
        <v>413</v>
      </c>
      <c r="B427" s="82"/>
      <c r="C427" s="97">
        <f ca="1">_xll.meDateFromTenor(C426,"1D","FOLLOWING","TGT")</f>
        <v>43108</v>
      </c>
      <c r="D427" s="95">
        <f ca="1"/>
        <v>-4.235448456510249E-3</v>
      </c>
      <c r="E427" s="92"/>
      <c r="F427" s="97">
        <f ca="1">_xll.meDateFromTenor(F426,"1D","FOLLOWING","TGT")</f>
        <v>43108</v>
      </c>
      <c r="G427" s="95">
        <f ca="1"/>
        <v>-3.9890171735845852E-3</v>
      </c>
      <c r="H427" s="92" t="s">
        <v>4</v>
      </c>
      <c r="I427" s="97">
        <f ca="1">_xll.meDateFromTenor(I426,"1D","FOLLOWING","TGT")</f>
        <v>43108</v>
      </c>
      <c r="J427" s="95">
        <f ca="1"/>
        <v>-2.3996814906502312E-3</v>
      </c>
      <c r="K427" s="5" t="s">
        <v>4</v>
      </c>
      <c r="L427" s="97">
        <f ca="1">_xll.meDateFromTenor(L426,"1D","FOLLOWING","TGT")</f>
        <v>43108</v>
      </c>
      <c r="M427" s="95">
        <f ca="1"/>
        <v>-1.6471847023768063E-3</v>
      </c>
      <c r="N427" s="5" t="s">
        <v>4</v>
      </c>
      <c r="O427" s="97">
        <f ca="1">_xll.meDateFromTenor(O426,"1D","FOLLOWING","TGT")</f>
        <v>43108</v>
      </c>
      <c r="P427" s="95">
        <f ca="1"/>
        <v>3.2111581535969216E-4</v>
      </c>
      <c r="Q427" s="5" t="s">
        <v>4</v>
      </c>
      <c r="R427" s="83" t="s">
        <v>4</v>
      </c>
    </row>
    <row r="428" spans="1:18" x14ac:dyDescent="0.25">
      <c r="A428" s="88">
        <v>414</v>
      </c>
      <c r="B428" s="82"/>
      <c r="C428" s="97">
        <f ca="1">_xll.meDateFromTenor(C427,"1D","FOLLOWING","TGT")</f>
        <v>43109</v>
      </c>
      <c r="D428" s="95">
        <f ca="1"/>
        <v>-4.2356209233713749E-3</v>
      </c>
      <c r="E428" s="92"/>
      <c r="F428" s="97">
        <f ca="1">_xll.meDateFromTenor(F427,"1D","FOLLOWING","TGT")</f>
        <v>43109</v>
      </c>
      <c r="G428" s="95">
        <f ca="1"/>
        <v>-3.9876017999517285E-3</v>
      </c>
      <c r="H428" s="92" t="s">
        <v>4</v>
      </c>
      <c r="I428" s="97">
        <f ca="1">_xll.meDateFromTenor(I427,"1D","FOLLOWING","TGT")</f>
        <v>43109</v>
      </c>
      <c r="J428" s="95">
        <f ca="1"/>
        <v>-2.372828998724234E-3</v>
      </c>
      <c r="K428" s="5" t="s">
        <v>4</v>
      </c>
      <c r="L428" s="97">
        <f ca="1">_xll.meDateFromTenor(L427,"1D","FOLLOWING","TGT")</f>
        <v>43109</v>
      </c>
      <c r="M428" s="95">
        <f ca="1"/>
        <v>-1.6445099109405662E-3</v>
      </c>
      <c r="N428" s="5" t="s">
        <v>4</v>
      </c>
      <c r="O428" s="97">
        <f ca="1">_xll.meDateFromTenor(O427,"1D","FOLLOWING","TGT")</f>
        <v>43109</v>
      </c>
      <c r="P428" s="95">
        <f ca="1"/>
        <v>3.2447122586497354E-4</v>
      </c>
      <c r="Q428" s="5" t="s">
        <v>4</v>
      </c>
      <c r="R428" s="83" t="s">
        <v>4</v>
      </c>
    </row>
    <row r="429" spans="1:18" x14ac:dyDescent="0.25">
      <c r="A429" s="88">
        <v>415</v>
      </c>
      <c r="B429" s="82"/>
      <c r="C429" s="97">
        <f ca="1">_xll.meDateFromTenor(C428,"1D","FOLLOWING","TGT")</f>
        <v>43110</v>
      </c>
      <c r="D429" s="95">
        <f ca="1"/>
        <v>-4.2357784559103884E-3</v>
      </c>
      <c r="E429" s="92"/>
      <c r="F429" s="97">
        <f ca="1">_xll.meDateFromTenor(F428,"1D","FOLLOWING","TGT")</f>
        <v>43110</v>
      </c>
      <c r="G429" s="95">
        <f ca="1"/>
        <v>-3.9861810796172122E-3</v>
      </c>
      <c r="H429" s="92" t="s">
        <v>4</v>
      </c>
      <c r="I429" s="97">
        <f ca="1">_xll.meDateFromTenor(I428,"1D","FOLLOWING","TGT")</f>
        <v>43110</v>
      </c>
      <c r="J429" s="95">
        <f ca="1"/>
        <v>-2.3467173555950186E-3</v>
      </c>
      <c r="K429" s="5" t="s">
        <v>4</v>
      </c>
      <c r="L429" s="97">
        <f ca="1">_xll.meDateFromTenor(L428,"1D","FOLLOWING","TGT")</f>
        <v>43110</v>
      </c>
      <c r="M429" s="95">
        <f ca="1"/>
        <v>-1.6418157377364605E-3</v>
      </c>
      <c r="N429" s="5" t="s">
        <v>4</v>
      </c>
      <c r="O429" s="97">
        <f ca="1">_xll.meDateFromTenor(O428,"1D","FOLLOWING","TGT")</f>
        <v>43110</v>
      </c>
      <c r="P429" s="95">
        <f ca="1"/>
        <v>3.2783484819776446E-4</v>
      </c>
      <c r="Q429" s="5" t="s">
        <v>4</v>
      </c>
      <c r="R429" s="83" t="s">
        <v>4</v>
      </c>
    </row>
    <row r="430" spans="1:18" x14ac:dyDescent="0.25">
      <c r="A430" s="88">
        <v>416</v>
      </c>
      <c r="B430" s="82"/>
      <c r="C430" s="97">
        <f ca="1">_xll.meDateFromTenor(C429,"1D","FOLLOWING","TGT")</f>
        <v>43111</v>
      </c>
      <c r="D430" s="95">
        <f ca="1"/>
        <v>-4.2359210543331249E-3</v>
      </c>
      <c r="E430" s="92"/>
      <c r="F430" s="97">
        <f ca="1">_xll.meDateFromTenor(F429,"1D","FOLLOWING","TGT")</f>
        <v>43111</v>
      </c>
      <c r="G430" s="95">
        <f ca="1"/>
        <v>-3.9847538169959533E-3</v>
      </c>
      <c r="H430" s="92" t="s">
        <v>4</v>
      </c>
      <c r="I430" s="97">
        <f ca="1">_xll.meDateFromTenor(I429,"1D","FOLLOWING","TGT")</f>
        <v>43111</v>
      </c>
      <c r="J430" s="95">
        <f ca="1"/>
        <v>-2.3213581607897816E-3</v>
      </c>
      <c r="K430" s="5" t="s">
        <v>4</v>
      </c>
      <c r="L430" s="97">
        <f ca="1">_xll.meDateFromTenor(L429,"1D","FOLLOWING","TGT")</f>
        <v>43111</v>
      </c>
      <c r="M430" s="95">
        <f ca="1"/>
        <v>-1.6391023245651921E-3</v>
      </c>
      <c r="N430" s="5" t="s">
        <v>4</v>
      </c>
      <c r="O430" s="97">
        <f ca="1">_xll.meDateFromTenor(O429,"1D","FOLLOWING","TGT")</f>
        <v>43111</v>
      </c>
      <c r="P430" s="95">
        <f ca="1"/>
        <v>3.3120666932914605E-4</v>
      </c>
      <c r="Q430" s="5" t="s">
        <v>4</v>
      </c>
      <c r="R430" s="83" t="s">
        <v>4</v>
      </c>
    </row>
    <row r="431" spans="1:18" x14ac:dyDescent="0.25">
      <c r="A431" s="88">
        <v>417</v>
      </c>
      <c r="B431" s="82"/>
      <c r="C431" s="97">
        <f ca="1">_xll.meDateFromTenor(C430,"1D","FOLLOWING","TGT")</f>
        <v>43112</v>
      </c>
      <c r="D431" s="95">
        <f ca="1"/>
        <v>-4.2360487200789887E-3</v>
      </c>
      <c r="E431" s="92"/>
      <c r="F431" s="97">
        <f ca="1">_xll.meDateFromTenor(F430,"1D","FOLLOWING","TGT")</f>
        <v>43112</v>
      </c>
      <c r="G431" s="95">
        <f ca="1"/>
        <v>-3.983318816502871E-3</v>
      </c>
      <c r="H431" s="92" t="s">
        <v>4</v>
      </c>
      <c r="I431" s="97">
        <f ca="1">_xll.meDateFromTenor(I430,"1D","FOLLOWING","TGT")</f>
        <v>43112</v>
      </c>
      <c r="J431" s="95">
        <f ca="1"/>
        <v>-2.2967630138357128E-3</v>
      </c>
      <c r="K431" s="5" t="s">
        <v>4</v>
      </c>
      <c r="L431" s="97">
        <f ca="1">_xll.meDateFromTenor(L430,"1D","FOLLOWING","TGT")</f>
        <v>43112</v>
      </c>
      <c r="M431" s="95">
        <f ca="1"/>
        <v>-1.6363698132274627E-3</v>
      </c>
      <c r="N431" s="5" t="s">
        <v>4</v>
      </c>
      <c r="O431" s="97">
        <f ca="1">_xll.meDateFromTenor(O430,"1D","FOLLOWING","TGT")</f>
        <v>43112</v>
      </c>
      <c r="P431" s="95">
        <f ca="1"/>
        <v>3.3458667623019987E-4</v>
      </c>
      <c r="Q431" s="5" t="s">
        <v>4</v>
      </c>
      <c r="R431" s="83" t="s">
        <v>4</v>
      </c>
    </row>
    <row r="432" spans="1:18" x14ac:dyDescent="0.25">
      <c r="A432" s="88">
        <v>418</v>
      </c>
      <c r="B432" s="82"/>
      <c r="C432" s="97">
        <f ca="1">_xll.meDateFromTenor(C431,"1D","FOLLOWING","TGT")</f>
        <v>43115</v>
      </c>
      <c r="D432" s="95">
        <f ca="1"/>
        <v>-4.2363421261243372E-3</v>
      </c>
      <c r="E432" s="92"/>
      <c r="F432" s="97">
        <f ca="1">_xll.meDateFromTenor(F431,"1D","FOLLOWING","TGT")</f>
        <v>43115</v>
      </c>
      <c r="G432" s="95">
        <f ca="1"/>
        <v>-3.9789554319418496E-3</v>
      </c>
      <c r="H432" s="92" t="s">
        <v>4</v>
      </c>
      <c r="I432" s="97">
        <f ca="1">_xll.meDateFromTenor(I431,"1D","FOLLOWING","TGT")</f>
        <v>43115</v>
      </c>
      <c r="J432" s="95">
        <f ca="1"/>
        <v>-2.227677855352436E-3</v>
      </c>
      <c r="K432" s="5" t="s">
        <v>4</v>
      </c>
      <c r="L432" s="97">
        <f ca="1">_xll.meDateFromTenor(L431,"1D","FOLLOWING","TGT")</f>
        <v>43115</v>
      </c>
      <c r="M432" s="95">
        <f ca="1"/>
        <v>-1.6280591082225306E-3</v>
      </c>
      <c r="N432" s="5" t="s">
        <v>4</v>
      </c>
      <c r="O432" s="97">
        <f ca="1">_xll.meDateFromTenor(O431,"1D","FOLLOWING","TGT")</f>
        <v>43115</v>
      </c>
      <c r="P432" s="95">
        <f ca="1"/>
        <v>3.4477568126221208E-4</v>
      </c>
      <c r="Q432" s="5" t="s">
        <v>4</v>
      </c>
      <c r="R432" s="83" t="s">
        <v>4</v>
      </c>
    </row>
    <row r="433" spans="1:18" x14ac:dyDescent="0.25">
      <c r="A433" s="88">
        <v>419</v>
      </c>
      <c r="B433" s="82"/>
      <c r="C433" s="97">
        <f ca="1">_xll.meDateFromTenor(C432,"1D","FOLLOWING","TGT")</f>
        <v>43116</v>
      </c>
      <c r="D433" s="95">
        <f ca="1"/>
        <v>-4.2364100667847682E-3</v>
      </c>
      <c r="E433" s="92"/>
      <c r="F433" s="97">
        <f ca="1">_xll.meDateFromTenor(F432,"1D","FOLLOWING","TGT")</f>
        <v>43116</v>
      </c>
      <c r="G433" s="95">
        <f ca="1"/>
        <v>-3.9774775241106421E-3</v>
      </c>
      <c r="H433" s="92" t="s">
        <v>4</v>
      </c>
      <c r="I433" s="97">
        <f ca="1">_xll.meDateFromTenor(I432,"1D","FOLLOWING","TGT")</f>
        <v>43116</v>
      </c>
      <c r="J433" s="95">
        <f ca="1"/>
        <v>-2.2062548950749672E-3</v>
      </c>
      <c r="K433" s="5" t="s">
        <v>4</v>
      </c>
      <c r="L433" s="97">
        <f ca="1">_xll.meDateFromTenor(L432,"1D","FOLLOWING","TGT")</f>
        <v>43116</v>
      </c>
      <c r="M433" s="95">
        <f ca="1"/>
        <v>-1.6252516222259798E-3</v>
      </c>
      <c r="N433" s="5" t="s">
        <v>4</v>
      </c>
      <c r="O433" s="97">
        <f ca="1">_xll.meDateFromTenor(O432,"1D","FOLLOWING","TGT")</f>
        <v>43116</v>
      </c>
      <c r="P433" s="95">
        <f ca="1"/>
        <v>3.4818830095277066E-4</v>
      </c>
      <c r="Q433" s="5" t="s">
        <v>4</v>
      </c>
      <c r="R433" s="83" t="s">
        <v>4</v>
      </c>
    </row>
    <row r="434" spans="1:18" x14ac:dyDescent="0.25">
      <c r="A434" s="88">
        <v>420</v>
      </c>
      <c r="B434" s="82"/>
      <c r="C434" s="97">
        <f ca="1">_xll.meDateFromTenor(C433,"1D","FOLLOWING","TGT")</f>
        <v>43117</v>
      </c>
      <c r="D434" s="95">
        <f ca="1"/>
        <v>-4.2364630778544132E-3</v>
      </c>
      <c r="E434" s="92"/>
      <c r="F434" s="97">
        <f ca="1">_xll.meDateFromTenor(F433,"1D","FOLLOWING","TGT")</f>
        <v>43117</v>
      </c>
      <c r="G434" s="95">
        <f ca="1"/>
        <v>-3.9759859004821962E-3</v>
      </c>
      <c r="H434" s="92" t="s">
        <v>4</v>
      </c>
      <c r="I434" s="97">
        <f ca="1">_xll.meDateFromTenor(I433,"1D","FOLLOWING","TGT")</f>
        <v>43117</v>
      </c>
      <c r="J434" s="95">
        <f ca="1"/>
        <v>-2.1856539802846296E-3</v>
      </c>
      <c r="K434" s="5" t="s">
        <v>4</v>
      </c>
      <c r="L434" s="97">
        <f ca="1">_xll.meDateFromTenor(L433,"1D","FOLLOWING","TGT")</f>
        <v>43117</v>
      </c>
      <c r="M434" s="95">
        <f ca="1"/>
        <v>-1.6224257470664795E-3</v>
      </c>
      <c r="N434" s="5" t="s">
        <v>4</v>
      </c>
      <c r="O434" s="97">
        <f ca="1">_xll.meDateFromTenor(O433,"1D","FOLLOWING","TGT")</f>
        <v>43117</v>
      </c>
      <c r="P434" s="95">
        <f ca="1"/>
        <v>3.5160904126840917E-4</v>
      </c>
      <c r="Q434" s="5" t="s">
        <v>4</v>
      </c>
      <c r="R434" s="83" t="s">
        <v>4</v>
      </c>
    </row>
    <row r="435" spans="1:18" x14ac:dyDescent="0.25">
      <c r="A435" s="88">
        <v>421</v>
      </c>
      <c r="B435" s="82"/>
      <c r="C435" s="97">
        <f ca="1">_xll.meDateFromTenor(C434,"1D","FOLLOWING","TGT")</f>
        <v>43118</v>
      </c>
      <c r="D435" s="95">
        <f ca="1"/>
        <v>-4.236501160411188E-3</v>
      </c>
      <c r="E435" s="92"/>
      <c r="F435" s="97">
        <f ca="1">_xll.meDateFromTenor(F434,"1D","FOLLOWING","TGT")</f>
        <v>43118</v>
      </c>
      <c r="G435" s="95">
        <f ca="1"/>
        <v>-3.9744793654714313E-3</v>
      </c>
      <c r="H435" s="92" t="s">
        <v>4</v>
      </c>
      <c r="I435" s="97">
        <f ca="1">_xll.meDateFromTenor(I434,"1D","FOLLOWING","TGT")</f>
        <v>43118</v>
      </c>
      <c r="J435" s="95">
        <f ca="1"/>
        <v>-2.1658867105086143E-3</v>
      </c>
      <c r="K435" s="5" t="s">
        <v>4</v>
      </c>
      <c r="L435" s="97">
        <f ca="1">_xll.meDateFromTenor(L434,"1D","FOLLOWING","TGT")</f>
        <v>43118</v>
      </c>
      <c r="M435" s="95">
        <f ca="1"/>
        <v>-1.6195816245447312E-3</v>
      </c>
      <c r="N435" s="5" t="s">
        <v>4</v>
      </c>
      <c r="O435" s="97">
        <f ca="1">_xll.meDateFromTenor(O434,"1D","FOLLOWING","TGT")</f>
        <v>43118</v>
      </c>
      <c r="P435" s="95">
        <f ca="1"/>
        <v>3.5503788918020938E-4</v>
      </c>
      <c r="Q435" s="5" t="s">
        <v>4</v>
      </c>
      <c r="R435" s="83" t="s">
        <v>4</v>
      </c>
    </row>
    <row r="436" spans="1:18" x14ac:dyDescent="0.25">
      <c r="A436" s="88">
        <v>422</v>
      </c>
      <c r="B436" s="82"/>
      <c r="C436" s="97">
        <f ca="1">_xll.meDateFromTenor(C435,"1D","FOLLOWING","TGT")</f>
        <v>43119</v>
      </c>
      <c r="D436" s="95">
        <f ca="1"/>
        <v>-4.2365243148935194E-3</v>
      </c>
      <c r="E436" s="92"/>
      <c r="F436" s="97">
        <f ca="1">_xll.meDateFromTenor(F435,"1D","FOLLOWING","TGT")</f>
        <v>43119</v>
      </c>
      <c r="G436" s="95">
        <f ca="1"/>
        <v>-3.9729567234932615E-3</v>
      </c>
      <c r="H436" s="92" t="s">
        <v>4</v>
      </c>
      <c r="I436" s="97">
        <f ca="1">_xll.meDateFromTenor(I435,"1D","FOLLOWING","TGT")</f>
        <v>43119</v>
      </c>
      <c r="J436" s="95">
        <f ca="1"/>
        <v>-2.1469646852741169E-3</v>
      </c>
      <c r="K436" s="5" t="s">
        <v>4</v>
      </c>
      <c r="L436" s="97">
        <f ca="1">_xll.meDateFromTenor(L435,"1D","FOLLOWING","TGT")</f>
        <v>43119</v>
      </c>
      <c r="M436" s="95">
        <f ca="1"/>
        <v>-1.6167193964614379E-3</v>
      </c>
      <c r="N436" s="5" t="s">
        <v>4</v>
      </c>
      <c r="O436" s="97">
        <f ca="1">_xll.meDateFromTenor(O435,"1D","FOLLOWING","TGT")</f>
        <v>43119</v>
      </c>
      <c r="P436" s="95">
        <f ca="1"/>
        <v>3.5847483165925233E-4</v>
      </c>
      <c r="Q436" s="5" t="s">
        <v>4</v>
      </c>
      <c r="R436" s="83" t="s">
        <v>4</v>
      </c>
    </row>
    <row r="437" spans="1:18" x14ac:dyDescent="0.25">
      <c r="A437" s="88">
        <v>423</v>
      </c>
      <c r="B437" s="82"/>
      <c r="C437" s="97">
        <f ca="1">_xll.meDateFromTenor(C436,"1D","FOLLOWING","TGT")</f>
        <v>43122</v>
      </c>
      <c r="D437" s="95">
        <f ca="1"/>
        <v>-4.2365042167489264E-3</v>
      </c>
      <c r="E437" s="92"/>
      <c r="F437" s="97">
        <f ca="1">_xll.meDateFromTenor(F436,"1D","FOLLOWING","TGT")</f>
        <v>43122</v>
      </c>
      <c r="G437" s="95">
        <f ca="1"/>
        <v>-3.9682801999035055E-3</v>
      </c>
      <c r="H437" s="92" t="s">
        <v>4</v>
      </c>
      <c r="I437" s="97">
        <f ca="1">_xll.meDateFromTenor(I436,"1D","FOLLOWING","TGT")</f>
        <v>43122</v>
      </c>
      <c r="J437" s="95">
        <f ca="1"/>
        <v>-2.0953860720916576E-3</v>
      </c>
      <c r="K437" s="5" t="s">
        <v>4</v>
      </c>
      <c r="L437" s="97">
        <f ca="1">_xll.meDateFromTenor(L436,"1D","FOLLOWING","TGT")</f>
        <v>43122</v>
      </c>
      <c r="M437" s="95">
        <f ca="1"/>
        <v>-1.608025496849309E-3</v>
      </c>
      <c r="N437" s="5" t="s">
        <v>4</v>
      </c>
      <c r="O437" s="97">
        <f ca="1">_xll.meDateFromTenor(O436,"1D","FOLLOWING","TGT")</f>
        <v>43122</v>
      </c>
      <c r="P437" s="95">
        <f ca="1"/>
        <v>3.6883409621065328E-4</v>
      </c>
      <c r="Q437" s="5" t="s">
        <v>4</v>
      </c>
      <c r="R437" s="83" t="s">
        <v>4</v>
      </c>
    </row>
    <row r="438" spans="1:18" x14ac:dyDescent="0.25">
      <c r="A438" s="88">
        <v>424</v>
      </c>
      <c r="B438" s="82"/>
      <c r="C438" s="97">
        <f ca="1">_xll.meDateFromTenor(C437,"1D","FOLLOWING","TGT")</f>
        <v>43123</v>
      </c>
      <c r="D438" s="95">
        <f ca="1"/>
        <v>-4.236467665943433E-3</v>
      </c>
      <c r="E438" s="92"/>
      <c r="F438" s="97">
        <f ca="1">_xll.meDateFromTenor(F437,"1D","FOLLOWING","TGT")</f>
        <v>43123</v>
      </c>
      <c r="G438" s="95">
        <f ca="1"/>
        <v>-3.9666811742048941E-3</v>
      </c>
      <c r="H438" s="92" t="s">
        <v>4</v>
      </c>
      <c r="I438" s="97">
        <f ca="1">_xll.meDateFromTenor(I437,"1D","FOLLOWING","TGT")</f>
        <v>43123</v>
      </c>
      <c r="J438" s="95">
        <f ca="1"/>
        <v>-2.0799610202951561E-3</v>
      </c>
      <c r="K438" s="5" t="s">
        <v>4</v>
      </c>
      <c r="L438" s="97">
        <f ca="1">_xll.meDateFromTenor(L437,"1D","FOLLOWING","TGT")</f>
        <v>43123</v>
      </c>
      <c r="M438" s="95">
        <f ca="1"/>
        <v>-1.6050922645268568E-3</v>
      </c>
      <c r="N438" s="5" t="s">
        <v>4</v>
      </c>
      <c r="O438" s="97">
        <f ca="1">_xll.meDateFromTenor(O437,"1D","FOLLOWING","TGT")</f>
        <v>43123</v>
      </c>
      <c r="P438" s="95">
        <f ca="1"/>
        <v>3.7230328666948279E-4</v>
      </c>
      <c r="Q438" s="5" t="s">
        <v>4</v>
      </c>
      <c r="R438" s="83" t="s">
        <v>4</v>
      </c>
    </row>
    <row r="439" spans="1:18" x14ac:dyDescent="0.25">
      <c r="A439" s="88">
        <v>425</v>
      </c>
      <c r="B439" s="82"/>
      <c r="C439" s="97">
        <f ca="1">_xll.meDateFromTenor(C438,"1D","FOLLOWING","TGT")</f>
        <v>43124</v>
      </c>
      <c r="D439" s="95">
        <f ca="1"/>
        <v>-4.2364161906444098E-3</v>
      </c>
      <c r="E439" s="92"/>
      <c r="F439" s="97">
        <f ca="1">_xll.meDateFromTenor(F438,"1D","FOLLOWING","TGT")</f>
        <v>43124</v>
      </c>
      <c r="G439" s="95">
        <f ca="1"/>
        <v>-3.9650600636134672E-3</v>
      </c>
      <c r="H439" s="92" t="s">
        <v>4</v>
      </c>
      <c r="I439" s="97">
        <f ca="1">_xll.meDateFromTenor(I438,"1D","FOLLOWING","TGT")</f>
        <v>43124</v>
      </c>
      <c r="J439" s="95">
        <f ca="1"/>
        <v>-2.065439210676135E-3</v>
      </c>
      <c r="K439" s="5" t="s">
        <v>4</v>
      </c>
      <c r="L439" s="97">
        <f ca="1">_xll.meDateFromTenor(L438,"1D","FOLLOWING","TGT")</f>
        <v>43124</v>
      </c>
      <c r="M439" s="95">
        <f ca="1"/>
        <v>-1.6021416356463709E-3</v>
      </c>
      <c r="N439" s="5" t="s">
        <v>4</v>
      </c>
      <c r="O439" s="97">
        <f ca="1">_xll.meDateFromTenor(O438,"1D","FOLLOWING","TGT")</f>
        <v>43124</v>
      </c>
      <c r="P439" s="95">
        <f ca="1"/>
        <v>3.7578050655096278E-4</v>
      </c>
      <c r="Q439" s="5" t="s">
        <v>4</v>
      </c>
      <c r="R439" s="83" t="s">
        <v>4</v>
      </c>
    </row>
    <row r="440" spans="1:18" x14ac:dyDescent="0.25">
      <c r="A440" s="88">
        <v>426</v>
      </c>
      <c r="B440" s="82"/>
      <c r="C440" s="97">
        <f ca="1">_xll.meDateFromTenor(C439,"1D","FOLLOWING","TGT")</f>
        <v>43125</v>
      </c>
      <c r="D440" s="95">
        <f ca="1"/>
        <v>-4.236349791605587E-3</v>
      </c>
      <c r="E440" s="92"/>
      <c r="F440" s="97">
        <f ca="1">_xll.meDateFromTenor(F439,"1D","FOLLOWING","TGT")</f>
        <v>43125</v>
      </c>
      <c r="G440" s="95">
        <f ca="1"/>
        <v>-3.9634156725441398E-3</v>
      </c>
      <c r="H440" s="92" t="s">
        <v>4</v>
      </c>
      <c r="I440" s="97">
        <f ca="1">_xll.meDateFromTenor(I439,"1D","FOLLOWING","TGT")</f>
        <v>43125</v>
      </c>
      <c r="J440" s="95">
        <f ca="1"/>
        <v>-2.0518322427617885E-3</v>
      </c>
      <c r="K440" s="5" t="s">
        <v>4</v>
      </c>
      <c r="L440" s="97">
        <f ca="1">_xll.meDateFromTenor(L439,"1D","FOLLOWING","TGT")</f>
        <v>43125</v>
      </c>
      <c r="M440" s="95">
        <f ca="1"/>
        <v>-1.5991737520085533E-3</v>
      </c>
      <c r="N440" s="5" t="s">
        <v>4</v>
      </c>
      <c r="O440" s="97">
        <f ca="1">_xll.meDateFromTenor(O439,"1D","FOLLOWING","TGT")</f>
        <v>43125</v>
      </c>
      <c r="P440" s="95">
        <f ca="1"/>
        <v>3.7926574282617432E-4</v>
      </c>
      <c r="Q440" s="5" t="s">
        <v>4</v>
      </c>
      <c r="R440" s="83" t="s">
        <v>4</v>
      </c>
    </row>
    <row r="441" spans="1:18" x14ac:dyDescent="0.25">
      <c r="A441" s="88">
        <v>427</v>
      </c>
      <c r="B441" s="82"/>
      <c r="C441" s="97">
        <f ca="1">_xll.meDateFromTenor(C440,"1D","FOLLOWING","TGT")</f>
        <v>43126</v>
      </c>
      <c r="D441" s="95">
        <f ca="1"/>
        <v>-4.2362684691822361E-3</v>
      </c>
      <c r="E441" s="92"/>
      <c r="F441" s="97">
        <f ca="1">_xll.meDateFromTenor(F440,"1D","FOLLOWING","TGT")</f>
        <v>43126</v>
      </c>
      <c r="G441" s="95">
        <f ca="1"/>
        <v>-3.9617468054118296E-3</v>
      </c>
      <c r="H441" s="92" t="s">
        <v>4</v>
      </c>
      <c r="I441" s="97">
        <f ca="1">_xll.meDateFromTenor(I440,"1D","FOLLOWING","TGT")</f>
        <v>43126</v>
      </c>
      <c r="J441" s="95">
        <f ca="1"/>
        <v>-2.0391517160793086E-3</v>
      </c>
      <c r="K441" s="5" t="s">
        <v>4</v>
      </c>
      <c r="L441" s="97">
        <f ca="1">_xll.meDateFromTenor(L440,"1D","FOLLOWING","TGT")</f>
        <v>43126</v>
      </c>
      <c r="M441" s="95">
        <f ca="1"/>
        <v>-1.596188755414106E-3</v>
      </c>
      <c r="N441" s="5" t="s">
        <v>4</v>
      </c>
      <c r="O441" s="97">
        <f ca="1">_xll.meDateFromTenor(O440,"1D","FOLLOWING","TGT")</f>
        <v>43126</v>
      </c>
      <c r="P441" s="95">
        <f ca="1"/>
        <v>3.8275898246619908E-4</v>
      </c>
      <c r="Q441" s="5" t="s">
        <v>4</v>
      </c>
      <c r="R441" s="83" t="s">
        <v>4</v>
      </c>
    </row>
    <row r="442" spans="1:18" x14ac:dyDescent="0.25">
      <c r="A442" s="88">
        <v>428</v>
      </c>
      <c r="B442" s="82"/>
      <c r="C442" s="97">
        <f ca="1">_xll.meDateFromTenor(C441,"1D","FOLLOWING","TGT")</f>
        <v>43129</v>
      </c>
      <c r="D442" s="95">
        <f ca="1"/>
        <v>-4.2359349705202165E-3</v>
      </c>
      <c r="E442" s="92"/>
      <c r="F442" s="97">
        <f ca="1">_xll.meDateFromTenor(F441,"1D","FOLLOWING","TGT")</f>
        <v>43129</v>
      </c>
      <c r="G442" s="95">
        <f ca="1"/>
        <v>-3.956581391786178E-3</v>
      </c>
      <c r="H442" s="92" t="s">
        <v>4</v>
      </c>
      <c r="I442" s="97">
        <f ca="1">_xll.meDateFromTenor(I441,"1D","FOLLOWING","TGT")</f>
        <v>43129</v>
      </c>
      <c r="J442" s="95">
        <f ca="1"/>
        <v>-2.0067847786949893E-3</v>
      </c>
      <c r="K442" s="5" t="s">
        <v>4</v>
      </c>
      <c r="L442" s="97">
        <f ca="1">_xll.meDateFromTenor(L441,"1D","FOLLOWING","TGT")</f>
        <v>43129</v>
      </c>
      <c r="M442" s="95">
        <f ca="1"/>
        <v>-1.5871325058980092E-3</v>
      </c>
      <c r="N442" s="5" t="s">
        <v>4</v>
      </c>
      <c r="O442" s="97">
        <f ca="1">_xll.meDateFromTenor(O441,"1D","FOLLOWING","TGT")</f>
        <v>43129</v>
      </c>
      <c r="P442" s="95">
        <f ca="1"/>
        <v>3.9328659128596926E-4</v>
      </c>
      <c r="Q442" s="5" t="s">
        <v>4</v>
      </c>
      <c r="R442" s="83" t="s">
        <v>4</v>
      </c>
    </row>
    <row r="443" spans="1:18" x14ac:dyDescent="0.25">
      <c r="A443" s="88">
        <v>429</v>
      </c>
      <c r="B443" s="82"/>
      <c r="C443" s="97">
        <f ca="1">_xll.meDateFromTenor(C442,"1D","FOLLOWING","TGT")</f>
        <v>43130</v>
      </c>
      <c r="D443" s="95">
        <f ca="1"/>
        <v>-4.2357939628336894E-3</v>
      </c>
      <c r="E443" s="92"/>
      <c r="F443" s="97">
        <f ca="1">_xll.meDateFromTenor(F442,"1D","FOLLOWING","TGT")</f>
        <v>43130</v>
      </c>
      <c r="G443" s="95">
        <f ca="1"/>
        <v>-3.9548026645511106E-3</v>
      </c>
      <c r="H443" s="92" t="s">
        <v>4</v>
      </c>
      <c r="I443" s="97">
        <f ca="1">_xll.meDateFromTenor(I442,"1D","FOLLOWING","TGT")</f>
        <v>43130</v>
      </c>
      <c r="J443" s="95">
        <f ca="1"/>
        <v>-1.9979260122119005E-3</v>
      </c>
      <c r="K443" s="5" t="s">
        <v>4</v>
      </c>
      <c r="L443" s="97">
        <f ca="1">_xll.meDateFromTenor(L442,"1D","FOLLOWING","TGT")</f>
        <v>43130</v>
      </c>
      <c r="M443" s="95">
        <f ca="1"/>
        <v>-1.5840804754840663E-3</v>
      </c>
      <c r="N443" s="5" t="s">
        <v>4</v>
      </c>
      <c r="O443" s="97">
        <f ca="1">_xll.meDateFromTenor(O442,"1D","FOLLOWING","TGT")</f>
        <v>43130</v>
      </c>
      <c r="P443" s="95">
        <f ca="1"/>
        <v>3.968117140960624E-4</v>
      </c>
      <c r="Q443" s="5" t="s">
        <v>4</v>
      </c>
      <c r="R443" s="83" t="s">
        <v>4</v>
      </c>
    </row>
    <row r="444" spans="1:18" x14ac:dyDescent="0.25">
      <c r="A444" s="88">
        <v>430</v>
      </c>
      <c r="B444" s="82"/>
      <c r="C444" s="97">
        <f ca="1">_xll.meDateFromTenor(C443,"1D","FOLLOWING","TGT")</f>
        <v>43131</v>
      </c>
      <c r="D444" s="95">
        <f ca="1"/>
        <v>-4.2356380353196776E-3</v>
      </c>
      <c r="E444" s="92"/>
      <c r="F444" s="97">
        <f ca="1">_xll.meDateFromTenor(F443,"1D","FOLLOWING","TGT")</f>
        <v>43131</v>
      </c>
      <c r="G444" s="95">
        <f ca="1"/>
        <v>-3.952993483327648E-3</v>
      </c>
      <c r="H444" s="92" t="s">
        <v>4</v>
      </c>
      <c r="I444" s="97">
        <f ca="1">_xll.meDateFromTenor(I443,"1D","FOLLOWING","TGT")</f>
        <v>43131</v>
      </c>
      <c r="J444" s="95">
        <f ca="1"/>
        <v>-1.9900516845966403E-3</v>
      </c>
      <c r="K444" s="5" t="s">
        <v>4</v>
      </c>
      <c r="L444" s="97">
        <f ca="1">_xll.meDateFromTenor(L443,"1D","FOLLOWING","TGT")</f>
        <v>43131</v>
      </c>
      <c r="M444" s="95">
        <f ca="1"/>
        <v>-1.5810120411170047E-3</v>
      </c>
      <c r="N444" s="5" t="s">
        <v>4</v>
      </c>
      <c r="O444" s="97">
        <f ca="1">_xll.meDateFromTenor(O443,"1D","FOLLOWING","TGT")</f>
        <v>43131</v>
      </c>
      <c r="P444" s="95">
        <f ca="1"/>
        <v>4.0034477512637678E-4</v>
      </c>
      <c r="Q444" s="5" t="s">
        <v>4</v>
      </c>
      <c r="R444" s="83" t="s">
        <v>4</v>
      </c>
    </row>
    <row r="445" spans="1:18" x14ac:dyDescent="0.25">
      <c r="A445" s="88">
        <v>431</v>
      </c>
      <c r="B445" s="82"/>
      <c r="C445" s="97">
        <f ca="1">_xll.meDateFromTenor(C444,"1D","FOLLOWING","TGT")</f>
        <v>43132</v>
      </c>
      <c r="D445" s="95">
        <f ca="1"/>
        <v>-4.2354671888467088E-3</v>
      </c>
      <c r="E445" s="92"/>
      <c r="F445" s="97">
        <f ca="1">_xll.meDateFromTenor(F444,"1D","FOLLOWING","TGT")</f>
        <v>43132</v>
      </c>
      <c r="G445" s="95">
        <f ca="1"/>
        <v>-3.9511526525307051E-3</v>
      </c>
      <c r="H445" s="92" t="s">
        <v>4</v>
      </c>
      <c r="I445" s="97">
        <f ca="1">_xll.meDateFromTenor(I444,"1D","FOLLOWING","TGT")</f>
        <v>43132</v>
      </c>
      <c r="J445" s="95">
        <f ca="1"/>
        <v>-1.9831733953764026E-3</v>
      </c>
      <c r="K445" s="5" t="s">
        <v>4</v>
      </c>
      <c r="L445" s="97">
        <f ca="1">_xll.meDateFromTenor(L444,"1D","FOLLOWING","TGT")</f>
        <v>43132</v>
      </c>
      <c r="M445" s="95">
        <f ca="1"/>
        <v>-1.577927344597527E-3</v>
      </c>
      <c r="N445" s="5" t="s">
        <v>4</v>
      </c>
      <c r="O445" s="97">
        <f ca="1">_xll.meDateFromTenor(O444,"1D","FOLLOWING","TGT")</f>
        <v>43132</v>
      </c>
      <c r="P445" s="95">
        <f ca="1"/>
        <v>4.0388576134799337E-4</v>
      </c>
      <c r="Q445" s="5" t="s">
        <v>4</v>
      </c>
      <c r="R445" s="83" t="s">
        <v>4</v>
      </c>
    </row>
    <row r="446" spans="1:18" x14ac:dyDescent="0.25">
      <c r="A446" s="88">
        <v>432</v>
      </c>
      <c r="B446" s="82"/>
      <c r="C446" s="97">
        <f ca="1">_xll.meDateFromTenor(C445,"1D","FOLLOWING","TGT")</f>
        <v>43133</v>
      </c>
      <c r="D446" s="95">
        <f ca="1"/>
        <v>-4.2352814242827552E-3</v>
      </c>
      <c r="E446" s="92"/>
      <c r="F446" s="97">
        <f ca="1">_xll.meDateFromTenor(F445,"1D","FOLLOWING","TGT")</f>
        <v>43133</v>
      </c>
      <c r="G446" s="95">
        <f ca="1"/>
        <v>-3.9492789765752014E-3</v>
      </c>
      <c r="H446" s="92" t="s">
        <v>4</v>
      </c>
      <c r="I446" s="97">
        <f ca="1">_xll.meDateFromTenor(I445,"1D","FOLLOWING","TGT")</f>
        <v>43133</v>
      </c>
      <c r="J446" s="95">
        <f ca="1"/>
        <v>-1.9773027440783807E-3</v>
      </c>
      <c r="K446" s="5" t="s">
        <v>4</v>
      </c>
      <c r="L446" s="97">
        <f ca="1">_xll.meDateFromTenor(L445,"1D","FOLLOWING","TGT")</f>
        <v>43133</v>
      </c>
      <c r="M446" s="95">
        <f ca="1"/>
        <v>-1.5748265277263356E-3</v>
      </c>
      <c r="N446" s="5" t="s">
        <v>4</v>
      </c>
      <c r="O446" s="97">
        <f ca="1">_xll.meDateFromTenor(O445,"1D","FOLLOWING","TGT")</f>
        <v>43133</v>
      </c>
      <c r="P446" s="95">
        <f ca="1"/>
        <v>4.0743465973199357E-4</v>
      </c>
      <c r="Q446" s="5" t="s">
        <v>4</v>
      </c>
      <c r="R446" s="83" t="s">
        <v>4</v>
      </c>
    </row>
    <row r="447" spans="1:18" x14ac:dyDescent="0.25">
      <c r="A447" s="88">
        <v>433</v>
      </c>
      <c r="B447" s="82"/>
      <c r="C447" s="97">
        <f ca="1">_xll.meDateFromTenor(C446,"1D","FOLLOWING","TGT")</f>
        <v>43136</v>
      </c>
      <c r="D447" s="95">
        <f ca="1"/>
        <v>-4.2346346277689628E-3</v>
      </c>
      <c r="E447" s="92"/>
      <c r="F447" s="97">
        <f ca="1">_xll.meDateFromTenor(F446,"1D","FOLLOWING","TGT")</f>
        <v>43136</v>
      </c>
      <c r="G447" s="95">
        <f ca="1"/>
        <v>-3.9434621309812293E-3</v>
      </c>
      <c r="H447" s="92" t="s">
        <v>4</v>
      </c>
      <c r="I447" s="97">
        <f ca="1">_xll.meDateFromTenor(I446,"1D","FOLLOWING","TGT")</f>
        <v>43136</v>
      </c>
      <c r="J447" s="95">
        <f ca="1"/>
        <v>-1.9658526129895312E-3</v>
      </c>
      <c r="K447" s="5" t="s">
        <v>4</v>
      </c>
      <c r="L447" s="97">
        <f ca="1">_xll.meDateFromTenor(L446,"1D","FOLLOWING","TGT")</f>
        <v>43136</v>
      </c>
      <c r="M447" s="95">
        <f ca="1"/>
        <v>-1.5654287730095002E-3</v>
      </c>
      <c r="N447" s="5" t="s">
        <v>4</v>
      </c>
      <c r="O447" s="97">
        <f ca="1">_xll.meDateFromTenor(O446,"1D","FOLLOWING","TGT")</f>
        <v>43136</v>
      </c>
      <c r="P447" s="95">
        <f ca="1"/>
        <v>4.1812869756911242E-4</v>
      </c>
      <c r="Q447" s="5" t="s">
        <v>4</v>
      </c>
      <c r="R447" s="83" t="s">
        <v>4</v>
      </c>
    </row>
    <row r="448" spans="1:18" x14ac:dyDescent="0.25">
      <c r="A448" s="88">
        <v>434</v>
      </c>
      <c r="B448" s="82"/>
      <c r="C448" s="97">
        <f ca="1">_xll.meDateFromTenor(C447,"1D","FOLLOWING","TGT")</f>
        <v>43137</v>
      </c>
      <c r="D448" s="95">
        <f ca="1"/>
        <v>-4.2343891971587944E-3</v>
      </c>
      <c r="E448" s="92"/>
      <c r="F448" s="97">
        <f ca="1">_xll.meDateFromTenor(F447,"1D","FOLLOWING","TGT")</f>
        <v>43137</v>
      </c>
      <c r="G448" s="95">
        <f ca="1"/>
        <v>-3.9414632198652919E-3</v>
      </c>
      <c r="H448" s="92" t="s">
        <v>4</v>
      </c>
      <c r="I448" s="97">
        <f ca="1">_xll.meDateFromTenor(I447,"1D","FOLLOWING","TGT")</f>
        <v>43137</v>
      </c>
      <c r="J448" s="95">
        <f ca="1"/>
        <v>-1.9641285086522964E-3</v>
      </c>
      <c r="K448" s="5" t="s">
        <v>4</v>
      </c>
      <c r="L448" s="97">
        <f ca="1">_xll.meDateFromTenor(L447,"1D","FOLLOWING","TGT")</f>
        <v>43137</v>
      </c>
      <c r="M448" s="95">
        <f ca="1"/>
        <v>-1.5622648927384756E-3</v>
      </c>
      <c r="N448" s="5" t="s">
        <v>4</v>
      </c>
      <c r="O448" s="97">
        <f ca="1">_xll.meDateFromTenor(O447,"1D","FOLLOWING","TGT")</f>
        <v>43137</v>
      </c>
      <c r="P448" s="95">
        <f ca="1"/>
        <v>4.2170911431346303E-4</v>
      </c>
      <c r="Q448" s="5" t="s">
        <v>4</v>
      </c>
      <c r="R448" s="83" t="s">
        <v>4</v>
      </c>
    </row>
    <row r="449" spans="1:18" x14ac:dyDescent="0.25">
      <c r="A449" s="88">
        <v>435</v>
      </c>
      <c r="B449" s="82"/>
      <c r="C449" s="97">
        <f ca="1">_xll.meDateFromTenor(C448,"1D","FOLLOWING","TGT")</f>
        <v>43138</v>
      </c>
      <c r="D449" s="95">
        <f ca="1"/>
        <v>-4.234128851513641E-3</v>
      </c>
      <c r="E449" s="92"/>
      <c r="F449" s="97">
        <f ca="1">_xll.meDateFromTenor(F448,"1D","FOLLOWING","TGT")</f>
        <v>43138</v>
      </c>
      <c r="G449" s="95">
        <f ca="1"/>
        <v>-3.9394372270651441E-3</v>
      </c>
      <c r="H449" s="92" t="s">
        <v>4</v>
      </c>
      <c r="I449" s="97">
        <f ca="1">_xll.meDateFromTenor(I448,"1D","FOLLOWING","TGT")</f>
        <v>43138</v>
      </c>
      <c r="J449" s="95">
        <f ca="1"/>
        <v>-1.9634700398732403E-3</v>
      </c>
      <c r="K449" s="5" t="s">
        <v>4</v>
      </c>
      <c r="L449" s="97">
        <f ca="1">_xll.meDateFromTenor(L448,"1D","FOLLOWING","TGT")</f>
        <v>43138</v>
      </c>
      <c r="M449" s="95">
        <f ca="1"/>
        <v>-1.5590856011192485E-3</v>
      </c>
      <c r="N449" s="5" t="s">
        <v>4</v>
      </c>
      <c r="O449" s="97">
        <f ca="1">_xll.meDateFromTenor(O448,"1D","FOLLOWING","TGT")</f>
        <v>43138</v>
      </c>
      <c r="P449" s="95">
        <f ca="1"/>
        <v>4.2529737807560472E-4</v>
      </c>
      <c r="Q449" s="5" t="s">
        <v>4</v>
      </c>
      <c r="R449" s="83" t="s">
        <v>4</v>
      </c>
    </row>
    <row r="450" spans="1:18" x14ac:dyDescent="0.25">
      <c r="A450" s="88">
        <v>436</v>
      </c>
      <c r="B450" s="82"/>
      <c r="C450" s="97">
        <f ca="1">_xll.meDateFromTenor(C449,"1D","FOLLOWING","TGT")</f>
        <v>43139</v>
      </c>
      <c r="D450" s="95">
        <f ca="1"/>
        <v>-4.2338535919359543E-3</v>
      </c>
      <c r="E450" s="92"/>
      <c r="F450" s="97">
        <f ca="1">_xll.meDateFromTenor(F449,"1D","FOLLOWING","TGT")</f>
        <v>43139</v>
      </c>
      <c r="G450" s="95">
        <f ca="1"/>
        <v>-3.9373858923456451E-3</v>
      </c>
      <c r="H450" s="92" t="s">
        <v>4</v>
      </c>
      <c r="I450" s="97">
        <f ca="1">_xll.meDateFromTenor(I449,"1D","FOLLOWING","TGT")</f>
        <v>43139</v>
      </c>
      <c r="J450" s="95">
        <f ca="1"/>
        <v>-1.963888806179555E-3</v>
      </c>
      <c r="K450" s="5" t="s">
        <v>4</v>
      </c>
      <c r="L450" s="97">
        <f ca="1">_xll.meDateFromTenor(L449,"1D","FOLLOWING","TGT")</f>
        <v>43139</v>
      </c>
      <c r="M450" s="95">
        <f ca="1"/>
        <v>-1.5558910399525211E-3</v>
      </c>
      <c r="N450" s="5" t="s">
        <v>4</v>
      </c>
      <c r="O450" s="97">
        <f ca="1">_xll.meDateFromTenor(O449,"1D","FOLLOWING","TGT")</f>
        <v>43139</v>
      </c>
      <c r="P450" s="95">
        <f ca="1"/>
        <v>4.2889347582661917E-4</v>
      </c>
      <c r="Q450" s="5" t="s">
        <v>4</v>
      </c>
      <c r="R450" s="83" t="s">
        <v>4</v>
      </c>
    </row>
    <row r="451" spans="1:18" x14ac:dyDescent="0.25">
      <c r="A451" s="88">
        <v>437</v>
      </c>
      <c r="B451" s="82"/>
      <c r="C451" s="97">
        <f ca="1">_xll.meDateFromTenor(C450,"1D","FOLLOWING","TGT")</f>
        <v>43140</v>
      </c>
      <c r="D451" s="95">
        <f ca="1"/>
        <v>-4.2335634190112659E-3</v>
      </c>
      <c r="E451" s="92"/>
      <c r="F451" s="97">
        <f ca="1">_xll.meDateFromTenor(F450,"1D","FOLLOWING","TGT")</f>
        <v>43140</v>
      </c>
      <c r="G451" s="95">
        <f ca="1"/>
        <v>-3.9353109554716558E-3</v>
      </c>
      <c r="H451" s="92" t="s">
        <v>4</v>
      </c>
      <c r="I451" s="97">
        <f ca="1">_xll.meDateFromTenor(I450,"1D","FOLLOWING","TGT")</f>
        <v>43140</v>
      </c>
      <c r="J451" s="95">
        <f ca="1"/>
        <v>-1.9653964070984343E-3</v>
      </c>
      <c r="K451" s="5" t="s">
        <v>4</v>
      </c>
      <c r="L451" s="97">
        <f ca="1">_xll.meDateFromTenor(L450,"1D","FOLLOWING","TGT")</f>
        <v>43140</v>
      </c>
      <c r="M451" s="95">
        <f ca="1"/>
        <v>-1.5526813510389952E-3</v>
      </c>
      <c r="N451" s="5" t="s">
        <v>4</v>
      </c>
      <c r="O451" s="97">
        <f ca="1">_xll.meDateFromTenor(O450,"1D","FOLLOWING","TGT")</f>
        <v>43140</v>
      </c>
      <c r="P451" s="95">
        <f ca="1"/>
        <v>4.324973945375882E-4</v>
      </c>
      <c r="Q451" s="5" t="s">
        <v>4</v>
      </c>
      <c r="R451" s="83" t="s">
        <v>4</v>
      </c>
    </row>
    <row r="452" spans="1:18" x14ac:dyDescent="0.25">
      <c r="A452" s="88">
        <v>438</v>
      </c>
      <c r="B452" s="82"/>
      <c r="C452" s="97">
        <f ca="1">_xll.meDateFromTenor(C451,"1D","FOLLOWING","TGT")</f>
        <v>43143</v>
      </c>
      <c r="D452" s="95">
        <f ca="1"/>
        <v>-4.2326034265046664E-3</v>
      </c>
      <c r="E452" s="92"/>
      <c r="F452" s="97">
        <f ca="1">_xll.meDateFromTenor(F451,"1D","FOLLOWING","TGT")</f>
        <v>43143</v>
      </c>
      <c r="G452" s="95">
        <f ca="1"/>
        <v>-3.9289619295713209E-3</v>
      </c>
      <c r="H452" s="92" t="s">
        <v>4</v>
      </c>
      <c r="I452" s="97">
        <f ca="1">_xll.meDateFromTenor(I451,"1D","FOLLOWING","TGT")</f>
        <v>43143</v>
      </c>
      <c r="J452" s="95">
        <f ca="1"/>
        <v>-1.9765682128023822E-3</v>
      </c>
      <c r="K452" s="5" t="s">
        <v>4</v>
      </c>
      <c r="L452" s="97">
        <f ca="1">_xll.meDateFromTenor(L451,"1D","FOLLOWING","TGT")</f>
        <v>43143</v>
      </c>
      <c r="M452" s="95">
        <f ca="1"/>
        <v>-1.5429629358246508E-3</v>
      </c>
      <c r="N452" s="5" t="s">
        <v>4</v>
      </c>
      <c r="O452" s="97">
        <f ca="1">_xll.meDateFromTenor(O451,"1D","FOLLOWING","TGT")</f>
        <v>43143</v>
      </c>
      <c r="P452" s="95">
        <f ca="1"/>
        <v>4.4335594614103551E-4</v>
      </c>
      <c r="Q452" s="5" t="s">
        <v>4</v>
      </c>
      <c r="R452" s="83" t="s">
        <v>4</v>
      </c>
    </row>
    <row r="453" spans="1:18" x14ac:dyDescent="0.25">
      <c r="A453" s="88">
        <v>439</v>
      </c>
      <c r="B453" s="82"/>
      <c r="C453" s="97">
        <f ca="1">_xll.meDateFromTenor(C452,"1D","FOLLOWING","TGT")</f>
        <v>43144</v>
      </c>
      <c r="D453" s="95">
        <f ca="1"/>
        <v>-4.232253606977654E-3</v>
      </c>
      <c r="E453" s="92"/>
      <c r="F453" s="97">
        <f ca="1">_xll.meDateFromTenor(F452,"1D","FOLLOWING","TGT")</f>
        <v>43144</v>
      </c>
      <c r="G453" s="95">
        <f ca="1"/>
        <v>-3.9268099817279514E-3</v>
      </c>
      <c r="H453" s="92" t="s">
        <v>4</v>
      </c>
      <c r="I453" s="97">
        <f ca="1">_xll.meDateFromTenor(I452,"1D","FOLLOWING","TGT")</f>
        <v>43144</v>
      </c>
      <c r="J453" s="95">
        <f ca="1"/>
        <v>-1.9825471474434445E-3</v>
      </c>
      <c r="K453" s="5" t="s">
        <v>4</v>
      </c>
      <c r="L453" s="97">
        <f ca="1">_xll.meDateFromTenor(L452,"1D","FOLLOWING","TGT")</f>
        <v>43144</v>
      </c>
      <c r="M453" s="95">
        <f ca="1"/>
        <v>-1.5396941539309549E-3</v>
      </c>
      <c r="N453" s="5" t="s">
        <v>4</v>
      </c>
      <c r="O453" s="97">
        <f ca="1">_xll.meDateFromTenor(O452,"1D","FOLLOWING","TGT")</f>
        <v>43144</v>
      </c>
      <c r="P453" s="95">
        <f ca="1"/>
        <v>4.4699101840263628E-4</v>
      </c>
      <c r="Q453" s="5" t="s">
        <v>4</v>
      </c>
      <c r="R453" s="83" t="s">
        <v>4</v>
      </c>
    </row>
    <row r="454" spans="1:18" x14ac:dyDescent="0.25">
      <c r="A454" s="88">
        <v>440</v>
      </c>
      <c r="B454" s="82"/>
      <c r="C454" s="97">
        <f ca="1">_xll.meDateFromTenor(C453,"1D","FOLLOWING","TGT")</f>
        <v>43145</v>
      </c>
      <c r="D454" s="95">
        <f ca="1"/>
        <v>-4.2318888772551189E-3</v>
      </c>
      <c r="E454" s="92"/>
      <c r="F454" s="97">
        <f ca="1">_xll.meDateFromTenor(F453,"1D","FOLLOWING","TGT")</f>
        <v>43145</v>
      </c>
      <c r="G454" s="95">
        <f ca="1"/>
        <v>-3.9246431305543826E-3</v>
      </c>
      <c r="H454" s="92" t="s">
        <v>4</v>
      </c>
      <c r="I454" s="97">
        <f ca="1">_xll.meDateFromTenor(I453,"1D","FOLLOWING","TGT")</f>
        <v>43145</v>
      </c>
      <c r="J454" s="95">
        <f ca="1"/>
        <v>-1.9896729143330343E-3</v>
      </c>
      <c r="K454" s="5" t="s">
        <v>4</v>
      </c>
      <c r="L454" s="97">
        <f ca="1">_xll.meDateFromTenor(L453,"1D","FOLLOWING","TGT")</f>
        <v>43145</v>
      </c>
      <c r="M454" s="95">
        <f ca="1"/>
        <v>-1.5364109532939715E-3</v>
      </c>
      <c r="N454" s="5" t="s">
        <v>4</v>
      </c>
      <c r="O454" s="97">
        <f ca="1">_xll.meDateFromTenor(O453,"1D","FOLLOWING","TGT")</f>
        <v>43145</v>
      </c>
      <c r="P454" s="95">
        <f ca="1"/>
        <v>4.5063384647959901E-4</v>
      </c>
      <c r="Q454" s="5" t="s">
        <v>4</v>
      </c>
      <c r="R454" s="83" t="s">
        <v>4</v>
      </c>
    </row>
    <row r="455" spans="1:18" x14ac:dyDescent="0.25">
      <c r="A455" s="88">
        <v>441</v>
      </c>
      <c r="B455" s="82"/>
      <c r="C455" s="97">
        <f ca="1">_xll.meDateFromTenor(C454,"1D","FOLLOWING","TGT")</f>
        <v>43146</v>
      </c>
      <c r="D455" s="95">
        <f ca="1"/>
        <v>-4.2315092383554687E-3</v>
      </c>
      <c r="E455" s="92"/>
      <c r="F455" s="97">
        <f ca="1">_xll.meDateFromTenor(F454,"1D","FOLLOWING","TGT")</f>
        <v>43146</v>
      </c>
      <c r="G455" s="95">
        <f ca="1"/>
        <v>-3.9224631158154746E-3</v>
      </c>
      <c r="H455" s="92" t="s">
        <v>4</v>
      </c>
      <c r="I455" s="97">
        <f ca="1">_xll.meDateFromTenor(I454,"1D","FOLLOWING","TGT")</f>
        <v>43146</v>
      </c>
      <c r="J455" s="95">
        <f ca="1"/>
        <v>-1.997957112998344E-3</v>
      </c>
      <c r="K455" s="5" t="s">
        <v>4</v>
      </c>
      <c r="L455" s="97">
        <f ca="1">_xll.meDateFromTenor(L454,"1D","FOLLOWING","TGT")</f>
        <v>43146</v>
      </c>
      <c r="M455" s="95">
        <f ca="1"/>
        <v>-1.5331134757144036E-3</v>
      </c>
      <c r="N455" s="5" t="s">
        <v>4</v>
      </c>
      <c r="O455" s="97">
        <f ca="1">_xll.meDateFromTenor(O454,"1D","FOLLOWING","TGT")</f>
        <v>43146</v>
      </c>
      <c r="P455" s="95">
        <f ca="1"/>
        <v>4.5428441734300521E-4</v>
      </c>
      <c r="Q455" s="5" t="s">
        <v>4</v>
      </c>
      <c r="R455" s="83" t="s">
        <v>4</v>
      </c>
    </row>
    <row r="456" spans="1:18" x14ac:dyDescent="0.25">
      <c r="A456" s="88">
        <v>442</v>
      </c>
      <c r="B456" s="82"/>
      <c r="C456" s="97">
        <f ca="1">_xll.meDateFromTenor(C455,"1D","FOLLOWING","TGT")</f>
        <v>43147</v>
      </c>
      <c r="D456" s="95">
        <f ca="1"/>
        <v>-4.2311146908190489E-3</v>
      </c>
      <c r="E456" s="92"/>
      <c r="F456" s="97">
        <f ca="1">_xll.meDateFromTenor(F455,"1D","FOLLOWING","TGT")</f>
        <v>43147</v>
      </c>
      <c r="G456" s="95">
        <f ca="1"/>
        <v>-3.9202716772760871E-3</v>
      </c>
      <c r="H456" s="92" t="s">
        <v>4</v>
      </c>
      <c r="I456" s="97">
        <f ca="1">_xll.meDateFromTenor(I455,"1D","FOLLOWING","TGT")</f>
        <v>43147</v>
      </c>
      <c r="J456" s="95">
        <f ca="1"/>
        <v>-2.0074113429665672E-3</v>
      </c>
      <c r="K456" s="5" t="s">
        <v>4</v>
      </c>
      <c r="L456" s="97">
        <f ca="1">_xll.meDateFromTenor(L455,"1D","FOLLOWING","TGT")</f>
        <v>43147</v>
      </c>
      <c r="M456" s="95">
        <f ca="1"/>
        <v>-1.529801862992953E-3</v>
      </c>
      <c r="N456" s="5" t="s">
        <v>4</v>
      </c>
      <c r="O456" s="97">
        <f ca="1">_xll.meDateFromTenor(O455,"1D","FOLLOWING","TGT")</f>
        <v>43147</v>
      </c>
      <c r="P456" s="95">
        <f ca="1"/>
        <v>4.5794271796393562E-4</v>
      </c>
      <c r="Q456" s="5" t="s">
        <v>4</v>
      </c>
      <c r="R456" s="83" t="s">
        <v>4</v>
      </c>
    </row>
    <row r="457" spans="1:18" x14ac:dyDescent="0.25">
      <c r="A457" s="88">
        <v>443</v>
      </c>
      <c r="B457" s="82"/>
      <c r="C457" s="97">
        <f ca="1">_xll.meDateFromTenor(C456,"1D","FOLLOWING","TGT")</f>
        <v>43150</v>
      </c>
      <c r="D457" s="95">
        <f ca="1"/>
        <v>-4.2298416035709829E-3</v>
      </c>
      <c r="E457" s="92"/>
      <c r="F457" s="97">
        <f ca="1">_xll.meDateFromTenor(F456,"1D","FOLLOWING","TGT")</f>
        <v>43150</v>
      </c>
      <c r="G457" s="95">
        <f ca="1"/>
        <v>-3.9136462165036256E-3</v>
      </c>
      <c r="H457" s="92" t="s">
        <v>4</v>
      </c>
      <c r="I457" s="97">
        <f ca="1">_xll.meDateFromTenor(I456,"1D","FOLLOWING","TGT")</f>
        <v>43150</v>
      </c>
      <c r="J457" s="95">
        <f ca="1"/>
        <v>-2.0429102159606402E-3</v>
      </c>
      <c r="K457" s="5" t="s">
        <v>4</v>
      </c>
      <c r="L457" s="97">
        <f ca="1">_xll.meDateFromTenor(L456,"1D","FOLLOWING","TGT")</f>
        <v>43150</v>
      </c>
      <c r="M457" s="95">
        <f ca="1"/>
        <v>-1.5197836319843293E-3</v>
      </c>
      <c r="N457" s="5" t="s">
        <v>4</v>
      </c>
      <c r="O457" s="97">
        <f ca="1">_xll.meDateFromTenor(O456,"1D","FOLLOWING","TGT")</f>
        <v>43150</v>
      </c>
      <c r="P457" s="95">
        <f ca="1"/>
        <v>4.6896386808269121E-4</v>
      </c>
      <c r="Q457" s="5" t="s">
        <v>4</v>
      </c>
      <c r="R457" s="83" t="s">
        <v>4</v>
      </c>
    </row>
    <row r="458" spans="1:18" x14ac:dyDescent="0.25">
      <c r="A458" s="88">
        <v>444</v>
      </c>
      <c r="B458" s="82"/>
      <c r="C458" s="97">
        <f ca="1">_xll.meDateFromTenor(C457,"1D","FOLLOWING","TGT")</f>
        <v>43151</v>
      </c>
      <c r="D458" s="95">
        <f ca="1"/>
        <v>-4.229387428546949E-3</v>
      </c>
      <c r="E458" s="92"/>
      <c r="F458" s="97">
        <f ca="1">_xll.meDateFromTenor(F457,"1D","FOLLOWING","TGT")</f>
        <v>43151</v>
      </c>
      <c r="G458" s="95">
        <f ca="1"/>
        <v>-3.9114264804109011E-3</v>
      </c>
      <c r="H458" s="92" t="s">
        <v>4</v>
      </c>
      <c r="I458" s="97">
        <f ca="1">_xll.meDateFromTenor(I457,"1D","FOLLOWING","TGT")</f>
        <v>43151</v>
      </c>
      <c r="J458" s="95">
        <f ca="1"/>
        <v>-2.0571605664124418E-3</v>
      </c>
      <c r="K458" s="5" t="s">
        <v>4</v>
      </c>
      <c r="L458" s="97">
        <f ca="1">_xll.meDateFromTenor(L457,"1D","FOLLOWING","TGT")</f>
        <v>43151</v>
      </c>
      <c r="M458" s="95">
        <f ca="1"/>
        <v>-1.5164168967023715E-3</v>
      </c>
      <c r="N458" s="5" t="s">
        <v>4</v>
      </c>
      <c r="O458" s="97">
        <f ca="1">_xll.meDateFromTenor(O457,"1D","FOLLOWING","TGT")</f>
        <v>43151</v>
      </c>
      <c r="P458" s="95">
        <f ca="1"/>
        <v>4.7265295744453555E-4</v>
      </c>
      <c r="Q458" s="5" t="s">
        <v>4</v>
      </c>
      <c r="R458" s="83" t="s">
        <v>4</v>
      </c>
    </row>
    <row r="459" spans="1:18" x14ac:dyDescent="0.25">
      <c r="A459" s="88">
        <v>445</v>
      </c>
      <c r="B459" s="82"/>
      <c r="C459" s="97">
        <f ca="1">_xll.meDateFromTenor(C458,"1D","FOLLOWING","TGT")</f>
        <v>43152</v>
      </c>
      <c r="D459" s="95">
        <f ca="1"/>
        <v>-4.228918348412769E-3</v>
      </c>
      <c r="E459" s="92"/>
      <c r="F459" s="97">
        <f ca="1">_xll.meDateFromTenor(F458,"1D","FOLLOWING","TGT")</f>
        <v>43152</v>
      </c>
      <c r="G459" s="95">
        <f ca="1"/>
        <v>-3.909204019341991E-3</v>
      </c>
      <c r="H459" s="92" t="s">
        <v>4</v>
      </c>
      <c r="I459" s="97">
        <f ca="1">_xll.meDateFromTenor(I458,"1D","FOLLOWING","TGT")</f>
        <v>43152</v>
      </c>
      <c r="J459" s="95">
        <f ca="1"/>
        <v>-2.0726389458031198E-3</v>
      </c>
      <c r="K459" s="5" t="s">
        <v>4</v>
      </c>
      <c r="L459" s="97">
        <f ca="1">_xll.meDateFromTenor(L458,"1D","FOLLOWING","TGT")</f>
        <v>43152</v>
      </c>
      <c r="M459" s="95">
        <f ca="1"/>
        <v>-1.5130367352820422E-3</v>
      </c>
      <c r="N459" s="5" t="s">
        <v>4</v>
      </c>
      <c r="O459" s="97">
        <f ca="1">_xll.meDateFromTenor(O458,"1D","FOLLOWING","TGT")</f>
        <v>43152</v>
      </c>
      <c r="P459" s="95">
        <f ca="1"/>
        <v>4.7634971141931223E-4</v>
      </c>
      <c r="Q459" s="5" t="s">
        <v>4</v>
      </c>
      <c r="R459" s="83" t="s">
        <v>4</v>
      </c>
    </row>
    <row r="460" spans="1:18" x14ac:dyDescent="0.25">
      <c r="A460" s="88">
        <v>446</v>
      </c>
      <c r="B460" s="82"/>
      <c r="C460" s="97">
        <f ca="1">_xll.meDateFromTenor(C459,"1D","FOLLOWING","TGT")</f>
        <v>43153</v>
      </c>
      <c r="D460" s="95">
        <f ca="1"/>
        <v>-4.2284343635454746E-3</v>
      </c>
      <c r="E460" s="92"/>
      <c r="F460" s="97">
        <f ca="1">_xll.meDateFromTenor(F459,"1D","FOLLOWING","TGT")</f>
        <v>43153</v>
      </c>
      <c r="G460" s="95">
        <f ca="1"/>
        <v>-3.9069805730617526E-3</v>
      </c>
      <c r="H460" s="92" t="s">
        <v>4</v>
      </c>
      <c r="I460" s="97">
        <f ca="1">_xll.meDateFromTenor(I459,"1D","FOLLOWING","TGT")</f>
        <v>43153</v>
      </c>
      <c r="J460" s="95">
        <f ca="1"/>
        <v>-2.0893569536598678E-3</v>
      </c>
      <c r="K460" s="5" t="s">
        <v>4</v>
      </c>
      <c r="L460" s="97">
        <f ca="1">_xll.meDateFromTenor(L459,"1D","FOLLOWING","TGT")</f>
        <v>43153</v>
      </c>
      <c r="M460" s="95">
        <f ca="1"/>
        <v>-1.5096432895240436E-3</v>
      </c>
      <c r="N460" s="5" t="s">
        <v>4</v>
      </c>
      <c r="O460" s="97">
        <f ca="1">_xll.meDateFromTenor(O459,"1D","FOLLOWING","TGT")</f>
        <v>43153</v>
      </c>
      <c r="P460" s="95">
        <f ca="1"/>
        <v>4.8005411697810287E-4</v>
      </c>
      <c r="Q460" s="5" t="s">
        <v>4</v>
      </c>
      <c r="R460" s="83" t="s">
        <v>4</v>
      </c>
    </row>
    <row r="461" spans="1:18" x14ac:dyDescent="0.25">
      <c r="A461" s="88">
        <v>447</v>
      </c>
      <c r="B461" s="82"/>
      <c r="C461" s="97">
        <f ca="1">_xll.meDateFromTenor(C460,"1D","FOLLOWING","TGT")</f>
        <v>43154</v>
      </c>
      <c r="D461" s="95">
        <f ca="1"/>
        <v>-4.2279354751172393E-3</v>
      </c>
      <c r="E461" s="92"/>
      <c r="F461" s="97">
        <f ca="1">_xll.meDateFromTenor(F460,"1D","FOLLOWING","TGT")</f>
        <v>43154</v>
      </c>
      <c r="G461" s="95">
        <f ca="1"/>
        <v>-3.9047578813350445E-3</v>
      </c>
      <c r="H461" s="92" t="s">
        <v>4</v>
      </c>
      <c r="I461" s="97">
        <f ca="1">_xll.meDateFromTenor(I460,"1D","FOLLOWING","TGT")</f>
        <v>43154</v>
      </c>
      <c r="J461" s="95">
        <f ca="1"/>
        <v>-2.1073261895098775E-3</v>
      </c>
      <c r="K461" s="5" t="s">
        <v>4</v>
      </c>
      <c r="L461" s="97">
        <f ca="1">_xll.meDateFromTenor(L460,"1D","FOLLOWING","TGT")</f>
        <v>43154</v>
      </c>
      <c r="M461" s="95">
        <f ca="1"/>
        <v>-1.5062367012290785E-3</v>
      </c>
      <c r="N461" s="5" t="s">
        <v>4</v>
      </c>
      <c r="O461" s="97">
        <f ca="1">_xll.meDateFromTenor(O460,"1D","FOLLOWING","TGT")</f>
        <v>43154</v>
      </c>
      <c r="P461" s="95">
        <f ca="1"/>
        <v>4.837661610919886E-4</v>
      </c>
      <c r="Q461" s="5" t="s">
        <v>4</v>
      </c>
      <c r="R461" s="83" t="s">
        <v>4</v>
      </c>
    </row>
    <row r="462" spans="1:18" x14ac:dyDescent="0.25">
      <c r="A462" s="88">
        <v>448</v>
      </c>
      <c r="B462" s="82"/>
      <c r="C462" s="97">
        <f ca="1">_xll.meDateFromTenor(C461,"1D","FOLLOWING","TGT")</f>
        <v>43157</v>
      </c>
      <c r="D462" s="95">
        <f ca="1"/>
        <v>-4.2263493933349938E-3</v>
      </c>
      <c r="E462" s="92"/>
      <c r="F462" s="97">
        <f ca="1">_xll.meDateFromTenor(F461,"1D","FOLLOWING","TGT")</f>
        <v>43157</v>
      </c>
      <c r="G462" s="95">
        <f ca="1"/>
        <v>-3.8981117311246913E-3</v>
      </c>
      <c r="H462" s="92" t="s">
        <v>4</v>
      </c>
      <c r="I462" s="97">
        <f ca="1">_xll.meDateFromTenor(I461,"1D","FOLLOWING","TGT")</f>
        <v>43157</v>
      </c>
      <c r="J462" s="95">
        <f ca="1"/>
        <v>-2.1688572602914036E-3</v>
      </c>
      <c r="K462" s="5" t="s">
        <v>4</v>
      </c>
      <c r="L462" s="97">
        <f ca="1">_xll.meDateFromTenor(L461,"1D","FOLLOWING","TGT")</f>
        <v>43157</v>
      </c>
      <c r="M462" s="95">
        <f ca="1"/>
        <v>-1.4959394991294044E-3</v>
      </c>
      <c r="N462" s="5" t="s">
        <v>4</v>
      </c>
      <c r="O462" s="97">
        <f ca="1">_xll.meDateFromTenor(O461,"1D","FOLLOWING","TGT")</f>
        <v>43157</v>
      </c>
      <c r="P462" s="95">
        <f ca="1"/>
        <v>4.9494799447503187E-4</v>
      </c>
      <c r="Q462" s="5" t="s">
        <v>4</v>
      </c>
      <c r="R462" s="83" t="s">
        <v>4</v>
      </c>
    </row>
    <row r="463" spans="1:18" x14ac:dyDescent="0.25">
      <c r="A463" s="88">
        <v>449</v>
      </c>
      <c r="B463" s="82"/>
      <c r="C463" s="97">
        <f ca="1">_xll.meDateFromTenor(C462,"1D","FOLLOWING","TGT")</f>
        <v>43158</v>
      </c>
      <c r="D463" s="95">
        <f ca="1"/>
        <v>-4.225790896243975E-3</v>
      </c>
      <c r="E463" s="92"/>
      <c r="F463" s="97">
        <f ca="1">_xll.meDateFromTenor(F462,"1D","FOLLOWING","TGT")</f>
        <v>43158</v>
      </c>
      <c r="G463" s="95">
        <f ca="1"/>
        <v>-3.8959094552606928E-3</v>
      </c>
      <c r="H463" s="92" t="s">
        <v>4</v>
      </c>
      <c r="I463" s="97">
        <f ca="1">_xll.meDateFromTenor(I462,"1D","FOLLOWING","TGT")</f>
        <v>43158</v>
      </c>
      <c r="J463" s="95">
        <f ca="1"/>
        <v>-2.1919474033863877E-3</v>
      </c>
      <c r="K463" s="5" t="s">
        <v>4</v>
      </c>
      <c r="L463" s="97">
        <f ca="1">_xll.meDateFromTenor(L462,"1D","FOLLOWING","TGT")</f>
        <v>43158</v>
      </c>
      <c r="M463" s="95">
        <f ca="1"/>
        <v>-1.4924817586935942E-3</v>
      </c>
      <c r="N463" s="5" t="s">
        <v>4</v>
      </c>
      <c r="O463" s="97">
        <f ca="1">_xll.meDateFromTenor(O462,"1D","FOLLOWING","TGT")</f>
        <v>43158</v>
      </c>
      <c r="P463" s="95">
        <f ca="1"/>
        <v>4.9869046252011345E-4</v>
      </c>
      <c r="Q463" s="5" t="s">
        <v>4</v>
      </c>
      <c r="R463" s="83" t="s">
        <v>4</v>
      </c>
    </row>
    <row r="464" spans="1:18" x14ac:dyDescent="0.25">
      <c r="A464" s="88">
        <v>450</v>
      </c>
      <c r="B464" s="82"/>
      <c r="C464" s="97">
        <f ca="1">_xll.meDateFromTenor(C463,"1D","FOLLOWING","TGT")</f>
        <v>43159</v>
      </c>
      <c r="D464" s="95">
        <f ca="1"/>
        <v>-4.22521749869742E-3</v>
      </c>
      <c r="E464" s="92"/>
      <c r="F464" s="97">
        <f ca="1">_xll.meDateFromTenor(F463,"1D","FOLLOWING","TGT")</f>
        <v>43159</v>
      </c>
      <c r="G464" s="95">
        <f ca="1"/>
        <v>-3.8937166327745187E-3</v>
      </c>
      <c r="H464" s="92" t="s">
        <v>4</v>
      </c>
      <c r="I464" s="97">
        <f ca="1">_xll.meDateFromTenor(I463,"1D","FOLLOWING","TGT")</f>
        <v>43159</v>
      </c>
      <c r="J464" s="95">
        <f ca="1"/>
        <v>-2.2163467721105987E-3</v>
      </c>
      <c r="K464" s="5" t="s">
        <v>4</v>
      </c>
      <c r="L464" s="97">
        <f ca="1">_xll.meDateFromTenor(L463,"1D","FOLLOWING","TGT")</f>
        <v>43159</v>
      </c>
      <c r="M464" s="95">
        <f ca="1"/>
        <v>-1.4890115847243286E-3</v>
      </c>
      <c r="N464" s="5" t="s">
        <v>4</v>
      </c>
      <c r="O464" s="97">
        <f ca="1">_xll.meDateFromTenor(O463,"1D","FOLLOWING","TGT")</f>
        <v>43159</v>
      </c>
      <c r="P464" s="95">
        <f ca="1"/>
        <v>5.0244050397569781E-4</v>
      </c>
      <c r="Q464" s="5" t="s">
        <v>4</v>
      </c>
      <c r="R464" s="83" t="s">
        <v>4</v>
      </c>
    </row>
    <row r="465" spans="1:18" x14ac:dyDescent="0.25">
      <c r="A465" s="88">
        <v>451</v>
      </c>
      <c r="B465" s="82"/>
      <c r="C465" s="97">
        <f ca="1">_xll.meDateFromTenor(C464,"1D","FOLLOWING","TGT")</f>
        <v>43160</v>
      </c>
      <c r="D465" s="95">
        <f ca="1"/>
        <v>-4.2246292014259668E-3</v>
      </c>
      <c r="E465" s="92"/>
      <c r="F465" s="97">
        <f ca="1">_xll.meDateFromTenor(F464,"1D","FOLLOWING","TGT")</f>
        <v>43160</v>
      </c>
      <c r="G465" s="95">
        <f ca="1"/>
        <v>-3.8915350034310278E-3</v>
      </c>
      <c r="H465" s="92" t="s">
        <v>4</v>
      </c>
      <c r="I465" s="97">
        <f ca="1">_xll.meDateFromTenor(I464,"1D","FOLLOWING","TGT")</f>
        <v>43160</v>
      </c>
      <c r="J465" s="95">
        <f ca="1"/>
        <v>-2.242066965991225E-3</v>
      </c>
      <c r="K465" s="5" t="s">
        <v>4</v>
      </c>
      <c r="L465" s="97">
        <f ca="1">_xll.meDateFromTenor(L464,"1D","FOLLOWING","TGT")</f>
        <v>43160</v>
      </c>
      <c r="M465" s="95">
        <f ca="1"/>
        <v>-1.4855291190223096E-3</v>
      </c>
      <c r="N465" s="5" t="s">
        <v>4</v>
      </c>
      <c r="O465" s="97">
        <f ca="1">_xll.meDateFromTenor(O464,"1D","FOLLOWING","TGT")</f>
        <v>43160</v>
      </c>
      <c r="P465" s="95">
        <f ca="1"/>
        <v>5.0619810581286587E-4</v>
      </c>
      <c r="Q465" s="5" t="s">
        <v>4</v>
      </c>
      <c r="R465" s="83" t="s">
        <v>4</v>
      </c>
    </row>
    <row r="466" spans="1:18" x14ac:dyDescent="0.25">
      <c r="A466" s="88">
        <v>452</v>
      </c>
      <c r="B466" s="82"/>
      <c r="C466" s="97">
        <f ca="1">_xll.meDateFromTenor(C465,"1D","FOLLOWING","TGT")</f>
        <v>43161</v>
      </c>
      <c r="D466" s="95">
        <f ca="1"/>
        <v>-4.2240243954617673E-3</v>
      </c>
      <c r="E466" s="92"/>
      <c r="F466" s="97">
        <f ca="1">_xll.meDateFromTenor(F465,"1D","FOLLOWING","TGT")</f>
        <v>43161</v>
      </c>
      <c r="G466" s="95">
        <f ca="1"/>
        <v>-3.8893663069950782E-3</v>
      </c>
      <c r="H466" s="92" t="s">
        <v>4</v>
      </c>
      <c r="I466" s="97">
        <f ca="1">_xll.meDateFromTenor(I465,"1D","FOLLOWING","TGT")</f>
        <v>43161</v>
      </c>
      <c r="J466" s="95">
        <f ca="1"/>
        <v>-2.2691195845554626E-3</v>
      </c>
      <c r="K466" s="5" t="s">
        <v>4</v>
      </c>
      <c r="L466" s="97">
        <f ca="1">_xll.meDateFromTenor(L465,"1D","FOLLOWING","TGT")</f>
        <v>43161</v>
      </c>
      <c r="M466" s="95">
        <f ca="1"/>
        <v>-1.4820345033882396E-3</v>
      </c>
      <c r="N466" s="5" t="s">
        <v>4</v>
      </c>
      <c r="O466" s="97">
        <f ca="1">_xll.meDateFromTenor(O465,"1D","FOLLOWING","TGT")</f>
        <v>43161</v>
      </c>
      <c r="P466" s="95">
        <f ca="1"/>
        <v>5.0996325500269972E-4</v>
      </c>
      <c r="Q466" s="5" t="s">
        <v>4</v>
      </c>
      <c r="R466" s="83" t="s">
        <v>4</v>
      </c>
    </row>
    <row r="467" spans="1:18" x14ac:dyDescent="0.25">
      <c r="A467" s="88">
        <v>453</v>
      </c>
      <c r="B467" s="82"/>
      <c r="C467" s="97">
        <f ca="1">_xll.meDateFromTenor(C466,"1D","FOLLOWING","TGT")</f>
        <v>43164</v>
      </c>
      <c r="D467" s="95">
        <f ca="1"/>
        <v>-4.2220674760817811E-3</v>
      </c>
      <c r="E467" s="92"/>
      <c r="F467" s="97">
        <f ca="1">_xll.meDateFromTenor(F466,"1D","FOLLOWING","TGT")</f>
        <v>43164</v>
      </c>
      <c r="G467" s="95">
        <f ca="1"/>
        <v>-3.8829393091095337E-3</v>
      </c>
      <c r="H467" s="92" t="s">
        <v>4</v>
      </c>
      <c r="I467" s="97">
        <f ca="1">_xll.meDateFromTenor(I466,"1D","FOLLOWING","TGT")</f>
        <v>43164</v>
      </c>
      <c r="J467" s="95">
        <f ca="1"/>
        <v>-2.3577757082156666E-3</v>
      </c>
      <c r="K467" s="5" t="s">
        <v>4</v>
      </c>
      <c r="L467" s="97">
        <f ca="1">_xll.meDateFromTenor(L466,"1D","FOLLOWING","TGT")</f>
        <v>43164</v>
      </c>
      <c r="M467" s="95">
        <f ca="1"/>
        <v>-1.4714791749007444E-3</v>
      </c>
      <c r="N467" s="5" t="s">
        <v>4</v>
      </c>
      <c r="O467" s="97">
        <f ca="1">_xll.meDateFromTenor(O466,"1D","FOLLOWING","TGT")</f>
        <v>43164</v>
      </c>
      <c r="P467" s="95">
        <f ca="1"/>
        <v>5.2130385639901126E-4</v>
      </c>
      <c r="Q467" s="5" t="s">
        <v>4</v>
      </c>
      <c r="R467" s="83" t="s">
        <v>4</v>
      </c>
    </row>
    <row r="468" spans="1:18" x14ac:dyDescent="0.25">
      <c r="A468" s="88">
        <v>454</v>
      </c>
      <c r="B468" s="82"/>
      <c r="C468" s="97">
        <f ca="1">_xll.meDateFromTenor(C467,"1D","FOLLOWING","TGT")</f>
        <v>43165</v>
      </c>
      <c r="D468" s="95">
        <f ca="1"/>
        <v>-4.2213660633284578E-3</v>
      </c>
      <c r="E468" s="92"/>
      <c r="F468" s="97">
        <f ca="1">_xll.meDateFromTenor(F467,"1D","FOLLOWING","TGT")</f>
        <v>43165</v>
      </c>
      <c r="G468" s="95">
        <f ca="1"/>
        <v>-3.8808179480320872E-3</v>
      </c>
      <c r="H468" s="92" t="s">
        <v>4</v>
      </c>
      <c r="I468" s="97">
        <f ca="1">_xll.meDateFromTenor(I467,"1D","FOLLOWING","TGT")</f>
        <v>43165</v>
      </c>
      <c r="J468" s="95">
        <f ca="1"/>
        <v>-2.3894349767112394E-3</v>
      </c>
      <c r="K468" s="5" t="s">
        <v>4</v>
      </c>
      <c r="L468" s="97">
        <f ca="1">_xll.meDateFromTenor(L467,"1D","FOLLOWING","TGT")</f>
        <v>43165</v>
      </c>
      <c r="M468" s="95">
        <f ca="1"/>
        <v>-1.4679373775454922E-3</v>
      </c>
      <c r="N468" s="5" t="s">
        <v>4</v>
      </c>
      <c r="O468" s="97">
        <f ca="1">_xll.meDateFromTenor(O467,"1D","FOLLOWING","TGT")</f>
        <v>43165</v>
      </c>
      <c r="P468" s="95">
        <f ca="1"/>
        <v>5.250990647103225E-4</v>
      </c>
      <c r="Q468" s="5" t="s">
        <v>4</v>
      </c>
      <c r="R468" s="83" t="s">
        <v>4</v>
      </c>
    </row>
    <row r="469" spans="1:18" x14ac:dyDescent="0.25">
      <c r="A469" s="88">
        <v>455</v>
      </c>
      <c r="B469" s="82"/>
      <c r="C469" s="97">
        <f ca="1">_xll.meDateFromTenor(C468,"1D","FOLLOWING","TGT")</f>
        <v>43166</v>
      </c>
      <c r="D469" s="95">
        <f ca="1"/>
        <v>-4.2206400989357462E-3</v>
      </c>
      <c r="E469" s="92"/>
      <c r="F469" s="97">
        <f ca="1">_xll.meDateFromTenor(F468,"1D","FOLLOWING","TGT")</f>
        <v>43166</v>
      </c>
      <c r="G469" s="95">
        <f ca="1"/>
        <v>-3.8787040820895567E-3</v>
      </c>
      <c r="H469" s="92" t="s">
        <v>4</v>
      </c>
      <c r="I469" s="97">
        <f ca="1">_xll.meDateFromTenor(I468,"1D","FOLLOWING","TGT")</f>
        <v>43166</v>
      </c>
      <c r="J469" s="95">
        <f ca="1"/>
        <v>-2.4219404227209572E-3</v>
      </c>
      <c r="K469" s="5" t="s">
        <v>4</v>
      </c>
      <c r="L469" s="97">
        <f ca="1">_xll.meDateFromTenor(L468,"1D","FOLLOWING","TGT")</f>
        <v>43166</v>
      </c>
      <c r="M469" s="95">
        <f ca="1"/>
        <v>-1.4643841392617003E-3</v>
      </c>
      <c r="N469" s="5" t="s">
        <v>4</v>
      </c>
      <c r="O469" s="97">
        <f ca="1">_xll.meDateFromTenor(O468,"1D","FOLLOWING","TGT")</f>
        <v>43166</v>
      </c>
      <c r="P469" s="95">
        <f ca="1"/>
        <v>5.2890175522970714E-4</v>
      </c>
      <c r="Q469" s="5" t="s">
        <v>4</v>
      </c>
      <c r="R469" s="83" t="s">
        <v>4</v>
      </c>
    </row>
    <row r="470" spans="1:18" x14ac:dyDescent="0.25">
      <c r="A470" s="88">
        <v>456</v>
      </c>
      <c r="B470" s="82"/>
      <c r="C470" s="97">
        <f ca="1">_xll.meDateFromTenor(C469,"1D","FOLLOWING","TGT")</f>
        <v>43167</v>
      </c>
      <c r="D470" s="95">
        <f ca="1"/>
        <v>-4.2198895843623685E-3</v>
      </c>
      <c r="E470" s="92"/>
      <c r="F470" s="97">
        <f ca="1">_xll.meDateFromTenor(F469,"1D","FOLLOWING","TGT")</f>
        <v>43167</v>
      </c>
      <c r="G470" s="95">
        <f ca="1"/>
        <v>-3.8765959168975705E-3</v>
      </c>
      <c r="H470" s="92" t="s">
        <v>4</v>
      </c>
      <c r="I470" s="97">
        <f ca="1">_xll.meDateFromTenor(I469,"1D","FOLLOWING","TGT")</f>
        <v>43167</v>
      </c>
      <c r="J470" s="95">
        <f ca="1"/>
        <v>-2.4551675845706595E-3</v>
      </c>
      <c r="K470" s="5" t="s">
        <v>4</v>
      </c>
      <c r="L470" s="97">
        <f ca="1">_xll.meDateFromTenor(L469,"1D","FOLLOWING","TGT")</f>
        <v>43167</v>
      </c>
      <c r="M470" s="95">
        <f ca="1"/>
        <v>-1.4608196018500701E-3</v>
      </c>
      <c r="N470" s="5" t="s">
        <v>4</v>
      </c>
      <c r="O470" s="97">
        <f ca="1">_xll.meDateFromTenor(O469,"1D","FOLLOWING","TGT")</f>
        <v>43167</v>
      </c>
      <c r="P470" s="95">
        <f ca="1"/>
        <v>5.3271191492824661E-4</v>
      </c>
      <c r="Q470" s="5" t="s">
        <v>4</v>
      </c>
      <c r="R470" s="83" t="s">
        <v>4</v>
      </c>
    </row>
    <row r="471" spans="1:18" x14ac:dyDescent="0.25">
      <c r="A471" s="88">
        <v>457</v>
      </c>
      <c r="B471" s="82"/>
      <c r="C471" s="97">
        <f ca="1">_xll.meDateFromTenor(C470,"1D","FOLLOWING","TGT")</f>
        <v>43168</v>
      </c>
      <c r="D471" s="95">
        <f ca="1"/>
        <v>-4.2191145206277314E-3</v>
      </c>
      <c r="E471" s="92"/>
      <c r="F471" s="97">
        <f ca="1">_xll.meDateFromTenor(F470,"1D","FOLLOWING","TGT")</f>
        <v>43168</v>
      </c>
      <c r="G471" s="95">
        <f ca="1"/>
        <v>-3.8744916580717571E-3</v>
      </c>
      <c r="H471" s="92" t="s">
        <v>4</v>
      </c>
      <c r="I471" s="97">
        <f ca="1">_xll.meDateFromTenor(I470,"1D","FOLLOWING","TGT")</f>
        <v>43168</v>
      </c>
      <c r="J471" s="95">
        <f ca="1"/>
        <v>-2.4889920005861793E-3</v>
      </c>
      <c r="K471" s="5" t="s">
        <v>4</v>
      </c>
      <c r="L471" s="97">
        <f ca="1">_xll.meDateFromTenor(L470,"1D","FOLLOWING","TGT")</f>
        <v>43168</v>
      </c>
      <c r="M471" s="95">
        <f ca="1"/>
        <v>-1.4572439071113045E-3</v>
      </c>
      <c r="N471" s="5" t="s">
        <v>4</v>
      </c>
      <c r="O471" s="97">
        <f ca="1">_xll.meDateFromTenor(O470,"1D","FOLLOWING","TGT")</f>
        <v>43168</v>
      </c>
      <c r="P471" s="95">
        <f ca="1"/>
        <v>5.3652953077702238E-4</v>
      </c>
      <c r="Q471" s="5" t="s">
        <v>4</v>
      </c>
      <c r="R471" s="83" t="s">
        <v>4</v>
      </c>
    </row>
    <row r="472" spans="1:18" x14ac:dyDescent="0.25">
      <c r="A472" s="88">
        <v>458</v>
      </c>
      <c r="B472" s="82"/>
      <c r="C472" s="97">
        <f ca="1">_xll.meDateFromTenor(C471,"1D","FOLLOWING","TGT")</f>
        <v>43171</v>
      </c>
      <c r="D472" s="95">
        <f ca="1"/>
        <v>-4.2166420451386077E-3</v>
      </c>
      <c r="E472" s="92"/>
      <c r="F472" s="97">
        <f ca="1">_xll.meDateFromTenor(F471,"1D","FOLLOWING","TGT")</f>
        <v>43171</v>
      </c>
      <c r="G472" s="95">
        <f ca="1"/>
        <v>-3.8681843759476439E-3</v>
      </c>
      <c r="H472" s="92" t="s">
        <v>4</v>
      </c>
      <c r="I472" s="97">
        <f ca="1">_xll.meDateFromTenor(I471,"1D","FOLLOWING","TGT")</f>
        <v>43171</v>
      </c>
      <c r="J472" s="95">
        <f ca="1"/>
        <v>-2.5928041568859918E-3</v>
      </c>
      <c r="K472" s="5" t="s">
        <v>4</v>
      </c>
      <c r="L472" s="97">
        <f ca="1">_xll.meDateFromTenor(L471,"1D","FOLLOWING","TGT")</f>
        <v>43171</v>
      </c>
      <c r="M472" s="95">
        <f ca="1"/>
        <v>-1.4464512969392185E-3</v>
      </c>
      <c r="N472" s="5" t="s">
        <v>4</v>
      </c>
      <c r="O472" s="97">
        <f ca="1">_xll.meDateFromTenor(O471,"1D","FOLLOWING","TGT")</f>
        <v>43171</v>
      </c>
      <c r="P472" s="95">
        <f ca="1"/>
        <v>5.4802698493558043E-4</v>
      </c>
      <c r="Q472" s="5" t="s">
        <v>4</v>
      </c>
      <c r="R472" s="83" t="s">
        <v>4</v>
      </c>
    </row>
    <row r="473" spans="1:18" x14ac:dyDescent="0.25">
      <c r="A473" s="88">
        <v>459</v>
      </c>
      <c r="B473" s="82"/>
      <c r="C473" s="97">
        <f ca="1">_xll.meDateFromTenor(C472,"1D","FOLLOWING","TGT")</f>
        <v>43172</v>
      </c>
      <c r="D473" s="95">
        <f ca="1"/>
        <v>-4.2157687953925382E-3</v>
      </c>
      <c r="E473" s="92"/>
      <c r="F473" s="97">
        <f ca="1">_xll.meDateFromTenor(F472,"1D","FOLLOWING","TGT")</f>
        <v>43172</v>
      </c>
      <c r="G473" s="95">
        <f ca="1"/>
        <v>-3.8660777987428101E-3</v>
      </c>
      <c r="H473" s="92" t="s">
        <v>4</v>
      </c>
      <c r="I473" s="97">
        <f ca="1">_xll.meDateFromTenor(I472,"1D","FOLLOWING","TGT")</f>
        <v>43172</v>
      </c>
      <c r="J473" s="95">
        <f ca="1"/>
        <v>-2.6277729728231367E-3</v>
      </c>
      <c r="K473" s="5" t="s">
        <v>4</v>
      </c>
      <c r="L473" s="97">
        <f ca="1">_xll.meDateFromTenor(L472,"1D","FOLLOWING","TGT")</f>
        <v>43172</v>
      </c>
      <c r="M473" s="95">
        <f ca="1"/>
        <v>-1.4428323908989335E-3</v>
      </c>
      <c r="N473" s="5" t="s">
        <v>4</v>
      </c>
      <c r="O473" s="97">
        <f ca="1">_xll.meDateFromTenor(O472,"1D","FOLLOWING","TGT")</f>
        <v>43172</v>
      </c>
      <c r="P473" s="95">
        <f ca="1"/>
        <v>5.5187429509611556E-4</v>
      </c>
      <c r="Q473" s="5" t="s">
        <v>4</v>
      </c>
      <c r="R473" s="83" t="s">
        <v>4</v>
      </c>
    </row>
    <row r="474" spans="1:18" x14ac:dyDescent="0.25">
      <c r="A474" s="88">
        <v>460</v>
      </c>
      <c r="B474" s="82"/>
      <c r="C474" s="97">
        <f ca="1">_xll.meDateFromTenor(C473,"1D","FOLLOWING","TGT")</f>
        <v>43173</v>
      </c>
      <c r="D474" s="95">
        <f ca="1"/>
        <v>-4.2148710020318836E-3</v>
      </c>
      <c r="E474" s="92"/>
      <c r="F474" s="97">
        <f ca="1">_xll.meDateFromTenor(F473,"1D","FOLLOWING","TGT")</f>
        <v>43173</v>
      </c>
      <c r="G474" s="95">
        <f ca="1"/>
        <v>-3.8639661559822938E-3</v>
      </c>
      <c r="H474" s="92" t="s">
        <v>4</v>
      </c>
      <c r="I474" s="97">
        <f ca="1">_xll.meDateFromTenor(I473,"1D","FOLLOWING","TGT")</f>
        <v>43173</v>
      </c>
      <c r="J474" s="95">
        <f ca="1"/>
        <v>-2.6627167345552767E-3</v>
      </c>
      <c r="K474" s="5" t="s">
        <v>4</v>
      </c>
      <c r="L474" s="97">
        <f ca="1">_xll.meDateFromTenor(L473,"1D","FOLLOWING","TGT")</f>
        <v>43173</v>
      </c>
      <c r="M474" s="95">
        <f ca="1"/>
        <v>-1.4392030365350244E-3</v>
      </c>
      <c r="N474" s="5" t="s">
        <v>4</v>
      </c>
      <c r="O474" s="97">
        <f ca="1">_xll.meDateFromTenor(O473,"1D","FOLLOWING","TGT")</f>
        <v>43173</v>
      </c>
      <c r="P474" s="95">
        <f ca="1"/>
        <v>5.5572899626229447E-4</v>
      </c>
      <c r="Q474" s="5" t="s">
        <v>4</v>
      </c>
      <c r="R474" s="83" t="s">
        <v>4</v>
      </c>
    </row>
    <row r="475" spans="1:18" x14ac:dyDescent="0.25">
      <c r="A475" s="88">
        <v>461</v>
      </c>
      <c r="B475" s="82"/>
      <c r="C475" s="97">
        <f ca="1">_xll.meDateFromTenor(C474,"1D","FOLLOWING","TGT")</f>
        <v>43174</v>
      </c>
      <c r="D475" s="95">
        <f ca="1"/>
        <v>-4.2139486660252023E-3</v>
      </c>
      <c r="E475" s="92"/>
      <c r="F475" s="97">
        <f ca="1">_xll.meDateFromTenor(F474,"1D","FOLLOWING","TGT")</f>
        <v>43174</v>
      </c>
      <c r="G475" s="95">
        <f ca="1"/>
        <v>-3.8618476532817246E-3</v>
      </c>
      <c r="H475" s="92" t="s">
        <v>4</v>
      </c>
      <c r="I475" s="97">
        <f ca="1">_xll.meDateFromTenor(I474,"1D","FOLLOWING","TGT")</f>
        <v>43174</v>
      </c>
      <c r="J475" s="95">
        <f ca="1"/>
        <v>-2.6975109804082439E-3</v>
      </c>
      <c r="K475" s="5" t="s">
        <v>4</v>
      </c>
      <c r="L475" s="97">
        <f ca="1">_xll.meDateFromTenor(L474,"1D","FOLLOWING","TGT")</f>
        <v>43174</v>
      </c>
      <c r="M475" s="95">
        <f ca="1"/>
        <v>-1.4355633756481935E-3</v>
      </c>
      <c r="N475" s="5" t="s">
        <v>4</v>
      </c>
      <c r="O475" s="97">
        <f ca="1">_xll.meDateFromTenor(O474,"1D","FOLLOWING","TGT")</f>
        <v>43174</v>
      </c>
      <c r="P475" s="95">
        <f ca="1"/>
        <v>5.5959107540519794E-4</v>
      </c>
      <c r="Q475" s="5" t="s">
        <v>4</v>
      </c>
      <c r="R475" s="83" t="s">
        <v>4</v>
      </c>
    </row>
    <row r="476" spans="1:18" x14ac:dyDescent="0.25">
      <c r="A476" s="88">
        <v>462</v>
      </c>
      <c r="B476" s="82"/>
      <c r="C476" s="97">
        <f ca="1">_xll.meDateFromTenor(C475,"1D","FOLLOWING","TGT")</f>
        <v>43175</v>
      </c>
      <c r="D476" s="95">
        <f ca="1"/>
        <v>-4.2130017882198167E-3</v>
      </c>
      <c r="E476" s="92"/>
      <c r="F476" s="97">
        <f ca="1">_xll.meDateFromTenor(F475,"1D","FOLLOWING","TGT")</f>
        <v>43175</v>
      </c>
      <c r="G476" s="95">
        <f ca="1"/>
        <v>-3.8597204962567285E-3</v>
      </c>
      <c r="H476" s="92" t="s">
        <v>4</v>
      </c>
      <c r="I476" s="97">
        <f ca="1">_xll.meDateFromTenor(I475,"1D","FOLLOWING","TGT")</f>
        <v>43175</v>
      </c>
      <c r="J476" s="95">
        <f ca="1"/>
        <v>-2.7320312487078779E-3</v>
      </c>
      <c r="K476" s="5" t="s">
        <v>4</v>
      </c>
      <c r="L476" s="97">
        <f ca="1">_xll.meDateFromTenor(L475,"1D","FOLLOWING","TGT")</f>
        <v>43175</v>
      </c>
      <c r="M476" s="95">
        <f ca="1"/>
        <v>-1.4319135500391429E-3</v>
      </c>
      <c r="N476" s="5" t="s">
        <v>4</v>
      </c>
      <c r="O476" s="97">
        <f ca="1">_xll.meDateFromTenor(O475,"1D","FOLLOWING","TGT")</f>
        <v>43175</v>
      </c>
      <c r="P476" s="95">
        <f ca="1"/>
        <v>5.634605194959081E-4</v>
      </c>
      <c r="Q476" s="5" t="s">
        <v>4</v>
      </c>
      <c r="R476" s="83" t="s">
        <v>4</v>
      </c>
    </row>
    <row r="477" spans="1:18" x14ac:dyDescent="0.25">
      <c r="A477" s="88">
        <v>463</v>
      </c>
      <c r="B477" s="82"/>
      <c r="C477" s="97">
        <f ca="1">_xll.meDateFromTenor(C476,"1D","FOLLOWING","TGT")</f>
        <v>43178</v>
      </c>
      <c r="D477" s="95">
        <f ca="1"/>
        <v>-4.2100139162400962E-3</v>
      </c>
      <c r="E477" s="92"/>
      <c r="F477" s="97">
        <f ca="1">_xll.meDateFromTenor(F476,"1D","FOLLOWING","TGT")</f>
        <v>43178</v>
      </c>
      <c r="G477" s="95">
        <f ca="1"/>
        <v>-3.8532691553914756E-3</v>
      </c>
      <c r="H477" s="92" t="s">
        <v>4</v>
      </c>
      <c r="I477" s="97">
        <f ca="1">_xll.meDateFromTenor(I476,"1D","FOLLOWING","TGT")</f>
        <v>43178</v>
      </c>
      <c r="J477" s="95">
        <f ca="1"/>
        <v>-2.8327035715451409E-3</v>
      </c>
      <c r="K477" s="5" t="s">
        <v>4</v>
      </c>
      <c r="L477" s="97">
        <f ca="1">_xll.meDateFromTenor(L476,"1D","FOLLOWING","TGT")</f>
        <v>43178</v>
      </c>
      <c r="M477" s="95">
        <f ca="1"/>
        <v>-1.4209045028856944E-3</v>
      </c>
      <c r="N477" s="5" t="s">
        <v>4</v>
      </c>
      <c r="O477" s="97">
        <f ca="1">_xll.meDateFromTenor(O476,"1D","FOLLOWING","TGT")</f>
        <v>43178</v>
      </c>
      <c r="P477" s="95">
        <f ca="1"/>
        <v>5.7511291116569348E-4</v>
      </c>
      <c r="Q477" s="5" t="s">
        <v>4</v>
      </c>
      <c r="R477" s="83" t="s">
        <v>4</v>
      </c>
    </row>
    <row r="478" spans="1:18" x14ac:dyDescent="0.25">
      <c r="A478" s="88">
        <v>464</v>
      </c>
      <c r="B478" s="82"/>
      <c r="C478" s="97">
        <f ca="1">_xll.meDateFromTenor(C477,"1D","FOLLOWING","TGT")</f>
        <v>43179</v>
      </c>
      <c r="D478" s="95">
        <f ca="1"/>
        <v>-4.2089688830214689E-3</v>
      </c>
      <c r="E478" s="92"/>
      <c r="F478" s="97">
        <f ca="1">_xll.meDateFromTenor(F477,"1D","FOLLOWING","TGT")</f>
        <v>43179</v>
      </c>
      <c r="G478" s="95">
        <f ca="1"/>
        <v>-3.8510894372250654E-3</v>
      </c>
      <c r="H478" s="92" t="s">
        <v>4</v>
      </c>
      <c r="I478" s="97">
        <f ca="1">_xll.meDateFromTenor(I477,"1D","FOLLOWING","TGT")</f>
        <v>43179</v>
      </c>
      <c r="J478" s="95">
        <f ca="1"/>
        <v>-2.864883312889796E-3</v>
      </c>
      <c r="K478" s="5" t="s">
        <v>4</v>
      </c>
      <c r="L478" s="97">
        <f ca="1">_xll.meDateFromTenor(L477,"1D","FOLLOWING","TGT")</f>
        <v>43179</v>
      </c>
      <c r="M478" s="95">
        <f ca="1"/>
        <v>-1.4172154363947872E-3</v>
      </c>
      <c r="N478" s="5" t="s">
        <v>4</v>
      </c>
      <c r="O478" s="97">
        <f ca="1">_xll.meDateFromTenor(O477,"1D","FOLLOWING","TGT")</f>
        <v>43179</v>
      </c>
      <c r="P478" s="95">
        <f ca="1"/>
        <v>5.7901168475844498E-4</v>
      </c>
      <c r="Q478" s="5" t="s">
        <v>4</v>
      </c>
      <c r="R478" s="83" t="s">
        <v>4</v>
      </c>
    </row>
    <row r="479" spans="1:18" x14ac:dyDescent="0.25">
      <c r="A479" s="88">
        <v>465</v>
      </c>
      <c r="B479" s="82"/>
      <c r="C479" s="97">
        <f ca="1">_xll.meDateFromTenor(C478,"1D","FOLLOWING","TGT")</f>
        <v>43180</v>
      </c>
      <c r="D479" s="95">
        <f ca="1"/>
        <v>-4.2078993133284337E-3</v>
      </c>
      <c r="E479" s="92"/>
      <c r="F479" s="97">
        <f ca="1">_xll.meDateFromTenor(F478,"1D","FOLLOWING","TGT")</f>
        <v>43180</v>
      </c>
      <c r="G479" s="95">
        <f ca="1"/>
        <v>-3.8488920928123737E-3</v>
      </c>
      <c r="H479" s="92" t="s">
        <v>4</v>
      </c>
      <c r="I479" s="97">
        <f ca="1">_xll.meDateFromTenor(I478,"1D","FOLLOWING","TGT")</f>
        <v>43180</v>
      </c>
      <c r="J479" s="95">
        <f ca="1"/>
        <v>-2.8961667683102994E-3</v>
      </c>
      <c r="K479" s="5" t="s">
        <v>4</v>
      </c>
      <c r="L479" s="97">
        <f ca="1">_xll.meDateFromTenor(L478,"1D","FOLLOWING","TGT")</f>
        <v>43180</v>
      </c>
      <c r="M479" s="95">
        <f ca="1"/>
        <v>-1.413516914185171E-3</v>
      </c>
      <c r="N479" s="5" t="s">
        <v>4</v>
      </c>
      <c r="O479" s="97">
        <f ca="1">_xll.meDateFromTenor(O478,"1D","FOLLOWING","TGT")</f>
        <v>43180</v>
      </c>
      <c r="P479" s="95">
        <f ca="1"/>
        <v>5.8291775815441074E-4</v>
      </c>
      <c r="Q479" s="5" t="s">
        <v>4</v>
      </c>
      <c r="R479" s="83" t="s">
        <v>4</v>
      </c>
    </row>
    <row r="480" spans="1:18" x14ac:dyDescent="0.25">
      <c r="A480" s="88">
        <v>466</v>
      </c>
      <c r="B480" s="82"/>
      <c r="C480" s="97">
        <f ca="1">_xll.meDateFromTenor(C479,"1D","FOLLOWING","TGT")</f>
        <v>43181</v>
      </c>
      <c r="D480" s="95">
        <f ca="1"/>
        <v>-4.2068052085548757E-3</v>
      </c>
      <c r="E480" s="92"/>
      <c r="F480" s="97">
        <f ca="1">_xll.meDateFromTenor(F479,"1D","FOLLOWING","TGT")</f>
        <v>43181</v>
      </c>
      <c r="G480" s="95">
        <f ca="1"/>
        <v>-3.8466753277690293E-3</v>
      </c>
      <c r="H480" s="92" t="s">
        <v>4</v>
      </c>
      <c r="I480" s="97">
        <f ca="1">_xll.meDateFromTenor(I479,"1D","FOLLOWING","TGT")</f>
        <v>43181</v>
      </c>
      <c r="J480" s="95">
        <f ca="1"/>
        <v>-2.9264523607483938E-3</v>
      </c>
      <c r="K480" s="5" t="s">
        <v>4</v>
      </c>
      <c r="L480" s="97">
        <f ca="1">_xll.meDateFromTenor(L479,"1D","FOLLOWING","TGT")</f>
        <v>43181</v>
      </c>
      <c r="M480" s="95">
        <f ca="1"/>
        <v>-1.4098090780575489E-3</v>
      </c>
      <c r="N480" s="5" t="s">
        <v>4</v>
      </c>
      <c r="O480" s="97">
        <f ca="1">_xll.meDateFromTenor(O479,"1D","FOLLOWING","TGT")</f>
        <v>43181</v>
      </c>
      <c r="P480" s="95">
        <f ca="1"/>
        <v>5.8683111832467222E-4</v>
      </c>
      <c r="Q480" s="5" t="s">
        <v>4</v>
      </c>
      <c r="R480" s="83" t="s">
        <v>4</v>
      </c>
    </row>
    <row r="481" spans="1:18" x14ac:dyDescent="0.25">
      <c r="A481" s="88">
        <v>467</v>
      </c>
      <c r="B481" s="82"/>
      <c r="C481" s="97">
        <f ca="1">_xll.meDateFromTenor(C480,"1D","FOLLOWING","TGT")</f>
        <v>43182</v>
      </c>
      <c r="D481" s="95">
        <f ca="1"/>
        <v>-4.2056865694957146E-3</v>
      </c>
      <c r="E481" s="92"/>
      <c r="F481" s="97">
        <f ca="1">_xll.meDateFromTenor(F480,"1D","FOLLOWING","TGT")</f>
        <v>43182</v>
      </c>
      <c r="G481" s="95">
        <f ca="1"/>
        <v>-3.8444373477106602E-3</v>
      </c>
      <c r="H481" s="92" t="s">
        <v>4</v>
      </c>
      <c r="I481" s="97">
        <f ca="1">_xll.meDateFromTenor(I480,"1D","FOLLOWING","TGT")</f>
        <v>43182</v>
      </c>
      <c r="J481" s="95">
        <f ca="1"/>
        <v>-2.9557300516094669E-3</v>
      </c>
      <c r="K481" s="5" t="s">
        <v>4</v>
      </c>
      <c r="L481" s="97">
        <f ca="1">_xll.meDateFromTenor(L480,"1D","FOLLOWING","TGT")</f>
        <v>43182</v>
      </c>
      <c r="M481" s="95">
        <f ca="1"/>
        <v>-1.4060920698126225E-3</v>
      </c>
      <c r="N481" s="5" t="s">
        <v>4</v>
      </c>
      <c r="O481" s="97">
        <f ca="1">_xll.meDateFromTenor(O480,"1D","FOLLOWING","TGT")</f>
        <v>43182</v>
      </c>
      <c r="P481" s="95">
        <f ca="1"/>
        <v>5.9075175224031033E-4</v>
      </c>
      <c r="Q481" s="5" t="s">
        <v>4</v>
      </c>
      <c r="R481" s="83" t="s">
        <v>4</v>
      </c>
    </row>
    <row r="482" spans="1:18" x14ac:dyDescent="0.25">
      <c r="A482" s="88">
        <v>468</v>
      </c>
      <c r="B482" s="82"/>
      <c r="C482" s="97">
        <f ca="1">_xll.meDateFromTenor(C481,"1D","FOLLOWING","TGT")</f>
        <v>43185</v>
      </c>
      <c r="D482" s="95">
        <f ca="1"/>
        <v>-4.2021834585075357E-3</v>
      </c>
      <c r="E482" s="92"/>
      <c r="F482" s="97">
        <f ca="1">_xll.meDateFromTenor(F481,"1D","FOLLOWING","TGT")</f>
        <v>43185</v>
      </c>
      <c r="G482" s="95">
        <f ca="1"/>
        <v>-3.8375781736016976E-3</v>
      </c>
      <c r="H482" s="92" t="s">
        <v>4</v>
      </c>
      <c r="I482" s="97">
        <f ca="1">_xll.meDateFromTenor(I481,"1D","FOLLOWING","TGT")</f>
        <v>43185</v>
      </c>
      <c r="J482" s="95">
        <f ca="1"/>
        <v>-3.0376441749435982E-3</v>
      </c>
      <c r="K482" s="5" t="s">
        <v>4</v>
      </c>
      <c r="L482" s="97">
        <f ca="1">_xll.meDateFromTenor(L481,"1D","FOLLOWING","TGT")</f>
        <v>43185</v>
      </c>
      <c r="M482" s="95">
        <f ca="1"/>
        <v>-1.3948874303810414E-3</v>
      </c>
      <c r="N482" s="5" t="s">
        <v>4</v>
      </c>
      <c r="O482" s="97">
        <f ca="1">_xll.meDateFromTenor(O481,"1D","FOLLOWING","TGT")</f>
        <v>43185</v>
      </c>
      <c r="P482" s="95">
        <f ca="1"/>
        <v>6.0255716617030265E-4</v>
      </c>
      <c r="Q482" s="5" t="s">
        <v>4</v>
      </c>
      <c r="R482" s="83" t="s">
        <v>4</v>
      </c>
    </row>
    <row r="483" spans="1:18" x14ac:dyDescent="0.25">
      <c r="A483" s="88">
        <v>469</v>
      </c>
      <c r="B483" s="82"/>
      <c r="C483" s="97">
        <f ca="1">_xll.meDateFromTenor(C482,"1D","FOLLOWING","TGT")</f>
        <v>43186</v>
      </c>
      <c r="D483" s="95">
        <f ca="1"/>
        <v>-4.2009666934436085E-3</v>
      </c>
      <c r="E483" s="92"/>
      <c r="F483" s="97">
        <f ca="1">_xll.meDateFromTenor(F482,"1D","FOLLOWING","TGT")</f>
        <v>43186</v>
      </c>
      <c r="G483" s="95">
        <f ca="1"/>
        <v>-3.8352373896395203E-3</v>
      </c>
      <c r="H483" s="92" t="s">
        <v>4</v>
      </c>
      <c r="I483" s="97">
        <f ca="1">_xll.meDateFromTenor(I482,"1D","FOLLOWING","TGT")</f>
        <v>43186</v>
      </c>
      <c r="J483" s="95">
        <f ca="1"/>
        <v>-3.0630187197096177E-3</v>
      </c>
      <c r="K483" s="5" t="s">
        <v>4</v>
      </c>
      <c r="L483" s="97">
        <f ca="1">_xll.meDateFromTenor(L482,"1D","FOLLOWING","TGT")</f>
        <v>43186</v>
      </c>
      <c r="M483" s="95">
        <f ca="1"/>
        <v>-1.391135151673921E-3</v>
      </c>
      <c r="N483" s="5" t="s">
        <v>4</v>
      </c>
      <c r="O483" s="97">
        <f ca="1">_xll.meDateFromTenor(O482,"1D","FOLLOWING","TGT")</f>
        <v>43186</v>
      </c>
      <c r="P483" s="95">
        <f ca="1"/>
        <v>6.0650676477826441E-4</v>
      </c>
      <c r="Q483" s="5" t="s">
        <v>4</v>
      </c>
      <c r="R483" s="83" t="s">
        <v>4</v>
      </c>
    </row>
    <row r="484" spans="1:18" x14ac:dyDescent="0.25">
      <c r="A484" s="88">
        <v>470</v>
      </c>
      <c r="B484" s="82"/>
      <c r="C484" s="97">
        <f ca="1">_xll.meDateFromTenor(C483,"1D","FOLLOWING","TGT")</f>
        <v>43187</v>
      </c>
      <c r="D484" s="95">
        <f ca="1"/>
        <v>-4.199725399633758E-3</v>
      </c>
      <c r="E484" s="92"/>
      <c r="F484" s="97">
        <f ca="1">_xll.meDateFromTenor(F483,"1D","FOLLOWING","TGT")</f>
        <v>43187</v>
      </c>
      <c r="G484" s="95">
        <f ca="1"/>
        <v>-3.8328664187404623E-3</v>
      </c>
      <c r="H484" s="92" t="s">
        <v>4</v>
      </c>
      <c r="I484" s="97">
        <f ca="1">_xll.meDateFromTenor(I483,"1D","FOLLOWING","TGT")</f>
        <v>43187</v>
      </c>
      <c r="J484" s="95">
        <f ca="1"/>
        <v>-3.0874495930051245E-3</v>
      </c>
      <c r="K484" s="5" t="s">
        <v>4</v>
      </c>
      <c r="L484" s="97">
        <f ca="1">_xll.meDateFromTenor(L483,"1D","FOLLOWING","TGT")</f>
        <v>43187</v>
      </c>
      <c r="M484" s="95">
        <f ca="1"/>
        <v>-1.3873744098530079E-3</v>
      </c>
      <c r="N484" s="5" t="s">
        <v>4</v>
      </c>
      <c r="O484" s="97">
        <f ca="1">_xll.meDateFromTenor(O483,"1D","FOLLOWING","TGT")</f>
        <v>43187</v>
      </c>
      <c r="P484" s="95">
        <f ca="1"/>
        <v>6.1046357198701016E-4</v>
      </c>
      <c r="Q484" s="5" t="s">
        <v>4</v>
      </c>
      <c r="R484" s="83" t="s">
        <v>4</v>
      </c>
    </row>
    <row r="485" spans="1:18" x14ac:dyDescent="0.25">
      <c r="A485" s="88">
        <v>471</v>
      </c>
      <c r="B485" s="82"/>
      <c r="C485" s="97">
        <f ca="1">_xll.meDateFromTenor(C484,"1D","FOLLOWING","TGT")</f>
        <v>43188</v>
      </c>
      <c r="D485" s="95">
        <f ca="1"/>
        <v>-4.1984595779419598E-3</v>
      </c>
      <c r="E485" s="92"/>
      <c r="F485" s="97">
        <f ca="1">_xll.meDateFromTenor(F484,"1D","FOLLOWING","TGT")</f>
        <v>43188</v>
      </c>
      <c r="G485" s="95">
        <f ca="1"/>
        <v>-3.8304634665201538E-3</v>
      </c>
      <c r="H485" s="92" t="s">
        <v>4</v>
      </c>
      <c r="I485" s="97">
        <f ca="1">_xll.meDateFromTenor(I484,"1D","FOLLOWING","TGT")</f>
        <v>43188</v>
      </c>
      <c r="J485" s="95">
        <f ca="1"/>
        <v>-3.110949640851424E-3</v>
      </c>
      <c r="K485" s="5" t="s">
        <v>4</v>
      </c>
      <c r="L485" s="97">
        <f ca="1">_xll.meDateFromTenor(L484,"1D","FOLLOWING","TGT")</f>
        <v>43188</v>
      </c>
      <c r="M485" s="95">
        <f ca="1"/>
        <v>-1.3836053467190044E-3</v>
      </c>
      <c r="N485" s="5" t="s">
        <v>4</v>
      </c>
      <c r="O485" s="97">
        <f ca="1">_xll.meDateFromTenor(O484,"1D","FOLLOWING","TGT")</f>
        <v>43188</v>
      </c>
      <c r="P485" s="95">
        <f ca="1"/>
        <v>6.1442757476762213E-4</v>
      </c>
      <c r="Q485" s="5" t="s">
        <v>4</v>
      </c>
      <c r="R485" s="83" t="s">
        <v>4</v>
      </c>
    </row>
    <row r="486" spans="1:18" x14ac:dyDescent="0.25">
      <c r="A486" s="88">
        <v>472</v>
      </c>
      <c r="B486" s="82"/>
      <c r="C486" s="97">
        <f ca="1">_xll.meDateFromTenor(C485,"1D","FOLLOWING","TGT")</f>
        <v>43193</v>
      </c>
      <c r="D486" s="95">
        <f ca="1"/>
        <v>-4.1917625884817511E-3</v>
      </c>
      <c r="E486" s="92"/>
      <c r="F486" s="97">
        <f ca="1">_xll.meDateFromTenor(F485,"1D","FOLLOWING","TGT")</f>
        <v>43193</v>
      </c>
      <c r="G486" s="95">
        <f ca="1"/>
        <v>-3.8179061821468426E-3</v>
      </c>
      <c r="H486" s="92" t="s">
        <v>4</v>
      </c>
      <c r="I486" s="97">
        <f ca="1">_xll.meDateFromTenor(I485,"1D","FOLLOWING","TGT")</f>
        <v>43193</v>
      </c>
      <c r="J486" s="95">
        <f ca="1"/>
        <v>-3.2149371090903624E-3</v>
      </c>
      <c r="K486" s="5" t="s">
        <v>4</v>
      </c>
      <c r="L486" s="97">
        <f ca="1">_xll.meDateFromTenor(L485,"1D","FOLLOWING","TGT")</f>
        <v>43193</v>
      </c>
      <c r="M486" s="95">
        <f ca="1"/>
        <v>-1.3646401743772046E-3</v>
      </c>
      <c r="N486" s="5" t="s">
        <v>4</v>
      </c>
      <c r="O486" s="97">
        <f ca="1">_xll.meDateFromTenor(O485,"1D","FOLLOWING","TGT")</f>
        <v>43193</v>
      </c>
      <c r="P486" s="95">
        <f ca="1"/>
        <v>6.3435506623652502E-4</v>
      </c>
      <c r="Q486" s="5" t="s">
        <v>4</v>
      </c>
      <c r="R486" s="83" t="s">
        <v>4</v>
      </c>
    </row>
    <row r="487" spans="1:18" x14ac:dyDescent="0.25">
      <c r="A487" s="88">
        <v>473</v>
      </c>
      <c r="B487" s="82"/>
      <c r="C487" s="97">
        <f ca="1">_xll.meDateFromTenor(C486,"1D","FOLLOWING","TGT")</f>
        <v>43194</v>
      </c>
      <c r="D487" s="95">
        <f ca="1"/>
        <v>-4.1903496214757974E-3</v>
      </c>
      <c r="E487" s="92"/>
      <c r="F487" s="97">
        <f ca="1">_xll.meDateFromTenor(F486,"1D","FOLLOWING","TGT")</f>
        <v>43194</v>
      </c>
      <c r="G487" s="95">
        <f ca="1"/>
        <v>-3.8152743457389678E-3</v>
      </c>
      <c r="H487" s="92" t="s">
        <v>4</v>
      </c>
      <c r="I487" s="97">
        <f ca="1">_xll.meDateFromTenor(I486,"1D","FOLLOWING","TGT")</f>
        <v>43194</v>
      </c>
      <c r="J487" s="95">
        <f ca="1"/>
        <v>-3.2331219706887493E-3</v>
      </c>
      <c r="K487" s="5" t="s">
        <v>4</v>
      </c>
      <c r="L487" s="97">
        <f ca="1">_xll.meDateFromTenor(L486,"1D","FOLLOWING","TGT")</f>
        <v>43194</v>
      </c>
      <c r="M487" s="95">
        <f ca="1"/>
        <v>-1.3608241611794041E-3</v>
      </c>
      <c r="N487" s="5" t="s">
        <v>4</v>
      </c>
      <c r="O487" s="97">
        <f ca="1">_xll.meDateFromTenor(O486,"1D","FOLLOWING","TGT")</f>
        <v>43194</v>
      </c>
      <c r="P487" s="95">
        <f ca="1"/>
        <v>6.3836196884104477E-4</v>
      </c>
      <c r="Q487" s="5" t="s">
        <v>4</v>
      </c>
      <c r="R487" s="83" t="s">
        <v>4</v>
      </c>
    </row>
    <row r="488" spans="1:18" x14ac:dyDescent="0.25">
      <c r="A488" s="88">
        <v>474</v>
      </c>
      <c r="B488" s="82"/>
      <c r="C488" s="97">
        <f ca="1">_xll.meDateFromTenor(C487,"1D","FOLLOWING","TGT")</f>
        <v>43195</v>
      </c>
      <c r="D488" s="95">
        <f ca="1"/>
        <v>-4.1889121340163982E-3</v>
      </c>
      <c r="E488" s="92"/>
      <c r="F488" s="97">
        <f ca="1">_xll.meDateFromTenor(F487,"1D","FOLLOWING","TGT")</f>
        <v>43195</v>
      </c>
      <c r="G488" s="95">
        <f ca="1"/>
        <v>-3.8126020821896787E-3</v>
      </c>
      <c r="H488" s="92" t="s">
        <v>4</v>
      </c>
      <c r="I488" s="97">
        <f ca="1">_xll.meDateFromTenor(I487,"1D","FOLLOWING","TGT")</f>
        <v>43195</v>
      </c>
      <c r="J488" s="95">
        <f ca="1"/>
        <v>-3.2504659289870402E-3</v>
      </c>
      <c r="K488" s="5" t="s">
        <v>4</v>
      </c>
      <c r="L488" s="97">
        <f ca="1">_xll.meDateFromTenor(L487,"1D","FOLLOWING","TGT")</f>
        <v>43195</v>
      </c>
      <c r="M488" s="95">
        <f ca="1"/>
        <v>-1.3570008192734283E-3</v>
      </c>
      <c r="N488" s="5" t="s">
        <v>4</v>
      </c>
      <c r="O488" s="97">
        <f ca="1">_xll.meDateFromTenor(O487,"1D","FOLLOWING","TGT")</f>
        <v>43195</v>
      </c>
      <c r="P488" s="95">
        <f ca="1"/>
        <v>6.4237597581500111E-4</v>
      </c>
      <c r="Q488" s="5" t="s">
        <v>4</v>
      </c>
      <c r="R488" s="83" t="s">
        <v>4</v>
      </c>
    </row>
    <row r="489" spans="1:18" x14ac:dyDescent="0.25">
      <c r="A489" s="88">
        <v>475</v>
      </c>
      <c r="B489" s="82"/>
      <c r="C489" s="97">
        <f ca="1">_xll.meDateFromTenor(C488,"1D","FOLLOWING","TGT")</f>
        <v>43196</v>
      </c>
      <c r="D489" s="95">
        <f ca="1"/>
        <v>-4.1874501269529851E-3</v>
      </c>
      <c r="E489" s="92"/>
      <c r="F489" s="97">
        <f ca="1">_xll.meDateFromTenor(F488,"1D","FOLLOWING","TGT")</f>
        <v>43196</v>
      </c>
      <c r="G489" s="95">
        <f ca="1"/>
        <v>-3.8098917119850396E-3</v>
      </c>
      <c r="H489" s="92" t="s">
        <v>4</v>
      </c>
      <c r="I489" s="97">
        <f ca="1">_xll.meDateFromTenor(I488,"1D","FOLLOWING","TGT")</f>
        <v>43196</v>
      </c>
      <c r="J489" s="95">
        <f ca="1"/>
        <v>-3.2669818300065344E-3</v>
      </c>
      <c r="K489" s="5" t="s">
        <v>4</v>
      </c>
      <c r="L489" s="97">
        <f ca="1">_xll.meDateFromTenor(L488,"1D","FOLLOWING","TGT")</f>
        <v>43196</v>
      </c>
      <c r="M489" s="95">
        <f ca="1"/>
        <v>-1.3531702904599804E-3</v>
      </c>
      <c r="N489" s="5" t="s">
        <v>4</v>
      </c>
      <c r="O489" s="97">
        <f ca="1">_xll.meDateFromTenor(O488,"1D","FOLLOWING","TGT")</f>
        <v>43196</v>
      </c>
      <c r="P489" s="95">
        <f ca="1"/>
        <v>6.4639707412947485E-4</v>
      </c>
      <c r="Q489" s="5" t="s">
        <v>4</v>
      </c>
      <c r="R489" s="83" t="s">
        <v>4</v>
      </c>
    </row>
    <row r="490" spans="1:18" x14ac:dyDescent="0.25">
      <c r="A490" s="88">
        <v>476</v>
      </c>
      <c r="B490" s="82"/>
      <c r="C490" s="97">
        <f ca="1">_xll.meDateFromTenor(C489,"1D","FOLLOWING","TGT")</f>
        <v>43199</v>
      </c>
      <c r="D490" s="95">
        <f ca="1"/>
        <v>-4.1829169982763315E-3</v>
      </c>
      <c r="E490" s="92"/>
      <c r="F490" s="97">
        <f ca="1">_xll.meDateFromTenor(F489,"1D","FOLLOWING","TGT")</f>
        <v>43199</v>
      </c>
      <c r="G490" s="95">
        <f ca="1"/>
        <v>-3.8015551662996696E-3</v>
      </c>
      <c r="H490" s="92" t="s">
        <v>4</v>
      </c>
      <c r="I490" s="97">
        <f ca="1">_xll.meDateFromTenor(I489,"1D","FOLLOWING","TGT")</f>
        <v>43199</v>
      </c>
      <c r="J490" s="95">
        <f ca="1"/>
        <v>-3.3116896496052702E-3</v>
      </c>
      <c r="K490" s="5" t="s">
        <v>4</v>
      </c>
      <c r="L490" s="97">
        <f ca="1">_xll.meDateFromTenor(L489,"1D","FOLLOWING","TGT")</f>
        <v>43199</v>
      </c>
      <c r="M490" s="95">
        <f ca="1"/>
        <v>-1.3416370005818223E-3</v>
      </c>
      <c r="N490" s="5" t="s">
        <v>4</v>
      </c>
      <c r="O490" s="97">
        <f ca="1">_xll.meDateFromTenor(O489,"1D","FOLLOWING","TGT")</f>
        <v>43199</v>
      </c>
      <c r="P490" s="95">
        <f ca="1"/>
        <v>6.5850278682682022E-4</v>
      </c>
      <c r="Q490" s="5" t="s">
        <v>4</v>
      </c>
      <c r="R490" s="83" t="s">
        <v>4</v>
      </c>
    </row>
    <row r="491" spans="1:18" x14ac:dyDescent="0.25">
      <c r="A491" s="88">
        <v>477</v>
      </c>
      <c r="B491" s="82"/>
      <c r="C491" s="97">
        <f ca="1">_xll.meDateFromTenor(C490,"1D","FOLLOWING","TGT")</f>
        <v>43200</v>
      </c>
      <c r="D491" s="95">
        <f ca="1"/>
        <v>-4.1813569230052527E-3</v>
      </c>
      <c r="E491" s="92"/>
      <c r="F491" s="97">
        <f ca="1">_xll.meDateFromTenor(F490,"1D","FOLLOWING","TGT")</f>
        <v>43200</v>
      </c>
      <c r="G491" s="95">
        <f ca="1"/>
        <v>-3.7987155743342774E-3</v>
      </c>
      <c r="H491" s="92" t="s">
        <v>4</v>
      </c>
      <c r="I491" s="97">
        <f ca="1">_xll.meDateFromTenor(I490,"1D","FOLLOWING","TGT")</f>
        <v>43200</v>
      </c>
      <c r="J491" s="95">
        <f ca="1"/>
        <v>-3.3250217817226025E-3</v>
      </c>
      <c r="K491" s="5" t="s">
        <v>4</v>
      </c>
      <c r="L491" s="97">
        <f ca="1">_xll.meDateFromTenor(L490,"1D","FOLLOWING","TGT")</f>
        <v>43200</v>
      </c>
      <c r="M491" s="95">
        <f ca="1"/>
        <v>-1.3377791421455057E-3</v>
      </c>
      <c r="N491" s="5" t="s">
        <v>4</v>
      </c>
      <c r="O491" s="97">
        <f ca="1">_xll.meDateFromTenor(O490,"1D","FOLLOWING","TGT")</f>
        <v>43200</v>
      </c>
      <c r="P491" s="95">
        <f ca="1"/>
        <v>6.625521202141809E-4</v>
      </c>
      <c r="Q491" s="5" t="s">
        <v>4</v>
      </c>
      <c r="R491" s="83" t="s">
        <v>4</v>
      </c>
    </row>
    <row r="492" spans="1:18" x14ac:dyDescent="0.25">
      <c r="A492" s="88">
        <v>478</v>
      </c>
      <c r="B492" s="82"/>
      <c r="C492" s="97">
        <f ca="1">_xll.meDateFromTenor(C491,"1D","FOLLOWING","TGT")</f>
        <v>43201</v>
      </c>
      <c r="D492" s="95">
        <f ca="1"/>
        <v>-4.1797723332254177E-3</v>
      </c>
      <c r="E492" s="92"/>
      <c r="F492" s="97">
        <f ca="1">_xll.meDateFromTenor(F491,"1D","FOLLOWING","TGT")</f>
        <v>43201</v>
      </c>
      <c r="G492" s="95">
        <f ca="1"/>
        <v>-3.7958494781438574E-3</v>
      </c>
      <c r="H492" s="92" t="s">
        <v>4</v>
      </c>
      <c r="I492" s="97">
        <f ca="1">_xll.meDateFromTenor(I491,"1D","FOLLOWING","TGT")</f>
        <v>43201</v>
      </c>
      <c r="J492" s="95">
        <f ca="1"/>
        <v>-3.3375900866676493E-3</v>
      </c>
      <c r="K492" s="5" t="s">
        <v>4</v>
      </c>
      <c r="L492" s="97">
        <f ca="1">_xll.meDateFromTenor(L491,"1D","FOLLOWING","TGT")</f>
        <v>43201</v>
      </c>
      <c r="M492" s="95">
        <f ca="1"/>
        <v>-1.3339148058052277E-3</v>
      </c>
      <c r="N492" s="5" t="s">
        <v>4</v>
      </c>
      <c r="O492" s="97">
        <f ca="1">_xll.meDateFromTenor(O491,"1D","FOLLOWING","TGT")</f>
        <v>43201</v>
      </c>
      <c r="P492" s="95">
        <f ca="1"/>
        <v>6.6660847979746723E-4</v>
      </c>
      <c r="Q492" s="5" t="s">
        <v>4</v>
      </c>
      <c r="R492" s="83" t="s">
        <v>4</v>
      </c>
    </row>
    <row r="493" spans="1:18" x14ac:dyDescent="0.25">
      <c r="A493" s="88">
        <v>479</v>
      </c>
      <c r="B493" s="82"/>
      <c r="C493" s="97">
        <f ca="1">_xll.meDateFromTenor(C492,"1D","FOLLOWING","TGT")</f>
        <v>43202</v>
      </c>
      <c r="D493" s="95">
        <f ca="1"/>
        <v>-4.1781632298948379E-3</v>
      </c>
      <c r="E493" s="92"/>
      <c r="F493" s="97">
        <f ca="1">_xll.meDateFromTenor(F492,"1D","FOLLOWING","TGT")</f>
        <v>43202</v>
      </c>
      <c r="G493" s="95">
        <f ca="1"/>
        <v>-3.7929591982144746E-3</v>
      </c>
      <c r="H493" s="92" t="s">
        <v>4</v>
      </c>
      <c r="I493" s="97">
        <f ca="1">_xll.meDateFromTenor(I492,"1D","FOLLOWING","TGT")</f>
        <v>43202</v>
      </c>
      <c r="J493" s="95">
        <f ca="1"/>
        <v>-3.3494074104617115E-3</v>
      </c>
      <c r="K493" s="5" t="s">
        <v>4</v>
      </c>
      <c r="L493" s="97">
        <f ca="1">_xll.meDateFromTenor(L492,"1D","FOLLOWING","TGT")</f>
        <v>43202</v>
      </c>
      <c r="M493" s="95">
        <f ca="1"/>
        <v>-1.3300441333616905E-3</v>
      </c>
      <c r="N493" s="5" t="s">
        <v>4</v>
      </c>
      <c r="O493" s="97">
        <f ca="1">_xll.meDateFromTenor(O492,"1D","FOLLOWING","TGT")</f>
        <v>43202</v>
      </c>
      <c r="P493" s="95">
        <f ca="1"/>
        <v>6.7067185254776054E-4</v>
      </c>
      <c r="Q493" s="5" t="s">
        <v>4</v>
      </c>
      <c r="R493" s="83" t="s">
        <v>4</v>
      </c>
    </row>
    <row r="494" spans="1:18" x14ac:dyDescent="0.25">
      <c r="A494" s="88">
        <v>480</v>
      </c>
      <c r="B494" s="82"/>
      <c r="C494" s="97">
        <f ca="1">_xll.meDateFromTenor(C493,"1D","FOLLOWING","TGT")</f>
        <v>43203</v>
      </c>
      <c r="D494" s="95">
        <f ca="1"/>
        <v>-4.1765296140889863E-3</v>
      </c>
      <c r="E494" s="92"/>
      <c r="F494" s="97">
        <f ca="1">_xll.meDateFromTenor(F493,"1D","FOLLOWING","TGT")</f>
        <v>43203</v>
      </c>
      <c r="G494" s="95">
        <f ca="1"/>
        <v>-3.790047055032194E-3</v>
      </c>
      <c r="H494" s="92" t="s">
        <v>4</v>
      </c>
      <c r="I494" s="97">
        <f ca="1">_xll.meDateFromTenor(I493,"1D","FOLLOWING","TGT")</f>
        <v>43203</v>
      </c>
      <c r="J494" s="95">
        <f ca="1"/>
        <v>-3.3604865991260918E-3</v>
      </c>
      <c r="K494" s="5" t="s">
        <v>4</v>
      </c>
      <c r="L494" s="97">
        <f ca="1">_xll.meDateFromTenor(L493,"1D","FOLLOWING","TGT")</f>
        <v>43203</v>
      </c>
      <c r="M494" s="95">
        <f ca="1"/>
        <v>-1.3261672666155962E-3</v>
      </c>
      <c r="N494" s="5" t="s">
        <v>4</v>
      </c>
      <c r="O494" s="97">
        <f ca="1">_xll.meDateFromTenor(O493,"1D","FOLLOWING","TGT")</f>
        <v>43203</v>
      </c>
      <c r="P494" s="95">
        <f ca="1"/>
        <v>6.7474222543614261E-4</v>
      </c>
      <c r="Q494" s="5" t="s">
        <v>4</v>
      </c>
      <c r="R494" s="83" t="s">
        <v>4</v>
      </c>
    </row>
    <row r="495" spans="1:18" x14ac:dyDescent="0.25">
      <c r="A495" s="88">
        <v>481</v>
      </c>
      <c r="B495" s="82"/>
      <c r="C495" s="97">
        <f ca="1">_xll.meDateFromTenor(C494,"1D","FOLLOWING","TGT")</f>
        <v>43206</v>
      </c>
      <c r="D495" s="95">
        <f ca="1"/>
        <v>-4.1714817014738559E-3</v>
      </c>
      <c r="E495" s="92"/>
      <c r="F495" s="97">
        <f ca="1">_xll.meDateFromTenor(F494,"1D","FOLLOWING","TGT")</f>
        <v>43206</v>
      </c>
      <c r="G495" s="95">
        <f ca="1"/>
        <v>-3.7812026508286076E-3</v>
      </c>
      <c r="H495" s="92" t="s">
        <v>4</v>
      </c>
      <c r="I495" s="97">
        <f ca="1">_xll.meDateFromTenor(I494,"1D","FOLLOWING","TGT")</f>
        <v>43206</v>
      </c>
      <c r="J495" s="95">
        <f ca="1"/>
        <v>-3.3894238145541489E-3</v>
      </c>
      <c r="K495" s="5" t="s">
        <v>4</v>
      </c>
      <c r="L495" s="97">
        <f ca="1">_xll.meDateFromTenor(L494,"1D","FOLLOWING","TGT")</f>
        <v>43206</v>
      </c>
      <c r="M495" s="95">
        <f ca="1"/>
        <v>-1.3145009185689934E-3</v>
      </c>
      <c r="N495" s="5" t="s">
        <v>4</v>
      </c>
      <c r="O495" s="97">
        <f ca="1">_xll.meDateFromTenor(O494,"1D","FOLLOWING","TGT")</f>
        <v>43206</v>
      </c>
      <c r="P495" s="95">
        <f ca="1"/>
        <v>6.8699521464063342E-4</v>
      </c>
      <c r="Q495" s="5" t="s">
        <v>4</v>
      </c>
      <c r="R495" s="83" t="s">
        <v>4</v>
      </c>
    </row>
    <row r="496" spans="1:18" x14ac:dyDescent="0.25">
      <c r="A496" s="88">
        <v>482</v>
      </c>
      <c r="B496" s="82"/>
      <c r="C496" s="97">
        <f ca="1">_xll.meDateFromTenor(C495,"1D","FOLLOWING","TGT")</f>
        <v>43207</v>
      </c>
      <c r="D496" s="95">
        <f ca="1"/>
        <v>-4.1697500455311065E-3</v>
      </c>
      <c r="E496" s="92"/>
      <c r="F496" s="97">
        <f ca="1">_xll.meDateFromTenor(F495,"1D","FOLLOWING","TGT")</f>
        <v>43207</v>
      </c>
      <c r="G496" s="95">
        <f ca="1"/>
        <v>-3.77822625949538E-3</v>
      </c>
      <c r="H496" s="92" t="s">
        <v>4</v>
      </c>
      <c r="I496" s="97">
        <f ca="1">_xll.meDateFromTenor(I495,"1D","FOLLOWING","TGT")</f>
        <v>43207</v>
      </c>
      <c r="J496" s="95">
        <f ca="1"/>
        <v>-3.3976789229128133E-3</v>
      </c>
      <c r="K496" s="5" t="s">
        <v>4</v>
      </c>
      <c r="L496" s="97">
        <f ca="1">_xll.meDateFromTenor(L495,"1D","FOLLOWING","TGT")</f>
        <v>43207</v>
      </c>
      <c r="M496" s="95">
        <f ca="1"/>
        <v>-1.3106006926196932E-3</v>
      </c>
      <c r="N496" s="5" t="s">
        <v>4</v>
      </c>
      <c r="O496" s="97">
        <f ca="1">_xll.meDateFromTenor(O495,"1D","FOLLOWING","TGT")</f>
        <v>43207</v>
      </c>
      <c r="P496" s="95">
        <f ca="1"/>
        <v>6.9109345779218409E-4</v>
      </c>
      <c r="Q496" s="5" t="s">
        <v>4</v>
      </c>
      <c r="R496" s="83" t="s">
        <v>4</v>
      </c>
    </row>
    <row r="497" spans="1:18" x14ac:dyDescent="0.25">
      <c r="A497" s="88">
        <v>483</v>
      </c>
      <c r="B497" s="82"/>
      <c r="C497" s="97">
        <f ca="1">_xll.meDateFromTenor(C496,"1D","FOLLOWING","TGT")</f>
        <v>43208</v>
      </c>
      <c r="D497" s="95">
        <f ca="1"/>
        <v>-4.1679938820664564E-3</v>
      </c>
      <c r="E497" s="92"/>
      <c r="F497" s="97">
        <f ca="1">_xll.meDateFromTenor(F496,"1D","FOLLOWING","TGT")</f>
        <v>43208</v>
      </c>
      <c r="G497" s="95">
        <f ca="1"/>
        <v>-3.7752396073395759E-3</v>
      </c>
      <c r="H497" s="92" t="s">
        <v>4</v>
      </c>
      <c r="I497" s="97">
        <f ca="1">_xll.meDateFromTenor(I496,"1D","FOLLOWING","TGT")</f>
        <v>43208</v>
      </c>
      <c r="J497" s="95">
        <f ca="1"/>
        <v>-3.4052601262483037E-3</v>
      </c>
      <c r="K497" s="5" t="s">
        <v>4</v>
      </c>
      <c r="L497" s="97">
        <f ca="1">_xll.meDateFromTenor(L496,"1D","FOLLOWING","TGT")</f>
        <v>43208</v>
      </c>
      <c r="M497" s="95">
        <f ca="1"/>
        <v>-1.3066949813713474E-3</v>
      </c>
      <c r="N497" s="5" t="s">
        <v>4</v>
      </c>
      <c r="O497" s="97">
        <f ca="1">_xll.meDateFromTenor(O496,"1D","FOLLOWING","TGT")</f>
        <v>43208</v>
      </c>
      <c r="P497" s="95">
        <f ca="1"/>
        <v>6.9519863593723089E-4</v>
      </c>
      <c r="Q497" s="5" t="s">
        <v>4</v>
      </c>
      <c r="R497" s="83" t="s">
        <v>4</v>
      </c>
    </row>
    <row r="498" spans="1:18" x14ac:dyDescent="0.25">
      <c r="A498" s="88">
        <v>484</v>
      </c>
      <c r="B498" s="82"/>
      <c r="C498" s="97">
        <f ca="1">_xll.meDateFromTenor(C497,"1D","FOLLOWING","TGT")</f>
        <v>43209</v>
      </c>
      <c r="D498" s="95">
        <f ca="1"/>
        <v>-4.1662132119846262E-3</v>
      </c>
      <c r="E498" s="92"/>
      <c r="F498" s="97">
        <f ca="1">_xll.meDateFromTenor(F497,"1D","FOLLOWING","TGT")</f>
        <v>43209</v>
      </c>
      <c r="G498" s="95">
        <f ca="1"/>
        <v>-3.7722450148472619E-3</v>
      </c>
      <c r="H498" s="92" t="s">
        <v>4</v>
      </c>
      <c r="I498" s="97">
        <f ca="1">_xll.meDateFromTenor(I497,"1D","FOLLOWING","TGT")</f>
        <v>43209</v>
      </c>
      <c r="J498" s="95">
        <f ca="1"/>
        <v>-3.4121802705819205E-3</v>
      </c>
      <c r="K498" s="5" t="s">
        <v>4</v>
      </c>
      <c r="L498" s="97">
        <f ca="1">_xll.meDateFromTenor(L497,"1D","FOLLOWING","TGT")</f>
        <v>43209</v>
      </c>
      <c r="M498" s="95">
        <f ca="1"/>
        <v>-1.3027839266246581E-3</v>
      </c>
      <c r="N498" s="5" t="s">
        <v>4</v>
      </c>
      <c r="O498" s="97">
        <f ca="1">_xll.meDateFromTenor(O497,"1D","FOLLOWING","TGT")</f>
        <v>43209</v>
      </c>
      <c r="P498" s="95">
        <f ca="1"/>
        <v>6.9931073604685451E-4</v>
      </c>
      <c r="Q498" s="5" t="s">
        <v>4</v>
      </c>
      <c r="R498" s="83" t="s">
        <v>4</v>
      </c>
    </row>
    <row r="499" spans="1:18" x14ac:dyDescent="0.25">
      <c r="A499" s="88">
        <v>485</v>
      </c>
      <c r="B499" s="82"/>
      <c r="C499" s="97">
        <f ca="1">_xll.meDateFromTenor(C498,"1D","FOLLOWING","TGT")</f>
        <v>43210</v>
      </c>
      <c r="D499" s="95">
        <f ca="1"/>
        <v>-4.1644080363887337E-3</v>
      </c>
      <c r="E499" s="92"/>
      <c r="F499" s="97">
        <f ca="1">_xll.meDateFromTenor(F498,"1D","FOLLOWING","TGT")</f>
        <v>43210</v>
      </c>
      <c r="G499" s="95">
        <f ca="1"/>
        <v>-3.7692448025045005E-3</v>
      </c>
      <c r="H499" s="92" t="s">
        <v>4</v>
      </c>
      <c r="I499" s="97">
        <f ca="1">_xll.meDateFromTenor(I498,"1D","FOLLOWING","TGT")</f>
        <v>43210</v>
      </c>
      <c r="J499" s="95">
        <f ca="1"/>
        <v>-3.4184522019349664E-3</v>
      </c>
      <c r="K499" s="5" t="s">
        <v>4</v>
      </c>
      <c r="L499" s="97">
        <f ca="1">_xll.meDateFromTenor(L498,"1D","FOLLOWING","TGT")</f>
        <v>43210</v>
      </c>
      <c r="M499" s="95">
        <f ca="1"/>
        <v>-1.2988676701803277E-3</v>
      </c>
      <c r="N499" s="5" t="s">
        <v>4</v>
      </c>
      <c r="O499" s="97">
        <f ca="1">_xll.meDateFromTenor(O498,"1D","FOLLOWING","TGT")</f>
        <v>43210</v>
      </c>
      <c r="P499" s="95">
        <f ca="1"/>
        <v>7.0342974509213707E-4</v>
      </c>
      <c r="Q499" s="5" t="s">
        <v>4</v>
      </c>
      <c r="R499" s="83" t="s">
        <v>4</v>
      </c>
    </row>
    <row r="500" spans="1:18" x14ac:dyDescent="0.25">
      <c r="A500" s="88">
        <v>486</v>
      </c>
      <c r="B500" s="82"/>
      <c r="C500" s="97">
        <f ca="1">_xll.meDateFromTenor(C499,"1D","FOLLOWING","TGT")</f>
        <v>43213</v>
      </c>
      <c r="D500" s="95">
        <f ca="1"/>
        <v>-4.1588454856464896E-3</v>
      </c>
      <c r="E500" s="92"/>
      <c r="F500" s="97">
        <f ca="1">_xll.meDateFromTenor(F499,"1D","FOLLOWING","TGT")</f>
        <v>43213</v>
      </c>
      <c r="G500" s="95">
        <f ca="1"/>
        <v>-3.7602336512341842E-3</v>
      </c>
      <c r="H500" s="92" t="s">
        <v>4</v>
      </c>
      <c r="I500" s="97">
        <f ca="1">_xll.meDateFromTenor(I499,"1D","FOLLOWING","TGT")</f>
        <v>43213</v>
      </c>
      <c r="J500" s="95">
        <f ca="1"/>
        <v>-3.4335071783236945E-3</v>
      </c>
      <c r="K500" s="5" t="s">
        <v>4</v>
      </c>
      <c r="L500" s="97">
        <f ca="1">_xll.meDateFromTenor(L499,"1D","FOLLOWING","TGT")</f>
        <v>43213</v>
      </c>
      <c r="M500" s="95">
        <f ca="1"/>
        <v>-1.2870891086685095E-3</v>
      </c>
      <c r="N500" s="5" t="s">
        <v>4</v>
      </c>
      <c r="O500" s="97">
        <f ca="1">_xll.meDateFromTenor(O499,"1D","FOLLOWING","TGT")</f>
        <v>43213</v>
      </c>
      <c r="P500" s="95">
        <f ca="1"/>
        <v>7.1582809555275424E-4</v>
      </c>
      <c r="Q500" s="5" t="s">
        <v>4</v>
      </c>
      <c r="R500" s="83" t="s">
        <v>4</v>
      </c>
    </row>
    <row r="501" spans="1:18" x14ac:dyDescent="0.25">
      <c r="A501" s="88">
        <v>487</v>
      </c>
      <c r="B501" s="82"/>
      <c r="C501" s="97">
        <f ca="1">_xll.meDateFromTenor(C500,"1D","FOLLOWING","TGT")</f>
        <v>43214</v>
      </c>
      <c r="D501" s="95">
        <f ca="1"/>
        <v>-4.1569422973143366E-3</v>
      </c>
      <c r="E501" s="92"/>
      <c r="F501" s="97">
        <f ca="1">_xll.meDateFromTenor(F500,"1D","FOLLOWING","TGT")</f>
        <v>43214</v>
      </c>
      <c r="G501" s="95">
        <f ca="1"/>
        <v>-3.7572341643502824E-3</v>
      </c>
      <c r="H501" s="92" t="s">
        <v>4</v>
      </c>
      <c r="I501" s="97">
        <f ca="1">_xll.meDateFromTenor(I500,"1D","FOLLOWING","TGT")</f>
        <v>43214</v>
      </c>
      <c r="J501" s="95">
        <f ca="1"/>
        <v>-3.4373147179674723E-3</v>
      </c>
      <c r="K501" s="5" t="s">
        <v>4</v>
      </c>
      <c r="L501" s="97">
        <f ca="1">_xll.meDateFromTenor(L500,"1D","FOLLOWING","TGT")</f>
        <v>43214</v>
      </c>
      <c r="M501" s="95">
        <f ca="1"/>
        <v>-1.2831534634406357E-3</v>
      </c>
      <c r="N501" s="5" t="s">
        <v>4</v>
      </c>
      <c r="O501" s="97">
        <f ca="1">_xll.meDateFromTenor(O500,"1D","FOLLOWING","TGT")</f>
        <v>43214</v>
      </c>
      <c r="P501" s="95">
        <f ca="1"/>
        <v>7.1997461005148748E-4</v>
      </c>
      <c r="Q501" s="5" t="s">
        <v>4</v>
      </c>
      <c r="R501" s="83" t="s">
        <v>4</v>
      </c>
    </row>
    <row r="502" spans="1:18" x14ac:dyDescent="0.25">
      <c r="A502" s="88">
        <v>488</v>
      </c>
      <c r="B502" s="82"/>
      <c r="C502" s="97">
        <f ca="1">_xll.meDateFromTenor(C501,"1D","FOLLOWING","TGT")</f>
        <v>43215</v>
      </c>
      <c r="D502" s="95">
        <f ca="1"/>
        <v>-4.1550146084374795E-3</v>
      </c>
      <c r="E502" s="92"/>
      <c r="F502" s="97">
        <f ca="1">_xll.meDateFromTenor(F501,"1D","FOLLOWING","TGT")</f>
        <v>43215</v>
      </c>
      <c r="G502" s="95">
        <f ca="1"/>
        <v>-3.7542406600462575E-3</v>
      </c>
      <c r="H502" s="92" t="s">
        <v>4</v>
      </c>
      <c r="I502" s="97">
        <f ca="1">_xll.meDateFromTenor(I501,"1D","FOLLOWING","TGT")</f>
        <v>43215</v>
      </c>
      <c r="J502" s="95">
        <f ca="1"/>
        <v>-3.4405382747371874E-3</v>
      </c>
      <c r="K502" s="5" t="s">
        <v>4</v>
      </c>
      <c r="L502" s="97">
        <f ca="1">_xll.meDateFromTenor(L501,"1D","FOLLOWING","TGT")</f>
        <v>43215</v>
      </c>
      <c r="M502" s="95">
        <f ca="1"/>
        <v>-1.2792133255186322E-3</v>
      </c>
      <c r="N502" s="5" t="s">
        <v>4</v>
      </c>
      <c r="O502" s="97">
        <f ca="1">_xll.meDateFromTenor(O501,"1D","FOLLOWING","TGT")</f>
        <v>43215</v>
      </c>
      <c r="P502" s="95">
        <f ca="1"/>
        <v>7.2412796834128701E-4</v>
      </c>
      <c r="Q502" s="5" t="s">
        <v>4</v>
      </c>
      <c r="R502" s="83" t="s">
        <v>4</v>
      </c>
    </row>
    <row r="503" spans="1:18" x14ac:dyDescent="0.25">
      <c r="A503" s="88">
        <v>489</v>
      </c>
      <c r="B503" s="82"/>
      <c r="C503" s="97">
        <f ca="1">_xll.meDateFromTenor(C502,"1D","FOLLOWING","TGT")</f>
        <v>43216</v>
      </c>
      <c r="D503" s="95">
        <f ca="1"/>
        <v>-4.1530624196305377E-3</v>
      </c>
      <c r="E503" s="92"/>
      <c r="F503" s="97">
        <f ca="1">_xll.meDateFromTenor(F502,"1D","FOLLOWING","TGT")</f>
        <v>43216</v>
      </c>
      <c r="G503" s="95">
        <f ca="1"/>
        <v>-3.7512554588081727E-3</v>
      </c>
      <c r="H503" s="92" t="s">
        <v>4</v>
      </c>
      <c r="I503" s="97">
        <f ca="1">_xll.meDateFromTenor(I502,"1D","FOLLOWING","TGT")</f>
        <v>43216</v>
      </c>
      <c r="J503" s="95">
        <f ca="1"/>
        <v>-3.443190694654142E-3</v>
      </c>
      <c r="K503" s="5" t="s">
        <v>4</v>
      </c>
      <c r="L503" s="97">
        <f ca="1">_xll.meDateFromTenor(L502,"1D","FOLLOWING","TGT")</f>
        <v>43216</v>
      </c>
      <c r="M503" s="95">
        <f ca="1"/>
        <v>-1.2752688367032004E-3</v>
      </c>
      <c r="N503" s="5" t="s">
        <v>4</v>
      </c>
      <c r="O503" s="97">
        <f ca="1">_xll.meDateFromTenor(O502,"1D","FOLLOWING","TGT")</f>
        <v>43216</v>
      </c>
      <c r="P503" s="95">
        <f ca="1"/>
        <v>7.2828815739323495E-4</v>
      </c>
      <c r="Q503" s="5" t="s">
        <v>4</v>
      </c>
      <c r="R503" s="83" t="s">
        <v>4</v>
      </c>
    </row>
    <row r="504" spans="1:18" x14ac:dyDescent="0.25">
      <c r="A504" s="88">
        <v>490</v>
      </c>
      <c r="B504" s="82"/>
      <c r="C504" s="97">
        <f ca="1">_xll.meDateFromTenor(C503,"1D","FOLLOWING","TGT")</f>
        <v>43217</v>
      </c>
      <c r="D504" s="95">
        <f ca="1"/>
        <v>-4.1510857320233852E-3</v>
      </c>
      <c r="E504" s="92"/>
      <c r="F504" s="97">
        <f ca="1">_xll.meDateFromTenor(F503,"1D","FOLLOWING","TGT")</f>
        <v>43217</v>
      </c>
      <c r="G504" s="95">
        <f ca="1"/>
        <v>-3.7482808811220934E-3</v>
      </c>
      <c r="H504" s="92" t="s">
        <v>4</v>
      </c>
      <c r="I504" s="97">
        <f ca="1">_xll.meDateFromTenor(I503,"1D","FOLLOWING","TGT")</f>
        <v>43217</v>
      </c>
      <c r="J504" s="95">
        <f ca="1"/>
        <v>-3.4452848237396367E-3</v>
      </c>
      <c r="K504" s="5" t="s">
        <v>4</v>
      </c>
      <c r="L504" s="97">
        <f ca="1">_xll.meDateFromTenor(L503,"1D","FOLLOWING","TGT")</f>
        <v>43217</v>
      </c>
      <c r="M504" s="95">
        <f ca="1"/>
        <v>-1.271320138795043E-3</v>
      </c>
      <c r="N504" s="5" t="s">
        <v>4</v>
      </c>
      <c r="O504" s="97">
        <f ca="1">_xll.meDateFromTenor(O503,"1D","FOLLOWING","TGT")</f>
        <v>43217</v>
      </c>
      <c r="P504" s="95">
        <f ca="1"/>
        <v>7.3245516417841199E-4</v>
      </c>
      <c r="Q504" s="5" t="s">
        <v>4</v>
      </c>
      <c r="R504" s="83" t="s">
        <v>4</v>
      </c>
    </row>
    <row r="505" spans="1:18" x14ac:dyDescent="0.25">
      <c r="A505" s="88">
        <v>491</v>
      </c>
      <c r="B505" s="82"/>
      <c r="C505" s="97">
        <f ca="1">_xll.meDateFromTenor(C504,"1D","FOLLOWING","TGT")</f>
        <v>43220</v>
      </c>
      <c r="D505" s="95">
        <f ca="1"/>
        <v>-4.1450086859624591E-3</v>
      </c>
      <c r="E505" s="92"/>
      <c r="F505" s="97">
        <f ca="1">_xll.meDateFromTenor(F504,"1D","FOLLOWING","TGT")</f>
        <v>43220</v>
      </c>
      <c r="G505" s="95">
        <f ca="1"/>
        <v>-3.7394440942365315E-3</v>
      </c>
      <c r="H505" s="92" t="s">
        <v>4</v>
      </c>
      <c r="I505" s="97">
        <f ca="1">_xll.meDateFromTenor(I504,"1D","FOLLOWING","TGT")</f>
        <v>43220</v>
      </c>
      <c r="J505" s="95">
        <f ca="1"/>
        <v>-3.4483459262203819E-3</v>
      </c>
      <c r="K505" s="5" t="s">
        <v>4</v>
      </c>
      <c r="L505" s="97">
        <f ca="1">_xll.meDateFromTenor(L504,"1D","FOLLOWING","TGT")</f>
        <v>43220</v>
      </c>
      <c r="M505" s="95">
        <f ca="1"/>
        <v>-1.2594502085212396E-3</v>
      </c>
      <c r="N505" s="5" t="s">
        <v>4</v>
      </c>
      <c r="O505" s="97">
        <f ca="1">_xll.meDateFromTenor(O504,"1D","FOLLOWING","TGT")</f>
        <v>43220</v>
      </c>
      <c r="P505" s="95">
        <f ca="1"/>
        <v>7.4499696064413417E-4</v>
      </c>
      <c r="Q505" s="5" t="s">
        <v>4</v>
      </c>
      <c r="R505" s="83" t="s">
        <v>4</v>
      </c>
    </row>
    <row r="506" spans="1:18" x14ac:dyDescent="0.25">
      <c r="A506" s="88">
        <v>492</v>
      </c>
      <c r="B506" s="82"/>
      <c r="C506" s="97">
        <f ca="1">_xll.meDateFromTenor(C505,"1D","FOLLOWING","TGT")</f>
        <v>43222</v>
      </c>
      <c r="D506" s="95">
        <f ca="1"/>
        <v>-4.1408348452799393E-3</v>
      </c>
      <c r="E506" s="92"/>
      <c r="F506" s="97">
        <f ca="1">_xll.meDateFromTenor(F505,"1D","FOLLOWING","TGT")</f>
        <v>43222</v>
      </c>
      <c r="G506" s="95">
        <f ca="1"/>
        <v>-3.7336485629840327E-3</v>
      </c>
      <c r="H506" s="92" t="s">
        <v>4</v>
      </c>
      <c r="I506" s="97">
        <f ca="1">_xll.meDateFromTenor(I505,"1D","FOLLOWING","TGT")</f>
        <v>43222</v>
      </c>
      <c r="J506" s="95">
        <f ca="1"/>
        <v>-3.4478307174407793E-3</v>
      </c>
      <c r="K506" s="5" t="s">
        <v>4</v>
      </c>
      <c r="L506" s="97">
        <f ca="1">_xll.meDateFromTenor(L505,"1D","FOLLOWING","TGT")</f>
        <v>43222</v>
      </c>
      <c r="M506" s="95">
        <f ca="1"/>
        <v>-1.2515184758879498E-3</v>
      </c>
      <c r="N506" s="5" t="s">
        <v>4</v>
      </c>
      <c r="O506" s="97">
        <f ca="1">_xll.meDateFromTenor(O505,"1D","FOLLOWING","TGT")</f>
        <v>43222</v>
      </c>
      <c r="P506" s="95">
        <f ca="1"/>
        <v>7.5339200809059024E-4</v>
      </c>
      <c r="Q506" s="5" t="s">
        <v>4</v>
      </c>
      <c r="R506" s="83" t="s">
        <v>4</v>
      </c>
    </row>
    <row r="507" spans="1:18" x14ac:dyDescent="0.25">
      <c r="A507" s="88">
        <v>493</v>
      </c>
      <c r="B507" s="82"/>
      <c r="C507" s="97">
        <f ca="1">_xll.meDateFromTenor(C506,"1D","FOLLOWING","TGT")</f>
        <v>43223</v>
      </c>
      <c r="D507" s="95">
        <f ca="1"/>
        <v>-4.1387111848396607E-3</v>
      </c>
      <c r="E507" s="92"/>
      <c r="F507" s="97">
        <f ca="1">_xll.meDateFromTenor(F506,"1D","FOLLOWING","TGT")</f>
        <v>43223</v>
      </c>
      <c r="G507" s="95">
        <f ca="1"/>
        <v>-3.7307857655726898E-3</v>
      </c>
      <c r="H507" s="92" t="s">
        <v>4</v>
      </c>
      <c r="I507" s="97">
        <f ca="1">_xll.meDateFromTenor(I506,"1D","FOLLOWING","TGT")</f>
        <v>43223</v>
      </c>
      <c r="J507" s="95">
        <f ca="1"/>
        <v>-3.4468448679848534E-3</v>
      </c>
      <c r="K507" s="5" t="s">
        <v>4</v>
      </c>
      <c r="L507" s="97">
        <f ca="1">_xll.meDateFromTenor(L506,"1D","FOLLOWING","TGT")</f>
        <v>43223</v>
      </c>
      <c r="M507" s="95">
        <f ca="1"/>
        <v>-1.2475475012381858E-3</v>
      </c>
      <c r="N507" s="5" t="s">
        <v>4</v>
      </c>
      <c r="O507" s="97">
        <f ca="1">_xll.meDateFromTenor(O506,"1D","FOLLOWING","TGT")</f>
        <v>43223</v>
      </c>
      <c r="P507" s="95">
        <f ca="1"/>
        <v>7.5759964766785475E-4</v>
      </c>
      <c r="Q507" s="5" t="s">
        <v>4</v>
      </c>
      <c r="R507" s="83" t="s">
        <v>4</v>
      </c>
    </row>
    <row r="508" spans="1:18" x14ac:dyDescent="0.25">
      <c r="A508" s="88">
        <v>494</v>
      </c>
      <c r="B508" s="82"/>
      <c r="C508" s="97">
        <f ca="1">_xll.meDateFromTenor(C507,"1D","FOLLOWING","TGT")</f>
        <v>43224</v>
      </c>
      <c r="D508" s="95">
        <f ca="1"/>
        <v>-4.1365630321057445E-3</v>
      </c>
      <c r="E508" s="92"/>
      <c r="F508" s="97">
        <f ca="1">_xll.meDateFromTenor(F507,"1D","FOLLOWING","TGT")</f>
        <v>43224</v>
      </c>
      <c r="G508" s="95">
        <f ca="1"/>
        <v>-3.7279456876479042E-3</v>
      </c>
      <c r="H508" s="92" t="s">
        <v>4</v>
      </c>
      <c r="I508" s="97">
        <f ca="1">_xll.meDateFromTenor(I507,"1D","FOLLOWING","TGT")</f>
        <v>43224</v>
      </c>
      <c r="J508" s="95">
        <f ca="1"/>
        <v>-3.4453906498465793E-3</v>
      </c>
      <c r="K508" s="5" t="s">
        <v>4</v>
      </c>
      <c r="L508" s="97">
        <f ca="1">_xll.meDateFromTenor(L507,"1D","FOLLOWING","TGT")</f>
        <v>43224</v>
      </c>
      <c r="M508" s="95">
        <f ca="1"/>
        <v>-1.2435733101006118E-3</v>
      </c>
      <c r="N508" s="5" t="s">
        <v>4</v>
      </c>
      <c r="O508" s="97">
        <f ca="1">_xll.meDateFromTenor(O507,"1D","FOLLOWING","TGT")</f>
        <v>43224</v>
      </c>
      <c r="P508" s="95">
        <f ca="1"/>
        <v>7.6181401377591897E-4</v>
      </c>
      <c r="Q508" s="5" t="s">
        <v>4</v>
      </c>
      <c r="R508" s="83" t="s">
        <v>4</v>
      </c>
    </row>
    <row r="509" spans="1:18" x14ac:dyDescent="0.25">
      <c r="A509" s="88">
        <v>495</v>
      </c>
      <c r="B509" s="82"/>
      <c r="C509" s="97">
        <f ca="1">_xll.meDateFromTenor(C508,"1D","FOLLOWING","TGT")</f>
        <v>43227</v>
      </c>
      <c r="D509" s="95">
        <f ca="1"/>
        <v>-4.1299716302550804E-3</v>
      </c>
      <c r="E509" s="92"/>
      <c r="F509" s="97">
        <f ca="1">_xll.meDateFromTenor(F508,"1D","FOLLOWING","TGT")</f>
        <v>43227</v>
      </c>
      <c r="G509" s="95">
        <f ca="1"/>
        <v>-3.7195435009745445E-3</v>
      </c>
      <c r="H509" s="92" t="s">
        <v>4</v>
      </c>
      <c r="I509" s="97">
        <f ca="1">_xll.meDateFromTenor(I508,"1D","FOLLOWING","TGT")</f>
        <v>43227</v>
      </c>
      <c r="J509" s="95">
        <f ca="1"/>
        <v>-3.4383462435506897E-3</v>
      </c>
      <c r="K509" s="5" t="s">
        <v>4</v>
      </c>
      <c r="L509" s="97">
        <f ca="1">_xll.meDateFromTenor(L508,"1D","FOLLOWING","TGT")</f>
        <v>43227</v>
      </c>
      <c r="M509" s="95">
        <f ca="1"/>
        <v>-1.231632855768052E-3</v>
      </c>
      <c r="N509" s="5" t="s">
        <v>4</v>
      </c>
      <c r="O509" s="97">
        <f ca="1">_xll.meDateFromTenor(O508,"1D","FOLLOWING","TGT")</f>
        <v>43227</v>
      </c>
      <c r="P509" s="95">
        <f ca="1"/>
        <v>7.7449734099572663E-4</v>
      </c>
      <c r="Q509" s="5" t="s">
        <v>4</v>
      </c>
      <c r="R509" s="83" t="s">
        <v>4</v>
      </c>
    </row>
    <row r="510" spans="1:18" x14ac:dyDescent="0.25">
      <c r="A510" s="88">
        <v>496</v>
      </c>
      <c r="B510" s="82"/>
      <c r="C510" s="97">
        <f ca="1">_xll.meDateFromTenor(C509,"1D","FOLLOWING","TGT")</f>
        <v>43228</v>
      </c>
      <c r="D510" s="95">
        <f ca="1"/>
        <v>-4.1277255179729133E-3</v>
      </c>
      <c r="E510" s="92"/>
      <c r="F510" s="97">
        <f ca="1">_xll.meDateFromTenor(F509,"1D","FOLLOWING","TGT")</f>
        <v>43228</v>
      </c>
      <c r="G510" s="95">
        <f ca="1"/>
        <v>-3.7167760311776401E-3</v>
      </c>
      <c r="H510" s="92" t="s">
        <v>4</v>
      </c>
      <c r="I510" s="97">
        <f ca="1">_xll.meDateFromTenor(I509,"1D","FOLLOWING","TGT")</f>
        <v>43228</v>
      </c>
      <c r="J510" s="95">
        <f ca="1"/>
        <v>-3.4351470108960423E-3</v>
      </c>
      <c r="K510" s="5" t="s">
        <v>4</v>
      </c>
      <c r="L510" s="97">
        <f ca="1">_xll.meDateFromTenor(L509,"1D","FOLLOWING","TGT")</f>
        <v>43228</v>
      </c>
      <c r="M510" s="95">
        <f ca="1"/>
        <v>-1.2276472166862604E-3</v>
      </c>
      <c r="N510" s="5" t="s">
        <v>4</v>
      </c>
      <c r="O510" s="97">
        <f ca="1">_xll.meDateFromTenor(O509,"1D","FOLLOWING","TGT")</f>
        <v>43228</v>
      </c>
      <c r="P510" s="95">
        <f ca="1"/>
        <v>7.7873848293780515E-4</v>
      </c>
      <c r="Q510" s="5" t="s">
        <v>4</v>
      </c>
      <c r="R510" s="83" t="s">
        <v>4</v>
      </c>
    </row>
    <row r="511" spans="1:18" x14ac:dyDescent="0.25">
      <c r="A511" s="88">
        <v>497</v>
      </c>
      <c r="B511" s="82"/>
      <c r="C511" s="97">
        <f ca="1">_xll.meDateFromTenor(C510,"1D","FOLLOWING","TGT")</f>
        <v>43229</v>
      </c>
      <c r="D511" s="95">
        <f ca="1"/>
        <v>-4.1254549182407896E-3</v>
      </c>
      <c r="E511" s="92"/>
      <c r="F511" s="97">
        <f ca="1">_xll.meDateFromTenor(F510,"1D","FOLLOWING","TGT")</f>
        <v>43229</v>
      </c>
      <c r="G511" s="95">
        <f ca="1"/>
        <v>-3.7140221459581188E-3</v>
      </c>
      <c r="H511" s="92" t="s">
        <v>4</v>
      </c>
      <c r="I511" s="97">
        <f ca="1">_xll.meDateFromTenor(I510,"1D","FOLLOWING","TGT")</f>
        <v>43229</v>
      </c>
      <c r="J511" s="95">
        <f ca="1"/>
        <v>-3.4315436396655558E-3</v>
      </c>
      <c r="K511" s="5" t="s">
        <v>4</v>
      </c>
      <c r="L511" s="97">
        <f ca="1">_xll.meDateFromTenor(L510,"1D","FOLLOWING","TGT")</f>
        <v>43229</v>
      </c>
      <c r="M511" s="95">
        <f ca="1"/>
        <v>-1.2236590701201701E-3</v>
      </c>
      <c r="N511" s="5" t="s">
        <v>4</v>
      </c>
      <c r="O511" s="97">
        <f ca="1">_xll.meDateFromTenor(O510,"1D","FOLLOWING","TGT")</f>
        <v>43229</v>
      </c>
      <c r="P511" s="95">
        <f ca="1"/>
        <v>7.829862862660914E-4</v>
      </c>
      <c r="Q511" s="5" t="s">
        <v>4</v>
      </c>
      <c r="R511" s="83" t="s">
        <v>4</v>
      </c>
    </row>
    <row r="512" spans="1:18" x14ac:dyDescent="0.25">
      <c r="A512" s="88">
        <v>498</v>
      </c>
      <c r="B512" s="82"/>
      <c r="C512" s="97">
        <f ca="1">_xll.meDateFromTenor(C511,"1D","FOLLOWING","TGT")</f>
        <v>43230</v>
      </c>
      <c r="D512" s="95">
        <f ca="1"/>
        <v>-4.1231598319275697E-3</v>
      </c>
      <c r="E512" s="92"/>
      <c r="F512" s="97">
        <f ca="1">_xll.meDateFromTenor(F511,"1D","FOLLOWING","TGT")</f>
        <v>43230</v>
      </c>
      <c r="G512" s="95">
        <f ca="1"/>
        <v>-3.7112800183341458E-3</v>
      </c>
      <c r="H512" s="92" t="s">
        <v>4</v>
      </c>
      <c r="I512" s="97">
        <f ca="1">_xll.meDateFromTenor(I511,"1D","FOLLOWING","TGT")</f>
        <v>43230</v>
      </c>
      <c r="J512" s="95">
        <f ca="1"/>
        <v>-3.4275489758805316E-3</v>
      </c>
      <c r="K512" s="5" t="s">
        <v>4</v>
      </c>
      <c r="L512" s="97">
        <f ca="1">_xll.meDateFromTenor(L511,"1D","FOLLOWING","TGT")</f>
        <v>43230</v>
      </c>
      <c r="M512" s="95">
        <f ca="1"/>
        <v>-1.2196685578704832E-3</v>
      </c>
      <c r="N512" s="5" t="s">
        <v>4</v>
      </c>
      <c r="O512" s="97">
        <f ca="1">_xll.meDateFromTenor(O511,"1D","FOLLOWING","TGT")</f>
        <v>43230</v>
      </c>
      <c r="P512" s="95">
        <f ca="1"/>
        <v>7.8724073795166649E-4</v>
      </c>
      <c r="Q512" s="5" t="s">
        <v>4</v>
      </c>
      <c r="R512" s="83" t="s">
        <v>4</v>
      </c>
    </row>
    <row r="513" spans="1:18" x14ac:dyDescent="0.25">
      <c r="A513" s="88">
        <v>499</v>
      </c>
      <c r="B513" s="82"/>
      <c r="C513" s="97">
        <f ca="1">_xll.meDateFromTenor(C512,"1D","FOLLOWING","TGT")</f>
        <v>43231</v>
      </c>
      <c r="D513" s="95">
        <f ca="1"/>
        <v>-4.1208402598585936E-3</v>
      </c>
      <c r="E513" s="92"/>
      <c r="F513" s="97">
        <f ca="1">_xll.meDateFromTenor(F512,"1D","FOLLOWING","TGT")</f>
        <v>43231</v>
      </c>
      <c r="G513" s="95">
        <f ca="1"/>
        <v>-3.7085478213238869E-3</v>
      </c>
      <c r="H513" s="92" t="s">
        <v>4</v>
      </c>
      <c r="I513" s="97">
        <f ca="1">_xll.meDateFromTenor(I512,"1D","FOLLOWING","TGT")</f>
        <v>43231</v>
      </c>
      <c r="J513" s="95">
        <f ca="1"/>
        <v>-3.4231758655622721E-3</v>
      </c>
      <c r="K513" s="5" t="s">
        <v>4</v>
      </c>
      <c r="L513" s="97">
        <f ca="1">_xll.meDateFromTenor(L512,"1D","FOLLOWING","TGT")</f>
        <v>43231</v>
      </c>
      <c r="M513" s="95">
        <f ca="1"/>
        <v>-1.2156758217379019E-3</v>
      </c>
      <c r="N513" s="5" t="s">
        <v>4</v>
      </c>
      <c r="O513" s="97">
        <f ca="1">_xll.meDateFromTenor(O512,"1D","FOLLOWING","TGT")</f>
        <v>43231</v>
      </c>
      <c r="P513" s="95">
        <f ca="1"/>
        <v>7.9150182496561146E-4</v>
      </c>
      <c r="Q513" s="5" t="s">
        <v>4</v>
      </c>
      <c r="R513" s="83" t="s">
        <v>4</v>
      </c>
    </row>
    <row r="514" spans="1:18" x14ac:dyDescent="0.25">
      <c r="A514" s="88">
        <v>500</v>
      </c>
      <c r="B514" s="82"/>
      <c r="C514" s="97">
        <f ca="1">_xll.meDateFromTenor(C513,"1D","FOLLOWING","TGT")</f>
        <v>43234</v>
      </c>
      <c r="D514" s="95">
        <f ca="1"/>
        <v>-4.113734638190647E-3</v>
      </c>
      <c r="E514" s="92"/>
      <c r="F514" s="97">
        <f ca="1">_xll.meDateFromTenor(F513,"1D","FOLLOWING","TGT")</f>
        <v>43234</v>
      </c>
      <c r="G514" s="95">
        <f ca="1"/>
        <v>-3.7003925441570404E-3</v>
      </c>
      <c r="H514" s="92" t="s">
        <v>4</v>
      </c>
      <c r="I514" s="97">
        <f ca="1">_xll.meDateFromTenor(I513,"1D","FOLLOWING","TGT")</f>
        <v>43234</v>
      </c>
      <c r="J514" s="95">
        <f ca="1"/>
        <v>-3.4079143156210932E-3</v>
      </c>
      <c r="K514" s="5" t="s">
        <v>4</v>
      </c>
      <c r="L514" s="97">
        <f ca="1">_xll.meDateFromTenor(L513,"1D","FOLLOWING","TGT")</f>
        <v>43234</v>
      </c>
      <c r="M514" s="95">
        <f ca="1"/>
        <v>-1.2036856880498154E-3</v>
      </c>
      <c r="N514" s="5" t="s">
        <v>4</v>
      </c>
      <c r="O514" s="97">
        <f ca="1">_xll.meDateFromTenor(O513,"1D","FOLLOWING","TGT")</f>
        <v>43234</v>
      </c>
      <c r="P514" s="95">
        <f ca="1"/>
        <v>8.043247676884841E-4</v>
      </c>
      <c r="Q514" s="5" t="s">
        <v>4</v>
      </c>
      <c r="R514" s="83" t="s">
        <v>4</v>
      </c>
    </row>
    <row r="515" spans="1:18" x14ac:dyDescent="0.25">
      <c r="A515" s="88">
        <v>501</v>
      </c>
      <c r="B515" s="82"/>
      <c r="C515" s="97">
        <f ca="1">_xll.meDateFromTenor(C514,"1D","FOLLOWING","TGT")</f>
        <v>43235</v>
      </c>
      <c r="D515" s="95">
        <f ca="1"/>
        <v>-4.1113171321627284E-3</v>
      </c>
      <c r="E515" s="92"/>
      <c r="F515" s="97">
        <f ca="1">_xll.meDateFromTenor(F514,"1D","FOLLOWING","TGT")</f>
        <v>43235</v>
      </c>
      <c r="G515" s="95">
        <f ca="1"/>
        <v>-3.6976817997832856E-3</v>
      </c>
      <c r="H515" s="92" t="s">
        <v>4</v>
      </c>
      <c r="I515" s="97">
        <f ca="1">_xll.meDateFromTenor(I514,"1D","FOLLOWING","TGT")</f>
        <v>43235</v>
      </c>
      <c r="J515" s="95">
        <f ca="1"/>
        <v>-3.4021558793829072E-3</v>
      </c>
      <c r="K515" s="5" t="s">
        <v>4</v>
      </c>
      <c r="L515" s="97">
        <f ca="1">_xll.meDateFromTenor(L514,"1D","FOLLOWING","TGT")</f>
        <v>43235</v>
      </c>
      <c r="M515" s="95">
        <f ca="1"/>
        <v>-1.1996854743926793E-3</v>
      </c>
      <c r="N515" s="5" t="s">
        <v>4</v>
      </c>
      <c r="O515" s="97">
        <f ca="1">_xll.meDateFromTenor(O514,"1D","FOLLOWING","TGT")</f>
        <v>43235</v>
      </c>
      <c r="P515" s="95">
        <f ca="1"/>
        <v>8.0861226572672557E-4</v>
      </c>
      <c r="Q515" s="5" t="s">
        <v>4</v>
      </c>
      <c r="R515" s="83" t="s">
        <v>4</v>
      </c>
    </row>
    <row r="516" spans="1:18" x14ac:dyDescent="0.25">
      <c r="A516" s="88">
        <v>502</v>
      </c>
      <c r="B516" s="82"/>
      <c r="C516" s="97">
        <f ca="1">_xll.meDateFromTenor(C515,"1D","FOLLOWING","TGT")</f>
        <v>43236</v>
      </c>
      <c r="D516" s="95">
        <f ca="1"/>
        <v>-4.1088751448820071E-3</v>
      </c>
      <c r="E516" s="92"/>
      <c r="F516" s="97">
        <f ca="1">_xll.meDateFromTenor(F515,"1D","FOLLOWING","TGT")</f>
        <v>43236</v>
      </c>
      <c r="G516" s="95">
        <f ca="1"/>
        <v>-3.6949718511140703E-3</v>
      </c>
      <c r="H516" s="92" t="s">
        <v>4</v>
      </c>
      <c r="I516" s="97">
        <f ca="1">_xll.meDateFromTenor(I515,"1D","FOLLOWING","TGT")</f>
        <v>43236</v>
      </c>
      <c r="J516" s="95">
        <f ca="1"/>
        <v>-3.3960832267179932E-3</v>
      </c>
      <c r="K516" s="5" t="s">
        <v>4</v>
      </c>
      <c r="L516" s="97">
        <f ca="1">_xll.meDateFromTenor(L515,"1D","FOLLOWING","TGT")</f>
        <v>43236</v>
      </c>
      <c r="M516" s="95">
        <f ca="1"/>
        <v>-1.1956837458561604E-3</v>
      </c>
      <c r="N516" s="5" t="s">
        <v>4</v>
      </c>
      <c r="O516" s="97">
        <f ca="1">_xll.meDateFromTenor(O515,"1D","FOLLOWING","TGT")</f>
        <v>43236</v>
      </c>
      <c r="P516" s="95">
        <f ca="1"/>
        <v>8.1290633394874448E-4</v>
      </c>
      <c r="Q516" s="5" t="s">
        <v>4</v>
      </c>
      <c r="R516" s="83" t="s">
        <v>4</v>
      </c>
    </row>
    <row r="517" spans="1:18" x14ac:dyDescent="0.25">
      <c r="A517" s="88">
        <v>503</v>
      </c>
      <c r="B517" s="82"/>
      <c r="C517" s="97">
        <f ca="1">_xll.meDateFromTenor(C516,"1D","FOLLOWING","TGT")</f>
        <v>43237</v>
      </c>
      <c r="D517" s="95">
        <f ca="1"/>
        <v>-4.1064086774028619E-3</v>
      </c>
      <c r="E517" s="92"/>
      <c r="F517" s="97">
        <f ca="1">_xll.meDateFromTenor(F516,"1D","FOLLOWING","TGT")</f>
        <v>43237</v>
      </c>
      <c r="G517" s="95">
        <f ca="1"/>
        <v>-3.6922608711675584E-3</v>
      </c>
      <c r="H517" s="92" t="s">
        <v>4</v>
      </c>
      <c r="I517" s="97">
        <f ca="1">_xll.meDateFromTenor(I516,"1D","FOLLOWING","TGT")</f>
        <v>43237</v>
      </c>
      <c r="J517" s="95">
        <f ca="1"/>
        <v>-3.3897092036476537E-3</v>
      </c>
      <c r="K517" s="5" t="s">
        <v>4</v>
      </c>
      <c r="L517" s="97">
        <f ca="1">_xll.meDateFromTenor(L516,"1D","FOLLOWING","TGT")</f>
        <v>43237</v>
      </c>
      <c r="M517" s="95">
        <f ca="1"/>
        <v>-1.191680644240961E-3</v>
      </c>
      <c r="N517" s="5" t="s">
        <v>4</v>
      </c>
      <c r="O517" s="97">
        <f ca="1">_xll.meDateFromTenor(O516,"1D","FOLLOWING","TGT")</f>
        <v>43237</v>
      </c>
      <c r="P517" s="95">
        <f ca="1"/>
        <v>8.1720695932562275E-4</v>
      </c>
      <c r="Q517" s="5" t="s">
        <v>4</v>
      </c>
      <c r="R517" s="83" t="s">
        <v>4</v>
      </c>
    </row>
    <row r="518" spans="1:18" x14ac:dyDescent="0.25">
      <c r="A518" s="88">
        <v>504</v>
      </c>
      <c r="B518" s="82"/>
      <c r="C518" s="97">
        <f ca="1">_xll.meDateFromTenor(C517,"1D","FOLLOWING","TGT")</f>
        <v>43238</v>
      </c>
      <c r="D518" s="95">
        <f ca="1"/>
        <v>-4.1039177303797691E-3</v>
      </c>
      <c r="E518" s="92"/>
      <c r="F518" s="97">
        <f ca="1">_xll.meDateFromTenor(F517,"1D","FOLLOWING","TGT")</f>
        <v>43238</v>
      </c>
      <c r="G518" s="95">
        <f ca="1"/>
        <v>-3.6895470329619162E-3</v>
      </c>
      <c r="H518" s="92" t="s">
        <v>4</v>
      </c>
      <c r="I518" s="97">
        <f ca="1">_xll.meDateFromTenor(I517,"1D","FOLLOWING","TGT")</f>
        <v>43238</v>
      </c>
      <c r="J518" s="95">
        <f ca="1"/>
        <v>-3.3830466561931903E-3</v>
      </c>
      <c r="K518" s="5" t="s">
        <v>4</v>
      </c>
      <c r="L518" s="97">
        <f ca="1">_xll.meDateFromTenor(L517,"1D","FOLLOWING","TGT")</f>
        <v>43238</v>
      </c>
      <c r="M518" s="95">
        <f ca="1"/>
        <v>-1.1876763113477823E-3</v>
      </c>
      <c r="N518" s="5" t="s">
        <v>4</v>
      </c>
      <c r="O518" s="97">
        <f ca="1">_xll.meDateFromTenor(O517,"1D","FOLLOWING","TGT")</f>
        <v>43238</v>
      </c>
      <c r="P518" s="95">
        <f ca="1"/>
        <v>8.2151412882844202E-4</v>
      </c>
      <c r="Q518" s="5" t="s">
        <v>4</v>
      </c>
      <c r="R518" s="83" t="s">
        <v>4</v>
      </c>
    </row>
    <row r="519" spans="1:18" x14ac:dyDescent="0.25">
      <c r="A519" s="88">
        <v>505</v>
      </c>
      <c r="B519" s="82"/>
      <c r="C519" s="97">
        <f ca="1">_xll.meDateFromTenor(C518,"1D","FOLLOWING","TGT")</f>
        <v>43241</v>
      </c>
      <c r="D519" s="95">
        <f ca="1"/>
        <v>-4.0962980215908384E-3</v>
      </c>
      <c r="E519" s="92"/>
      <c r="F519" s="97">
        <f ca="1">_xll.meDateFromTenor(F518,"1D","FOLLOWING","TGT")</f>
        <v>43241</v>
      </c>
      <c r="G519" s="95">
        <f ca="1"/>
        <v>-3.681370098971857E-3</v>
      </c>
      <c r="H519" s="92" t="s">
        <v>4</v>
      </c>
      <c r="I519" s="97">
        <f ca="1">_xll.meDateFromTenor(I518,"1D","FOLLOWING","TGT")</f>
        <v>43241</v>
      </c>
      <c r="J519" s="95">
        <f ca="1"/>
        <v>-3.3614563277380716E-3</v>
      </c>
      <c r="K519" s="5" t="s">
        <v>4</v>
      </c>
      <c r="L519" s="97">
        <f ca="1">_xll.meDateFromTenor(L518,"1D","FOLLOWING","TGT")</f>
        <v>43241</v>
      </c>
      <c r="M519" s="95">
        <f ca="1"/>
        <v>-1.1756573430073984E-3</v>
      </c>
      <c r="N519" s="5" t="s">
        <v>4</v>
      </c>
      <c r="O519" s="97">
        <f ca="1">_xll.meDateFromTenor(O518,"1D","FOLLOWING","TGT")</f>
        <v>43241</v>
      </c>
      <c r="P519" s="95">
        <f ca="1"/>
        <v>8.3447477180335872E-4</v>
      </c>
      <c r="Q519" s="5" t="s">
        <v>4</v>
      </c>
      <c r="R519" s="83" t="s">
        <v>4</v>
      </c>
    </row>
    <row r="520" spans="1:18" x14ac:dyDescent="0.25">
      <c r="A520" s="88">
        <v>506</v>
      </c>
      <c r="B520" s="82"/>
      <c r="C520" s="97">
        <f ca="1">_xll.meDateFromTenor(C519,"1D","FOLLOWING","TGT")</f>
        <v>43242</v>
      </c>
      <c r="D520" s="95">
        <f ca="1"/>
        <v>-4.0937091657279323E-3</v>
      </c>
      <c r="E520" s="92"/>
      <c r="F520" s="97">
        <f ca="1">_xll.meDateFromTenor(F519,"1D","FOLLOWING","TGT")</f>
        <v>43242</v>
      </c>
      <c r="G520" s="95">
        <f ca="1"/>
        <v>-3.6786265579113425E-3</v>
      </c>
      <c r="H520" s="92" t="s">
        <v>4</v>
      </c>
      <c r="I520" s="97">
        <f ca="1">_xll.meDateFromTenor(I519,"1D","FOLLOWING","TGT")</f>
        <v>43242</v>
      </c>
      <c r="J520" s="95">
        <f ca="1"/>
        <v>-3.353768142960129E-3</v>
      </c>
      <c r="K520" s="5" t="s">
        <v>4</v>
      </c>
      <c r="L520" s="97">
        <f ca="1">_xll.meDateFromTenor(L519,"1D","FOLLOWING","TGT")</f>
        <v>43242</v>
      </c>
      <c r="M520" s="95">
        <f ca="1"/>
        <v>-1.1716495030093279E-3</v>
      </c>
      <c r="N520" s="5" t="s">
        <v>4</v>
      </c>
      <c r="O520" s="97">
        <f ca="1">_xll.meDateFromTenor(O519,"1D","FOLLOWING","TGT")</f>
        <v>43242</v>
      </c>
      <c r="P520" s="95">
        <f ca="1"/>
        <v>8.3880798752075615E-4</v>
      </c>
      <c r="Q520" s="5" t="s">
        <v>4</v>
      </c>
      <c r="R520" s="83" t="s">
        <v>4</v>
      </c>
    </row>
    <row r="521" spans="1:18" x14ac:dyDescent="0.25">
      <c r="A521" s="88">
        <v>507</v>
      </c>
      <c r="B521" s="82"/>
      <c r="C521" s="97">
        <f ca="1">_xll.meDateFromTenor(C520,"1D","FOLLOWING","TGT")</f>
        <v>43243</v>
      </c>
      <c r="D521" s="95">
        <f ca="1"/>
        <v>-4.0910958346814796E-3</v>
      </c>
      <c r="E521" s="92"/>
      <c r="F521" s="97">
        <f ca="1">_xll.meDateFromTenor(F520,"1D","FOLLOWING","TGT")</f>
        <v>43243</v>
      </c>
      <c r="G521" s="95">
        <f ca="1"/>
        <v>-3.6758710236825237E-3</v>
      </c>
      <c r="H521" s="92" t="s">
        <v>4</v>
      </c>
      <c r="I521" s="97">
        <f ca="1">_xll.meDateFromTenor(I520,"1D","FOLLOWING","TGT")</f>
        <v>43243</v>
      </c>
      <c r="J521" s="95">
        <f ca="1"/>
        <v>-3.3458556639045698E-3</v>
      </c>
      <c r="K521" s="5" t="s">
        <v>4</v>
      </c>
      <c r="L521" s="97">
        <f ca="1">_xll.meDateFromTenor(L520,"1D","FOLLOWING","TGT")</f>
        <v>43243</v>
      </c>
      <c r="M521" s="95">
        <f ca="1"/>
        <v>-1.1676411407367899E-3</v>
      </c>
      <c r="N521" s="5" t="s">
        <v>4</v>
      </c>
      <c r="O521" s="97">
        <f ca="1">_xll.meDateFromTenor(O520,"1D","FOLLOWING","TGT")</f>
        <v>43243</v>
      </c>
      <c r="P521" s="95">
        <f ca="1"/>
        <v>8.4314768221950163E-4</v>
      </c>
      <c r="Q521" s="5" t="s">
        <v>4</v>
      </c>
      <c r="R521" s="83" t="s">
        <v>4</v>
      </c>
    </row>
    <row r="522" spans="1:18" x14ac:dyDescent="0.25">
      <c r="A522" s="88">
        <v>508</v>
      </c>
      <c r="B522" s="82"/>
      <c r="C522" s="97">
        <f ca="1">_xll.meDateFromTenor(C521,"1D","FOLLOWING","TGT")</f>
        <v>43244</v>
      </c>
      <c r="D522" s="95">
        <f ca="1"/>
        <v>-4.0884580294933137E-3</v>
      </c>
      <c r="E522" s="92"/>
      <c r="F522" s="97">
        <f ca="1">_xll.meDateFromTenor(F521,"1D","FOLLOWING","TGT")</f>
        <v>43244</v>
      </c>
      <c r="G522" s="95">
        <f ca="1"/>
        <v>-3.6731016693035646E-3</v>
      </c>
      <c r="H522" s="92" t="s">
        <v>4</v>
      </c>
      <c r="I522" s="97">
        <f ca="1">_xll.meDateFromTenor(I521,"1D","FOLLOWING","TGT")</f>
        <v>43244</v>
      </c>
      <c r="J522" s="95">
        <f ca="1"/>
        <v>-3.3377317365926966E-3</v>
      </c>
      <c r="K522" s="5" t="s">
        <v>4</v>
      </c>
      <c r="L522" s="97">
        <f ca="1">_xll.meDateFromTenor(L521,"1D","FOLLOWING","TGT")</f>
        <v>43244</v>
      </c>
      <c r="M522" s="95">
        <f ca="1"/>
        <v>-1.1636323979904869E-3</v>
      </c>
      <c r="N522" s="5" t="s">
        <v>4</v>
      </c>
      <c r="O522" s="97">
        <f ca="1">_xll.meDateFromTenor(O521,"1D","FOLLOWING","TGT")</f>
        <v>43244</v>
      </c>
      <c r="P522" s="95">
        <f ca="1"/>
        <v>8.4749384287067706E-4</v>
      </c>
      <c r="Q522" s="5" t="s">
        <v>4</v>
      </c>
      <c r="R522" s="83" t="s">
        <v>4</v>
      </c>
    </row>
    <row r="523" spans="1:18" x14ac:dyDescent="0.25">
      <c r="A523" s="88">
        <v>509</v>
      </c>
      <c r="B523" s="82"/>
      <c r="C523" s="97">
        <f ca="1">_xll.meDateFromTenor(C522,"1D","FOLLOWING","TGT")</f>
        <v>43245</v>
      </c>
      <c r="D523" s="95">
        <f ca="1"/>
        <v>-4.0857957510443965E-3</v>
      </c>
      <c r="E523" s="92"/>
      <c r="F523" s="97">
        <f ca="1">_xll.meDateFromTenor(F522,"1D","FOLLOWING","TGT")</f>
        <v>43245</v>
      </c>
      <c r="G523" s="95">
        <f ca="1"/>
        <v>-3.6703166677926309E-3</v>
      </c>
      <c r="H523" s="92" t="s">
        <v>4</v>
      </c>
      <c r="I523" s="97">
        <f ca="1">_xll.meDateFromTenor(I522,"1D","FOLLOWING","TGT")</f>
        <v>43245</v>
      </c>
      <c r="J523" s="95">
        <f ca="1"/>
        <v>-3.3294092070458117E-3</v>
      </c>
      <c r="K523" s="5" t="s">
        <v>4</v>
      </c>
      <c r="L523" s="97">
        <f ca="1">_xll.meDateFromTenor(L522,"1D","FOLLOWING","TGT")</f>
        <v>43245</v>
      </c>
      <c r="M523" s="95">
        <f ca="1"/>
        <v>-1.1596234165711214E-3</v>
      </c>
      <c r="N523" s="5" t="s">
        <v>4</v>
      </c>
      <c r="O523" s="97">
        <f ca="1">_xll.meDateFromTenor(O522,"1D","FOLLOWING","TGT")</f>
        <v>43245</v>
      </c>
      <c r="P523" s="95">
        <f ca="1"/>
        <v>8.5184645644536313E-4</v>
      </c>
      <c r="Q523" s="5" t="s">
        <v>4</v>
      </c>
      <c r="R523" s="83" t="s">
        <v>4</v>
      </c>
    </row>
    <row r="524" spans="1:18" x14ac:dyDescent="0.25">
      <c r="A524" s="88">
        <v>510</v>
      </c>
      <c r="B524" s="82"/>
      <c r="C524" s="97">
        <f ca="1">_xll.meDateFromTenor(C523,"1D","FOLLOWING","TGT")</f>
        <v>43248</v>
      </c>
      <c r="D524" s="95">
        <f ca="1"/>
        <v>-4.0776620841580513E-3</v>
      </c>
      <c r="E524" s="92"/>
      <c r="F524" s="97">
        <f ca="1">_xll.meDateFromTenor(F523,"1D","FOLLOWING","TGT")</f>
        <v>43248</v>
      </c>
      <c r="G524" s="95">
        <f ca="1"/>
        <v>-3.6618495106496311E-3</v>
      </c>
      <c r="H524" s="92" t="s">
        <v>4</v>
      </c>
      <c r="I524" s="97">
        <f ca="1">_xll.meDateFromTenor(I523,"1D","FOLLOWING","TGT")</f>
        <v>43248</v>
      </c>
      <c r="J524" s="95">
        <f ca="1"/>
        <v>-3.3033784652080995E-3</v>
      </c>
      <c r="K524" s="5" t="s">
        <v>4</v>
      </c>
      <c r="L524" s="97">
        <f ca="1">_xll.meDateFromTenor(L523,"1D","FOLLOWING","TGT")</f>
        <v>43248</v>
      </c>
      <c r="M524" s="95">
        <f ca="1"/>
        <v>-1.1475961643705064E-3</v>
      </c>
      <c r="N524" s="5" t="s">
        <v>4</v>
      </c>
      <c r="O524" s="97">
        <f ca="1">_xll.meDateFromTenor(O523,"1D","FOLLOWING","TGT")</f>
        <v>43248</v>
      </c>
      <c r="P524" s="95">
        <f ca="1"/>
        <v>8.6494288442130458E-4</v>
      </c>
      <c r="Q524" s="5" t="s">
        <v>4</v>
      </c>
      <c r="R524" s="83" t="s">
        <v>4</v>
      </c>
    </row>
    <row r="525" spans="1:18" x14ac:dyDescent="0.25">
      <c r="A525" s="88">
        <v>511</v>
      </c>
      <c r="B525" s="82"/>
      <c r="C525" s="97">
        <f ca="1">_xll.meDateFromTenor(C524,"1D","FOLLOWING","TGT")</f>
        <v>43249</v>
      </c>
      <c r="D525" s="95">
        <f ca="1"/>
        <v>-4.0749019209210813E-3</v>
      </c>
      <c r="E525" s="92"/>
      <c r="F525" s="97">
        <f ca="1">_xll.meDateFromTenor(F524,"1D","FOLLOWING","TGT")</f>
        <v>43249</v>
      </c>
      <c r="G525" s="95">
        <f ca="1"/>
        <v>-3.6589836507924492E-3</v>
      </c>
      <c r="H525" s="92" t="s">
        <v>4</v>
      </c>
      <c r="I525" s="97">
        <f ca="1">_xll.meDateFromTenor(I524,"1D","FOLLOWING","TGT")</f>
        <v>43249</v>
      </c>
      <c r="J525" s="95">
        <f ca="1"/>
        <v>-3.2943899869341832E-3</v>
      </c>
      <c r="K525" s="5" t="s">
        <v>4</v>
      </c>
      <c r="L525" s="97">
        <f ca="1">_xll.meDateFromTenor(L524,"1D","FOLLOWING","TGT")</f>
        <v>43249</v>
      </c>
      <c r="M525" s="95">
        <f ca="1"/>
        <v>-1.1435870777919202E-3</v>
      </c>
      <c r="N525" s="5" t="s">
        <v>4</v>
      </c>
      <c r="O525" s="97">
        <f ca="1">_xll.meDateFromTenor(O524,"1D","FOLLOWING","TGT")</f>
        <v>43249</v>
      </c>
      <c r="P525" s="95">
        <f ca="1"/>
        <v>8.6932117940085067E-4</v>
      </c>
      <c r="Q525" s="5" t="s">
        <v>4</v>
      </c>
      <c r="R525" s="83" t="s">
        <v>4</v>
      </c>
    </row>
    <row r="526" spans="1:18" x14ac:dyDescent="0.25">
      <c r="A526" s="88">
        <v>512</v>
      </c>
      <c r="B526" s="82"/>
      <c r="C526" s="97">
        <f ca="1">_xll.meDateFromTenor(C525,"1D","FOLLOWING","TGT")</f>
        <v>43250</v>
      </c>
      <c r="D526" s="95">
        <f ca="1"/>
        <v>-4.0721172886813983E-3</v>
      </c>
      <c r="E526" s="92"/>
      <c r="F526" s="97">
        <f ca="1">_xll.meDateFromTenor(F525,"1D","FOLLOWING","TGT")</f>
        <v>43250</v>
      </c>
      <c r="G526" s="95">
        <f ca="1"/>
        <v>-3.6560930088941185E-3</v>
      </c>
      <c r="H526" s="92" t="s">
        <v>4</v>
      </c>
      <c r="I526" s="97">
        <f ca="1">_xll.meDateFromTenor(I525,"1D","FOLLOWING","TGT")</f>
        <v>43250</v>
      </c>
      <c r="J526" s="95">
        <f ca="1"/>
        <v>-3.2852671365317626E-3</v>
      </c>
      <c r="K526" s="5" t="s">
        <v>4</v>
      </c>
      <c r="L526" s="97">
        <f ca="1">_xll.meDateFromTenor(L525,"1D","FOLLOWING","TGT")</f>
        <v>43250</v>
      </c>
      <c r="M526" s="95">
        <f ca="1"/>
        <v>-1.1395779912133335E-3</v>
      </c>
      <c r="N526" s="5" t="s">
        <v>4</v>
      </c>
      <c r="O526" s="97">
        <f ca="1">_xll.meDateFromTenor(O525,"1D","FOLLOWING","TGT")</f>
        <v>43250</v>
      </c>
      <c r="P526" s="95">
        <f ca="1"/>
        <v>8.7370586215931531E-4</v>
      </c>
      <c r="Q526" s="5" t="s">
        <v>4</v>
      </c>
      <c r="R526" s="83" t="s">
        <v>4</v>
      </c>
    </row>
    <row r="527" spans="1:18" x14ac:dyDescent="0.25">
      <c r="A527" s="88">
        <v>513</v>
      </c>
      <c r="B527" s="82"/>
      <c r="C527" s="97">
        <f ca="1">_xll.meDateFromTenor(C526,"1D","FOLLOWING","TGT")</f>
        <v>43251</v>
      </c>
      <c r="D527" s="95">
        <f ca="1"/>
        <v>-4.0693081881496562E-3</v>
      </c>
      <c r="E527" s="92"/>
      <c r="F527" s="97">
        <f ca="1">_xll.meDateFromTenor(F526,"1D","FOLLOWING","TGT")</f>
        <v>43251</v>
      </c>
      <c r="G527" s="95">
        <f ca="1"/>
        <v>-3.6531757579728024E-3</v>
      </c>
      <c r="H527" s="92" t="s">
        <v>4</v>
      </c>
      <c r="I527" s="97">
        <f ca="1">_xll.meDateFromTenor(I526,"1D","FOLLOWING","TGT")</f>
        <v>43251</v>
      </c>
      <c r="J527" s="95">
        <f ca="1"/>
        <v>-3.2760227600221385E-3</v>
      </c>
      <c r="K527" s="5" t="s">
        <v>4</v>
      </c>
      <c r="L527" s="97">
        <f ca="1">_xll.meDateFromTenor(L526,"1D","FOLLOWING","TGT")</f>
        <v>43251</v>
      </c>
      <c r="M527" s="95">
        <f ca="1"/>
        <v>-1.1355689046347467E-3</v>
      </c>
      <c r="N527" s="5" t="s">
        <v>4</v>
      </c>
      <c r="O527" s="97">
        <f ca="1">_xll.meDateFromTenor(O526,"1D","FOLLOWING","TGT")</f>
        <v>43251</v>
      </c>
      <c r="P527" s="95">
        <f ca="1"/>
        <v>8.7809691966778071E-4</v>
      </c>
      <c r="Q527" s="5" t="s">
        <v>4</v>
      </c>
      <c r="R527" s="83" t="s">
        <v>4</v>
      </c>
    </row>
    <row r="528" spans="1:18" x14ac:dyDescent="0.25">
      <c r="A528" s="88">
        <v>514</v>
      </c>
      <c r="B528" s="82"/>
      <c r="C528" s="97">
        <f ca="1">_xll.meDateFromTenor(C527,"1D","FOLLOWING","TGT")</f>
        <v>43252</v>
      </c>
      <c r="D528" s="95">
        <f ca="1"/>
        <v>-4.0664746203138424E-3</v>
      </c>
      <c r="E528" s="92"/>
      <c r="F528" s="97">
        <f ca="1">_xll.meDateFromTenor(F527,"1D","FOLLOWING","TGT")</f>
        <v>43252</v>
      </c>
      <c r="G528" s="95">
        <f ca="1"/>
        <v>-3.6502300710466681E-3</v>
      </c>
      <c r="H528" s="92" t="s">
        <v>4</v>
      </c>
      <c r="I528" s="97">
        <f ca="1">_xll.meDateFromTenor(I527,"1D","FOLLOWING","TGT")</f>
        <v>43252</v>
      </c>
      <c r="J528" s="95">
        <f ca="1"/>
        <v>-3.2666697034266145E-3</v>
      </c>
      <c r="K528" s="5" t="s">
        <v>4</v>
      </c>
      <c r="L528" s="97">
        <f ca="1">_xll.meDateFromTenor(L527,"1D","FOLLOWING","TGT")</f>
        <v>43252</v>
      </c>
      <c r="M528" s="95">
        <f ca="1"/>
        <v>-1.1315598180561598E-3</v>
      </c>
      <c r="N528" s="5" t="s">
        <v>4</v>
      </c>
      <c r="O528" s="97">
        <f ca="1">_xll.meDateFromTenor(O527,"1D","FOLLOWING","TGT")</f>
        <v>43252</v>
      </c>
      <c r="P528" s="95">
        <f ca="1"/>
        <v>8.8249433889732757E-4</v>
      </c>
      <c r="Q528" s="5" t="s">
        <v>4</v>
      </c>
      <c r="R528" s="83" t="s">
        <v>4</v>
      </c>
    </row>
    <row r="529" spans="1:18" x14ac:dyDescent="0.25">
      <c r="A529" s="88">
        <v>515</v>
      </c>
      <c r="B529" s="82"/>
      <c r="C529" s="97">
        <f ca="1">_xll.meDateFromTenor(C528,"1D","FOLLOWING","TGT")</f>
        <v>43255</v>
      </c>
      <c r="D529" s="95">
        <f ca="1"/>
        <v>-4.0578309163721293E-3</v>
      </c>
      <c r="E529" s="92"/>
      <c r="F529" s="97">
        <f ca="1">_xll.meDateFromTenor(F528,"1D","FOLLOWING","TGT")</f>
        <v>43255</v>
      </c>
      <c r="G529" s="95">
        <f ca="1"/>
        <v>-3.6412041244210025E-3</v>
      </c>
      <c r="H529" s="92" t="s">
        <v>4</v>
      </c>
      <c r="I529" s="97">
        <f ca="1">_xll.meDateFromTenor(I528,"1D","FOLLOWING","TGT")</f>
        <v>43255</v>
      </c>
      <c r="J529" s="95">
        <f ca="1"/>
        <v>-3.2380869133376575E-3</v>
      </c>
      <c r="K529" s="5" t="s">
        <v>4</v>
      </c>
      <c r="L529" s="97">
        <f ca="1">_xll.meDateFromTenor(L528,"1D","FOLLOWING","TGT")</f>
        <v>43255</v>
      </c>
      <c r="M529" s="95">
        <f ca="1"/>
        <v>-1.1195325583203998E-3</v>
      </c>
      <c r="N529" s="5" t="s">
        <v>4</v>
      </c>
      <c r="O529" s="97">
        <f ca="1">_xll.meDateFromTenor(O528,"1D","FOLLOWING","TGT")</f>
        <v>43255</v>
      </c>
      <c r="P529" s="95">
        <f ca="1"/>
        <v>8.9572463662327296E-4</v>
      </c>
      <c r="Q529" s="5" t="s">
        <v>4</v>
      </c>
      <c r="R529" s="83" t="s">
        <v>4</v>
      </c>
    </row>
    <row r="530" spans="1:18" x14ac:dyDescent="0.25">
      <c r="A530" s="88">
        <v>516</v>
      </c>
      <c r="B530" s="82"/>
      <c r="C530" s="97">
        <f ca="1">_xll.meDateFromTenor(C529,"1D","FOLLOWING","TGT")</f>
        <v>43256</v>
      </c>
      <c r="D530" s="95">
        <f ca="1"/>
        <v>-4.0549222612661362E-3</v>
      </c>
      <c r="E530" s="92"/>
      <c r="F530" s="97">
        <f ca="1">_xll.meDateFromTenor(F529,"1D","FOLLOWING","TGT")</f>
        <v>43256</v>
      </c>
      <c r="G530" s="95">
        <f ca="1"/>
        <v>-3.6381269816375345E-3</v>
      </c>
      <c r="H530" s="92" t="s">
        <v>4</v>
      </c>
      <c r="I530" s="97">
        <f ca="1">_xll.meDateFromTenor(I529,"1D","FOLLOWING","TGT")</f>
        <v>43256</v>
      </c>
      <c r="J530" s="95">
        <f ca="1"/>
        <v>-3.2284256562395207E-3</v>
      </c>
      <c r="K530" s="5" t="s">
        <v>4</v>
      </c>
      <c r="L530" s="97">
        <f ca="1">_xll.meDateFromTenor(L529,"1D","FOLLOWING","TGT")</f>
        <v>43256</v>
      </c>
      <c r="M530" s="95">
        <f ca="1"/>
        <v>-1.11551814416477E-3</v>
      </c>
      <c r="N530" s="5" t="s">
        <v>4</v>
      </c>
      <c r="O530" s="97">
        <f ca="1">_xll.meDateFromTenor(O529,"1D","FOLLOWING","TGT")</f>
        <v>43256</v>
      </c>
      <c r="P530" s="95">
        <f ca="1"/>
        <v>9.0014737154563487E-4</v>
      </c>
      <c r="Q530" s="5" t="s">
        <v>4</v>
      </c>
      <c r="R530" s="83" t="s">
        <v>4</v>
      </c>
    </row>
    <row r="531" spans="1:18" x14ac:dyDescent="0.25">
      <c r="A531" s="88">
        <v>517</v>
      </c>
      <c r="B531" s="82"/>
      <c r="C531" s="97">
        <f ca="1">_xll.meDateFromTenor(C530,"1D","FOLLOWING","TGT")</f>
        <v>43257</v>
      </c>
      <c r="D531" s="95">
        <f ca="1"/>
        <v>-4.0520119159030976E-3</v>
      </c>
      <c r="E531" s="92"/>
      <c r="F531" s="97">
        <f ca="1">_xll.meDateFromTenor(F530,"1D","FOLLOWING","TGT")</f>
        <v>43257</v>
      </c>
      <c r="G531" s="95">
        <f ca="1"/>
        <v>-3.635015615821819E-3</v>
      </c>
      <c r="H531" s="92" t="s">
        <v>4</v>
      </c>
      <c r="I531" s="97">
        <f ca="1">_xll.meDateFromTenor(I530,"1D","FOLLOWING","TGT")</f>
        <v>43257</v>
      </c>
      <c r="J531" s="95">
        <f ca="1"/>
        <v>-3.2187083069298273E-3</v>
      </c>
      <c r="K531" s="5" t="s">
        <v>4</v>
      </c>
      <c r="L531" s="97">
        <f ca="1">_xll.meDateFromTenor(L530,"1D","FOLLOWING","TGT")</f>
        <v>43257</v>
      </c>
      <c r="M531" s="95">
        <f ca="1"/>
        <v>-1.1114931113990986E-3</v>
      </c>
      <c r="N531" s="5" t="s">
        <v>4</v>
      </c>
      <c r="O531" s="97">
        <f ca="1">_xll.meDateFromTenor(O530,"1D","FOLLOWING","TGT")</f>
        <v>43257</v>
      </c>
      <c r="P531" s="95">
        <f ca="1"/>
        <v>9.0457639763052479E-4</v>
      </c>
      <c r="Q531" s="5" t="s">
        <v>4</v>
      </c>
      <c r="R531" s="83" t="s">
        <v>4</v>
      </c>
    </row>
    <row r="532" spans="1:18" x14ac:dyDescent="0.25">
      <c r="A532" s="88">
        <v>518</v>
      </c>
      <c r="B532" s="82"/>
      <c r="C532" s="97">
        <f ca="1">_xll.meDateFromTenor(C531,"1D","FOLLOWING","TGT")</f>
        <v>43258</v>
      </c>
      <c r="D532" s="95">
        <f ca="1"/>
        <v>-4.0490998806662626E-3</v>
      </c>
      <c r="E532" s="92"/>
      <c r="F532" s="97">
        <f ca="1">_xll.meDateFromTenor(F531,"1D","FOLLOWING","TGT")</f>
        <v>43258</v>
      </c>
      <c r="G532" s="95">
        <f ca="1"/>
        <v>-3.6318715478737685E-3</v>
      </c>
      <c r="H532" s="92" t="s">
        <v>4</v>
      </c>
      <c r="I532" s="97">
        <f ca="1">_xll.meDateFromTenor(I531,"1D","FOLLOWING","TGT")</f>
        <v>43258</v>
      </c>
      <c r="J532" s="95">
        <f ca="1"/>
        <v>-3.2089360691977134E-3</v>
      </c>
      <c r="K532" s="5" t="s">
        <v>4</v>
      </c>
      <c r="L532" s="97">
        <f ca="1">_xll.meDateFromTenor(L531,"1D","FOLLOWING","TGT")</f>
        <v>43258</v>
      </c>
      <c r="M532" s="95">
        <f ca="1"/>
        <v>-1.1074575148394537E-3</v>
      </c>
      <c r="N532" s="5" t="s">
        <v>4</v>
      </c>
      <c r="O532" s="97">
        <f ca="1">_xll.meDateFromTenor(O531,"1D","FOLLOWING","TGT")</f>
        <v>43258</v>
      </c>
      <c r="P532" s="95">
        <f ca="1"/>
        <v>9.0901169643506363E-4</v>
      </c>
      <c r="Q532" s="5" t="s">
        <v>4</v>
      </c>
      <c r="R532" s="83" t="s">
        <v>4</v>
      </c>
    </row>
    <row r="533" spans="1:18" x14ac:dyDescent="0.25">
      <c r="A533" s="88">
        <v>519</v>
      </c>
      <c r="B533" s="82"/>
      <c r="C533" s="97">
        <f ca="1">_xll.meDateFromTenor(C532,"1D","FOLLOWING","TGT")</f>
        <v>43259</v>
      </c>
      <c r="D533" s="95">
        <f ca="1"/>
        <v>-4.0461861553419132E-3</v>
      </c>
      <c r="E533" s="92"/>
      <c r="F533" s="97">
        <f ca="1">_xll.meDateFromTenor(F532,"1D","FOLLOWING","TGT")</f>
        <v>43259</v>
      </c>
      <c r="G533" s="95">
        <f ca="1"/>
        <v>-3.6286962986932935E-3</v>
      </c>
      <c r="H533" s="92" t="s">
        <v>4</v>
      </c>
      <c r="I533" s="97">
        <f ca="1">_xll.meDateFromTenor(I532,"1D","FOLLOWING","TGT")</f>
        <v>43259</v>
      </c>
      <c r="J533" s="95">
        <f ca="1"/>
        <v>-3.1991101468323178E-3</v>
      </c>
      <c r="K533" s="5" t="s">
        <v>4</v>
      </c>
      <c r="L533" s="97">
        <f ca="1">_xll.meDateFromTenor(L532,"1D","FOLLOWING","TGT")</f>
        <v>43259</v>
      </c>
      <c r="M533" s="95">
        <f ca="1"/>
        <v>-1.1034114093019024E-3</v>
      </c>
      <c r="N533" s="5" t="s">
        <v>4</v>
      </c>
      <c r="O533" s="97">
        <f ca="1">_xll.meDateFromTenor(O532,"1D","FOLLOWING","TGT")</f>
        <v>43259</v>
      </c>
      <c r="P533" s="95">
        <f ca="1"/>
        <v>9.134532495163717E-4</v>
      </c>
      <c r="Q533" s="5" t="s">
        <v>4</v>
      </c>
      <c r="R533" s="83" t="s">
        <v>4</v>
      </c>
    </row>
    <row r="534" spans="1:18" x14ac:dyDescent="0.25">
      <c r="A534" s="88">
        <v>520</v>
      </c>
      <c r="B534" s="82"/>
      <c r="C534" s="97">
        <f ca="1">_xll.meDateFromTenor(C533,"1D","FOLLOWING","TGT")</f>
        <v>43262</v>
      </c>
      <c r="D534" s="95">
        <f ca="1"/>
        <v>-4.037434838377818E-3</v>
      </c>
      <c r="E534" s="92"/>
      <c r="F534" s="97">
        <f ca="1">_xll.meDateFromTenor(F533,"1D","FOLLOWING","TGT")</f>
        <v>43262</v>
      </c>
      <c r="G534" s="95">
        <f ca="1"/>
        <v>-3.6189986727564395E-3</v>
      </c>
      <c r="H534" s="92" t="s">
        <v>4</v>
      </c>
      <c r="I534" s="97">
        <f ca="1">_xll.meDateFromTenor(I533,"1D","FOLLOWING","TGT")</f>
        <v>43262</v>
      </c>
      <c r="J534" s="95">
        <f ca="1"/>
        <v>-3.1693223098278093E-3</v>
      </c>
      <c r="K534" s="5" t="s">
        <v>4</v>
      </c>
      <c r="L534" s="97">
        <f ca="1">_xll.meDateFromTenor(L533,"1D","FOLLOWING","TGT")</f>
        <v>43262</v>
      </c>
      <c r="M534" s="95">
        <f ca="1"/>
        <v>-1.0912105869824861E-3</v>
      </c>
      <c r="N534" s="5" t="s">
        <v>4</v>
      </c>
      <c r="O534" s="97">
        <f ca="1">_xll.meDateFromTenor(O533,"1D","FOLLOWING","TGT")</f>
        <v>43262</v>
      </c>
      <c r="P534" s="95">
        <f ca="1"/>
        <v>9.2681524999211511E-4</v>
      </c>
      <c r="Q534" s="5" t="s">
        <v>4</v>
      </c>
      <c r="R534" s="83" t="s">
        <v>4</v>
      </c>
    </row>
    <row r="535" spans="1:18" x14ac:dyDescent="0.25">
      <c r="A535" s="88">
        <v>521</v>
      </c>
      <c r="B535" s="82"/>
      <c r="C535" s="97">
        <f ca="1">_xll.meDateFromTenor(C534,"1D","FOLLOWING","TGT")</f>
        <v>43263</v>
      </c>
      <c r="D535" s="95">
        <f ca="1"/>
        <v>-4.0345143524755933E-3</v>
      </c>
      <c r="E535" s="92"/>
      <c r="F535" s="97">
        <f ca="1">_xll.meDateFromTenor(F534,"1D","FOLLOWING","TGT")</f>
        <v>43263</v>
      </c>
      <c r="G535" s="95">
        <f ca="1"/>
        <v>-3.615713907645382E-3</v>
      </c>
      <c r="H535" s="92" t="s">
        <v>4</v>
      </c>
      <c r="I535" s="97">
        <f ca="1">_xll.meDateFromTenor(I534,"1D","FOLLOWING","TGT")</f>
        <v>43263</v>
      </c>
      <c r="J535" s="95">
        <f ca="1"/>
        <v>-3.1592936868206538E-3</v>
      </c>
      <c r="K535" s="5" t="s">
        <v>4</v>
      </c>
      <c r="L535" s="97">
        <f ca="1">_xll.meDateFromTenor(L534,"1D","FOLLOWING","TGT")</f>
        <v>43263</v>
      </c>
      <c r="M535" s="95">
        <f ca="1"/>
        <v>-1.0871229936939839E-3</v>
      </c>
      <c r="N535" s="5" t="s">
        <v>4</v>
      </c>
      <c r="O535" s="97">
        <f ca="1">_xll.meDateFromTenor(O534,"1D","FOLLOWING","TGT")</f>
        <v>43263</v>
      </c>
      <c r="P535" s="95">
        <f ca="1"/>
        <v>9.3128163575170557E-4</v>
      </c>
      <c r="Q535" s="5" t="s">
        <v>4</v>
      </c>
      <c r="R535" s="83" t="s">
        <v>4</v>
      </c>
    </row>
    <row r="536" spans="1:18" x14ac:dyDescent="0.25">
      <c r="A536" s="88">
        <v>522</v>
      </c>
      <c r="B536" s="82"/>
      <c r="C536" s="97">
        <f ca="1">_xll.meDateFromTenor(C535,"1D","FOLLOWING","TGT")</f>
        <v>43264</v>
      </c>
      <c r="D536" s="95">
        <f ca="1"/>
        <v>-4.0315921765327056E-3</v>
      </c>
      <c r="E536" s="92"/>
      <c r="F536" s="97">
        <f ca="1">_xll.meDateFromTenor(F535,"1D","FOLLOWING","TGT")</f>
        <v>43264</v>
      </c>
      <c r="G536" s="95">
        <f ca="1"/>
        <v>-3.6124055658014577E-3</v>
      </c>
      <c r="H536" s="92" t="s">
        <v>4</v>
      </c>
      <c r="I536" s="97">
        <f ca="1">_xll.meDateFromTenor(I535,"1D","FOLLOWING","TGT")</f>
        <v>43264</v>
      </c>
      <c r="J536" s="95">
        <f ca="1"/>
        <v>-3.1492173981259009E-3</v>
      </c>
      <c r="K536" s="5" t="s">
        <v>4</v>
      </c>
      <c r="L536" s="97">
        <f ca="1">_xll.meDateFromTenor(L535,"1D","FOLLOWING","TGT")</f>
        <v>43264</v>
      </c>
      <c r="M536" s="95">
        <f ca="1"/>
        <v>-1.0830251655079125E-3</v>
      </c>
      <c r="N536" s="5" t="s">
        <v>4</v>
      </c>
      <c r="O536" s="97">
        <f ca="1">_xll.meDateFromTenor(O535,"1D","FOLLOWING","TGT")</f>
        <v>43264</v>
      </c>
      <c r="P536" s="95">
        <f ca="1"/>
        <v>9.3575418357366789E-4</v>
      </c>
      <c r="Q536" s="5" t="s">
        <v>4</v>
      </c>
      <c r="R536" s="83" t="s">
        <v>4</v>
      </c>
    </row>
    <row r="537" spans="1:18" x14ac:dyDescent="0.25">
      <c r="A537" s="88">
        <v>523</v>
      </c>
      <c r="B537" s="82"/>
      <c r="C537" s="97">
        <f ca="1">_xll.meDateFromTenor(C536,"1D","FOLLOWING","TGT")</f>
        <v>43265</v>
      </c>
      <c r="D537" s="95">
        <f ca="1"/>
        <v>-4.0286683103335497E-3</v>
      </c>
      <c r="E537" s="92"/>
      <c r="F537" s="97">
        <f ca="1">_xll.meDateFromTenor(F536,"1D","FOLLOWING","TGT")</f>
        <v>43265</v>
      </c>
      <c r="G537" s="95">
        <f ca="1"/>
        <v>-3.6090751681245787E-3</v>
      </c>
      <c r="H537" s="92" t="s">
        <v>4</v>
      </c>
      <c r="I537" s="97">
        <f ca="1">_xll.meDateFromTenor(I536,"1D","FOLLOWING","TGT")</f>
        <v>43265</v>
      </c>
      <c r="J537" s="95">
        <f ca="1"/>
        <v>-3.1390946475326875E-3</v>
      </c>
      <c r="K537" s="5" t="s">
        <v>4</v>
      </c>
      <c r="L537" s="97">
        <f ca="1">_xll.meDateFromTenor(L536,"1D","FOLLOWING","TGT")</f>
        <v>43265</v>
      </c>
      <c r="M537" s="95">
        <f ca="1"/>
        <v>-1.0789171572403399E-3</v>
      </c>
      <c r="N537" s="5" t="s">
        <v>4</v>
      </c>
      <c r="O537" s="97">
        <f ca="1">_xll.meDateFromTenor(O536,"1D","FOLLOWING","TGT")</f>
        <v>43265</v>
      </c>
      <c r="P537" s="95">
        <f ca="1"/>
        <v>9.4023287501512269E-4</v>
      </c>
      <c r="Q537" s="5" t="s">
        <v>4</v>
      </c>
      <c r="R537" s="83" t="s">
        <v>4</v>
      </c>
    </row>
    <row r="538" spans="1:18" x14ac:dyDescent="0.25">
      <c r="A538" s="88">
        <v>524</v>
      </c>
      <c r="B538" s="82"/>
      <c r="C538" s="97">
        <f ca="1">_xll.meDateFromTenor(C537,"1D","FOLLOWING","TGT")</f>
        <v>43266</v>
      </c>
      <c r="D538" s="95">
        <f ca="1"/>
        <v>-4.0257427540230095E-3</v>
      </c>
      <c r="E538" s="92"/>
      <c r="F538" s="97">
        <f ca="1">_xll.meDateFromTenor(F537,"1D","FOLLOWING","TGT")</f>
        <v>43266</v>
      </c>
      <c r="G538" s="95">
        <f ca="1"/>
        <v>-3.6057242355146553E-3</v>
      </c>
      <c r="H538" s="92" t="s">
        <v>4</v>
      </c>
      <c r="I538" s="97">
        <f ca="1">_xll.meDateFromTenor(I537,"1D","FOLLOWING","TGT")</f>
        <v>43266</v>
      </c>
      <c r="J538" s="95">
        <f ca="1"/>
        <v>-3.1289266388301513E-3</v>
      </c>
      <c r="K538" s="5" t="s">
        <v>4</v>
      </c>
      <c r="L538" s="97">
        <f ca="1">_xll.meDateFromTenor(L537,"1D","FOLLOWING","TGT")</f>
        <v>43266</v>
      </c>
      <c r="M538" s="95">
        <f ca="1"/>
        <v>-1.074799023707333E-3</v>
      </c>
      <c r="N538" s="5" t="s">
        <v>4</v>
      </c>
      <c r="O538" s="97">
        <f ca="1">_xll.meDateFromTenor(O537,"1D","FOLLOWING","TGT")</f>
        <v>43266</v>
      </c>
      <c r="P538" s="95">
        <f ca="1"/>
        <v>9.4471769163319036E-4</v>
      </c>
      <c r="Q538" s="5" t="s">
        <v>4</v>
      </c>
      <c r="R538" s="83" t="s">
        <v>4</v>
      </c>
    </row>
    <row r="539" spans="1:18" x14ac:dyDescent="0.25">
      <c r="A539" s="88">
        <v>525</v>
      </c>
      <c r="B539" s="82"/>
      <c r="C539" s="97">
        <f ca="1">_xll.meDateFromTenor(C538,"1D","FOLLOWING","TGT")</f>
        <v>43269</v>
      </c>
      <c r="D539" s="95">
        <f ca="1"/>
        <v>-4.0169559441960434E-3</v>
      </c>
      <c r="E539" s="92"/>
      <c r="F539" s="97">
        <f ca="1">_xll.meDateFromTenor(F538,"1D","FOLLOWING","TGT")</f>
        <v>43269</v>
      </c>
      <c r="G539" s="95">
        <f ca="1"/>
        <v>-3.5955634370857356E-3</v>
      </c>
      <c r="H539" s="92" t="s">
        <v>4</v>
      </c>
      <c r="I539" s="97">
        <f ca="1">_xll.meDateFromTenor(I538,"1D","FOLLOWING","TGT")</f>
        <v>43269</v>
      </c>
      <c r="J539" s="95">
        <f ca="1"/>
        <v>-3.098163101957976E-3</v>
      </c>
      <c r="K539" s="5" t="s">
        <v>4</v>
      </c>
      <c r="L539" s="97">
        <f ca="1">_xll.meDateFromTenor(L538,"1D","FOLLOWING","TGT")</f>
        <v>43269</v>
      </c>
      <c r="M539" s="95">
        <f ca="1"/>
        <v>-1.062384419676382E-3</v>
      </c>
      <c r="N539" s="5" t="s">
        <v>4</v>
      </c>
      <c r="O539" s="97">
        <f ca="1">_xll.meDateFromTenor(O538,"1D","FOLLOWING","TGT")</f>
        <v>43269</v>
      </c>
      <c r="P539" s="95">
        <f ca="1"/>
        <v>9.5820870811827582E-4</v>
      </c>
      <c r="Q539" s="5" t="s">
        <v>4</v>
      </c>
      <c r="R539" s="83" t="s">
        <v>4</v>
      </c>
    </row>
    <row r="540" spans="1:18" x14ac:dyDescent="0.25">
      <c r="A540" s="88">
        <v>526</v>
      </c>
      <c r="B540" s="82"/>
      <c r="C540" s="97">
        <f ca="1">_xll.meDateFromTenor(C539,"1D","FOLLOWING","TGT")</f>
        <v>43270</v>
      </c>
      <c r="D540" s="95">
        <f ca="1"/>
        <v>-4.0140236271728469E-3</v>
      </c>
      <c r="E540" s="92"/>
      <c r="F540" s="97">
        <f ca="1">_xll.meDateFromTenor(F539,"1D","FOLLOWING","TGT")</f>
        <v>43270</v>
      </c>
      <c r="G540" s="95">
        <f ca="1"/>
        <v>-3.5921455737427501E-3</v>
      </c>
      <c r="H540" s="92" t="s">
        <v>4</v>
      </c>
      <c r="I540" s="97">
        <f ca="1">_xll.meDateFromTenor(I539,"1D","FOLLOWING","TGT")</f>
        <v>43270</v>
      </c>
      <c r="J540" s="95">
        <f ca="1"/>
        <v>-3.0878260987095177E-3</v>
      </c>
      <c r="K540" s="5" t="s">
        <v>4</v>
      </c>
      <c r="L540" s="97">
        <f ca="1">_xll.meDateFromTenor(L539,"1D","FOLLOWING","TGT")</f>
        <v>43270</v>
      </c>
      <c r="M540" s="95">
        <f ca="1"/>
        <v>-1.0582263332423129E-3</v>
      </c>
      <c r="N540" s="5" t="s">
        <v>4</v>
      </c>
      <c r="O540" s="97">
        <f ca="1">_xll.meDateFromTenor(O539,"1D","FOLLOWING","TGT")</f>
        <v>43270</v>
      </c>
      <c r="P540" s="95">
        <f ca="1"/>
        <v>9.6271784101400072E-4</v>
      </c>
      <c r="Q540" s="5" t="s">
        <v>4</v>
      </c>
      <c r="R540" s="83" t="s">
        <v>4</v>
      </c>
    </row>
    <row r="541" spans="1:18" x14ac:dyDescent="0.25">
      <c r="A541" s="88">
        <v>527</v>
      </c>
      <c r="B541" s="82"/>
      <c r="C541" s="97">
        <f ca="1">_xll.meDateFromTenor(C540,"1D","FOLLOWING","TGT")</f>
        <v>43271</v>
      </c>
      <c r="D541" s="95">
        <f ca="1"/>
        <v>-4.0110896201235313E-3</v>
      </c>
      <c r="E541" s="92"/>
      <c r="F541" s="97">
        <f ca="1">_xll.meDateFromTenor(F540,"1D","FOLLOWING","TGT")</f>
        <v>43271</v>
      </c>
      <c r="G541" s="95">
        <f ca="1"/>
        <v>-3.5887147799662784E-3</v>
      </c>
      <c r="H541" s="92" t="s">
        <v>4</v>
      </c>
      <c r="I541" s="97">
        <f ca="1">_xll.meDateFromTenor(I540,"1D","FOLLOWING","TGT")</f>
        <v>43271</v>
      </c>
      <c r="J541" s="95">
        <f ca="1"/>
        <v>-3.0774498562974231E-3</v>
      </c>
      <c r="K541" s="5" t="s">
        <v>4</v>
      </c>
      <c r="L541" s="97">
        <f ca="1">_xll.meDateFromTenor(L540,"1D","FOLLOWING","TGT")</f>
        <v>43271</v>
      </c>
      <c r="M541" s="95">
        <f ca="1"/>
        <v>-1.0540583956231474E-3</v>
      </c>
      <c r="N541" s="5" t="s">
        <v>4</v>
      </c>
      <c r="O541" s="97">
        <f ca="1">_xll.meDateFromTenor(O540,"1D","FOLLOWING","TGT")</f>
        <v>43271</v>
      </c>
      <c r="P541" s="95">
        <f ca="1"/>
        <v>9.6723300687194059E-4</v>
      </c>
      <c r="Q541" s="5" t="s">
        <v>4</v>
      </c>
      <c r="R541" s="83" t="s">
        <v>4</v>
      </c>
    </row>
    <row r="542" spans="1:18" x14ac:dyDescent="0.25">
      <c r="A542" s="88">
        <v>528</v>
      </c>
      <c r="B542" s="82"/>
      <c r="C542" s="97">
        <f ca="1">_xll.meDateFromTenor(C541,"1D","FOLLOWING","TGT")</f>
        <v>43272</v>
      </c>
      <c r="D542" s="95">
        <f ca="1"/>
        <v>-4.0081539226748397E-3</v>
      </c>
      <c r="E542" s="92"/>
      <c r="F542" s="97">
        <f ca="1">_xll.meDateFromTenor(F541,"1D","FOLLOWING","TGT")</f>
        <v>43272</v>
      </c>
      <c r="G542" s="95">
        <f ca="1"/>
        <v>-3.5852725766562315E-3</v>
      </c>
      <c r="H542" s="92" t="s">
        <v>4</v>
      </c>
      <c r="I542" s="97">
        <f ca="1">_xll.meDateFromTenor(I541,"1D","FOLLOWING","TGT")</f>
        <v>43272</v>
      </c>
      <c r="J542" s="95">
        <f ca="1"/>
        <v>-3.0670355785108257E-3</v>
      </c>
      <c r="K542" s="5" t="s">
        <v>4</v>
      </c>
      <c r="L542" s="97">
        <f ca="1">_xll.meDateFromTenor(L541,"1D","FOLLOWING","TGT")</f>
        <v>43272</v>
      </c>
      <c r="M542" s="95">
        <f ca="1"/>
        <v>-1.0498806616349519E-3</v>
      </c>
      <c r="N542" s="5" t="s">
        <v>4</v>
      </c>
      <c r="O542" s="97">
        <f ca="1">_xll.meDateFromTenor(O541,"1D","FOLLOWING","TGT")</f>
        <v>43272</v>
      </c>
      <c r="P542" s="95">
        <f ca="1"/>
        <v>9.7175418724921735E-4</v>
      </c>
      <c r="Q542" s="5" t="s">
        <v>4</v>
      </c>
      <c r="R542" s="83" t="s">
        <v>4</v>
      </c>
    </row>
    <row r="543" spans="1:18" x14ac:dyDescent="0.25">
      <c r="A543" s="88">
        <v>529</v>
      </c>
      <c r="B543" s="82"/>
      <c r="C543" s="97">
        <f ca="1">_xll.meDateFromTenor(C542,"1D","FOLLOWING","TGT")</f>
        <v>43273</v>
      </c>
      <c r="D543" s="95">
        <f ca="1"/>
        <v>-4.0052165351305291E-3</v>
      </c>
      <c r="E543" s="92"/>
      <c r="F543" s="97">
        <f ca="1">_xll.meDateFromTenor(F542,"1D","FOLLOWING","TGT")</f>
        <v>43273</v>
      </c>
      <c r="G543" s="95">
        <f ca="1"/>
        <v>-3.58182048471252E-3</v>
      </c>
      <c r="H543" s="92" t="s">
        <v>4</v>
      </c>
      <c r="I543" s="97">
        <f ca="1">_xll.meDateFromTenor(I542,"1D","FOLLOWING","TGT")</f>
        <v>43273</v>
      </c>
      <c r="J543" s="95">
        <f ca="1"/>
        <v>-3.0565844691388647E-3</v>
      </c>
      <c r="K543" s="5" t="s">
        <v>4</v>
      </c>
      <c r="L543" s="97">
        <f ca="1">_xll.meDateFromTenor(L542,"1D","FOLLOWING","TGT")</f>
        <v>43273</v>
      </c>
      <c r="M543" s="95">
        <f ca="1"/>
        <v>-1.0456931860937943E-3</v>
      </c>
      <c r="N543" s="5" t="s">
        <v>4</v>
      </c>
      <c r="O543" s="97">
        <f ca="1">_xll.meDateFromTenor(O542,"1D","FOLLOWING","TGT")</f>
        <v>43273</v>
      </c>
      <c r="P543" s="95">
        <f ca="1"/>
        <v>9.7628136370295064E-4</v>
      </c>
      <c r="Q543" s="5" t="s">
        <v>4</v>
      </c>
      <c r="R543" s="83" t="s">
        <v>4</v>
      </c>
    </row>
    <row r="544" spans="1:18" x14ac:dyDescent="0.25">
      <c r="A544" s="88">
        <v>530</v>
      </c>
      <c r="B544" s="82"/>
      <c r="C544" s="97">
        <f ca="1">_xll.meDateFromTenor(C543,"1D","FOLLOWING","TGT")</f>
        <v>43276</v>
      </c>
      <c r="D544" s="95">
        <f ca="1"/>
        <v>-3.9963942309788614E-3</v>
      </c>
      <c r="E544" s="92"/>
      <c r="F544" s="97">
        <f ca="1">_xll.meDateFromTenor(F543,"1D","FOLLOWING","TGT")</f>
        <v>43276</v>
      </c>
      <c r="G544" s="95">
        <f ca="1"/>
        <v>-3.5714200860785163E-3</v>
      </c>
      <c r="H544" s="92" t="s">
        <v>4</v>
      </c>
      <c r="I544" s="97">
        <f ca="1">_xll.meDateFromTenor(I543,"1D","FOLLOWING","TGT")</f>
        <v>43276</v>
      </c>
      <c r="J544" s="95">
        <f ca="1"/>
        <v>-3.0250221894021711E-3</v>
      </c>
      <c r="K544" s="5" t="s">
        <v>4</v>
      </c>
      <c r="L544" s="97">
        <f ca="1">_xll.meDateFromTenor(L543,"1D","FOLLOWING","TGT")</f>
        <v>43276</v>
      </c>
      <c r="M544" s="95">
        <f ca="1"/>
        <v>-1.0330728583132244E-3</v>
      </c>
      <c r="N544" s="5" t="s">
        <v>4</v>
      </c>
      <c r="O544" s="97">
        <f ca="1">_xll.meDateFromTenor(O543,"1D","FOLLOWING","TGT")</f>
        <v>43276</v>
      </c>
      <c r="P544" s="95">
        <f ca="1"/>
        <v>9.8989868509409616E-4</v>
      </c>
      <c r="Q544" s="5" t="s">
        <v>4</v>
      </c>
      <c r="R544" s="83" t="s">
        <v>4</v>
      </c>
    </row>
    <row r="545" spans="1:18" x14ac:dyDescent="0.25">
      <c r="A545" s="88">
        <v>531</v>
      </c>
      <c r="B545" s="82"/>
      <c r="C545" s="97">
        <f ca="1">_xll.meDateFromTenor(C544,"1D","FOLLOWING","TGT")</f>
        <v>43277</v>
      </c>
      <c r="D545" s="95">
        <f ca="1"/>
        <v>-3.9934500824255759E-3</v>
      </c>
      <c r="E545" s="92"/>
      <c r="F545" s="97">
        <f ca="1">_xll.meDateFromTenor(F544,"1D","FOLLOWING","TGT")</f>
        <v>43277</v>
      </c>
      <c r="G545" s="95">
        <f ca="1"/>
        <v>-3.5679436485992642E-3</v>
      </c>
      <c r="H545" s="92" t="s">
        <v>4</v>
      </c>
      <c r="I545" s="97">
        <f ca="1">_xll.meDateFromTenor(I544,"1D","FOLLOWING","TGT")</f>
        <v>43277</v>
      </c>
      <c r="J545" s="95">
        <f ca="1"/>
        <v>-3.0144357915801254E-3</v>
      </c>
      <c r="K545" s="5" t="s">
        <v>4</v>
      </c>
      <c r="L545" s="97">
        <f ca="1">_xll.meDateFromTenor(L544,"1D","FOLLOWING","TGT")</f>
        <v>43277</v>
      </c>
      <c r="M545" s="95">
        <f ca="1"/>
        <v>-1.0288469647208936E-3</v>
      </c>
      <c r="N545" s="5" t="s">
        <v>4</v>
      </c>
      <c r="O545" s="97">
        <f ca="1">_xll.meDateFromTenor(O544,"1D","FOLLOWING","TGT")</f>
        <v>43277</v>
      </c>
      <c r="P545" s="95">
        <f ca="1"/>
        <v>9.9444966142486183E-4</v>
      </c>
      <c r="Q545" s="5" t="s">
        <v>4</v>
      </c>
      <c r="R545" s="83" t="s">
        <v>4</v>
      </c>
    </row>
    <row r="546" spans="1:18" x14ac:dyDescent="0.25">
      <c r="A546" s="88">
        <v>532</v>
      </c>
      <c r="B546" s="82"/>
      <c r="C546" s="97">
        <f ca="1">_xll.meDateFromTenor(C545,"1D","FOLLOWING","TGT")</f>
        <v>43278</v>
      </c>
      <c r="D546" s="95">
        <f ca="1"/>
        <v>-3.9905042435428584E-3</v>
      </c>
      <c r="E546" s="92"/>
      <c r="F546" s="97">
        <f ca="1">_xll.meDateFromTenor(F545,"1D","FOLLOWING","TGT")</f>
        <v>43278</v>
      </c>
      <c r="G546" s="95">
        <f ca="1"/>
        <v>-3.5644649269859058E-3</v>
      </c>
      <c r="H546" s="92" t="s">
        <v>4</v>
      </c>
      <c r="I546" s="97">
        <f ca="1">_xll.meDateFromTenor(I545,"1D","FOLLOWING","TGT")</f>
        <v>43278</v>
      </c>
      <c r="J546" s="95">
        <f ca="1"/>
        <v>-3.0038185811184035E-3</v>
      </c>
      <c r="K546" s="5" t="s">
        <v>4</v>
      </c>
      <c r="L546" s="97">
        <f ca="1">_xll.meDateFromTenor(L545,"1D","FOLLOWING","TGT")</f>
        <v>43278</v>
      </c>
      <c r="M546" s="95">
        <f ca="1"/>
        <v>-1.0246116036559385E-3</v>
      </c>
      <c r="N546" s="5" t="s">
        <v>4</v>
      </c>
      <c r="O546" s="97">
        <f ca="1">_xll.meDateFromTenor(O545,"1D","FOLLOWING","TGT")</f>
        <v>43278</v>
      </c>
      <c r="P546" s="95">
        <f ca="1"/>
        <v>9.9900654161768558E-4</v>
      </c>
      <c r="Q546" s="5" t="s">
        <v>4</v>
      </c>
      <c r="R546" s="83" t="s">
        <v>4</v>
      </c>
    </row>
    <row r="547" spans="1:18" x14ac:dyDescent="0.25">
      <c r="A547" s="88">
        <v>533</v>
      </c>
      <c r="B547" s="82"/>
      <c r="C547" s="97">
        <f ca="1">_xll.meDateFromTenor(C546,"1D","FOLLOWING","TGT")</f>
        <v>43279</v>
      </c>
      <c r="D547" s="95">
        <f ca="1"/>
        <v>-3.9875567145947199E-3</v>
      </c>
      <c r="E547" s="92"/>
      <c r="F547" s="97">
        <f ca="1">_xll.meDateFromTenor(F546,"1D","FOLLOWING","TGT")</f>
        <v>43279</v>
      </c>
      <c r="G547" s="95">
        <f ca="1"/>
        <v>-3.5609854421383507E-3</v>
      </c>
      <c r="H547" s="92" t="s">
        <v>4</v>
      </c>
      <c r="I547" s="97">
        <f ca="1">_xll.meDateFromTenor(I546,"1D","FOLLOWING","TGT")</f>
        <v>43279</v>
      </c>
      <c r="J547" s="95">
        <f ca="1"/>
        <v>-2.9931717618061388E-3</v>
      </c>
      <c r="K547" s="5" t="s">
        <v>4</v>
      </c>
      <c r="L547" s="97">
        <f ca="1">_xll.meDateFromTenor(L546,"1D","FOLLOWING","TGT")</f>
        <v>43279</v>
      </c>
      <c r="M547" s="95">
        <f ca="1"/>
        <v>-1.0203668299344259E-3</v>
      </c>
      <c r="N547" s="5" t="s">
        <v>4</v>
      </c>
      <c r="O547" s="97">
        <f ca="1">_xll.meDateFromTenor(O546,"1D","FOLLOWING","TGT")</f>
        <v>43279</v>
      </c>
      <c r="P547" s="95">
        <f ca="1"/>
        <v>1.0035693072296902E-3</v>
      </c>
      <c r="Q547" s="5" t="s">
        <v>4</v>
      </c>
      <c r="R547" s="83" t="s">
        <v>4</v>
      </c>
    </row>
    <row r="548" spans="1:18" x14ac:dyDescent="0.25">
      <c r="A548" s="88">
        <v>534</v>
      </c>
      <c r="B548" s="82"/>
      <c r="C548" s="97">
        <f ca="1">_xll.meDateFromTenor(C547,"1D","FOLLOWING","TGT")</f>
        <v>43280</v>
      </c>
      <c r="D548" s="95">
        <f ca="1"/>
        <v>-3.9846074952077926E-3</v>
      </c>
      <c r="E548" s="92"/>
      <c r="F548" s="97">
        <f ca="1">_xll.meDateFromTenor(F547,"1D","FOLLOWING","TGT")</f>
        <v>43280</v>
      </c>
      <c r="G548" s="95">
        <f ca="1"/>
        <v>-3.557506714956513E-3</v>
      </c>
      <c r="H548" s="92" t="s">
        <v>4</v>
      </c>
      <c r="I548" s="97">
        <f ca="1">_xll.meDateFromTenor(I547,"1D","FOLLOWING","TGT")</f>
        <v>43280</v>
      </c>
      <c r="J548" s="95">
        <f ca="1"/>
        <v>-2.9824965374324708E-3</v>
      </c>
      <c r="K548" s="5" t="s">
        <v>4</v>
      </c>
      <c r="L548" s="97">
        <f ca="1">_xll.meDateFromTenor(L547,"1D","FOLLOWING","TGT")</f>
        <v>43280</v>
      </c>
      <c r="M548" s="95">
        <f ca="1"/>
        <v>-1.0161126983724237E-3</v>
      </c>
      <c r="N548" s="5" t="s">
        <v>4</v>
      </c>
      <c r="O548" s="97">
        <f ca="1">_xll.meDateFromTenor(O547,"1D","FOLLOWING","TGT")</f>
        <v>43280</v>
      </c>
      <c r="P548" s="95">
        <f ca="1"/>
        <v>1.0081379398179946E-3</v>
      </c>
      <c r="Q548" s="5" t="s">
        <v>4</v>
      </c>
      <c r="R548" s="83" t="s">
        <v>4</v>
      </c>
    </row>
    <row r="549" spans="1:18" x14ac:dyDescent="0.25">
      <c r="A549" s="88">
        <v>535</v>
      </c>
      <c r="B549" s="82"/>
      <c r="C549" s="97">
        <f ca="1">_xll.meDateFromTenor(C548,"1D","FOLLOWING","TGT")</f>
        <v>43283</v>
      </c>
      <c r="D549" s="95">
        <f ca="1"/>
        <v>-3.9757496953403137E-3</v>
      </c>
      <c r="E549" s="92"/>
      <c r="F549" s="97">
        <f ca="1">_xll.meDateFromTenor(F548,"1D","FOLLOWING","TGT")</f>
        <v>43283</v>
      </c>
      <c r="G549" s="95">
        <f ca="1"/>
        <v>-3.5470902884044094E-3</v>
      </c>
      <c r="H549" s="92" t="s">
        <v>4</v>
      </c>
      <c r="I549" s="97">
        <f ca="1">_xll.meDateFromTenor(I548,"1D","FOLLOWING","TGT")</f>
        <v>43283</v>
      </c>
      <c r="J549" s="95">
        <f ca="1"/>
        <v>-2.950312471834408E-3</v>
      </c>
      <c r="K549" s="5" t="s">
        <v>4</v>
      </c>
      <c r="L549" s="97">
        <f ca="1">_xll.meDateFromTenor(L548,"1D","FOLLOWING","TGT")</f>
        <v>43283</v>
      </c>
      <c r="M549" s="95">
        <f ca="1"/>
        <v>-1.0032947048041513E-3</v>
      </c>
      <c r="N549" s="5" t="s">
        <v>4</v>
      </c>
      <c r="O549" s="97">
        <f ca="1">_xll.meDateFromTenor(O548,"1D","FOLLOWING","TGT")</f>
        <v>43283</v>
      </c>
      <c r="P549" s="95">
        <f ca="1"/>
        <v>1.0218788550119173E-3</v>
      </c>
      <c r="Q549" s="5" t="s">
        <v>4</v>
      </c>
      <c r="R549" s="83" t="s">
        <v>4</v>
      </c>
    </row>
    <row r="550" spans="1:18" x14ac:dyDescent="0.25">
      <c r="A550" s="88">
        <v>536</v>
      </c>
      <c r="B550" s="82"/>
      <c r="C550" s="97">
        <f ca="1">_xll.meDateFromTenor(C549,"1D","FOLLOWING","TGT")</f>
        <v>43284</v>
      </c>
      <c r="D550" s="95">
        <f ca="1"/>
        <v>-3.9727937146463166E-3</v>
      </c>
      <c r="E550" s="92"/>
      <c r="F550" s="97">
        <f ca="1">_xll.meDateFromTenor(F549,"1D","FOLLOWING","TGT")</f>
        <v>43284</v>
      </c>
      <c r="G550" s="95">
        <f ca="1"/>
        <v>-3.5436295608816735E-3</v>
      </c>
      <c r="H550" s="92" t="s">
        <v>4</v>
      </c>
      <c r="I550" s="97">
        <f ca="1">_xll.meDateFromTenor(I549,"1D","FOLLOWING","TGT")</f>
        <v>43284</v>
      </c>
      <c r="J550" s="95">
        <f ca="1"/>
        <v>-2.9395356651064912E-3</v>
      </c>
      <c r="K550" s="5" t="s">
        <v>4</v>
      </c>
      <c r="L550" s="97">
        <f ca="1">_xll.meDateFromTenor(L549,"1D","FOLLOWING","TGT")</f>
        <v>43284</v>
      </c>
      <c r="M550" s="95">
        <f ca="1"/>
        <v>-9.990036900408639E-4</v>
      </c>
      <c r="N550" s="5" t="s">
        <v>4</v>
      </c>
      <c r="O550" s="97">
        <f ca="1">_xll.meDateFromTenor(O549,"1D","FOLLOWING","TGT")</f>
        <v>43284</v>
      </c>
      <c r="P550" s="95">
        <f ca="1"/>
        <v>1.0264707710766292E-3</v>
      </c>
      <c r="Q550" s="5" t="s">
        <v>4</v>
      </c>
      <c r="R550" s="83" t="s">
        <v>4</v>
      </c>
    </row>
    <row r="551" spans="1:18" x14ac:dyDescent="0.25">
      <c r="A551" s="88">
        <v>537</v>
      </c>
      <c r="B551" s="82"/>
      <c r="C551" s="97">
        <f ca="1">_xll.meDateFromTenor(C550,"1D","FOLLOWING","TGT")</f>
        <v>43285</v>
      </c>
      <c r="D551" s="95">
        <f ca="1"/>
        <v>-3.9698360435981295E-3</v>
      </c>
      <c r="E551" s="92"/>
      <c r="F551" s="97">
        <f ca="1">_xll.meDateFromTenor(F550,"1D","FOLLOWING","TGT")</f>
        <v>43285</v>
      </c>
      <c r="G551" s="95">
        <f ca="1"/>
        <v>-3.54017575550695E-3</v>
      </c>
      <c r="H551" s="92" t="s">
        <v>4</v>
      </c>
      <c r="I551" s="97">
        <f ca="1">_xll.meDateFromTenor(I550,"1D","FOLLOWING","TGT")</f>
        <v>43285</v>
      </c>
      <c r="J551" s="95">
        <f ca="1"/>
        <v>-2.9287364722628559E-3</v>
      </c>
      <c r="K551" s="5" t="s">
        <v>4</v>
      </c>
      <c r="L551" s="97">
        <f ca="1">_xll.meDateFromTenor(L550,"1D","FOLLOWING","TGT")</f>
        <v>43285</v>
      </c>
      <c r="M551" s="95">
        <f ca="1"/>
        <v>-9.9470359151742379E-4</v>
      </c>
      <c r="N551" s="5" t="s">
        <v>4</v>
      </c>
      <c r="O551" s="97">
        <f ca="1">_xll.meDateFromTenor(O550,"1D","FOLLOWING","TGT")</f>
        <v>43285</v>
      </c>
      <c r="P551" s="95">
        <f ca="1"/>
        <v>1.0310684619032444E-3</v>
      </c>
      <c r="Q551" s="5" t="s">
        <v>4</v>
      </c>
      <c r="R551" s="83" t="s">
        <v>4</v>
      </c>
    </row>
    <row r="552" spans="1:18" x14ac:dyDescent="0.25">
      <c r="A552" s="88">
        <v>538</v>
      </c>
      <c r="B552" s="82"/>
      <c r="C552" s="97">
        <f ca="1">_xll.meDateFromTenor(C551,"1D","FOLLOWING","TGT")</f>
        <v>43286</v>
      </c>
      <c r="D552" s="95">
        <f ca="1"/>
        <v>-3.9668766824196844E-3</v>
      </c>
      <c r="E552" s="92"/>
      <c r="F552" s="97">
        <f ca="1">_xll.meDateFromTenor(F551,"1D","FOLLOWING","TGT")</f>
        <v>43286</v>
      </c>
      <c r="G552" s="95">
        <f ca="1"/>
        <v>-3.5367289531628922E-3</v>
      </c>
      <c r="H552" s="92" t="s">
        <v>4</v>
      </c>
      <c r="I552" s="97">
        <f ca="1">_xll.meDateFromTenor(I551,"1D","FOLLOWING","TGT")</f>
        <v>43286</v>
      </c>
      <c r="J552" s="95">
        <f ca="1"/>
        <v>-2.917916097092639E-3</v>
      </c>
      <c r="K552" s="5" t="s">
        <v>4</v>
      </c>
      <c r="L552" s="97">
        <f ca="1">_xll.meDateFromTenor(L551,"1D","FOLLOWING","TGT")</f>
        <v>43286</v>
      </c>
      <c r="M552" s="95">
        <f ca="1"/>
        <v>-9.9039446404989868E-4</v>
      </c>
      <c r="N552" s="5" t="s">
        <v>4</v>
      </c>
      <c r="O552" s="97">
        <f ca="1">_xll.meDateFromTenor(O551,"1D","FOLLOWING","TGT")</f>
        <v>43286</v>
      </c>
      <c r="P552" s="95">
        <f ca="1"/>
        <v>1.0356719090488828E-3</v>
      </c>
      <c r="Q552" s="5" t="s">
        <v>4</v>
      </c>
      <c r="R552" s="83" t="s">
        <v>4</v>
      </c>
    </row>
    <row r="553" spans="1:18" x14ac:dyDescent="0.25">
      <c r="A553" s="88">
        <v>539</v>
      </c>
      <c r="B553" s="82"/>
      <c r="C553" s="97">
        <f ca="1">_xll.meDateFromTenor(C552,"1D","FOLLOWING","TGT")</f>
        <v>43287</v>
      </c>
      <c r="D553" s="95">
        <f ca="1"/>
        <v>-3.9639156306182644E-3</v>
      </c>
      <c r="E553" s="92"/>
      <c r="F553" s="97">
        <f ca="1">_xll.meDateFromTenor(F552,"1D","FOLLOWING","TGT")</f>
        <v>43287</v>
      </c>
      <c r="G553" s="95">
        <f ca="1"/>
        <v>-3.5332892347321489E-3</v>
      </c>
      <c r="H553" s="92" t="s">
        <v>4</v>
      </c>
      <c r="I553" s="97">
        <f ca="1">_xll.meDateFromTenor(I552,"1D","FOLLOWING","TGT")</f>
        <v>43287</v>
      </c>
      <c r="J553" s="95">
        <f ca="1"/>
        <v>-2.9070757433849789E-3</v>
      </c>
      <c r="K553" s="5" t="s">
        <v>4</v>
      </c>
      <c r="L553" s="97">
        <f ca="1">_xll.meDateFromTenor(L552,"1D","FOLLOWING","TGT")</f>
        <v>43287</v>
      </c>
      <c r="M553" s="95">
        <f ca="1"/>
        <v>-9.8607636245435669E-4</v>
      </c>
      <c r="N553" s="5" t="s">
        <v>4</v>
      </c>
      <c r="O553" s="97">
        <f ca="1">_xll.meDateFromTenor(O552,"1D","FOLLOWING","TGT")</f>
        <v>43287</v>
      </c>
      <c r="P553" s="95">
        <f ca="1"/>
        <v>1.0402810940706648E-3</v>
      </c>
      <c r="Q553" s="5" t="s">
        <v>4</v>
      </c>
      <c r="R553" s="83" t="s">
        <v>4</v>
      </c>
    </row>
    <row r="554" spans="1:18" x14ac:dyDescent="0.25">
      <c r="A554" s="88">
        <v>540</v>
      </c>
      <c r="B554" s="82"/>
      <c r="C554" s="97">
        <f ca="1">_xll.meDateFromTenor(C553,"1D","FOLLOWING","TGT")</f>
        <v>43290</v>
      </c>
      <c r="D554" s="95">
        <f ca="1"/>
        <v>-3.9550223333565393E-3</v>
      </c>
      <c r="E554" s="92"/>
      <c r="F554" s="97">
        <f ca="1">_xll.meDateFromTenor(F553,"1D","FOLLOWING","TGT")</f>
        <v>43290</v>
      </c>
      <c r="G554" s="95">
        <f ca="1"/>
        <v>-3.5230133917463209E-3</v>
      </c>
      <c r="H554" s="92" t="s">
        <v>4</v>
      </c>
      <c r="I554" s="97">
        <f ca="1">_xll.meDateFromTenor(I553,"1D","FOLLOWING","TGT")</f>
        <v>43290</v>
      </c>
      <c r="J554" s="95">
        <f ca="1"/>
        <v>-2.8744468489286957E-3</v>
      </c>
      <c r="K554" s="5" t="s">
        <v>4</v>
      </c>
      <c r="L554" s="97">
        <f ca="1">_xll.meDateFromTenor(L553,"1D","FOLLOWING","TGT")</f>
        <v>43290</v>
      </c>
      <c r="M554" s="95">
        <f ca="1"/>
        <v>-9.730687610602979E-4</v>
      </c>
      <c r="N554" s="5" t="s">
        <v>4</v>
      </c>
      <c r="O554" s="97">
        <f ca="1">_xll.meDateFromTenor(O553,"1D","FOLLOWING","TGT")</f>
        <v>43290</v>
      </c>
      <c r="P554" s="95">
        <f ca="1"/>
        <v>1.0541428919640819E-3</v>
      </c>
      <c r="Q554" s="5" t="s">
        <v>4</v>
      </c>
      <c r="R554" s="83" t="s">
        <v>4</v>
      </c>
    </row>
    <row r="555" spans="1:18" x14ac:dyDescent="0.25">
      <c r="A555" s="88">
        <v>541</v>
      </c>
      <c r="B555" s="82"/>
      <c r="C555" s="97">
        <f ca="1">_xll.meDateFromTenor(C554,"1D","FOLLOWING","TGT")</f>
        <v>43291</v>
      </c>
      <c r="D555" s="95">
        <f ca="1"/>
        <v>-3.9520545200278923E-3</v>
      </c>
      <c r="E555" s="92"/>
      <c r="F555" s="97">
        <f ca="1">_xll.meDateFromTenor(F554,"1D","FOLLOWING","TGT")</f>
        <v>43291</v>
      </c>
      <c r="G555" s="95">
        <f ca="1"/>
        <v>-3.5196028177953489E-3</v>
      </c>
      <c r="H555" s="92" t="s">
        <v>4</v>
      </c>
      <c r="I555" s="97">
        <f ca="1">_xll.meDateFromTenor(I554,"1D","FOLLOWING","TGT")</f>
        <v>43291</v>
      </c>
      <c r="J555" s="95">
        <f ca="1"/>
        <v>-2.8635386189626248E-3</v>
      </c>
      <c r="K555" s="5" t="s">
        <v>4</v>
      </c>
      <c r="L555" s="97">
        <f ca="1">_xll.meDateFromTenor(L554,"1D","FOLLOWING","TGT")</f>
        <v>43291</v>
      </c>
      <c r="M555" s="95">
        <f ca="1"/>
        <v>-9.6871531111335923E-4</v>
      </c>
      <c r="N555" s="5" t="s">
        <v>4</v>
      </c>
      <c r="O555" s="97">
        <f ca="1">_xll.meDateFromTenor(O554,"1D","FOLLOWING","TGT")</f>
        <v>43291</v>
      </c>
      <c r="P555" s="95">
        <f ca="1"/>
        <v>1.0587748440616465E-3</v>
      </c>
      <c r="Q555" s="5" t="s">
        <v>4</v>
      </c>
      <c r="R555" s="83" t="s">
        <v>4</v>
      </c>
    </row>
    <row r="556" spans="1:18" x14ac:dyDescent="0.25">
      <c r="A556" s="88">
        <v>542</v>
      </c>
      <c r="B556" s="82"/>
      <c r="C556" s="97">
        <f ca="1">_xll.meDateFromTenor(C555,"1D","FOLLOWING","TGT")</f>
        <v>43292</v>
      </c>
      <c r="D556" s="95">
        <f ca="1"/>
        <v>-3.9490850163595992E-3</v>
      </c>
      <c r="E556" s="92"/>
      <c r="F556" s="97">
        <f ca="1">_xll.meDateFromTenor(F555,"1D","FOLLOWING","TGT")</f>
        <v>43292</v>
      </c>
      <c r="G556" s="95">
        <f ca="1"/>
        <v>-3.5161997321709474E-3</v>
      </c>
      <c r="H556" s="92" t="s">
        <v>4</v>
      </c>
      <c r="I556" s="97">
        <f ca="1">_xll.meDateFromTenor(I555,"1D","FOLLOWING","TGT")</f>
        <v>43292</v>
      </c>
      <c r="J556" s="95">
        <f ca="1"/>
        <v>-2.8526164294047939E-3</v>
      </c>
      <c r="K556" s="5" t="s">
        <v>4</v>
      </c>
      <c r="L556" s="97">
        <f ca="1">_xll.meDateFromTenor(L555,"1D","FOLLOWING","TGT")</f>
        <v>43292</v>
      </c>
      <c r="M556" s="95">
        <f ca="1"/>
        <v>-9.6435316111874003E-4</v>
      </c>
      <c r="N556" s="5" t="s">
        <v>4</v>
      </c>
      <c r="O556" s="97">
        <f ca="1">_xll.meDateFromTenor(O555,"1D","FOLLOWING","TGT")</f>
        <v>43292</v>
      </c>
      <c r="P556" s="95">
        <f ca="1"/>
        <v>1.0634124418209578E-3</v>
      </c>
      <c r="Q556" s="5" t="s">
        <v>4</v>
      </c>
      <c r="R556" s="83" t="s">
        <v>4</v>
      </c>
    </row>
    <row r="557" spans="1:18" x14ac:dyDescent="0.25">
      <c r="A557" s="88">
        <v>543</v>
      </c>
      <c r="B557" s="82"/>
      <c r="C557" s="97">
        <f ca="1">_xll.meDateFromTenor(C556,"1D","FOLLOWING","TGT")</f>
        <v>43293</v>
      </c>
      <c r="D557" s="95">
        <f ca="1"/>
        <v>-3.9461138220977521E-3</v>
      </c>
      <c r="E557" s="92"/>
      <c r="F557" s="97">
        <f ca="1">_xll.meDateFromTenor(F556,"1D","FOLLOWING","TGT")</f>
        <v>43293</v>
      </c>
      <c r="G557" s="95">
        <f ca="1"/>
        <v>-3.5128042157557674E-3</v>
      </c>
      <c r="H557" s="92" t="s">
        <v>4</v>
      </c>
      <c r="I557" s="97">
        <f ca="1">_xll.meDateFromTenor(I556,"1D","FOLLOWING","TGT")</f>
        <v>43293</v>
      </c>
      <c r="J557" s="95">
        <f ca="1"/>
        <v>-2.8416814840443402E-3</v>
      </c>
      <c r="K557" s="5" t="s">
        <v>4</v>
      </c>
      <c r="L557" s="97">
        <f ca="1">_xll.meDateFromTenor(L556,"1D","FOLLOWING","TGT")</f>
        <v>43293</v>
      </c>
      <c r="M557" s="95">
        <f ca="1"/>
        <v>-9.5998236589250798E-4</v>
      </c>
      <c r="N557" s="5" t="s">
        <v>4</v>
      </c>
      <c r="O557" s="97">
        <f ca="1">_xll.meDateFromTenor(O556,"1D","FOLLOWING","TGT")</f>
        <v>43293</v>
      </c>
      <c r="P557" s="95">
        <f ca="1"/>
        <v>1.0680556667991361E-3</v>
      </c>
      <c r="Q557" s="5" t="s">
        <v>4</v>
      </c>
      <c r="R557" s="83" t="s">
        <v>4</v>
      </c>
    </row>
    <row r="558" spans="1:18" x14ac:dyDescent="0.25">
      <c r="A558" s="88">
        <v>544</v>
      </c>
      <c r="B558" s="82"/>
      <c r="C558" s="97">
        <f ca="1">_xll.meDateFromTenor(C557,"1D","FOLLOWING","TGT")</f>
        <v>43294</v>
      </c>
      <c r="D558" s="95">
        <f ca="1"/>
        <v>-3.9431409376652349E-3</v>
      </c>
      <c r="E558" s="92"/>
      <c r="F558" s="97">
        <f ca="1">_xll.meDateFromTenor(F557,"1D","FOLLOWING","TGT")</f>
        <v>43294</v>
      </c>
      <c r="G558" s="95">
        <f ca="1"/>
        <v>-3.5094163494324604E-3</v>
      </c>
      <c r="H558" s="92" t="s">
        <v>4</v>
      </c>
      <c r="I558" s="97">
        <f ca="1">_xll.meDateFromTenor(I557,"1D","FOLLOWING","TGT")</f>
        <v>43294</v>
      </c>
      <c r="J558" s="95">
        <f ca="1"/>
        <v>-2.8307349866704017E-3</v>
      </c>
      <c r="K558" s="5" t="s">
        <v>4</v>
      </c>
      <c r="L558" s="97">
        <f ca="1">_xll.meDateFromTenor(L557,"1D","FOLLOWING","TGT")</f>
        <v>43294</v>
      </c>
      <c r="M558" s="95">
        <f ca="1"/>
        <v>-9.5560298025073047E-4</v>
      </c>
      <c r="N558" s="5" t="s">
        <v>4</v>
      </c>
      <c r="O558" s="97">
        <f ca="1">_xll.meDateFromTenor(O557,"1D","FOLLOWING","TGT")</f>
        <v>43294</v>
      </c>
      <c r="P558" s="95">
        <f ca="1"/>
        <v>1.0727045005533024E-3</v>
      </c>
      <c r="Q558" s="5" t="s">
        <v>4</v>
      </c>
      <c r="R558" s="83" t="s">
        <v>4</v>
      </c>
    </row>
    <row r="559" spans="1:18" x14ac:dyDescent="0.25">
      <c r="A559" s="88">
        <v>545</v>
      </c>
      <c r="B559" s="82"/>
      <c r="C559" s="97">
        <f ca="1">_xll.meDateFromTenor(C558,"1D","FOLLOWING","TGT")</f>
        <v>43297</v>
      </c>
      <c r="D559" s="95">
        <f ca="1"/>
        <v>-3.9342121409636777E-3</v>
      </c>
      <c r="E559" s="92"/>
      <c r="F559" s="97">
        <f ca="1">_xll.meDateFromTenor(F558,"1D","FOLLOWING","TGT")</f>
        <v>43297</v>
      </c>
      <c r="G559" s="95">
        <f ca="1"/>
        <v>-3.4992994598402874E-3</v>
      </c>
      <c r="H559" s="92" t="s">
        <v>4</v>
      </c>
      <c r="I559" s="97">
        <f ca="1">_xll.meDateFromTenor(I558,"1D","FOLLOWING","TGT")</f>
        <v>43297</v>
      </c>
      <c r="J559" s="95">
        <f ca="1"/>
        <v>-2.7978382203590452E-3</v>
      </c>
      <c r="K559" s="5" t="s">
        <v>4</v>
      </c>
      <c r="L559" s="97">
        <f ca="1">_xll.meDateFromTenor(L558,"1D","FOLLOWING","TGT")</f>
        <v>43297</v>
      </c>
      <c r="M559" s="95">
        <f ca="1"/>
        <v>-9.4241382899280042E-4</v>
      </c>
      <c r="N559" s="5" t="s">
        <v>4</v>
      </c>
      <c r="O559" s="97">
        <f ca="1">_xll.meDateFromTenor(O558,"1D","FOLLOWING","TGT")</f>
        <v>43297</v>
      </c>
      <c r="P559" s="95">
        <f ca="1"/>
        <v>1.0866844700429328E-3</v>
      </c>
      <c r="Q559" s="5" t="s">
        <v>4</v>
      </c>
      <c r="R559" s="83" t="s">
        <v>4</v>
      </c>
    </row>
    <row r="560" spans="1:18" x14ac:dyDescent="0.25">
      <c r="A560" s="88">
        <v>546</v>
      </c>
      <c r="B560" s="82"/>
      <c r="C560" s="97">
        <f ca="1">_xll.meDateFromTenor(C559,"1D","FOLLOWING","TGT")</f>
        <v>43298</v>
      </c>
      <c r="D560" s="95">
        <f ca="1"/>
        <v>-3.9312324945035559E-3</v>
      </c>
      <c r="E560" s="92"/>
      <c r="F560" s="97">
        <f ca="1">_xll.meDateFromTenor(F559,"1D","FOLLOWING","TGT")</f>
        <v>43298</v>
      </c>
      <c r="G560" s="95">
        <f ca="1"/>
        <v>-3.4959430027109825E-3</v>
      </c>
      <c r="H560" s="92" t="s">
        <v>4</v>
      </c>
      <c r="I560" s="97">
        <f ca="1">_xll.meDateFromTenor(I559,"1D","FOLLOWING","TGT")</f>
        <v>43298</v>
      </c>
      <c r="J560" s="95">
        <f ca="1"/>
        <v>-2.7868575528225371E-3</v>
      </c>
      <c r="K560" s="5" t="s">
        <v>4</v>
      </c>
      <c r="L560" s="97">
        <f ca="1">_xll.meDateFromTenor(L559,"1D","FOLLOWING","TGT")</f>
        <v>43298</v>
      </c>
      <c r="M560" s="95">
        <f ca="1"/>
        <v>-9.3800062984951622E-4</v>
      </c>
      <c r="N560" s="5" t="s">
        <v>4</v>
      </c>
      <c r="O560" s="97">
        <f ca="1">_xll.meDateFromTenor(O559,"1D","FOLLOWING","TGT")</f>
        <v>43298</v>
      </c>
      <c r="P560" s="95">
        <f ca="1"/>
        <v>1.0913555544722548E-3</v>
      </c>
      <c r="Q560" s="5" t="s">
        <v>4</v>
      </c>
      <c r="R560" s="83" t="s">
        <v>4</v>
      </c>
    </row>
    <row r="561" spans="1:18" x14ac:dyDescent="0.25">
      <c r="A561" s="88">
        <v>547</v>
      </c>
      <c r="B561" s="82"/>
      <c r="C561" s="97">
        <f ca="1">_xll.meDateFromTenor(C560,"1D","FOLLOWING","TGT")</f>
        <v>43299</v>
      </c>
      <c r="D561" s="95">
        <f ca="1"/>
        <v>-3.928251157399365E-3</v>
      </c>
      <c r="E561" s="92"/>
      <c r="F561" s="97">
        <f ca="1">_xll.meDateFromTenor(F560,"1D","FOLLOWING","TGT")</f>
        <v>43299</v>
      </c>
      <c r="G561" s="95">
        <f ca="1"/>
        <v>-3.4925946000868057E-3</v>
      </c>
      <c r="H561" s="92" t="s">
        <v>4</v>
      </c>
      <c r="I561" s="97">
        <f ca="1">_xll.meDateFromTenor(I560,"1D","FOLLOWING","TGT")</f>
        <v>43299</v>
      </c>
      <c r="J561" s="95">
        <f ca="1"/>
        <v>-2.7758713522182264E-3</v>
      </c>
      <c r="K561" s="5" t="s">
        <v>4</v>
      </c>
      <c r="L561" s="97">
        <f ca="1">_xll.meDateFromTenor(L560,"1D","FOLLOWING","TGT")</f>
        <v>43299</v>
      </c>
      <c r="M561" s="95">
        <f ca="1"/>
        <v>-9.3357911437102321E-4</v>
      </c>
      <c r="N561" s="5" t="s">
        <v>4</v>
      </c>
      <c r="O561" s="97">
        <f ca="1">_xll.meDateFromTenor(O560,"1D","FOLLOWING","TGT")</f>
        <v>43299</v>
      </c>
      <c r="P561" s="95">
        <f ca="1"/>
        <v>1.0960321554631684E-3</v>
      </c>
      <c r="Q561" s="5" t="s">
        <v>4</v>
      </c>
      <c r="R561" s="83" t="s">
        <v>4</v>
      </c>
    </row>
    <row r="562" spans="1:18" x14ac:dyDescent="0.25">
      <c r="A562" s="88">
        <v>548</v>
      </c>
      <c r="B562" s="82"/>
      <c r="C562" s="97">
        <f ca="1">_xll.meDateFromTenor(C561,"1D","FOLLOWING","TGT")</f>
        <v>43300</v>
      </c>
      <c r="D562" s="95">
        <f ca="1"/>
        <v>-3.9252681297952119E-3</v>
      </c>
      <c r="E562" s="92"/>
      <c r="F562" s="97">
        <f ca="1">_xll.meDateFromTenor(F561,"1D","FOLLOWING","TGT")</f>
        <v>43300</v>
      </c>
      <c r="G562" s="95">
        <f ca="1"/>
        <v>-3.4892543328504076E-3</v>
      </c>
      <c r="H562" s="92" t="s">
        <v>4</v>
      </c>
      <c r="I562" s="97">
        <f ca="1">_xll.meDateFromTenor(I561,"1D","FOLLOWING","TGT")</f>
        <v>43300</v>
      </c>
      <c r="J562" s="95">
        <f ca="1"/>
        <v>-2.7648808223352532E-3</v>
      </c>
      <c r="K562" s="5" t="s">
        <v>4</v>
      </c>
      <c r="L562" s="97">
        <f ca="1">_xll.meDateFromTenor(L561,"1D","FOLLOWING","TGT")</f>
        <v>43300</v>
      </c>
      <c r="M562" s="95">
        <f ca="1"/>
        <v>-9.2914933737338942E-4</v>
      </c>
      <c r="N562" s="5" t="s">
        <v>4</v>
      </c>
      <c r="O562" s="97">
        <f ca="1">_xll.meDateFromTenor(O561,"1D","FOLLOWING","TGT")</f>
        <v>43300</v>
      </c>
      <c r="P562" s="95">
        <f ca="1"/>
        <v>1.100714254572793E-3</v>
      </c>
      <c r="Q562" s="5" t="s">
        <v>4</v>
      </c>
      <c r="R562" s="83" t="s">
        <v>4</v>
      </c>
    </row>
    <row r="563" spans="1:18" x14ac:dyDescent="0.25">
      <c r="A563" s="88">
        <v>549</v>
      </c>
      <c r="B563" s="82"/>
      <c r="C563" s="97">
        <f ca="1">_xll.meDateFromTenor(C562,"1D","FOLLOWING","TGT")</f>
        <v>43301</v>
      </c>
      <c r="D563" s="95">
        <f ca="1"/>
        <v>-3.9222834116759975E-3</v>
      </c>
      <c r="E563" s="92"/>
      <c r="F563" s="97">
        <f ca="1">_xll.meDateFromTenor(F562,"1D","FOLLOWING","TGT")</f>
        <v>43301</v>
      </c>
      <c r="G563" s="95">
        <f ca="1"/>
        <v>-3.4859222818844392E-3</v>
      </c>
      <c r="H563" s="92" t="s">
        <v>4</v>
      </c>
      <c r="I563" s="97">
        <f ca="1">_xll.meDateFromTenor(I562,"1D","FOLLOWING","TGT")</f>
        <v>43301</v>
      </c>
      <c r="J563" s="95">
        <f ca="1"/>
        <v>-2.753887166962754E-3</v>
      </c>
      <c r="K563" s="5" t="s">
        <v>4</v>
      </c>
      <c r="L563" s="97">
        <f ca="1">_xll.meDateFromTenor(L562,"1D","FOLLOWING","TGT")</f>
        <v>43301</v>
      </c>
      <c r="M563" s="95">
        <f ca="1"/>
        <v>-9.2471135367268233E-4</v>
      </c>
      <c r="N563" s="5" t="s">
        <v>4</v>
      </c>
      <c r="O563" s="97">
        <f ca="1">_xll.meDateFromTenor(O562,"1D","FOLLOWING","TGT")</f>
        <v>43301</v>
      </c>
      <c r="P563" s="95">
        <f ca="1"/>
        <v>1.1054018333582487E-3</v>
      </c>
      <c r="Q563" s="5" t="s">
        <v>4</v>
      </c>
      <c r="R563" s="83" t="s">
        <v>4</v>
      </c>
    </row>
    <row r="564" spans="1:18" x14ac:dyDescent="0.25">
      <c r="A564" s="88">
        <v>550</v>
      </c>
      <c r="B564" s="82"/>
      <c r="C564" s="97">
        <f ca="1">_xll.meDateFromTenor(C563,"1D","FOLLOWING","TGT")</f>
        <v>43304</v>
      </c>
      <c r="D564" s="95">
        <f ca="1"/>
        <v>-3.9133191137588064E-3</v>
      </c>
      <c r="E564" s="92"/>
      <c r="F564" s="97">
        <f ca="1">_xll.meDateFromTenor(F563,"1D","FOLLOWING","TGT")</f>
        <v>43304</v>
      </c>
      <c r="G564" s="95">
        <f ca="1"/>
        <v>-3.4759762354356297E-3</v>
      </c>
      <c r="H564" s="92" t="s">
        <v>4</v>
      </c>
      <c r="I564" s="97">
        <f ca="1">_xll.meDateFromTenor(I563,"1D","FOLLOWING","TGT")</f>
        <v>43304</v>
      </c>
      <c r="J564" s="95">
        <f ca="1"/>
        <v>-2.7208994857994715E-3</v>
      </c>
      <c r="K564" s="5" t="s">
        <v>4</v>
      </c>
      <c r="L564" s="97">
        <f ca="1">_xll.meDateFromTenor(L563,"1D","FOLLOWING","TGT")</f>
        <v>43304</v>
      </c>
      <c r="M564" s="95">
        <f ca="1"/>
        <v>-9.1134871051279658E-4</v>
      </c>
      <c r="N564" s="5" t="s">
        <v>4</v>
      </c>
      <c r="O564" s="97">
        <f ca="1">_xll.meDateFromTenor(O563,"1D","FOLLOWING","TGT")</f>
        <v>43304</v>
      </c>
      <c r="P564" s="95">
        <f ca="1"/>
        <v>1.1194972633408102E-3</v>
      </c>
      <c r="Q564" s="5" t="s">
        <v>4</v>
      </c>
      <c r="R564" s="83" t="s">
        <v>4</v>
      </c>
    </row>
    <row r="565" spans="1:18" x14ac:dyDescent="0.25">
      <c r="A565" s="88">
        <v>551</v>
      </c>
      <c r="B565" s="82"/>
      <c r="C565" s="97">
        <f ca="1">_xll.meDateFromTenor(C564,"1D","FOLLOWING","TGT")</f>
        <v>43305</v>
      </c>
      <c r="D565" s="95">
        <f ca="1"/>
        <v>-3.9103276333886106E-3</v>
      </c>
      <c r="E565" s="92"/>
      <c r="F565" s="97">
        <f ca="1">_xll.meDateFromTenor(F564,"1D","FOLLOWING","TGT")</f>
        <v>43305</v>
      </c>
      <c r="G565" s="95">
        <f ca="1"/>
        <v>-3.4726778583778943E-3</v>
      </c>
      <c r="H565" s="92" t="s">
        <v>4</v>
      </c>
      <c r="I565" s="97">
        <f ca="1">_xll.meDateFromTenor(I564,"1D","FOLLOWING","TGT")</f>
        <v>43305</v>
      </c>
      <c r="J565" s="95">
        <f ca="1"/>
        <v>-2.709905366360238E-3</v>
      </c>
      <c r="K565" s="5" t="s">
        <v>4</v>
      </c>
      <c r="L565" s="97">
        <f ca="1">_xll.meDateFromTenor(L564,"1D","FOLLOWING","TGT")</f>
        <v>43305</v>
      </c>
      <c r="M565" s="95">
        <f ca="1"/>
        <v>-9.0687844816047082E-4</v>
      </c>
      <c r="N565" s="5" t="s">
        <v>4</v>
      </c>
      <c r="O565" s="97">
        <f ca="1">_xll.meDateFromTenor(O564,"1D","FOLLOWING","TGT")</f>
        <v>43305</v>
      </c>
      <c r="P565" s="95">
        <f ca="1"/>
        <v>1.1242065764007977E-3</v>
      </c>
      <c r="Q565" s="5" t="s">
        <v>4</v>
      </c>
      <c r="R565" s="83" t="s">
        <v>4</v>
      </c>
    </row>
    <row r="566" spans="1:18" x14ac:dyDescent="0.25">
      <c r="A566" s="88">
        <v>552</v>
      </c>
      <c r="B566" s="82"/>
      <c r="C566" s="97">
        <f ca="1">_xll.meDateFromTenor(C565,"1D","FOLLOWING","TGT")</f>
        <v>43306</v>
      </c>
      <c r="D566" s="95">
        <f ca="1"/>
        <v>-3.9073344623482553E-3</v>
      </c>
      <c r="E566" s="92"/>
      <c r="F566" s="97">
        <f ca="1">_xll.meDateFromTenor(F565,"1D","FOLLOWING","TGT")</f>
        <v>43306</v>
      </c>
      <c r="G566" s="95">
        <f ca="1"/>
        <v>-3.4693881020038445E-3</v>
      </c>
      <c r="H566" s="92" t="s">
        <v>4</v>
      </c>
      <c r="I566" s="97">
        <f ca="1">_xll.meDateFromTenor(I565,"1D","FOLLOWING","TGT")</f>
        <v>43306</v>
      </c>
      <c r="J566" s="95">
        <f ca="1"/>
        <v>-2.6989141403771641E-3</v>
      </c>
      <c r="K566" s="5" t="s">
        <v>4</v>
      </c>
      <c r="L566" s="97">
        <f ca="1">_xll.meDateFromTenor(L565,"1D","FOLLOWING","TGT")</f>
        <v>43306</v>
      </c>
      <c r="M566" s="95">
        <f ca="1"/>
        <v>-9.024002531854092E-4</v>
      </c>
      <c r="N566" s="5" t="s">
        <v>4</v>
      </c>
      <c r="O566" s="97">
        <f ca="1">_xll.meDateFromTenor(O565,"1D","FOLLOWING","TGT")</f>
        <v>43306</v>
      </c>
      <c r="P566" s="95">
        <f ca="1"/>
        <v>1.1289212769222193E-3</v>
      </c>
      <c r="Q566" s="5" t="s">
        <v>4</v>
      </c>
      <c r="R566" s="83" t="s">
        <v>4</v>
      </c>
    </row>
    <row r="567" spans="1:18" x14ac:dyDescent="0.25">
      <c r="A567" s="88">
        <v>553</v>
      </c>
      <c r="B567" s="82"/>
      <c r="C567" s="97">
        <f ca="1">_xll.meDateFromTenor(C566,"1D","FOLLOWING","TGT")</f>
        <v>43307</v>
      </c>
      <c r="D567" s="95">
        <f ca="1"/>
        <v>-3.9043396005428166E-3</v>
      </c>
      <c r="E567" s="92"/>
      <c r="F567" s="97">
        <f ca="1">_xll.meDateFromTenor(F566,"1D","FOLLOWING","TGT")</f>
        <v>43307</v>
      </c>
      <c r="G567" s="95">
        <f ca="1"/>
        <v>-3.4661070471961315E-3</v>
      </c>
      <c r="H567" s="92" t="s">
        <v>4</v>
      </c>
      <c r="I567" s="97">
        <f ca="1">_xll.meDateFromTenor(I566,"1D","FOLLOWING","TGT")</f>
        <v>43307</v>
      </c>
      <c r="J567" s="95">
        <f ca="1"/>
        <v>-2.6879270116393883E-3</v>
      </c>
      <c r="K567" s="5" t="s">
        <v>4</v>
      </c>
      <c r="L567" s="97">
        <f ca="1">_xll.meDateFromTenor(L566,"1D","FOLLOWING","TGT")</f>
        <v>43307</v>
      </c>
      <c r="M567" s="95">
        <f ca="1"/>
        <v>-8.9791418040367961E-4</v>
      </c>
      <c r="N567" s="5" t="s">
        <v>4</v>
      </c>
      <c r="O567" s="97">
        <f ca="1">_xll.meDateFromTenor(O566,"1D","FOLLOWING","TGT")</f>
        <v>43307</v>
      </c>
      <c r="P567" s="95">
        <f ca="1"/>
        <v>1.1336413464621948E-3</v>
      </c>
      <c r="Q567" s="5" t="s">
        <v>4</v>
      </c>
      <c r="R567" s="83" t="s">
        <v>4</v>
      </c>
    </row>
    <row r="568" spans="1:18" x14ac:dyDescent="0.25">
      <c r="A568" s="88">
        <v>554</v>
      </c>
      <c r="B568" s="82"/>
      <c r="C568" s="97">
        <f ca="1">_xll.meDateFromTenor(C567,"1D","FOLLOWING","TGT")</f>
        <v>43308</v>
      </c>
      <c r="D568" s="95">
        <f ca="1"/>
        <v>-3.9013430482751632E-3</v>
      </c>
      <c r="E568" s="92"/>
      <c r="F568" s="97">
        <f ca="1">_xll.meDateFromTenor(F567,"1D","FOLLOWING","TGT")</f>
        <v>43308</v>
      </c>
      <c r="G568" s="95">
        <f ca="1"/>
        <v>-3.4628347748374062E-3</v>
      </c>
      <c r="H568" s="92" t="s">
        <v>4</v>
      </c>
      <c r="I568" s="97">
        <f ca="1">_xll.meDateFromTenor(I567,"1D","FOLLOWING","TGT")</f>
        <v>43308</v>
      </c>
      <c r="J568" s="95">
        <f ca="1"/>
        <v>-2.6769451839360439E-3</v>
      </c>
      <c r="K568" s="5" t="s">
        <v>4</v>
      </c>
      <c r="L568" s="97">
        <f ca="1">_xll.meDateFromTenor(L567,"1D","FOLLOWING","TGT")</f>
        <v>43308</v>
      </c>
      <c r="M568" s="95">
        <f ca="1"/>
        <v>-8.9342028463134813E-4</v>
      </c>
      <c r="N568" s="5" t="s">
        <v>4</v>
      </c>
      <c r="O568" s="97">
        <f ca="1">_xll.meDateFromTenor(O567,"1D","FOLLOWING","TGT")</f>
        <v>43308</v>
      </c>
      <c r="P568" s="95">
        <f ca="1"/>
        <v>1.1383667665778464E-3</v>
      </c>
      <c r="Q568" s="5" t="s">
        <v>4</v>
      </c>
      <c r="R568" s="83" t="s">
        <v>4</v>
      </c>
    </row>
    <row r="569" spans="1:18" x14ac:dyDescent="0.25">
      <c r="A569" s="88">
        <v>555</v>
      </c>
      <c r="B569" s="82"/>
      <c r="C569" s="97">
        <f ca="1">_xll.meDateFromTenor(C568,"1D","FOLLOWING","TGT")</f>
        <v>43311</v>
      </c>
      <c r="D569" s="95">
        <f ca="1"/>
        <v>-3.8923432470797659E-3</v>
      </c>
      <c r="E569" s="92"/>
      <c r="F569" s="97">
        <f ca="1">_xll.meDateFromTenor(F568,"1D","FOLLOWING","TGT")</f>
        <v>43311</v>
      </c>
      <c r="G569" s="95">
        <f ca="1"/>
        <v>-3.4530714612816676E-3</v>
      </c>
      <c r="H569" s="92" t="s">
        <v>4</v>
      </c>
      <c r="I569" s="97">
        <f ca="1">_xll.meDateFromTenor(I568,"1D","FOLLOWING","TGT")</f>
        <v>43311</v>
      </c>
      <c r="J569" s="95">
        <f ca="1"/>
        <v>-2.6440435449239822E-3</v>
      </c>
      <c r="K569" s="5" t="s">
        <v>4</v>
      </c>
      <c r="L569" s="97">
        <f ca="1">_xll.meDateFromTenor(L568,"1D","FOLLOWING","TGT")</f>
        <v>43311</v>
      </c>
      <c r="M569" s="95">
        <f ca="1"/>
        <v>-8.798922075314218E-4</v>
      </c>
      <c r="N569" s="5" t="s">
        <v>4</v>
      </c>
      <c r="O569" s="97">
        <f ca="1">_xll.meDateFromTenor(O568,"1D","FOLLOWING","TGT")</f>
        <v>43311</v>
      </c>
      <c r="P569" s="95">
        <f ca="1"/>
        <v>1.1525749459500576E-3</v>
      </c>
      <c r="Q569" s="5" t="s">
        <v>4</v>
      </c>
      <c r="R569" s="83" t="s">
        <v>4</v>
      </c>
    </row>
    <row r="570" spans="1:18" x14ac:dyDescent="0.25">
      <c r="A570" s="88">
        <v>556</v>
      </c>
      <c r="B570" s="82"/>
      <c r="C570" s="97">
        <f ca="1">_xll.meDateFromTenor(C569,"1D","FOLLOWING","TGT")</f>
        <v>43312</v>
      </c>
      <c r="D570" s="95">
        <f ca="1"/>
        <v>-3.889339931898661E-3</v>
      </c>
      <c r="E570" s="92"/>
      <c r="F570" s="97">
        <f ca="1">_xll.meDateFromTenor(F569,"1D","FOLLOWING","TGT")</f>
        <v>43312</v>
      </c>
      <c r="G570" s="95">
        <f ca="1"/>
        <v>-3.4498351275454035E-3</v>
      </c>
      <c r="H570" s="92" t="s">
        <v>4</v>
      </c>
      <c r="I570" s="97">
        <f ca="1">_xll.meDateFromTenor(I569,"1D","FOLLOWING","TGT")</f>
        <v>43312</v>
      </c>
      <c r="J570" s="95">
        <f ca="1"/>
        <v>-2.633094959249742E-3</v>
      </c>
      <c r="K570" s="5" t="s">
        <v>4</v>
      </c>
      <c r="L570" s="97">
        <f ca="1">_xll.meDateFromTenor(L569,"1D","FOLLOWING","TGT")</f>
        <v>43312</v>
      </c>
      <c r="M570" s="95">
        <f ca="1"/>
        <v>-8.7536756795736023E-4</v>
      </c>
      <c r="N570" s="5" t="s">
        <v>4</v>
      </c>
      <c r="O570" s="97">
        <f ca="1">_xll.meDateFromTenor(O569,"1D","FOLLOWING","TGT")</f>
        <v>43312</v>
      </c>
      <c r="P570" s="95">
        <f ca="1"/>
        <v>1.1573215839396156E-3</v>
      </c>
      <c r="Q570" s="5" t="s">
        <v>4</v>
      </c>
      <c r="R570" s="83" t="s">
        <v>4</v>
      </c>
    </row>
    <row r="571" spans="1:18" x14ac:dyDescent="0.25">
      <c r="A571" s="88">
        <v>557</v>
      </c>
      <c r="B571" s="82"/>
      <c r="C571" s="97">
        <f ca="1">_xll.meDateFromTenor(C570,"1D","FOLLOWING","TGT")</f>
        <v>43313</v>
      </c>
      <c r="D571" s="95">
        <f ca="1"/>
        <v>-3.8863349261003544E-3</v>
      </c>
      <c r="E571" s="92"/>
      <c r="F571" s="97">
        <f ca="1">_xll.meDateFromTenor(F570,"1D","FOLLOWING","TGT")</f>
        <v>43313</v>
      </c>
      <c r="G571" s="95">
        <f ca="1"/>
        <v>-3.4466079806713843E-3</v>
      </c>
      <c r="H571" s="92" t="s">
        <v>4</v>
      </c>
      <c r="I571" s="97">
        <f ca="1">_xll.meDateFromTenor(I570,"1D","FOLLOWING","TGT")</f>
        <v>43313</v>
      </c>
      <c r="J571" s="95">
        <f ca="1"/>
        <v>-2.6221576935556217E-3</v>
      </c>
      <c r="K571" s="5" t="s">
        <v>4</v>
      </c>
      <c r="L571" s="97">
        <f ca="1">_xll.meDateFromTenor(L570,"1D","FOLLOWING","TGT")</f>
        <v>43313</v>
      </c>
      <c r="M571" s="95">
        <f ca="1"/>
        <v>-8.7083537947303582E-4</v>
      </c>
      <c r="N571" s="5" t="s">
        <v>4</v>
      </c>
      <c r="O571" s="97">
        <f ca="1">_xll.meDateFromTenor(O570,"1D","FOLLOWING","TGT")</f>
        <v>43313</v>
      </c>
      <c r="P571" s="95">
        <f ca="1"/>
        <v>1.1620734802904504E-3</v>
      </c>
      <c r="Q571" s="5" t="s">
        <v>4</v>
      </c>
      <c r="R571" s="83" t="s">
        <v>4</v>
      </c>
    </row>
    <row r="572" spans="1:18" x14ac:dyDescent="0.25">
      <c r="A572" s="88">
        <v>558</v>
      </c>
      <c r="B572" s="82"/>
      <c r="C572" s="97">
        <f ca="1">_xll.meDateFromTenor(C571,"1D","FOLLOWING","TGT")</f>
        <v>43314</v>
      </c>
      <c r="D572" s="95">
        <f ca="1"/>
        <v>-3.8833282295104299E-3</v>
      </c>
      <c r="E572" s="92"/>
      <c r="F572" s="97">
        <f ca="1">_xll.meDateFromTenor(F571,"1D","FOLLOWING","TGT")</f>
        <v>43314</v>
      </c>
      <c r="G572" s="95">
        <f ca="1"/>
        <v>-3.4433901015422587E-3</v>
      </c>
      <c r="H572" s="92" t="s">
        <v>4</v>
      </c>
      <c r="I572" s="97">
        <f ca="1">_xll.meDateFromTenor(I571,"1D","FOLLOWING","TGT")</f>
        <v>43314</v>
      </c>
      <c r="J572" s="95">
        <f ca="1"/>
        <v>-2.6112329516307562E-3</v>
      </c>
      <c r="K572" s="5" t="s">
        <v>4</v>
      </c>
      <c r="L572" s="97">
        <f ca="1">_xll.meDateFromTenor(L571,"1D","FOLLOWING","TGT")</f>
        <v>43314</v>
      </c>
      <c r="M572" s="95">
        <f ca="1"/>
        <v>-8.6629569689451421E-4</v>
      </c>
      <c r="N572" s="5" t="s">
        <v>4</v>
      </c>
      <c r="O572" s="97">
        <f ca="1">_xll.meDateFromTenor(O571,"1D","FOLLOWING","TGT")</f>
        <v>43314</v>
      </c>
      <c r="P572" s="95">
        <f ca="1"/>
        <v>1.1668306165596848E-3</v>
      </c>
      <c r="Q572" s="5" t="s">
        <v>4</v>
      </c>
      <c r="R572" s="83" t="s">
        <v>4</v>
      </c>
    </row>
    <row r="573" spans="1:18" x14ac:dyDescent="0.25">
      <c r="A573" s="88">
        <v>559</v>
      </c>
      <c r="B573" s="82"/>
      <c r="C573" s="97">
        <f ca="1">_xll.meDateFromTenor(C572,"1D","FOLLOWING","TGT")</f>
        <v>43315</v>
      </c>
      <c r="D573" s="95">
        <f ca="1"/>
        <v>-3.8803198421136775E-3</v>
      </c>
      <c r="E573" s="92"/>
      <c r="F573" s="97">
        <f ca="1">_xll.meDateFromTenor(F572,"1D","FOLLOWING","TGT")</f>
        <v>43315</v>
      </c>
      <c r="G573" s="95">
        <f ca="1"/>
        <v>-3.440181390078856E-3</v>
      </c>
      <c r="H573" s="92" t="s">
        <v>4</v>
      </c>
      <c r="I573" s="97">
        <f ca="1">_xll.meDateFromTenor(I572,"1D","FOLLOWING","TGT")</f>
        <v>43315</v>
      </c>
      <c r="J573" s="95">
        <f ca="1"/>
        <v>-2.6003219372642849E-3</v>
      </c>
      <c r="K573" s="5" t="s">
        <v>4</v>
      </c>
      <c r="L573" s="97">
        <f ca="1">_xll.meDateFromTenor(L572,"1D","FOLLOWING","TGT")</f>
        <v>43315</v>
      </c>
      <c r="M573" s="95">
        <f ca="1"/>
        <v>-8.6174857503786451E-4</v>
      </c>
      <c r="N573" s="5" t="s">
        <v>4</v>
      </c>
      <c r="O573" s="97">
        <f ca="1">_xll.meDateFromTenor(O572,"1D","FOLLOWING","TGT")</f>
        <v>43315</v>
      </c>
      <c r="P573" s="95">
        <f ca="1"/>
        <v>1.171592974304437E-3</v>
      </c>
      <c r="Q573" s="5" t="s">
        <v>4</v>
      </c>
      <c r="R573" s="83" t="s">
        <v>4</v>
      </c>
    </row>
    <row r="574" spans="1:18" x14ac:dyDescent="0.25">
      <c r="A574" s="88">
        <v>560</v>
      </c>
      <c r="B574" s="82"/>
      <c r="C574" s="97">
        <f ca="1">_xll.meDateFromTenor(C573,"1D","FOLLOWING","TGT")</f>
        <v>43318</v>
      </c>
      <c r="D574" s="95">
        <f ca="1"/>
        <v>-3.8712845354076375E-3</v>
      </c>
      <c r="E574" s="92"/>
      <c r="F574" s="97">
        <f ca="1">_xll.meDateFromTenor(F573,"1D","FOLLOWING","TGT")</f>
        <v>43318</v>
      </c>
      <c r="G574" s="95">
        <f ca="1"/>
        <v>-3.4306012985710851E-3</v>
      </c>
      <c r="H574" s="92" t="s">
        <v>4</v>
      </c>
      <c r="I574" s="97">
        <f ca="1">_xll.meDateFromTenor(I573,"1D","FOLLOWING","TGT")</f>
        <v>43318</v>
      </c>
      <c r="J574" s="95">
        <f ca="1"/>
        <v>-2.5676832974065927E-3</v>
      </c>
      <c r="K574" s="5" t="s">
        <v>4</v>
      </c>
      <c r="L574" s="97">
        <f ca="1">_xll.meDateFromTenor(L573,"1D","FOLLOWING","TGT")</f>
        <v>43318</v>
      </c>
      <c r="M574" s="95">
        <f ca="1"/>
        <v>-8.480631219598137E-4</v>
      </c>
      <c r="N574" s="5" t="s">
        <v>4</v>
      </c>
      <c r="O574" s="97">
        <f ca="1">_xll.meDateFromTenor(O573,"1D","FOLLOWING","TGT")</f>
        <v>43318</v>
      </c>
      <c r="P574" s="95">
        <f ca="1"/>
        <v>1.1859111919630156E-3</v>
      </c>
      <c r="Q574" s="5" t="s">
        <v>4</v>
      </c>
      <c r="R574" s="83" t="s">
        <v>4</v>
      </c>
    </row>
    <row r="575" spans="1:18" x14ac:dyDescent="0.25">
      <c r="A575" s="88">
        <v>561</v>
      </c>
      <c r="B575" s="82"/>
      <c r="C575" s="97">
        <f ca="1">_xll.meDateFromTenor(C574,"1D","FOLLOWING","TGT")</f>
        <v>43319</v>
      </c>
      <c r="D575" s="95">
        <f ca="1"/>
        <v>-3.8682693847506E-3</v>
      </c>
      <c r="E575" s="92"/>
      <c r="F575" s="97">
        <f ca="1">_xll.meDateFromTenor(F574,"1D","FOLLOWING","TGT")</f>
        <v>43319</v>
      </c>
      <c r="G575" s="95">
        <f ca="1"/>
        <v>-3.4274199327350287E-3</v>
      </c>
      <c r="H575" s="92" t="s">
        <v>4</v>
      </c>
      <c r="I575" s="97">
        <f ca="1">_xll.meDateFromTenor(I574,"1D","FOLLOWING","TGT")</f>
        <v>43319</v>
      </c>
      <c r="J575" s="95">
        <f ca="1"/>
        <v>-2.5568392311650615E-3</v>
      </c>
      <c r="K575" s="5" t="s">
        <v>4</v>
      </c>
      <c r="L575" s="97">
        <f ca="1">_xll.meDateFromTenor(L574,"1D","FOLLOWING","TGT")</f>
        <v>43319</v>
      </c>
      <c r="M575" s="95">
        <f ca="1"/>
        <v>-8.4348679115132193E-4</v>
      </c>
      <c r="N575" s="5" t="s">
        <v>4</v>
      </c>
      <c r="O575" s="97">
        <f ca="1">_xll.meDateFromTenor(O574,"1D","FOLLOWING","TGT")</f>
        <v>43319</v>
      </c>
      <c r="P575" s="95">
        <f ca="1"/>
        <v>1.1906942511810499E-3</v>
      </c>
      <c r="Q575" s="5" t="s">
        <v>4</v>
      </c>
      <c r="R575" s="83" t="s">
        <v>4</v>
      </c>
    </row>
    <row r="576" spans="1:18" x14ac:dyDescent="0.25">
      <c r="A576" s="88">
        <v>562</v>
      </c>
      <c r="B576" s="82"/>
      <c r="C576" s="97">
        <f ca="1">_xll.meDateFromTenor(C575,"1D","FOLLOWING","TGT")</f>
        <v>43320</v>
      </c>
      <c r="D576" s="95">
        <f ca="1"/>
        <v>-3.8652525436085883E-3</v>
      </c>
      <c r="E576" s="92"/>
      <c r="F576" s="97">
        <f ca="1">_xll.meDateFromTenor(F575,"1D","FOLLOWING","TGT")</f>
        <v>43320</v>
      </c>
      <c r="G576" s="95">
        <f ca="1"/>
        <v>-3.4242428910850999E-3</v>
      </c>
      <c r="H576" s="92" t="s">
        <v>4</v>
      </c>
      <c r="I576" s="97">
        <f ca="1">_xll.meDateFromTenor(I575,"1D","FOLLOWING","TGT")</f>
        <v>43320</v>
      </c>
      <c r="J576" s="95">
        <f ca="1"/>
        <v>-2.546014911427608E-3</v>
      </c>
      <c r="K576" s="5" t="s">
        <v>4</v>
      </c>
      <c r="L576" s="97">
        <f ca="1">_xll.meDateFromTenor(L575,"1D","FOLLOWING","TGT")</f>
        <v>43320</v>
      </c>
      <c r="M576" s="95">
        <f ca="1"/>
        <v>-8.3890329514503851E-4</v>
      </c>
      <c r="N576" s="5" t="s">
        <v>4</v>
      </c>
      <c r="O576" s="97">
        <f ca="1">_xll.meDateFromTenor(O575,"1D","FOLLOWING","TGT")</f>
        <v>43320</v>
      </c>
      <c r="P576" s="95">
        <f ca="1"/>
        <v>1.1954824396602057E-3</v>
      </c>
      <c r="Q576" s="5" t="s">
        <v>4</v>
      </c>
      <c r="R576" s="83" t="s">
        <v>4</v>
      </c>
    </row>
    <row r="577" spans="1:18" x14ac:dyDescent="0.25">
      <c r="A577" s="88">
        <v>563</v>
      </c>
      <c r="B577" s="82"/>
      <c r="C577" s="97">
        <f ca="1">_xll.meDateFromTenor(C576,"1D","FOLLOWING","TGT")</f>
        <v>43321</v>
      </c>
      <c r="D577" s="95">
        <f ca="1"/>
        <v>-3.8622340112099973E-3</v>
      </c>
      <c r="E577" s="92"/>
      <c r="F577" s="97">
        <f ca="1">_xll.meDateFromTenor(F576,"1D","FOLLOWING","TGT")</f>
        <v>43321</v>
      </c>
      <c r="G577" s="95">
        <f ca="1"/>
        <v>-3.4210691687330159E-3</v>
      </c>
      <c r="H577" s="92" t="s">
        <v>4</v>
      </c>
      <c r="I577" s="97">
        <f ca="1">_xll.meDateFromTenor(I576,"1D","FOLLOWING","TGT")</f>
        <v>43321</v>
      </c>
      <c r="J577" s="95">
        <f ca="1"/>
        <v>-2.5352115419833695E-3</v>
      </c>
      <c r="K577" s="5" t="s">
        <v>4</v>
      </c>
      <c r="L577" s="97">
        <f ca="1">_xll.meDateFromTenor(L576,"1D","FOLLOWING","TGT")</f>
        <v>43321</v>
      </c>
      <c r="M577" s="95">
        <f ca="1"/>
        <v>-8.3431268875703082E-4</v>
      </c>
      <c r="N577" s="5" t="s">
        <v>4</v>
      </c>
      <c r="O577" s="97">
        <f ca="1">_xll.meDateFromTenor(O576,"1D","FOLLOWING","TGT")</f>
        <v>43321</v>
      </c>
      <c r="P577" s="95">
        <f ca="1"/>
        <v>1.2002757389576037E-3</v>
      </c>
      <c r="Q577" s="5" t="s">
        <v>4</v>
      </c>
      <c r="R577" s="83" t="s">
        <v>4</v>
      </c>
    </row>
    <row r="578" spans="1:18" x14ac:dyDescent="0.25">
      <c r="A578" s="88">
        <v>564</v>
      </c>
      <c r="B578" s="82"/>
      <c r="C578" s="97">
        <f ca="1">_xll.meDateFromTenor(C577,"1D","FOLLOWING","TGT")</f>
        <v>43322</v>
      </c>
      <c r="D578" s="95">
        <f ca="1"/>
        <v>-3.859213788136695E-3</v>
      </c>
      <c r="E578" s="92"/>
      <c r="F578" s="97">
        <f ca="1">_xll.meDateFromTenor(F577,"1D","FOLLOWING","TGT")</f>
        <v>43322</v>
      </c>
      <c r="G578" s="95">
        <f ca="1"/>
        <v>-3.4178977607904936E-3</v>
      </c>
      <c r="H578" s="92" t="s">
        <v>4</v>
      </c>
      <c r="I578" s="97">
        <f ca="1">_xll.meDateFromTenor(I577,"1D","FOLLOWING","TGT")</f>
        <v>43322</v>
      </c>
      <c r="J578" s="95">
        <f ca="1"/>
        <v>-2.5244303266214853E-3</v>
      </c>
      <c r="K578" s="5" t="s">
        <v>4</v>
      </c>
      <c r="L578" s="97">
        <f ca="1">_xll.meDateFromTenor(L577,"1D","FOLLOWING","TGT")</f>
        <v>43322</v>
      </c>
      <c r="M578" s="95">
        <f ca="1"/>
        <v>-8.2971502680336722E-4</v>
      </c>
      <c r="N578" s="5" t="s">
        <v>4</v>
      </c>
      <c r="O578" s="97">
        <f ca="1">_xll.meDateFromTenor(O577,"1D","FOLLOWING","TGT")</f>
        <v>43322</v>
      </c>
      <c r="P578" s="95">
        <f ca="1"/>
        <v>1.2050741306303637E-3</v>
      </c>
      <c r="Q578" s="5" t="s">
        <v>4</v>
      </c>
      <c r="R578" s="83" t="s">
        <v>4</v>
      </c>
    </row>
    <row r="579" spans="1:18" x14ac:dyDescent="0.25">
      <c r="A579" s="88">
        <v>565</v>
      </c>
      <c r="B579" s="82"/>
      <c r="C579" s="97">
        <f ca="1">_xll.meDateFromTenor(C578,"1D","FOLLOWING","TGT")</f>
        <v>43325</v>
      </c>
      <c r="D579" s="95">
        <f ca="1"/>
        <v>-3.8501429734416615E-3</v>
      </c>
      <c r="E579" s="92"/>
      <c r="F579" s="97">
        <f ca="1">_xll.meDateFromTenor(F578,"1D","FOLLOWING","TGT")</f>
        <v>43325</v>
      </c>
      <c r="G579" s="95">
        <f ca="1"/>
        <v>-3.4083873745374567E-3</v>
      </c>
      <c r="H579" s="92" t="s">
        <v>4</v>
      </c>
      <c r="I579" s="97">
        <f ca="1">_xll.meDateFromTenor(I578,"1D","FOLLOWING","TGT")</f>
        <v>43325</v>
      </c>
      <c r="J579" s="95">
        <f ca="1"/>
        <v>-2.4922316429213127E-3</v>
      </c>
      <c r="K579" s="5" t="s">
        <v>4</v>
      </c>
      <c r="L579" s="97">
        <f ca="1">_xll.meDateFromTenor(L578,"1D","FOLLOWING","TGT")</f>
        <v>43325</v>
      </c>
      <c r="M579" s="95">
        <f ca="1"/>
        <v>-8.1588025570910846E-4</v>
      </c>
      <c r="N579" s="5" t="s">
        <v>4</v>
      </c>
      <c r="O579" s="97">
        <f ca="1">_xll.meDateFromTenor(O578,"1D","FOLLOWING","TGT")</f>
        <v>43325</v>
      </c>
      <c r="P579" s="95">
        <f ca="1"/>
        <v>1.2194996754720264E-3</v>
      </c>
      <c r="Q579" s="5" t="s">
        <v>4</v>
      </c>
      <c r="R579" s="83" t="s">
        <v>4</v>
      </c>
    </row>
    <row r="580" spans="1:18" x14ac:dyDescent="0.25">
      <c r="A580" s="88">
        <v>566</v>
      </c>
      <c r="B580" s="82"/>
      <c r="C580" s="97">
        <f ca="1">_xll.meDateFromTenor(C579,"1D","FOLLOWING","TGT")</f>
        <v>43326</v>
      </c>
      <c r="D580" s="95">
        <f ca="1"/>
        <v>-3.8471159864815752E-3</v>
      </c>
      <c r="E580" s="92"/>
      <c r="F580" s="97">
        <f ca="1">_xll.meDateFromTenor(F579,"1D","FOLLOWING","TGT")</f>
        <v>43326</v>
      </c>
      <c r="G580" s="95">
        <f ca="1"/>
        <v>-3.4052151753503437E-3</v>
      </c>
      <c r="H580" s="92" t="s">
        <v>4</v>
      </c>
      <c r="I580" s="97">
        <f ca="1">_xll.meDateFromTenor(I579,"1D","FOLLOWING","TGT")</f>
        <v>43326</v>
      </c>
      <c r="J580" s="95">
        <f ca="1"/>
        <v>-2.4815510817802065E-3</v>
      </c>
      <c r="K580" s="5" t="s">
        <v>4</v>
      </c>
      <c r="L580" s="97">
        <f ca="1">_xll.meDateFromTenor(L579,"1D","FOLLOWING","TGT")</f>
        <v>43326</v>
      </c>
      <c r="M580" s="95">
        <f ca="1"/>
        <v>-8.1125491965349146E-4</v>
      </c>
      <c r="N580" s="5" t="s">
        <v>4</v>
      </c>
      <c r="O580" s="97">
        <f ca="1">_xll.meDateFromTenor(O579,"1D","FOLLOWING","TGT")</f>
        <v>43326</v>
      </c>
      <c r="P580" s="95">
        <f ca="1"/>
        <v>1.2243182522174434E-3</v>
      </c>
      <c r="Q580" s="5" t="s">
        <v>4</v>
      </c>
      <c r="R580" s="83" t="s">
        <v>4</v>
      </c>
    </row>
    <row r="581" spans="1:18" x14ac:dyDescent="0.25">
      <c r="A581" s="88">
        <v>567</v>
      </c>
      <c r="B581" s="82"/>
      <c r="C581" s="97">
        <f ca="1">_xll.meDateFromTenor(C580,"1D","FOLLOWING","TGT")</f>
        <v>43327</v>
      </c>
      <c r="D581" s="95">
        <f ca="1"/>
        <v>-3.8440873088497751E-3</v>
      </c>
      <c r="E581" s="92"/>
      <c r="F581" s="97">
        <f ca="1">_xll.meDateFromTenor(F580,"1D","FOLLOWING","TGT")</f>
        <v>43327</v>
      </c>
      <c r="G581" s="95">
        <f ca="1"/>
        <v>-3.4020402661313733E-3</v>
      </c>
      <c r="H581" s="92" t="s">
        <v>4</v>
      </c>
      <c r="I581" s="97">
        <f ca="1">_xll.meDateFromTenor(I580,"1D","FOLLOWING","TGT")</f>
        <v>43327</v>
      </c>
      <c r="J581" s="95">
        <f ca="1"/>
        <v>-2.4708986936671372E-3</v>
      </c>
      <c r="K581" s="5" t="s">
        <v>4</v>
      </c>
      <c r="L581" s="97">
        <f ca="1">_xll.meDateFromTenor(L580,"1D","FOLLOWING","TGT")</f>
        <v>43327</v>
      </c>
      <c r="M581" s="95">
        <f ca="1"/>
        <v>-8.0662280211255509E-4</v>
      </c>
      <c r="N581" s="5" t="s">
        <v>4</v>
      </c>
      <c r="O581" s="97">
        <f ca="1">_xll.meDateFromTenor(O580,"1D","FOLLOWING","TGT")</f>
        <v>43327</v>
      </c>
      <c r="P581" s="95">
        <f ca="1"/>
        <v>1.2291418291238254E-3</v>
      </c>
      <c r="Q581" s="5" t="s">
        <v>4</v>
      </c>
      <c r="R581" s="83" t="s">
        <v>4</v>
      </c>
    </row>
    <row r="582" spans="1:18" x14ac:dyDescent="0.25">
      <c r="A582" s="88">
        <v>568</v>
      </c>
      <c r="B582" s="82"/>
      <c r="C582" s="97">
        <f ca="1">_xll.meDateFromTenor(C581,"1D","FOLLOWING","TGT")</f>
        <v>43328</v>
      </c>
      <c r="D582" s="95">
        <f ca="1"/>
        <v>-3.8410569400534333E-3</v>
      </c>
      <c r="E582" s="92"/>
      <c r="F582" s="97">
        <f ca="1">_xll.meDateFromTenor(F581,"1D","FOLLOWING","TGT")</f>
        <v>43328</v>
      </c>
      <c r="G582" s="95">
        <f ca="1"/>
        <v>-3.3988616419922632E-3</v>
      </c>
      <c r="H582" s="92" t="s">
        <v>4</v>
      </c>
      <c r="I582" s="97">
        <f ca="1">_xll.meDateFromTenor(I581,"1D","FOLLOWING","TGT")</f>
        <v>43328</v>
      </c>
      <c r="J582" s="95">
        <f ca="1"/>
        <v>-2.4602756823712425E-3</v>
      </c>
      <c r="K582" s="5" t="s">
        <v>4</v>
      </c>
      <c r="L582" s="97">
        <f ca="1">_xll.meDateFromTenor(L581,"1D","FOLLOWING","TGT")</f>
        <v>43328</v>
      </c>
      <c r="M582" s="95">
        <f ca="1"/>
        <v>-8.0198395790236651E-4</v>
      </c>
      <c r="N582" s="5" t="s">
        <v>4</v>
      </c>
      <c r="O582" s="97">
        <f ca="1">_xll.meDateFromTenor(O581,"1D","FOLLOWING","TGT")</f>
        <v>43328</v>
      </c>
      <c r="P582" s="95">
        <f ca="1"/>
        <v>1.2339703877482934E-3</v>
      </c>
      <c r="Q582" s="5" t="s">
        <v>4</v>
      </c>
      <c r="R582" s="83" t="s">
        <v>4</v>
      </c>
    </row>
    <row r="583" spans="1:18" x14ac:dyDescent="0.25">
      <c r="A583" s="88">
        <v>569</v>
      </c>
      <c r="B583" s="82"/>
      <c r="C583" s="97">
        <f ca="1">_xll.meDateFromTenor(C582,"1D","FOLLOWING","TGT")</f>
        <v>43329</v>
      </c>
      <c r="D583" s="95">
        <f ca="1"/>
        <v>-3.8380248803955297E-3</v>
      </c>
      <c r="E583" s="92"/>
      <c r="F583" s="97">
        <f ca="1">_xll.meDateFromTenor(F582,"1D","FOLLOWING","TGT")</f>
        <v>43329</v>
      </c>
      <c r="G583" s="95">
        <f ca="1"/>
        <v>-3.3956782980447296E-3</v>
      </c>
      <c r="H583" s="92" t="s">
        <v>4</v>
      </c>
      <c r="I583" s="97">
        <f ca="1">_xll.meDateFromTenor(I582,"1D","FOLLOWING","TGT")</f>
        <v>43329</v>
      </c>
      <c r="J583" s="95">
        <f ca="1"/>
        <v>-2.4496832516816593E-3</v>
      </c>
      <c r="K583" s="5" t="s">
        <v>4</v>
      </c>
      <c r="L583" s="97">
        <f ca="1">_xll.meDateFromTenor(L582,"1D","FOLLOWING","TGT")</f>
        <v>43329</v>
      </c>
      <c r="M583" s="95">
        <f ca="1"/>
        <v>-7.9733844183899343E-4</v>
      </c>
      <c r="N583" s="5" t="s">
        <v>4</v>
      </c>
      <c r="O583" s="97">
        <f ca="1">_xll.meDateFromTenor(O582,"1D","FOLLOWING","TGT")</f>
        <v>43329</v>
      </c>
      <c r="P583" s="95">
        <f ca="1"/>
        <v>1.2388039096479675E-3</v>
      </c>
      <c r="Q583" s="5" t="s">
        <v>4</v>
      </c>
      <c r="R583" s="83" t="s">
        <v>4</v>
      </c>
    </row>
    <row r="584" spans="1:18" x14ac:dyDescent="0.25">
      <c r="A584" s="88">
        <v>570</v>
      </c>
      <c r="B584" s="82"/>
      <c r="C584" s="97">
        <f ca="1">_xll.meDateFromTenor(C583,"1D","FOLLOWING","TGT")</f>
        <v>43332</v>
      </c>
      <c r="D584" s="95">
        <f ca="1"/>
        <v>-3.8289185550245408E-3</v>
      </c>
      <c r="E584" s="92"/>
      <c r="F584" s="97">
        <f ca="1">_xll.meDateFromTenor(F583,"1D","FOLLOWING","TGT")</f>
        <v>43332</v>
      </c>
      <c r="G584" s="95">
        <f ca="1"/>
        <v>-3.3860898984687548E-3</v>
      </c>
      <c r="H584" s="92" t="s">
        <v>4</v>
      </c>
      <c r="I584" s="97">
        <f ca="1">_xll.meDateFromTenor(I583,"1D","FOLLOWING","TGT")</f>
        <v>43332</v>
      </c>
      <c r="J584" s="95">
        <f ca="1"/>
        <v>-2.4181014811421528E-3</v>
      </c>
      <c r="K584" s="5" t="s">
        <v>4</v>
      </c>
      <c r="L584" s="97">
        <f ca="1">_xll.meDateFromTenor(L583,"1D","FOLLOWING","TGT")</f>
        <v>43332</v>
      </c>
      <c r="M584" s="95">
        <f ca="1"/>
        <v>-7.8336241069044184E-4</v>
      </c>
      <c r="N584" s="5" t="s">
        <v>4</v>
      </c>
      <c r="O584" s="97">
        <f ca="1">_xll.meDateFromTenor(O583,"1D","FOLLOWING","TGT")</f>
        <v>43332</v>
      </c>
      <c r="P584" s="95">
        <f ca="1"/>
        <v>1.2533340705694334E-3</v>
      </c>
      <c r="Q584" s="5" t="s">
        <v>4</v>
      </c>
      <c r="R584" s="83" t="s">
        <v>4</v>
      </c>
    </row>
    <row r="585" spans="1:18" x14ac:dyDescent="0.25">
      <c r="A585" s="88">
        <v>571</v>
      </c>
      <c r="B585" s="82"/>
      <c r="C585" s="97">
        <f ca="1">_xll.meDateFromTenor(C584,"1D","FOLLOWING","TGT")</f>
        <v>43333</v>
      </c>
      <c r="D585" s="95">
        <f ca="1"/>
        <v>-3.8258797310107839E-3</v>
      </c>
      <c r="E585" s="92"/>
      <c r="F585" s="97">
        <f ca="1">_xll.meDateFromTenor(F584,"1D","FOLLOWING","TGT")</f>
        <v>43333</v>
      </c>
      <c r="G585" s="95">
        <f ca="1"/>
        <v>-3.3828776264046936E-3</v>
      </c>
      <c r="H585" s="92" t="s">
        <v>4</v>
      </c>
      <c r="I585" s="97">
        <f ca="1">_xll.meDateFromTenor(I584,"1D","FOLLOWING","TGT")</f>
        <v>43333</v>
      </c>
      <c r="J585" s="95">
        <f ca="1"/>
        <v>-2.4076434107691883E-3</v>
      </c>
      <c r="K585" s="5" t="s">
        <v>4</v>
      </c>
      <c r="L585" s="97">
        <f ca="1">_xll.meDateFromTenor(L584,"1D","FOLLOWING","TGT")</f>
        <v>43333</v>
      </c>
      <c r="M585" s="95">
        <f ca="1"/>
        <v>-7.7869075537500567E-4</v>
      </c>
      <c r="N585" s="5" t="s">
        <v>4</v>
      </c>
      <c r="O585" s="97">
        <f ca="1">_xll.meDateFromTenor(O584,"1D","FOLLOWING","TGT")</f>
        <v>43333</v>
      </c>
      <c r="P585" s="95">
        <f ca="1"/>
        <v>1.2581872611411378E-3</v>
      </c>
      <c r="Q585" s="5" t="s">
        <v>4</v>
      </c>
      <c r="R585" s="83" t="s">
        <v>4</v>
      </c>
    </row>
    <row r="586" spans="1:18" x14ac:dyDescent="0.25">
      <c r="A586" s="88">
        <v>572</v>
      </c>
      <c r="B586" s="82"/>
      <c r="C586" s="97">
        <f ca="1">_xll.meDateFromTenor(C585,"1D","FOLLOWING","TGT")</f>
        <v>43334</v>
      </c>
      <c r="D586" s="95">
        <f ca="1"/>
        <v>-3.8228392160188918E-3</v>
      </c>
      <c r="E586" s="92"/>
      <c r="F586" s="97">
        <f ca="1">_xll.meDateFromTenor(F585,"1D","FOLLOWING","TGT")</f>
        <v>43334</v>
      </c>
      <c r="G586" s="95">
        <f ca="1"/>
        <v>-3.3796556100907909E-3</v>
      </c>
      <c r="H586" s="92" t="s">
        <v>4</v>
      </c>
      <c r="I586" s="97">
        <f ca="1">_xll.meDateFromTenor(I585,"1D","FOLLOWING","TGT")</f>
        <v>43334</v>
      </c>
      <c r="J586" s="95">
        <f ca="1"/>
        <v>-2.3972219399482192E-3</v>
      </c>
      <c r="K586" s="5" t="s">
        <v>4</v>
      </c>
      <c r="L586" s="97">
        <f ca="1">_xll.meDateFromTenor(L585,"1D","FOLLOWING","TGT")</f>
        <v>43334</v>
      </c>
      <c r="M586" s="95">
        <f ca="1"/>
        <v>-7.7401270228672132E-4</v>
      </c>
      <c r="N586" s="5" t="s">
        <v>4</v>
      </c>
      <c r="O586" s="97">
        <f ca="1">_xll.meDateFromTenor(O585,"1D","FOLLOWING","TGT")</f>
        <v>43334</v>
      </c>
      <c r="P586" s="95">
        <f ca="1"/>
        <v>1.2630453227736517E-3</v>
      </c>
      <c r="Q586" s="5" t="s">
        <v>4</v>
      </c>
      <c r="R586" s="83" t="s">
        <v>4</v>
      </c>
    </row>
    <row r="587" spans="1:18" x14ac:dyDescent="0.25">
      <c r="A587" s="88">
        <v>573</v>
      </c>
      <c r="B587" s="82"/>
      <c r="C587" s="97">
        <f ca="1">_xll.meDateFromTenor(C586,"1D","FOLLOWING","TGT")</f>
        <v>43335</v>
      </c>
      <c r="D587" s="95">
        <f ca="1"/>
        <v>-3.8197970099140832E-3</v>
      </c>
      <c r="E587" s="92"/>
      <c r="F587" s="97">
        <f ca="1">_xll.meDateFromTenor(F586,"1D","FOLLOWING","TGT")</f>
        <v>43335</v>
      </c>
      <c r="G587" s="95">
        <f ca="1"/>
        <v>-3.3764228446387643E-3</v>
      </c>
      <c r="H587" s="92" t="s">
        <v>4</v>
      </c>
      <c r="I587" s="97">
        <f ca="1">_xll.meDateFromTenor(I586,"1D","FOLLOWING","TGT")</f>
        <v>43335</v>
      </c>
      <c r="J587" s="95">
        <f ca="1"/>
        <v>-2.3868382724683839E-3</v>
      </c>
      <c r="K587" s="5" t="s">
        <v>4</v>
      </c>
      <c r="L587" s="97">
        <f ca="1">_xll.meDateFromTenor(L586,"1D","FOLLOWING","TGT")</f>
        <v>43335</v>
      </c>
      <c r="M587" s="95">
        <f ca="1"/>
        <v>-7.6932830624165715E-4</v>
      </c>
      <c r="N587" s="5" t="s">
        <v>4</v>
      </c>
      <c r="O587" s="97">
        <f ca="1">_xll.meDateFromTenor(O586,"1D","FOLLOWING","TGT")</f>
        <v>43335</v>
      </c>
      <c r="P587" s="95">
        <f ca="1"/>
        <v>1.2679082370240955E-3</v>
      </c>
      <c r="Q587" s="5" t="s">
        <v>4</v>
      </c>
      <c r="R587" s="83" t="s">
        <v>4</v>
      </c>
    </row>
    <row r="588" spans="1:18" x14ac:dyDescent="0.25">
      <c r="A588" s="88">
        <v>574</v>
      </c>
      <c r="B588" s="82"/>
      <c r="C588" s="97">
        <f ca="1">_xll.meDateFromTenor(C587,"1D","FOLLOWING","TGT")</f>
        <v>43336</v>
      </c>
      <c r="D588" s="95">
        <f ca="1"/>
        <v>-3.8167531127207832E-3</v>
      </c>
      <c r="E588" s="92"/>
      <c r="F588" s="97">
        <f ca="1">_xll.meDateFromTenor(F587,"1D","FOLLOWING","TGT")</f>
        <v>43336</v>
      </c>
      <c r="G588" s="95">
        <f ca="1"/>
        <v>-3.3731783251603293E-3</v>
      </c>
      <c r="H588" s="92" t="s">
        <v>4</v>
      </c>
      <c r="I588" s="97">
        <f ca="1">_xll.meDateFromTenor(I587,"1D","FOLLOWING","TGT")</f>
        <v>43336</v>
      </c>
      <c r="J588" s="95">
        <f ca="1"/>
        <v>-2.3764936121188204E-3</v>
      </c>
      <c r="K588" s="5" t="s">
        <v>4</v>
      </c>
      <c r="L588" s="97">
        <f ca="1">_xll.meDateFromTenor(L587,"1D","FOLLOWING","TGT")</f>
        <v>43336</v>
      </c>
      <c r="M588" s="95">
        <f ca="1"/>
        <v>-7.6463762205588063E-4</v>
      </c>
      <c r="N588" s="5" t="s">
        <v>4</v>
      </c>
      <c r="O588" s="97">
        <f ca="1">_xll.meDateFromTenor(O587,"1D","FOLLOWING","TGT")</f>
        <v>43336</v>
      </c>
      <c r="P588" s="95">
        <f ca="1"/>
        <v>1.2727759854495894E-3</v>
      </c>
      <c r="Q588" s="5" t="s">
        <v>4</v>
      </c>
      <c r="R588" s="83" t="s">
        <v>4</v>
      </c>
    </row>
    <row r="589" spans="1:18" x14ac:dyDescent="0.25">
      <c r="A589" s="88">
        <v>575</v>
      </c>
      <c r="B589" s="82"/>
      <c r="C589" s="97">
        <f ca="1">_xll.meDateFromTenor(C588,"1D","FOLLOWING","TGT")</f>
        <v>43339</v>
      </c>
      <c r="D589" s="95">
        <f ca="1"/>
        <v>-3.8076112738983925E-3</v>
      </c>
      <c r="E589" s="92"/>
      <c r="F589" s="97">
        <f ca="1">_xll.meDateFromTenor(F588,"1D","FOLLOWING","TGT")</f>
        <v>43339</v>
      </c>
      <c r="G589" s="95">
        <f ca="1"/>
        <v>-3.3633641936837442E-3</v>
      </c>
      <c r="H589" s="92" t="s">
        <v>4</v>
      </c>
      <c r="I589" s="97">
        <f ca="1">_xll.meDateFromTenor(I588,"1D","FOLLOWING","TGT")</f>
        <v>43339</v>
      </c>
      <c r="J589" s="95">
        <f ca="1"/>
        <v>-2.345705711743125E-3</v>
      </c>
      <c r="K589" s="5" t="s">
        <v>4</v>
      </c>
      <c r="L589" s="97">
        <f ca="1">_xll.meDateFromTenor(L588,"1D","FOLLOWING","TGT")</f>
        <v>43339</v>
      </c>
      <c r="M589" s="95">
        <f ca="1"/>
        <v>-7.5052838881495092E-4</v>
      </c>
      <c r="N589" s="5" t="s">
        <v>4</v>
      </c>
      <c r="O589" s="97">
        <f ca="1">_xll.meDateFromTenor(O588,"1D","FOLLOWING","TGT")</f>
        <v>43339</v>
      </c>
      <c r="P589" s="95">
        <f ca="1"/>
        <v>1.2874080513475771E-3</v>
      </c>
      <c r="Q589" s="5" t="s">
        <v>4</v>
      </c>
      <c r="R589" s="83" t="s">
        <v>4</v>
      </c>
    </row>
    <row r="590" spans="1:18" x14ac:dyDescent="0.25">
      <c r="A590" s="88">
        <v>576</v>
      </c>
      <c r="B590" s="82"/>
      <c r="C590" s="97">
        <f ca="1">_xll.meDateFromTenor(C589,"1D","FOLLOWING","TGT")</f>
        <v>43340</v>
      </c>
      <c r="D590" s="95">
        <f ca="1"/>
        <v>-3.8045606119978537E-3</v>
      </c>
      <c r="E590" s="92"/>
      <c r="F590" s="97">
        <f ca="1">_xll.meDateFromTenor(F589,"1D","FOLLOWING","TGT")</f>
        <v>43340</v>
      </c>
      <c r="G590" s="95">
        <f ca="1"/>
        <v>-3.3600626092168445E-3</v>
      </c>
      <c r="H590" s="92" t="s">
        <v>4</v>
      </c>
      <c r="I590" s="97">
        <f ca="1">_xll.meDateFromTenor(I589,"1D","FOLLOWING","TGT")</f>
        <v>43340</v>
      </c>
      <c r="J590" s="95">
        <f ca="1"/>
        <v>-2.3355291178060178E-3</v>
      </c>
      <c r="K590" s="5" t="s">
        <v>4</v>
      </c>
      <c r="L590" s="97">
        <f ca="1">_xll.meDateFromTenor(L589,"1D","FOLLOWING","TGT")</f>
        <v>43340</v>
      </c>
      <c r="M590" s="95">
        <f ca="1"/>
        <v>-7.4581310022699999E-4</v>
      </c>
      <c r="N590" s="5" t="s">
        <v>4</v>
      </c>
      <c r="O590" s="97">
        <f ca="1">_xll.meDateFromTenor(O589,"1D","FOLLOWING","TGT")</f>
        <v>43340</v>
      </c>
      <c r="P590" s="95">
        <f ca="1"/>
        <v>1.2922949520444756E-3</v>
      </c>
      <c r="Q590" s="5" t="s">
        <v>4</v>
      </c>
      <c r="R590" s="83" t="s">
        <v>4</v>
      </c>
    </row>
    <row r="591" spans="1:18" x14ac:dyDescent="0.25">
      <c r="A591" s="88">
        <v>577</v>
      </c>
      <c r="B591" s="82"/>
      <c r="C591" s="97">
        <f ca="1">_xll.meDateFromTenor(C590,"1D","FOLLOWING","TGT")</f>
        <v>43341</v>
      </c>
      <c r="D591" s="95">
        <f ca="1"/>
        <v>-3.8015082587725679E-3</v>
      </c>
      <c r="E591" s="92"/>
      <c r="F591" s="97">
        <f ca="1">_xll.meDateFromTenor(F590,"1D","FOLLOWING","TGT")</f>
        <v>43341</v>
      </c>
      <c r="G591" s="95">
        <f ca="1"/>
        <v>-3.3567442462821193E-3</v>
      </c>
      <c r="H591" s="92" t="s">
        <v>4</v>
      </c>
      <c r="I591" s="97">
        <f ca="1">_xll.meDateFromTenor(I590,"1D","FOLLOWING","TGT")</f>
        <v>43341</v>
      </c>
      <c r="J591" s="95">
        <f ca="1"/>
        <v>-2.3253975499448647E-3</v>
      </c>
      <c r="K591" s="5" t="s">
        <v>4</v>
      </c>
      <c r="L591" s="97">
        <f ca="1">_xll.meDateFromTenor(L590,"1D","FOLLOWING","TGT")</f>
        <v>43341</v>
      </c>
      <c r="M591" s="95">
        <f ca="1"/>
        <v>-7.4109179757867317E-4</v>
      </c>
      <c r="N591" s="5" t="s">
        <v>4</v>
      </c>
      <c r="O591" s="97">
        <f ca="1">_xll.meDateFromTenor(O590,"1D","FOLLOWING","TGT")</f>
        <v>43341</v>
      </c>
      <c r="P591" s="95">
        <f ca="1"/>
        <v>1.2971865947020282E-3</v>
      </c>
      <c r="Q591" s="5" t="s">
        <v>4</v>
      </c>
      <c r="R591" s="83" t="s">
        <v>4</v>
      </c>
    </row>
    <row r="592" spans="1:18" x14ac:dyDescent="0.25">
      <c r="A592" s="88">
        <v>578</v>
      </c>
      <c r="B592" s="82"/>
      <c r="C592" s="97">
        <f ca="1">_xll.meDateFromTenor(C591,"1D","FOLLOWING","TGT")</f>
        <v>43342</v>
      </c>
      <c r="D592" s="95">
        <f ca="1"/>
        <v>-3.7984542143661981E-3</v>
      </c>
      <c r="E592" s="92"/>
      <c r="F592" s="97">
        <f ca="1">_xll.meDateFromTenor(F591,"1D","FOLLOWING","TGT")</f>
        <v>43342</v>
      </c>
      <c r="G592" s="95">
        <f ca="1"/>
        <v>-3.3534080999912852E-3</v>
      </c>
      <c r="H592" s="92" t="s">
        <v>4</v>
      </c>
      <c r="I592" s="97">
        <f ca="1">_xll.meDateFromTenor(I591,"1D","FOLLOWING","TGT")</f>
        <v>43342</v>
      </c>
      <c r="J592" s="95">
        <f ca="1"/>
        <v>-2.3153122119488065E-3</v>
      </c>
      <c r="K592" s="5" t="s">
        <v>4</v>
      </c>
      <c r="L592" s="97">
        <f ca="1">_xll.meDateFromTenor(L591,"1D","FOLLOWING","TGT")</f>
        <v>43342</v>
      </c>
      <c r="M592" s="95">
        <f ca="1"/>
        <v>-7.3636453568603935E-4</v>
      </c>
      <c r="N592" s="5" t="s">
        <v>4</v>
      </c>
      <c r="O592" s="97">
        <f ca="1">_xll.meDateFromTenor(O591,"1D","FOLLOWING","TGT")</f>
        <v>43342</v>
      </c>
      <c r="P592" s="95">
        <f ca="1"/>
        <v>1.3020829608773529E-3</v>
      </c>
      <c r="Q592" s="5" t="s">
        <v>4</v>
      </c>
      <c r="R592" s="83" t="s">
        <v>4</v>
      </c>
    </row>
    <row r="593" spans="1:18" x14ac:dyDescent="0.25">
      <c r="A593" s="88">
        <v>579</v>
      </c>
      <c r="B593" s="82"/>
      <c r="C593" s="97">
        <f ca="1">_xll.meDateFromTenor(C592,"1D","FOLLOWING","TGT")</f>
        <v>43343</v>
      </c>
      <c r="D593" s="95">
        <f ca="1"/>
        <v>-3.7953984786835981E-3</v>
      </c>
      <c r="E593" s="92"/>
      <c r="F593" s="97">
        <f ca="1">_xll.meDateFromTenor(F592,"1D","FOLLOWING","TGT")</f>
        <v>43343</v>
      </c>
      <c r="G593" s="95">
        <f ca="1"/>
        <v>-3.350053165456059E-3</v>
      </c>
      <c r="H593" s="92" t="s">
        <v>4</v>
      </c>
      <c r="I593" s="97">
        <f ca="1">_xll.meDateFromTenor(I592,"1D","FOLLOWING","TGT")</f>
        <v>43343</v>
      </c>
      <c r="J593" s="95">
        <f ca="1"/>
        <v>-2.3052743076069776E-3</v>
      </c>
      <c r="K593" s="5" t="s">
        <v>4</v>
      </c>
      <c r="L593" s="97">
        <f ca="1">_xll.meDateFromTenor(L592,"1D","FOLLOWING","TGT")</f>
        <v>43343</v>
      </c>
      <c r="M593" s="95">
        <f ca="1"/>
        <v>-7.316313693651647E-4</v>
      </c>
      <c r="N593" s="5" t="s">
        <v>4</v>
      </c>
      <c r="O593" s="97">
        <f ca="1">_xll.meDateFromTenor(O592,"1D","FOLLOWING","TGT")</f>
        <v>43343</v>
      </c>
      <c r="P593" s="95">
        <f ca="1"/>
        <v>1.3069840321275725E-3</v>
      </c>
      <c r="Q593" s="5" t="s">
        <v>4</v>
      </c>
      <c r="R593" s="83" t="s">
        <v>4</v>
      </c>
    </row>
    <row r="594" spans="1:18" x14ac:dyDescent="0.25">
      <c r="A594" s="88">
        <v>580</v>
      </c>
      <c r="B594" s="82"/>
      <c r="C594" s="97">
        <f ca="1">_xll.meDateFromTenor(C593,"1D","FOLLOWING","TGT")</f>
        <v>43346</v>
      </c>
      <c r="D594" s="95">
        <f ca="1"/>
        <v>-3.7862211842669691E-3</v>
      </c>
      <c r="E594" s="92"/>
      <c r="F594" s="97">
        <f ca="1">_xll.meDateFromTenor(F593,"1D","FOLLOWING","TGT")</f>
        <v>43346</v>
      </c>
      <c r="G594" s="95">
        <f ca="1"/>
        <v>-3.3398655835011918E-3</v>
      </c>
      <c r="H594" s="92" t="s">
        <v>4</v>
      </c>
      <c r="I594" s="97">
        <f ca="1">_xll.meDateFromTenor(I593,"1D","FOLLOWING","TGT")</f>
        <v>43346</v>
      </c>
      <c r="J594" s="95">
        <f ca="1"/>
        <v>-2.2754572343982441E-3</v>
      </c>
      <c r="K594" s="5" t="s">
        <v>4</v>
      </c>
      <c r="L594" s="97">
        <f ca="1">_xll.meDateFromTenor(L593,"1D","FOLLOWING","TGT")</f>
        <v>43346</v>
      </c>
      <c r="M594" s="95">
        <f ca="1"/>
        <v>-7.1739699199377339E-4</v>
      </c>
      <c r="N594" s="5" t="s">
        <v>4</v>
      </c>
      <c r="O594" s="97">
        <f ca="1">_xll.meDateFromTenor(O593,"1D","FOLLOWING","TGT")</f>
        <v>43346</v>
      </c>
      <c r="P594" s="95">
        <f ca="1"/>
        <v>1.3217152918987988E-3</v>
      </c>
      <c r="Q594" s="5" t="s">
        <v>4</v>
      </c>
      <c r="R594" s="83" t="s">
        <v>4</v>
      </c>
    </row>
    <row r="595" spans="1:18" x14ac:dyDescent="0.25">
      <c r="A595" s="88">
        <v>581</v>
      </c>
      <c r="B595" s="82"/>
      <c r="C595" s="97">
        <f ca="1">_xll.meDateFromTenor(C594,"1D","FOLLOWING","TGT")</f>
        <v>43347</v>
      </c>
      <c r="D595" s="95">
        <f ca="1"/>
        <v>-3.7831590465383647E-3</v>
      </c>
      <c r="E595" s="92"/>
      <c r="F595" s="97">
        <f ca="1">_xll.meDateFromTenor(F594,"1D","FOLLOWING","TGT")</f>
        <v>43347</v>
      </c>
      <c r="G595" s="95">
        <f ca="1"/>
        <v>-3.3364257780320694E-3</v>
      </c>
      <c r="H595" s="92" t="s">
        <v>4</v>
      </c>
      <c r="I595" s="97">
        <f ca="1">_xll.meDateFromTenor(I594,"1D","FOLLOWING","TGT")</f>
        <v>43347</v>
      </c>
      <c r="J595" s="95">
        <f ca="1"/>
        <v>-2.2656208507911588E-3</v>
      </c>
      <c r="K595" s="5" t="s">
        <v>4</v>
      </c>
      <c r="L595" s="97">
        <f ca="1">_xll.meDateFromTenor(L594,"1D","FOLLOWING","TGT")</f>
        <v>43347</v>
      </c>
      <c r="M595" s="95">
        <f ca="1"/>
        <v>-7.1264075612061204E-4</v>
      </c>
      <c r="N595" s="5" t="s">
        <v>4</v>
      </c>
      <c r="O595" s="97">
        <f ca="1">_xll.meDateFromTenor(O594,"1D","FOLLOWING","TGT")</f>
        <v>43347</v>
      </c>
      <c r="P595" s="95">
        <f ca="1"/>
        <v>1.3266349990197989E-3</v>
      </c>
      <c r="Q595" s="5" t="s">
        <v>4</v>
      </c>
      <c r="R595" s="83" t="s">
        <v>4</v>
      </c>
    </row>
    <row r="596" spans="1:18" x14ac:dyDescent="0.25">
      <c r="A596" s="88">
        <v>582</v>
      </c>
      <c r="B596" s="82"/>
      <c r="C596" s="97">
        <f ca="1">_xll.meDateFromTenor(C595,"1D","FOLLOWING","TGT")</f>
        <v>43348</v>
      </c>
      <c r="D596" s="95">
        <f ca="1"/>
        <v>-3.7800955807918424E-3</v>
      </c>
      <c r="E596" s="92"/>
      <c r="F596" s="97">
        <f ca="1">_xll.meDateFromTenor(F595,"1D","FOLLOWING","TGT")</f>
        <v>43348</v>
      </c>
      <c r="G596" s="95">
        <f ca="1"/>
        <v>-3.3329641454361821E-3</v>
      </c>
      <c r="H596" s="92" t="s">
        <v>4</v>
      </c>
      <c r="I596" s="97">
        <f ca="1">_xll.meDateFromTenor(I595,"1D","FOLLOWING","TGT")</f>
        <v>43348</v>
      </c>
      <c r="J596" s="95">
        <f ca="1"/>
        <v>-2.2558364091426995E-3</v>
      </c>
      <c r="K596" s="5" t="s">
        <v>4</v>
      </c>
      <c r="L596" s="97">
        <f ca="1">_xll.meDateFromTenor(L595,"1D","FOLLOWING","TGT")</f>
        <v>43348</v>
      </c>
      <c r="M596" s="95">
        <f ca="1"/>
        <v>-7.0787888989954782E-4</v>
      </c>
      <c r="N596" s="5" t="s">
        <v>4</v>
      </c>
      <c r="O596" s="97">
        <f ca="1">_xll.meDateFromTenor(O595,"1D","FOLLOWING","TGT")</f>
        <v>43348</v>
      </c>
      <c r="P596" s="95">
        <f ca="1"/>
        <v>1.3315593190012954E-3</v>
      </c>
      <c r="Q596" s="5" t="s">
        <v>4</v>
      </c>
      <c r="R596" s="83" t="s">
        <v>4</v>
      </c>
    </row>
    <row r="597" spans="1:18" x14ac:dyDescent="0.25">
      <c r="A597" s="88">
        <v>583</v>
      </c>
      <c r="B597" s="82"/>
      <c r="C597" s="97">
        <f ca="1">_xll.meDateFromTenor(C596,"1D","FOLLOWING","TGT")</f>
        <v>43349</v>
      </c>
      <c r="D597" s="95">
        <f ca="1"/>
        <v>-3.7770307870153008E-3</v>
      </c>
      <c r="E597" s="92"/>
      <c r="F597" s="97">
        <f ca="1">_xll.meDateFromTenor(F596,"1D","FOLLOWING","TGT")</f>
        <v>43349</v>
      </c>
      <c r="G597" s="95">
        <f ca="1"/>
        <v>-3.3294816663842924E-3</v>
      </c>
      <c r="H597" s="92" t="s">
        <v>4</v>
      </c>
      <c r="I597" s="97">
        <f ca="1">_xll.meDateFromTenor(I596,"1D","FOLLOWING","TGT")</f>
        <v>43349</v>
      </c>
      <c r="J597" s="95">
        <f ca="1"/>
        <v>-2.2461036026007125E-3</v>
      </c>
      <c r="K597" s="5" t="s">
        <v>4</v>
      </c>
      <c r="L597" s="97">
        <f ca="1">_xll.meDateFromTenor(L596,"1D","FOLLOWING","TGT")</f>
        <v>43349</v>
      </c>
      <c r="M597" s="95">
        <f ca="1"/>
        <v>-7.0311144814664899E-4</v>
      </c>
      <c r="N597" s="5" t="s">
        <v>4</v>
      </c>
      <c r="O597" s="97">
        <f ca="1">_xll.meDateFromTenor(O596,"1D","FOLLOWING","TGT")</f>
        <v>43349</v>
      </c>
      <c r="P597" s="95">
        <f ca="1"/>
        <v>1.3364882334004078E-3</v>
      </c>
      <c r="Q597" s="5" t="s">
        <v>4</v>
      </c>
      <c r="R597" s="83" t="s">
        <v>4</v>
      </c>
    </row>
    <row r="598" spans="1:18" x14ac:dyDescent="0.25">
      <c r="A598" s="88">
        <v>584</v>
      </c>
      <c r="B598" s="82"/>
      <c r="C598" s="97">
        <f ca="1">_xll.meDateFromTenor(C597,"1D","FOLLOWING","TGT")</f>
        <v>43350</v>
      </c>
      <c r="D598" s="95">
        <f ca="1"/>
        <v>-3.7739646650770675E-3</v>
      </c>
      <c r="E598" s="92"/>
      <c r="F598" s="97">
        <f ca="1">_xll.meDateFromTenor(F597,"1D","FOLLOWING","TGT")</f>
        <v>43350</v>
      </c>
      <c r="G598" s="95">
        <f ca="1"/>
        <v>-3.3259793215471602E-3</v>
      </c>
      <c r="H598" s="92" t="s">
        <v>4</v>
      </c>
      <c r="I598" s="97">
        <f ca="1">_xll.meDateFromTenor(I597,"1D","FOLLOWING","TGT")</f>
        <v>43350</v>
      </c>
      <c r="J598" s="95">
        <f ca="1"/>
        <v>-2.236422124313043E-3</v>
      </c>
      <c r="K598" s="5" t="s">
        <v>4</v>
      </c>
      <c r="L598" s="97">
        <f ca="1">_xll.meDateFromTenor(L597,"1D","FOLLOWING","TGT")</f>
        <v>43350</v>
      </c>
      <c r="M598" s="95">
        <f ca="1"/>
        <v>-6.9833848567798108E-4</v>
      </c>
      <c r="N598" s="5" t="s">
        <v>4</v>
      </c>
      <c r="O598" s="97">
        <f ca="1">_xll.meDateFromTenor(O597,"1D","FOLLOWING","TGT")</f>
        <v>43350</v>
      </c>
      <c r="P598" s="95">
        <f ca="1"/>
        <v>1.3414217237742588E-3</v>
      </c>
      <c r="Q598" s="5" t="s">
        <v>4</v>
      </c>
      <c r="R598" s="83" t="s">
        <v>4</v>
      </c>
    </row>
    <row r="599" spans="1:18" x14ac:dyDescent="0.25">
      <c r="A599" s="88">
        <v>585</v>
      </c>
      <c r="B599" s="82"/>
      <c r="C599" s="97">
        <f ca="1">_xll.meDateFromTenor(C598,"1D","FOLLOWING","TGT")</f>
        <v>43353</v>
      </c>
      <c r="D599" s="95">
        <f ca="1"/>
        <v>-3.7647583302102827E-3</v>
      </c>
      <c r="E599" s="92"/>
      <c r="F599" s="97">
        <f ca="1">_xll.meDateFromTenor(F598,"1D","FOLLOWING","TGT")</f>
        <v>43353</v>
      </c>
      <c r="G599" s="95">
        <f ca="1"/>
        <v>-3.3153628990319254E-3</v>
      </c>
      <c r="H599" s="92" t="s">
        <v>4</v>
      </c>
      <c r="I599" s="97">
        <f ca="1">_xll.meDateFromTenor(I598,"1D","FOLLOWING","TGT")</f>
        <v>43353</v>
      </c>
      <c r="J599" s="95">
        <f ca="1"/>
        <v>-2.2076825904544079E-3</v>
      </c>
      <c r="K599" s="5" t="s">
        <v>4</v>
      </c>
      <c r="L599" s="97">
        <f ca="1">_xll.meDateFromTenor(L598,"1D","FOLLOWING","TGT")</f>
        <v>43353</v>
      </c>
      <c r="M599" s="95">
        <f ca="1"/>
        <v>-6.839870221380447E-4</v>
      </c>
      <c r="N599" s="5" t="s">
        <v>4</v>
      </c>
      <c r="O599" s="97">
        <f ca="1">_xll.meDateFromTenor(O598,"1D","FOLLOWING","TGT")</f>
        <v>43353</v>
      </c>
      <c r="P599" s="95">
        <f ca="1"/>
        <v>1.3562494663154415E-3</v>
      </c>
      <c r="Q599" s="5" t="s">
        <v>4</v>
      </c>
      <c r="R599" s="83" t="s">
        <v>4</v>
      </c>
    </row>
    <row r="600" spans="1:18" x14ac:dyDescent="0.25">
      <c r="A600" s="88">
        <v>586</v>
      </c>
      <c r="B600" s="82"/>
      <c r="C600" s="97">
        <f ca="1">_xll.meDateFromTenor(C599,"1D","FOLLOWING","TGT")</f>
        <v>43354</v>
      </c>
      <c r="D600" s="95">
        <f ca="1"/>
        <v>-3.7616868952655702E-3</v>
      </c>
      <c r="E600" s="92"/>
      <c r="F600" s="97">
        <f ca="1">_xll.meDateFromTenor(F599,"1D","FOLLOWING","TGT")</f>
        <v>43354</v>
      </c>
      <c r="G600" s="95">
        <f ca="1"/>
        <v>-3.3117908977614388E-3</v>
      </c>
      <c r="H600" s="92" t="s">
        <v>4</v>
      </c>
      <c r="I600" s="97">
        <f ca="1">_xll.meDateFromTenor(I599,"1D","FOLLOWING","TGT")</f>
        <v>43354</v>
      </c>
      <c r="J600" s="95">
        <f ca="1"/>
        <v>-2.1982033566624753E-3</v>
      </c>
      <c r="K600" s="5" t="s">
        <v>4</v>
      </c>
      <c r="L600" s="97">
        <f ca="1">_xll.meDateFromTenor(L599,"1D","FOLLOWING","TGT")</f>
        <v>43354</v>
      </c>
      <c r="M600" s="95">
        <f ca="1"/>
        <v>-6.7919252496697908E-4</v>
      </c>
      <c r="N600" s="5" t="s">
        <v>4</v>
      </c>
      <c r="O600" s="97">
        <f ca="1">_xll.meDateFromTenor(O599,"1D","FOLLOWING","TGT")</f>
        <v>43354</v>
      </c>
      <c r="P600" s="95">
        <f ca="1"/>
        <v>1.3612010761594477E-3</v>
      </c>
      <c r="Q600" s="5" t="s">
        <v>4</v>
      </c>
      <c r="R600" s="83" t="s">
        <v>4</v>
      </c>
    </row>
    <row r="601" spans="1:18" x14ac:dyDescent="0.25">
      <c r="A601" s="88">
        <v>587</v>
      </c>
      <c r="B601" s="82"/>
      <c r="C601" s="97">
        <f ca="1">_xll.meDateFromTenor(C600,"1D","FOLLOWING","TGT")</f>
        <v>43355</v>
      </c>
      <c r="D601" s="95">
        <f ca="1"/>
        <v>-3.7586141323764366E-3</v>
      </c>
      <c r="E601" s="92"/>
      <c r="F601" s="97">
        <f ca="1">_xll.meDateFromTenor(F600,"1D","FOLLOWING","TGT")</f>
        <v>43355</v>
      </c>
      <c r="G601" s="95">
        <f ca="1"/>
        <v>-3.3082039340595168E-3</v>
      </c>
      <c r="H601" s="92" t="s">
        <v>4</v>
      </c>
      <c r="I601" s="97">
        <f ca="1">_xll.meDateFromTenor(I600,"1D","FOLLOWING","TGT")</f>
        <v>43355</v>
      </c>
      <c r="J601" s="95">
        <f ca="1"/>
        <v>-2.1887739168640935E-3</v>
      </c>
      <c r="K601" s="5" t="s">
        <v>4</v>
      </c>
      <c r="L601" s="97">
        <f ca="1">_xll.meDateFromTenor(L600,"1D","FOLLOWING","TGT")</f>
        <v>43355</v>
      </c>
      <c r="M601" s="95">
        <f ca="1"/>
        <v>-6.7439278116048277E-4</v>
      </c>
      <c r="N601" s="5" t="s">
        <v>4</v>
      </c>
      <c r="O601" s="97">
        <f ca="1">_xll.meDateFromTenor(O600,"1D","FOLLOWING","TGT")</f>
        <v>43355</v>
      </c>
      <c r="P601" s="95">
        <f ca="1"/>
        <v>1.3661571697637944E-3</v>
      </c>
      <c r="Q601" s="5" t="s">
        <v>4</v>
      </c>
      <c r="R601" s="83" t="s">
        <v>4</v>
      </c>
    </row>
    <row r="602" spans="1:18" x14ac:dyDescent="0.25">
      <c r="A602" s="88">
        <v>588</v>
      </c>
      <c r="B602" s="82"/>
      <c r="C602" s="97">
        <f ca="1">_xll.meDateFromTenor(C601,"1D","FOLLOWING","TGT")</f>
        <v>43356</v>
      </c>
      <c r="D602" s="95">
        <f ca="1"/>
        <v>-3.7555400407348616E-3</v>
      </c>
      <c r="E602" s="92"/>
      <c r="F602" s="97">
        <f ca="1">_xll.meDateFromTenor(F601,"1D","FOLLOWING","TGT")</f>
        <v>43356</v>
      </c>
      <c r="G602" s="95">
        <f ca="1"/>
        <v>-3.3046029885969211E-3</v>
      </c>
      <c r="H602" s="92" t="s">
        <v>4</v>
      </c>
      <c r="I602" s="97">
        <f ca="1">_xll.meDateFromTenor(I601,"1D","FOLLOWING","TGT")</f>
        <v>43356</v>
      </c>
      <c r="J602" s="95">
        <f ca="1"/>
        <v>-2.1793939642071086E-3</v>
      </c>
      <c r="K602" s="5" t="s">
        <v>4</v>
      </c>
      <c r="L602" s="97">
        <f ca="1">_xll.meDateFromTenor(L601,"1D","FOLLOWING","TGT")</f>
        <v>43356</v>
      </c>
      <c r="M602" s="95">
        <f ca="1"/>
        <v>-6.6958784553462314E-4</v>
      </c>
      <c r="N602" s="5" t="s">
        <v>4</v>
      </c>
      <c r="O602" s="97">
        <f ca="1">_xll.meDateFromTenor(O601,"1D","FOLLOWING","TGT")</f>
        <v>43356</v>
      </c>
      <c r="P602" s="95">
        <f ca="1"/>
        <v>1.3711177286856017E-3</v>
      </c>
      <c r="Q602" s="5" t="s">
        <v>4</v>
      </c>
      <c r="R602" s="83" t="s">
        <v>4</v>
      </c>
    </row>
    <row r="603" spans="1:18" x14ac:dyDescent="0.25">
      <c r="A603" s="88">
        <v>589</v>
      </c>
      <c r="B603" s="82"/>
      <c r="C603" s="97">
        <f ca="1">_xll.meDateFromTenor(C602,"1D","FOLLOWING","TGT")</f>
        <v>43357</v>
      </c>
      <c r="D603" s="95">
        <f ca="1"/>
        <v>-3.7524646211649637E-3</v>
      </c>
      <c r="E603" s="92"/>
      <c r="F603" s="97">
        <f ca="1">_xll.meDateFromTenor(F602,"1D","FOLLOWING","TGT")</f>
        <v>43357</v>
      </c>
      <c r="G603" s="95">
        <f ca="1"/>
        <v>-3.3009890420444121E-3</v>
      </c>
      <c r="H603" s="92" t="s">
        <v>4</v>
      </c>
      <c r="I603" s="97">
        <f ca="1">_xll.meDateFromTenor(I602,"1D","FOLLOWING","TGT")</f>
        <v>43357</v>
      </c>
      <c r="J603" s="95">
        <f ca="1"/>
        <v>-2.1700631918393672E-3</v>
      </c>
      <c r="K603" s="5" t="s">
        <v>4</v>
      </c>
      <c r="L603" s="97">
        <f ca="1">_xll.meDateFromTenor(L602,"1D","FOLLOWING","TGT")</f>
        <v>43357</v>
      </c>
      <c r="M603" s="95">
        <f ca="1"/>
        <v>-6.6477777290546757E-4</v>
      </c>
      <c r="N603" s="5" t="s">
        <v>4</v>
      </c>
      <c r="O603" s="97">
        <f ca="1">_xll.meDateFromTenor(O602,"1D","FOLLOWING","TGT")</f>
        <v>43357</v>
      </c>
      <c r="P603" s="95">
        <f ca="1"/>
        <v>1.3760827344819902E-3</v>
      </c>
      <c r="Q603" s="5" t="s">
        <v>4</v>
      </c>
      <c r="R603" s="83" t="s">
        <v>4</v>
      </c>
    </row>
    <row r="604" spans="1:18" x14ac:dyDescent="0.25">
      <c r="A604" s="88">
        <v>590</v>
      </c>
      <c r="B604" s="82"/>
      <c r="C604" s="97">
        <f ca="1">_xll.meDateFromTenor(C603,"1D","FOLLOWING","TGT")</f>
        <v>43360</v>
      </c>
      <c r="D604" s="95">
        <f ca="1"/>
        <v>-3.7432303912985354E-3</v>
      </c>
      <c r="E604" s="92"/>
      <c r="F604" s="97">
        <f ca="1">_xll.meDateFromTenor(F603,"1D","FOLLOWING","TGT")</f>
        <v>43360</v>
      </c>
      <c r="G604" s="95">
        <f ca="1"/>
        <v>-3.2900790025550274E-3</v>
      </c>
      <c r="H604" s="92" t="s">
        <v>4</v>
      </c>
      <c r="I604" s="97">
        <f ca="1">_xll.meDateFromTenor(I603,"1D","FOLLOWING","TGT")</f>
        <v>43360</v>
      </c>
      <c r="J604" s="95">
        <f ca="1"/>
        <v>-2.1423628879500729E-3</v>
      </c>
      <c r="K604" s="5" t="s">
        <v>4</v>
      </c>
      <c r="L604" s="97">
        <f ca="1">_xll.meDateFromTenor(L603,"1D","FOLLOWING","TGT")</f>
        <v>43360</v>
      </c>
      <c r="M604" s="95">
        <f ca="1"/>
        <v>-6.5031728115890158E-4</v>
      </c>
      <c r="N604" s="5" t="s">
        <v>4</v>
      </c>
      <c r="O604" s="97">
        <f ca="1">_xll.meDateFromTenor(O603,"1D","FOLLOWING","TGT")</f>
        <v>43360</v>
      </c>
      <c r="P604" s="95">
        <f ca="1"/>
        <v>1.3910042486898466E-3</v>
      </c>
      <c r="Q604" s="5" t="s">
        <v>4</v>
      </c>
      <c r="R604" s="83" t="s">
        <v>4</v>
      </c>
    </row>
    <row r="605" spans="1:18" x14ac:dyDescent="0.25">
      <c r="A605" s="88">
        <v>591</v>
      </c>
      <c r="B605" s="82"/>
      <c r="C605" s="97">
        <f ca="1">_xll.meDateFromTenor(C604,"1D","FOLLOWING","TGT")</f>
        <v>43361</v>
      </c>
      <c r="D605" s="95">
        <f ca="1"/>
        <v>-3.7401496577427196E-3</v>
      </c>
      <c r="E605" s="92"/>
      <c r="F605" s="97">
        <f ca="1">_xll.meDateFromTenor(F604,"1D","FOLLOWING","TGT")</f>
        <v>43361</v>
      </c>
      <c r="G605" s="95">
        <f ca="1"/>
        <v>-3.2864228583504834E-3</v>
      </c>
      <c r="H605" s="92" t="s">
        <v>4</v>
      </c>
      <c r="I605" s="97">
        <f ca="1">_xll.meDateFromTenor(I604,"1D","FOLLOWING","TGT")</f>
        <v>43361</v>
      </c>
      <c r="J605" s="95">
        <f ca="1"/>
        <v>-2.133225768217771E-3</v>
      </c>
      <c r="K605" s="5" t="s">
        <v>4</v>
      </c>
      <c r="L605" s="97">
        <f ca="1">_xll.meDateFromTenor(L604,"1D","FOLLOWING","TGT")</f>
        <v>43361</v>
      </c>
      <c r="M605" s="95">
        <f ca="1"/>
        <v>-6.4548720867723688E-4</v>
      </c>
      <c r="N605" s="5" t="s">
        <v>4</v>
      </c>
      <c r="O605" s="97">
        <f ca="1">_xll.meDateFromTenor(O604,"1D","FOLLOWING","TGT")</f>
        <v>43361</v>
      </c>
      <c r="P605" s="95">
        <f ca="1"/>
        <v>1.3959868575557656E-3</v>
      </c>
      <c r="Q605" s="5" t="s">
        <v>4</v>
      </c>
      <c r="R605" s="83" t="s">
        <v>4</v>
      </c>
    </row>
    <row r="606" spans="1:18" x14ac:dyDescent="0.25">
      <c r="A606" s="88">
        <v>592</v>
      </c>
      <c r="B606" s="82"/>
      <c r="C606" s="97">
        <f ca="1">_xll.meDateFromTenor(C605,"1D","FOLLOWING","TGT")</f>
        <v>43362</v>
      </c>
      <c r="D606" s="95">
        <f ca="1"/>
        <v>-3.7370675955603616E-3</v>
      </c>
      <c r="E606" s="92"/>
      <c r="F606" s="97">
        <f ca="1">_xll.meDateFromTenor(F605,"1D","FOLLOWING","TGT")</f>
        <v>43362</v>
      </c>
      <c r="G606" s="95">
        <f ca="1"/>
        <v>-3.2827586164098327E-3</v>
      </c>
      <c r="H606" s="92" t="s">
        <v>4</v>
      </c>
      <c r="I606" s="97">
        <f ca="1">_xll.meDateFromTenor(I605,"1D","FOLLOWING","TGT")</f>
        <v>43362</v>
      </c>
      <c r="J606" s="95">
        <f ca="1"/>
        <v>-2.1241362945139445E-3</v>
      </c>
      <c r="K606" s="5" t="s">
        <v>4</v>
      </c>
      <c r="L606" s="97">
        <f ca="1">_xll.meDateFromTenor(L605,"1D","FOLLOWING","TGT")</f>
        <v>43362</v>
      </c>
      <c r="M606" s="95">
        <f ca="1"/>
        <v>-6.4065227327261376E-4</v>
      </c>
      <c r="N606" s="5" t="s">
        <v>4</v>
      </c>
      <c r="O606" s="97">
        <f ca="1">_xll.meDateFromTenor(O605,"1D","FOLLOWING","TGT")</f>
        <v>43362</v>
      </c>
      <c r="P606" s="95">
        <f ca="1"/>
        <v>1.4009738210818681E-3</v>
      </c>
      <c r="Q606" s="5" t="s">
        <v>4</v>
      </c>
      <c r="R606" s="83" t="s">
        <v>4</v>
      </c>
    </row>
    <row r="607" spans="1:18" x14ac:dyDescent="0.25">
      <c r="A607" s="88">
        <v>593</v>
      </c>
      <c r="B607" s="82"/>
      <c r="C607" s="97">
        <f ca="1">_xll.meDateFromTenor(C606,"1D","FOLLOWING","TGT")</f>
        <v>43363</v>
      </c>
      <c r="D607" s="95">
        <f ca="1"/>
        <v>-3.733984205017804E-3</v>
      </c>
      <c r="E607" s="92"/>
      <c r="F607" s="97">
        <f ca="1">_xll.meDateFromTenor(F606,"1D","FOLLOWING","TGT")</f>
        <v>43363</v>
      </c>
      <c r="G607" s="95">
        <f ca="1"/>
        <v>-3.2790872574038378E-3</v>
      </c>
      <c r="H607" s="92" t="s">
        <v>4</v>
      </c>
      <c r="I607" s="97">
        <f ca="1">_xll.meDateFromTenor(I606,"1D","FOLLOWING","TGT")</f>
        <v>43363</v>
      </c>
      <c r="J607" s="95">
        <f ca="1"/>
        <v>-2.1150941599864409E-3</v>
      </c>
      <c r="K607" s="5" t="s">
        <v>4</v>
      </c>
      <c r="L607" s="97">
        <f ca="1">_xll.meDateFromTenor(L606,"1D","FOLLOWING","TGT")</f>
        <v>43363</v>
      </c>
      <c r="M607" s="95">
        <f ca="1"/>
        <v>-6.3581252976109928E-4</v>
      </c>
      <c r="N607" s="5" t="s">
        <v>4</v>
      </c>
      <c r="O607" s="97">
        <f ca="1">_xll.meDateFromTenor(O606,"1D","FOLLOWING","TGT")</f>
        <v>43363</v>
      </c>
      <c r="P607" s="95">
        <f ca="1"/>
        <v>1.4059651208252753E-3</v>
      </c>
      <c r="Q607" s="5" t="s">
        <v>4</v>
      </c>
      <c r="R607" s="83" t="s">
        <v>4</v>
      </c>
    </row>
    <row r="608" spans="1:18" x14ac:dyDescent="0.25">
      <c r="A608" s="88">
        <v>594</v>
      </c>
      <c r="B608" s="82"/>
      <c r="C608" s="97">
        <f ca="1">_xll.meDateFromTenor(C607,"1D","FOLLOWING","TGT")</f>
        <v>43364</v>
      </c>
      <c r="D608" s="95">
        <f ca="1"/>
        <v>-3.7308994857048194E-3</v>
      </c>
      <c r="E608" s="92"/>
      <c r="F608" s="97">
        <f ca="1">_xll.meDateFromTenor(F607,"1D","FOLLOWING","TGT")</f>
        <v>43364</v>
      </c>
      <c r="G608" s="95">
        <f ca="1"/>
        <v>-3.2754097620032608E-3</v>
      </c>
      <c r="H608" s="92" t="s">
        <v>4</v>
      </c>
      <c r="I608" s="97">
        <f ca="1">_xll.meDateFromTenor(I607,"1D","FOLLOWING","TGT")</f>
        <v>43364</v>
      </c>
      <c r="J608" s="95">
        <f ca="1"/>
        <v>-2.1060990577831062E-3</v>
      </c>
      <c r="K608" s="5" t="s">
        <v>4</v>
      </c>
      <c r="L608" s="97">
        <f ca="1">_xll.meDateFromTenor(L607,"1D","FOLLOWING","TGT")</f>
        <v>43364</v>
      </c>
      <c r="M608" s="95">
        <f ca="1"/>
        <v>-6.3096803295876113E-4</v>
      </c>
      <c r="N608" s="5" t="s">
        <v>4</v>
      </c>
      <c r="O608" s="97">
        <f ca="1">_xll.meDateFromTenor(O607,"1D","FOLLOWING","TGT")</f>
        <v>43364</v>
      </c>
      <c r="P608" s="95">
        <f ca="1"/>
        <v>1.4109607383431071E-3</v>
      </c>
      <c r="Q608" s="5" t="s">
        <v>4</v>
      </c>
      <c r="R608" s="83" t="s">
        <v>4</v>
      </c>
    </row>
    <row r="609" spans="1:18" x14ac:dyDescent="0.25">
      <c r="A609" s="88">
        <v>595</v>
      </c>
      <c r="B609" s="82"/>
      <c r="C609" s="97">
        <f ca="1">_xll.meDateFromTenor(C608,"1D","FOLLOWING","TGT")</f>
        <v>43367</v>
      </c>
      <c r="D609" s="95">
        <f ca="1"/>
        <v>-3.7216373558960347E-3</v>
      </c>
      <c r="E609" s="92"/>
      <c r="F609" s="97">
        <f ca="1">_xll.meDateFromTenor(F608,"1D","FOLLOWING","TGT")</f>
        <v>43367</v>
      </c>
      <c r="G609" s="95">
        <f ca="1"/>
        <v>-3.2643502641416435E-3</v>
      </c>
      <c r="H609" s="92" t="s">
        <v>4</v>
      </c>
      <c r="I609" s="97">
        <f ca="1">_xll.meDateFromTenor(I608,"1D","FOLLOWING","TGT")</f>
        <v>43367</v>
      </c>
      <c r="J609" s="95">
        <f ca="1"/>
        <v>-2.079392876596582E-3</v>
      </c>
      <c r="K609" s="5" t="s">
        <v>4</v>
      </c>
      <c r="L609" s="97">
        <f ca="1">_xll.meDateFromTenor(L608,"1D","FOLLOWING","TGT")</f>
        <v>43367</v>
      </c>
      <c r="M609" s="95">
        <f ca="1"/>
        <v>-6.1640657096747979E-4</v>
      </c>
      <c r="N609" s="5" t="s">
        <v>4</v>
      </c>
      <c r="O609" s="97">
        <f ca="1">_xll.meDateFromTenor(O608,"1D","FOLLOWING","TGT")</f>
        <v>43367</v>
      </c>
      <c r="P609" s="95">
        <f ca="1"/>
        <v>1.4259733131143577E-3</v>
      </c>
      <c r="Q609" s="5" t="s">
        <v>4</v>
      </c>
      <c r="R609" s="83" t="s">
        <v>4</v>
      </c>
    </row>
    <row r="610" spans="1:18" x14ac:dyDescent="0.25">
      <c r="A610" s="88">
        <v>596</v>
      </c>
      <c r="B610" s="82"/>
      <c r="C610" s="97">
        <f ca="1">_xll.meDateFromTenor(C609,"1D","FOLLOWING","TGT")</f>
        <v>43368</v>
      </c>
      <c r="D610" s="95">
        <f ca="1"/>
        <v>-3.7185473219357723E-3</v>
      </c>
      <c r="E610" s="92"/>
      <c r="F610" s="97">
        <f ca="1">_xll.meDateFromTenor(F609,"1D","FOLLOWING","TGT")</f>
        <v>43368</v>
      </c>
      <c r="G610" s="95">
        <f ca="1"/>
        <v>-3.2606580298703484E-3</v>
      </c>
      <c r="H610" s="92" t="s">
        <v>4</v>
      </c>
      <c r="I610" s="97">
        <f ca="1">_xll.meDateFromTenor(I609,"1D","FOLLOWING","TGT")</f>
        <v>43368</v>
      </c>
      <c r="J610" s="95">
        <f ca="1"/>
        <v>-2.0705828351683881E-3</v>
      </c>
      <c r="K610" s="5" t="s">
        <v>4</v>
      </c>
      <c r="L610" s="97">
        <f ca="1">_xll.meDateFromTenor(L609,"1D","FOLLOWING","TGT")</f>
        <v>43368</v>
      </c>
      <c r="M610" s="95">
        <f ca="1"/>
        <v>-6.115436091625213E-4</v>
      </c>
      <c r="N610" s="5" t="s">
        <v>4</v>
      </c>
      <c r="O610" s="97">
        <f ca="1">_xll.meDateFromTenor(O609,"1D","FOLLOWING","TGT")</f>
        <v>43368</v>
      </c>
      <c r="P610" s="95">
        <f ca="1"/>
        <v>1.4309860173010946E-3</v>
      </c>
      <c r="Q610" s="5" t="s">
        <v>4</v>
      </c>
      <c r="R610" s="83" t="s">
        <v>4</v>
      </c>
    </row>
    <row r="611" spans="1:18" x14ac:dyDescent="0.25">
      <c r="A611" s="88">
        <v>597</v>
      </c>
      <c r="B611" s="82"/>
      <c r="C611" s="97">
        <f ca="1">_xll.meDateFromTenor(C610,"1D","FOLLOWING","TGT")</f>
        <v>43369</v>
      </c>
      <c r="D611" s="95">
        <f ca="1"/>
        <v>-3.7154559591437986E-3</v>
      </c>
      <c r="E611" s="92"/>
      <c r="F611" s="97">
        <f ca="1">_xll.meDateFromTenor(F610,"1D","FOLLOWING","TGT")</f>
        <v>43369</v>
      </c>
      <c r="G611" s="95">
        <f ca="1"/>
        <v>-3.2569645625582762E-3</v>
      </c>
      <c r="H611" s="92" t="s">
        <v>4</v>
      </c>
      <c r="I611" s="97">
        <f ca="1">_xll.meDateFromTenor(I610,"1D","FOLLOWING","TGT")</f>
        <v>43369</v>
      </c>
      <c r="J611" s="95">
        <f ca="1"/>
        <v>-2.0618182918035973E-3</v>
      </c>
      <c r="K611" s="5" t="s">
        <v>4</v>
      </c>
      <c r="L611" s="97">
        <f ca="1">_xll.meDateFromTenor(L610,"1D","FOLLOWING","TGT")</f>
        <v>43369</v>
      </c>
      <c r="M611" s="95">
        <f ca="1"/>
        <v>-6.066761681470771E-4</v>
      </c>
      <c r="N611" s="5" t="s">
        <v>4</v>
      </c>
      <c r="O611" s="97">
        <f ca="1">_xll.meDateFromTenor(O610,"1D","FOLLOWING","TGT")</f>
        <v>43369</v>
      </c>
      <c r="P611" s="95">
        <f ca="1"/>
        <v>1.4360029470478583E-3</v>
      </c>
      <c r="Q611" s="5" t="s">
        <v>4</v>
      </c>
      <c r="R611" s="83" t="s">
        <v>4</v>
      </c>
    </row>
    <row r="612" spans="1:18" x14ac:dyDescent="0.25">
      <c r="A612" s="88">
        <v>598</v>
      </c>
      <c r="B612" s="82"/>
      <c r="C612" s="97">
        <f ca="1">_xll.meDateFromTenor(C611,"1D","FOLLOWING","TGT")</f>
        <v>43370</v>
      </c>
      <c r="D612" s="95">
        <f ca="1"/>
        <v>-3.712363267427965E-3</v>
      </c>
      <c r="E612" s="92"/>
      <c r="F612" s="97">
        <f ca="1">_xll.meDateFromTenor(F611,"1D","FOLLOWING","TGT")</f>
        <v>43370</v>
      </c>
      <c r="G612" s="95">
        <f ca="1"/>
        <v>-3.2532708428761894E-3</v>
      </c>
      <c r="H612" s="92" t="s">
        <v>4</v>
      </c>
      <c r="I612" s="97">
        <f ca="1">_xll.meDateFromTenor(I611,"1D","FOLLOWING","TGT")</f>
        <v>43370</v>
      </c>
      <c r="J612" s="95">
        <f ca="1"/>
        <v>-2.0530989396500524E-3</v>
      </c>
      <c r="K612" s="5" t="s">
        <v>4</v>
      </c>
      <c r="L612" s="97">
        <f ca="1">_xll.meDateFromTenor(L611,"1D","FOLLOWING","TGT")</f>
        <v>43370</v>
      </c>
      <c r="M612" s="95">
        <f ca="1"/>
        <v>-6.0180430273721317E-4</v>
      </c>
      <c r="N612" s="5" t="s">
        <v>4</v>
      </c>
      <c r="O612" s="97">
        <f ca="1">_xll.meDateFromTenor(O611,"1D","FOLLOWING","TGT")</f>
        <v>43370</v>
      </c>
      <c r="P612" s="95">
        <f ca="1"/>
        <v>1.4410240839117711E-3</v>
      </c>
      <c r="Q612" s="5" t="s">
        <v>4</v>
      </c>
      <c r="R612" s="83" t="s">
        <v>4</v>
      </c>
    </row>
    <row r="613" spans="1:18" x14ac:dyDescent="0.25">
      <c r="A613" s="88">
        <v>599</v>
      </c>
      <c r="B613" s="82"/>
      <c r="C613" s="97">
        <f ca="1">_xll.meDateFromTenor(C612,"1D","FOLLOWING","TGT")</f>
        <v>43371</v>
      </c>
      <c r="D613" s="95">
        <f ca="1"/>
        <v>-3.7092692470150901E-3</v>
      </c>
      <c r="E613" s="92"/>
      <c r="F613" s="97">
        <f ca="1">_xll.meDateFromTenor(F612,"1D","FOLLOWING","TGT")</f>
        <v>43371</v>
      </c>
      <c r="G613" s="95">
        <f ca="1"/>
        <v>-3.2495778514948495E-3</v>
      </c>
      <c r="H613" s="92" t="s">
        <v>4</v>
      </c>
      <c r="I613" s="97">
        <f ca="1">_xll.meDateFromTenor(I612,"1D","FOLLOWING","TGT")</f>
        <v>43371</v>
      </c>
      <c r="J613" s="95">
        <f ca="1"/>
        <v>-2.0444244718556023E-3</v>
      </c>
      <c r="K613" s="5" t="s">
        <v>4</v>
      </c>
      <c r="L613" s="97">
        <f ca="1">_xll.meDateFromTenor(L612,"1D","FOLLOWING","TGT")</f>
        <v>43371</v>
      </c>
      <c r="M613" s="95">
        <f ca="1"/>
        <v>-5.9692806774899775E-4</v>
      </c>
      <c r="N613" s="5" t="s">
        <v>4</v>
      </c>
      <c r="O613" s="97">
        <f ca="1">_xll.meDateFromTenor(O612,"1D","FOLLOWING","TGT")</f>
        <v>43371</v>
      </c>
      <c r="P613" s="95">
        <f ca="1"/>
        <v>1.4460494094499529E-3</v>
      </c>
      <c r="Q613" s="5" t="s">
        <v>4</v>
      </c>
      <c r="R613" s="83" t="s">
        <v>4</v>
      </c>
    </row>
    <row r="614" spans="1:18" x14ac:dyDescent="0.25">
      <c r="A614" s="88">
        <v>600</v>
      </c>
      <c r="B614" s="82"/>
      <c r="C614" s="97">
        <f ca="1">_xll.meDateFromTenor(C613,"1D","FOLLOWING","TGT")</f>
        <v>43374</v>
      </c>
      <c r="D614" s="95">
        <f ca="1"/>
        <v>-3.699979212037352E-3</v>
      </c>
      <c r="E614" s="92"/>
      <c r="F614" s="97">
        <f ca="1">_xll.meDateFromTenor(F613,"1D","FOLLOWING","TGT")</f>
        <v>43374</v>
      </c>
      <c r="G614" s="95">
        <f ca="1"/>
        <v>-3.2385130538629208E-3</v>
      </c>
      <c r="H614" s="92" t="s">
        <v>4</v>
      </c>
      <c r="I614" s="97">
        <f ca="1">_xll.meDateFromTenor(I613,"1D","FOLLOWING","TGT")</f>
        <v>43374</v>
      </c>
      <c r="J614" s="95">
        <f ca="1"/>
        <v>-2.0186673061052826E-3</v>
      </c>
      <c r="K614" s="5" t="s">
        <v>4</v>
      </c>
      <c r="L614" s="97">
        <f ca="1">_xll.meDateFromTenor(L613,"1D","FOLLOWING","TGT")</f>
        <v>43374</v>
      </c>
      <c r="M614" s="95">
        <f ca="1"/>
        <v>-5.822736934749165E-4</v>
      </c>
      <c r="N614" s="5" t="s">
        <v>4</v>
      </c>
      <c r="O614" s="97">
        <f ca="1">_xll.meDateFromTenor(O613,"1D","FOLLOWING","TGT")</f>
        <v>43374</v>
      </c>
      <c r="P614" s="95">
        <f ca="1"/>
        <v>1.4611503336813148E-3</v>
      </c>
      <c r="Q614" s="5" t="s">
        <v>4</v>
      </c>
      <c r="R614" s="83" t="s">
        <v>4</v>
      </c>
    </row>
    <row r="615" spans="1:18" x14ac:dyDescent="0.25">
      <c r="A615" s="88">
        <v>601</v>
      </c>
      <c r="B615" s="82"/>
      <c r="C615" s="97">
        <f ca="1">_xll.meDateFromTenor(C614,"1D","FOLLOWING","TGT")</f>
        <v>43375</v>
      </c>
      <c r="D615" s="95">
        <f ca="1"/>
        <v>-3.6968798759565713E-3</v>
      </c>
      <c r="E615" s="92"/>
      <c r="F615" s="97">
        <f ca="1">_xll.meDateFromTenor(F614,"1D","FOLLOWING","TGT")</f>
        <v>43375</v>
      </c>
      <c r="G615" s="95">
        <f ca="1"/>
        <v>-3.2348327823921801E-3</v>
      </c>
      <c r="H615" s="92" t="s">
        <v>4</v>
      </c>
      <c r="I615" s="97">
        <f ca="1">_xll.meDateFromTenor(I614,"1D","FOLLOWING","TGT")</f>
        <v>43375</v>
      </c>
      <c r="J615" s="95">
        <f ca="1"/>
        <v>-2.0101693072256746E-3</v>
      </c>
      <c r="K615" s="5" t="s">
        <v>4</v>
      </c>
      <c r="L615" s="97">
        <f ca="1">_xll.meDateFromTenor(L614,"1D","FOLLOWING","TGT")</f>
        <v>43375</v>
      </c>
      <c r="M615" s="95">
        <f ca="1"/>
        <v>-5.7738052833396951E-4</v>
      </c>
      <c r="N615" s="5" t="s">
        <v>4</v>
      </c>
      <c r="O615" s="97">
        <f ca="1">_xll.meDateFromTenor(O614,"1D","FOLLOWING","TGT")</f>
        <v>43375</v>
      </c>
      <c r="P615" s="95">
        <f ca="1"/>
        <v>1.4661922294877763E-3</v>
      </c>
      <c r="Q615" s="5" t="s">
        <v>4</v>
      </c>
      <c r="R615" s="83" t="s">
        <v>4</v>
      </c>
    </row>
    <row r="616" spans="1:18" x14ac:dyDescent="0.25">
      <c r="A616" s="88">
        <v>602</v>
      </c>
      <c r="B616" s="82"/>
      <c r="C616" s="97">
        <f ca="1">_xll.meDateFromTenor(C615,"1D","FOLLOWING","TGT")</f>
        <v>43376</v>
      </c>
      <c r="D616" s="95">
        <f ca="1"/>
        <v>-3.6937792105198319E-3</v>
      </c>
      <c r="E616" s="92"/>
      <c r="F616" s="97">
        <f ca="1">_xll.meDateFromTenor(F615,"1D","FOLLOWING","TGT")</f>
        <v>43376</v>
      </c>
      <c r="G616" s="95">
        <f ca="1"/>
        <v>-3.2311579657487892E-3</v>
      </c>
      <c r="H616" s="92" t="s">
        <v>4</v>
      </c>
      <c r="I616" s="97">
        <f ca="1">_xll.meDateFromTenor(I615,"1D","FOLLOWING","TGT")</f>
        <v>43376</v>
      </c>
      <c r="J616" s="95">
        <f ca="1"/>
        <v>-2.0017146584443953E-3</v>
      </c>
      <c r="K616" s="5" t="s">
        <v>4</v>
      </c>
      <c r="L616" s="97">
        <f ca="1">_xll.meDateFromTenor(L615,"1D","FOLLOWING","TGT")</f>
        <v>43376</v>
      </c>
      <c r="M616" s="95">
        <f ca="1"/>
        <v>-5.7248326769500889E-4</v>
      </c>
      <c r="N616" s="5" t="s">
        <v>4</v>
      </c>
      <c r="O616" s="97">
        <f ca="1">_xll.meDateFromTenor(O615,"1D","FOLLOWING","TGT")</f>
        <v>43376</v>
      </c>
      <c r="P616" s="95">
        <f ca="1"/>
        <v>1.4712382217541085E-3</v>
      </c>
      <c r="Q616" s="5" t="s">
        <v>4</v>
      </c>
      <c r="R616" s="83" t="s">
        <v>4</v>
      </c>
    </row>
    <row r="617" spans="1:18" x14ac:dyDescent="0.25">
      <c r="A617" s="88">
        <v>603</v>
      </c>
      <c r="B617" s="82"/>
      <c r="C617" s="97">
        <f ca="1">_xll.meDateFromTenor(C616,"1D","FOLLOWING","TGT")</f>
        <v>43377</v>
      </c>
      <c r="D617" s="95">
        <f ca="1"/>
        <v>-3.6906772161927615E-3</v>
      </c>
      <c r="E617" s="92"/>
      <c r="F617" s="97">
        <f ca="1">_xll.meDateFromTenor(F616,"1D","FOLLOWING","TGT")</f>
        <v>43377</v>
      </c>
      <c r="G617" s="95">
        <f ca="1"/>
        <v>-3.2274887004674841E-3</v>
      </c>
      <c r="H617" s="92" t="s">
        <v>4</v>
      </c>
      <c r="I617" s="97">
        <f ca="1">_xll.meDateFromTenor(I616,"1D","FOLLOWING","TGT")</f>
        <v>43377</v>
      </c>
      <c r="J617" s="95">
        <f ca="1"/>
        <v>-1.9933030529092868E-3</v>
      </c>
      <c r="K617" s="5" t="s">
        <v>4</v>
      </c>
      <c r="L617" s="97">
        <f ca="1">_xll.meDateFromTenor(L616,"1D","FOLLOWING","TGT")</f>
        <v>43377</v>
      </c>
      <c r="M617" s="95">
        <f ca="1"/>
        <v>-5.6758196637410059E-4</v>
      </c>
      <c r="N617" s="5" t="s">
        <v>4</v>
      </c>
      <c r="O617" s="97">
        <f ca="1">_xll.meDateFromTenor(O616,"1D","FOLLOWING","TGT")</f>
        <v>43377</v>
      </c>
      <c r="P617" s="95">
        <f ca="1"/>
        <v>1.4762882920374332E-3</v>
      </c>
      <c r="Q617" s="5" t="s">
        <v>4</v>
      </c>
      <c r="R617" s="83" t="s">
        <v>4</v>
      </c>
    </row>
    <row r="618" spans="1:18" x14ac:dyDescent="0.25">
      <c r="A618" s="88">
        <v>604</v>
      </c>
      <c r="B618" s="82"/>
      <c r="C618" s="97">
        <f ca="1">_xll.meDateFromTenor(C617,"1D","FOLLOWING","TGT")</f>
        <v>43378</v>
      </c>
      <c r="D618" s="95">
        <f ca="1"/>
        <v>-3.6875738928435764E-3</v>
      </c>
      <c r="E618" s="92"/>
      <c r="F618" s="97">
        <f ca="1">_xll.meDateFromTenor(F617,"1D","FOLLOWING","TGT")</f>
        <v>43378</v>
      </c>
      <c r="G618" s="95">
        <f ca="1"/>
        <v>-3.2238249062558019E-3</v>
      </c>
      <c r="H618" s="92" t="s">
        <v>4</v>
      </c>
      <c r="I618" s="97">
        <f ca="1">_xll.meDateFromTenor(I617,"1D","FOLLOWING","TGT")</f>
        <v>43378</v>
      </c>
      <c r="J618" s="95">
        <f ca="1"/>
        <v>-1.9849341837682006E-3</v>
      </c>
      <c r="K618" s="5" t="s">
        <v>4</v>
      </c>
      <c r="L618" s="97">
        <f ca="1">_xll.meDateFromTenor(L617,"1D","FOLLOWING","TGT")</f>
        <v>43378</v>
      </c>
      <c r="M618" s="95">
        <f ca="1"/>
        <v>-5.6267667918731394E-4</v>
      </c>
      <c r="N618" s="5" t="s">
        <v>4</v>
      </c>
      <c r="O618" s="97">
        <f ca="1">_xll.meDateFromTenor(O617,"1D","FOLLOWING","TGT")</f>
        <v>43378</v>
      </c>
      <c r="P618" s="95">
        <f ca="1"/>
        <v>1.4813424218948692E-3</v>
      </c>
      <c r="Q618" s="5" t="s">
        <v>4</v>
      </c>
      <c r="R618" s="83" t="s">
        <v>4</v>
      </c>
    </row>
    <row r="619" spans="1:18" x14ac:dyDescent="0.25">
      <c r="A619" s="88">
        <v>605</v>
      </c>
      <c r="B619" s="82"/>
      <c r="C619" s="97">
        <f ca="1">_xll.meDateFromTenor(C618,"1D","FOLLOWING","TGT")</f>
        <v>43381</v>
      </c>
      <c r="D619" s="95">
        <f ca="1"/>
        <v>-3.6782559473451659E-3</v>
      </c>
      <c r="E619" s="92"/>
      <c r="F619" s="97">
        <f ca="1">_xll.meDateFromTenor(F618,"1D","FOLLOWING","TGT")</f>
        <v>43381</v>
      </c>
      <c r="G619" s="95">
        <f ca="1"/>
        <v>-3.2128655471138209E-3</v>
      </c>
      <c r="H619" s="92" t="s">
        <v>4</v>
      </c>
      <c r="I619" s="97">
        <f ca="1">_xll.meDateFromTenor(I618,"1D","FOLLOWING","TGT")</f>
        <v>43381</v>
      </c>
      <c r="J619" s="95">
        <f ca="1"/>
        <v>-1.9600809261875202E-3</v>
      </c>
      <c r="K619" s="5" t="s">
        <v>4</v>
      </c>
      <c r="L619" s="97">
        <f ca="1">_xll.meDateFromTenor(L618,"1D","FOLLOWING","TGT")</f>
        <v>43381</v>
      </c>
      <c r="M619" s="95">
        <f ca="1"/>
        <v>-5.4793745059234943E-4</v>
      </c>
      <c r="N619" s="5" t="s">
        <v>4</v>
      </c>
      <c r="O619" s="97">
        <f ca="1">_xll.meDateFromTenor(O618,"1D","FOLLOWING","TGT")</f>
        <v>43381</v>
      </c>
      <c r="P619" s="95">
        <f ca="1"/>
        <v>1.49652898448306E-3</v>
      </c>
      <c r="Q619" s="5" t="s">
        <v>4</v>
      </c>
      <c r="R619" s="83" t="s">
        <v>4</v>
      </c>
    </row>
    <row r="620" spans="1:18" x14ac:dyDescent="0.25">
      <c r="A620" s="88">
        <v>606</v>
      </c>
      <c r="B620" s="82"/>
      <c r="C620" s="97">
        <f ca="1">_xll.meDateFromTenor(C619,"1D","FOLLOWING","TGT")</f>
        <v>43382</v>
      </c>
      <c r="D620" s="95">
        <f ca="1"/>
        <v>-3.6751473072265117E-3</v>
      </c>
      <c r="E620" s="92"/>
      <c r="F620" s="97">
        <f ca="1">_xll.meDateFromTenor(F619,"1D","FOLLOWING","TGT")</f>
        <v>43382</v>
      </c>
      <c r="G620" s="95">
        <f ca="1"/>
        <v>-3.2092228342559632E-3</v>
      </c>
      <c r="H620" s="92" t="s">
        <v>4</v>
      </c>
      <c r="I620" s="97">
        <f ca="1">_xll.meDateFromTenor(I619,"1D","FOLLOWING","TGT")</f>
        <v>43382</v>
      </c>
      <c r="J620" s="95">
        <f ca="1"/>
        <v>-1.9518799341009764E-3</v>
      </c>
      <c r="K620" s="5" t="s">
        <v>4</v>
      </c>
      <c r="L620" s="97">
        <f ca="1">_xll.meDateFromTenor(L619,"1D","FOLLOWING","TGT")</f>
        <v>43382</v>
      </c>
      <c r="M620" s="95">
        <f ca="1"/>
        <v>-5.4301676810271891E-4</v>
      </c>
      <c r="N620" s="5" t="s">
        <v>4</v>
      </c>
      <c r="O620" s="97">
        <f ca="1">_xll.meDateFromTenor(O619,"1D","FOLLOWING","TGT")</f>
        <v>43382</v>
      </c>
      <c r="P620" s="95">
        <f ca="1"/>
        <v>1.5015991682081518E-3</v>
      </c>
      <c r="Q620" s="5" t="s">
        <v>4</v>
      </c>
      <c r="R620" s="83" t="s">
        <v>4</v>
      </c>
    </row>
    <row r="621" spans="1:18" x14ac:dyDescent="0.25">
      <c r="A621" s="88">
        <v>607</v>
      </c>
      <c r="B621" s="82"/>
      <c r="C621" s="97">
        <f ca="1">_xll.meDateFromTenor(C620,"1D","FOLLOWING","TGT")</f>
        <v>43383</v>
      </c>
      <c r="D621" s="95">
        <f ca="1"/>
        <v>-3.6720373375860316E-3</v>
      </c>
      <c r="E621" s="92"/>
      <c r="F621" s="97">
        <f ca="1">_xll.meDateFromTenor(F620,"1D","FOLLOWING","TGT")</f>
        <v>43383</v>
      </c>
      <c r="G621" s="95">
        <f ca="1"/>
        <v>-3.2055851910053976E-3</v>
      </c>
      <c r="H621" s="92" t="s">
        <v>4</v>
      </c>
      <c r="I621" s="97">
        <f ca="1">_xll.meDateFromTenor(I620,"1D","FOLLOWING","TGT")</f>
        <v>43383</v>
      </c>
      <c r="J621" s="95">
        <f ca="1"/>
        <v>-1.9437201441476841E-3</v>
      </c>
      <c r="K621" s="5" t="s">
        <v>4</v>
      </c>
      <c r="L621" s="97">
        <f ca="1">_xll.meDateFromTenor(L620,"1D","FOLLOWING","TGT")</f>
        <v>43383</v>
      </c>
      <c r="M621" s="95">
        <f ca="1"/>
        <v>-5.3809237382754639E-4</v>
      </c>
      <c r="N621" s="5" t="s">
        <v>4</v>
      </c>
      <c r="O621" s="97">
        <f ca="1">_xll.meDateFromTenor(O620,"1D","FOLLOWING","TGT")</f>
        <v>43383</v>
      </c>
      <c r="P621" s="95">
        <f ca="1"/>
        <v>1.5066733192929586E-3</v>
      </c>
      <c r="Q621" s="5" t="s">
        <v>4</v>
      </c>
      <c r="R621" s="83" t="s">
        <v>4</v>
      </c>
    </row>
    <row r="622" spans="1:18" x14ac:dyDescent="0.25">
      <c r="A622" s="88">
        <v>608</v>
      </c>
      <c r="B622" s="82"/>
      <c r="C622" s="97">
        <f ca="1">_xll.meDateFromTenor(C621,"1D","FOLLOWING","TGT")</f>
        <v>43384</v>
      </c>
      <c r="D622" s="95">
        <f ca="1"/>
        <v>-3.668926038809639E-3</v>
      </c>
      <c r="E622" s="92"/>
      <c r="F622" s="97">
        <f ca="1">_xll.meDateFromTenor(F621,"1D","FOLLOWING","TGT")</f>
        <v>43384</v>
      </c>
      <c r="G622" s="95">
        <f ca="1"/>
        <v>-3.2019525370696584E-3</v>
      </c>
      <c r="H622" s="92" t="s">
        <v>4</v>
      </c>
      <c r="I622" s="97">
        <f ca="1">_xll.meDateFromTenor(I621,"1D","FOLLOWING","TGT")</f>
        <v>43384</v>
      </c>
      <c r="J622" s="95">
        <f ca="1"/>
        <v>-1.9356012494754925E-3</v>
      </c>
      <c r="K622" s="5" t="s">
        <v>4</v>
      </c>
      <c r="L622" s="97">
        <f ca="1">_xll.meDateFromTenor(L621,"1D","FOLLOWING","TGT")</f>
        <v>43384</v>
      </c>
      <c r="M622" s="95">
        <f ca="1"/>
        <v>-5.3316432258289977E-4</v>
      </c>
      <c r="N622" s="5" t="s">
        <v>4</v>
      </c>
      <c r="O622" s="97">
        <f ca="1">_xll.meDateFromTenor(O621,"1D","FOLLOWING","TGT")</f>
        <v>43384</v>
      </c>
      <c r="P622" s="95">
        <f ca="1"/>
        <v>1.5117514192946003E-3</v>
      </c>
      <c r="Q622" s="5" t="s">
        <v>4</v>
      </c>
      <c r="R622" s="83" t="s">
        <v>4</v>
      </c>
    </row>
    <row r="623" spans="1:18" x14ac:dyDescent="0.25">
      <c r="A623" s="88">
        <v>609</v>
      </c>
      <c r="B623" s="82"/>
      <c r="C623" s="97">
        <f ca="1">_xll.meDateFromTenor(C622,"1D","FOLLOWING","TGT")</f>
        <v>43385</v>
      </c>
      <c r="D623" s="95">
        <f ca="1"/>
        <v>-3.6658134105264084E-3</v>
      </c>
      <c r="E623" s="92"/>
      <c r="F623" s="97">
        <f ca="1">_xll.meDateFromTenor(F622,"1D","FOLLOWING","TGT")</f>
        <v>43385</v>
      </c>
      <c r="G623" s="95">
        <f ca="1"/>
        <v>-3.1983247921562766E-3</v>
      </c>
      <c r="H623" s="92" t="s">
        <v>4</v>
      </c>
      <c r="I623" s="97">
        <f ca="1">_xll.meDateFromTenor(I622,"1D","FOLLOWING","TGT")</f>
        <v>43385</v>
      </c>
      <c r="J623" s="95">
        <f ca="1"/>
        <v>-1.9275229432322441E-3</v>
      </c>
      <c r="K623" s="5" t="s">
        <v>4</v>
      </c>
      <c r="L623" s="97">
        <f ca="1">_xll.meDateFromTenor(L622,"1D","FOLLOWING","TGT")</f>
        <v>43385</v>
      </c>
      <c r="M623" s="95">
        <f ca="1"/>
        <v>-5.2823266918484546E-4</v>
      </c>
      <c r="N623" s="5" t="s">
        <v>4</v>
      </c>
      <c r="O623" s="97">
        <f ca="1">_xll.meDateFromTenor(O622,"1D","FOLLOWING","TGT")</f>
        <v>43385</v>
      </c>
      <c r="P623" s="95">
        <f ca="1"/>
        <v>1.5168334497701985E-3</v>
      </c>
      <c r="Q623" s="5" t="s">
        <v>4</v>
      </c>
      <c r="R623" s="83" t="s">
        <v>4</v>
      </c>
    </row>
    <row r="624" spans="1:18" x14ac:dyDescent="0.25">
      <c r="A624" s="88">
        <v>610</v>
      </c>
      <c r="B624" s="82"/>
      <c r="C624" s="97">
        <f ca="1">_xll.meDateFromTenor(C623,"1D","FOLLOWING","TGT")</f>
        <v>43388</v>
      </c>
      <c r="D624" s="95">
        <f ca="1"/>
        <v>-3.6564675492690712E-3</v>
      </c>
      <c r="E624" s="92"/>
      <c r="F624" s="97">
        <f ca="1">_xll.meDateFromTenor(F623,"1D","FOLLOWING","TGT")</f>
        <v>43388</v>
      </c>
      <c r="G624" s="95">
        <f ca="1"/>
        <v>-3.1874702086256324E-3</v>
      </c>
      <c r="H624" s="92" t="s">
        <v>4</v>
      </c>
      <c r="I624" s="97">
        <f ca="1">_xll.meDateFromTenor(I623,"1D","FOLLOWING","TGT")</f>
        <v>43388</v>
      </c>
      <c r="J624" s="95">
        <f ca="1"/>
        <v>-1.9035284865546384E-3</v>
      </c>
      <c r="K624" s="5" t="s">
        <v>4</v>
      </c>
      <c r="L624" s="97">
        <f ca="1">_xll.meDateFromTenor(L623,"1D","FOLLOWING","TGT")</f>
        <v>43388</v>
      </c>
      <c r="M624" s="95">
        <f ca="1"/>
        <v>-5.134166442309141E-4</v>
      </c>
      <c r="N624" s="5" t="s">
        <v>4</v>
      </c>
      <c r="O624" s="97">
        <f ca="1">_xll.meDateFromTenor(O623,"1D","FOLLOWING","TGT")</f>
        <v>43388</v>
      </c>
      <c r="P624" s="95">
        <f ca="1"/>
        <v>1.5321029396119354E-3</v>
      </c>
      <c r="Q624" s="5" t="s">
        <v>4</v>
      </c>
      <c r="R624" s="83" t="s">
        <v>4</v>
      </c>
    </row>
    <row r="625" spans="1:18" x14ac:dyDescent="0.25">
      <c r="A625" s="88">
        <v>611</v>
      </c>
      <c r="B625" s="82"/>
      <c r="C625" s="97">
        <f ca="1">_xll.meDateFromTenor(C624,"1D","FOLLOWING","TGT")</f>
        <v>43389</v>
      </c>
      <c r="D625" s="95">
        <f ca="1"/>
        <v>-3.6533496031935231E-3</v>
      </c>
      <c r="E625" s="92"/>
      <c r="F625" s="97">
        <f ca="1">_xll.meDateFromTenor(F624,"1D","FOLLOWING","TGT")</f>
        <v>43389</v>
      </c>
      <c r="G625" s="95">
        <f ca="1"/>
        <v>-3.1838612968770304E-3</v>
      </c>
      <c r="H625" s="92" t="s">
        <v>4</v>
      </c>
      <c r="I625" s="97">
        <f ca="1">_xll.meDateFromTenor(I624,"1D","FOLLOWING","TGT")</f>
        <v>43389</v>
      </c>
      <c r="J625" s="95">
        <f ca="1"/>
        <v>-1.8956094655056359E-3</v>
      </c>
      <c r="K625" s="5" t="s">
        <v>4</v>
      </c>
      <c r="L625" s="97">
        <f ca="1">_xll.meDateFromTenor(L624,"1D","FOLLOWING","TGT")</f>
        <v>43389</v>
      </c>
      <c r="M625" s="95">
        <f ca="1"/>
        <v>-5.0847113037990536E-4</v>
      </c>
      <c r="N625" s="5" t="s">
        <v>4</v>
      </c>
      <c r="O625" s="97">
        <f ca="1">_xll.meDateFromTenor(O624,"1D","FOLLOWING","TGT")</f>
        <v>43389</v>
      </c>
      <c r="P625" s="95">
        <f ca="1"/>
        <v>1.5372005075545636E-3</v>
      </c>
      <c r="Q625" s="5" t="s">
        <v>4</v>
      </c>
      <c r="R625" s="83" t="s">
        <v>4</v>
      </c>
    </row>
    <row r="626" spans="1:18" x14ac:dyDescent="0.25">
      <c r="A626" s="88">
        <v>612</v>
      </c>
      <c r="B626" s="82"/>
      <c r="C626" s="97">
        <f ca="1">_xll.meDateFromTenor(C625,"1D","FOLLOWING","TGT")</f>
        <v>43390</v>
      </c>
      <c r="D626" s="95">
        <f ca="1"/>
        <v>-3.6502303276290116E-3</v>
      </c>
      <c r="E626" s="92"/>
      <c r="F626" s="97">
        <f ca="1">_xll.meDateFromTenor(F625,"1D","FOLLOWING","TGT")</f>
        <v>43390</v>
      </c>
      <c r="G626" s="95">
        <f ca="1"/>
        <v>-3.1802568926884572E-3</v>
      </c>
      <c r="H626" s="92" t="s">
        <v>4</v>
      </c>
      <c r="I626" s="97">
        <f ca="1">_xll.meDateFromTenor(I625,"1D","FOLLOWING","TGT")</f>
        <v>43390</v>
      </c>
      <c r="J626" s="95">
        <f ca="1"/>
        <v>-1.8877294986248112E-3</v>
      </c>
      <c r="K626" s="5" t="s">
        <v>4</v>
      </c>
      <c r="L626" s="97">
        <f ca="1">_xll.meDateFromTenor(L625,"1D","FOLLOWING","TGT")</f>
        <v>43390</v>
      </c>
      <c r="M626" s="95">
        <f ca="1"/>
        <v>-5.0352228845582667E-4</v>
      </c>
      <c r="N626" s="5" t="s">
        <v>4</v>
      </c>
      <c r="O626" s="97">
        <f ca="1">_xll.meDateFromTenor(O625,"1D","FOLLOWING","TGT")</f>
        <v>43390</v>
      </c>
      <c r="P626" s="95">
        <f ca="1"/>
        <v>1.5423019137567504E-3</v>
      </c>
      <c r="Q626" s="5" t="s">
        <v>4</v>
      </c>
      <c r="R626" s="83" t="s">
        <v>4</v>
      </c>
    </row>
    <row r="627" spans="1:18" x14ac:dyDescent="0.25">
      <c r="A627" s="88">
        <v>613</v>
      </c>
      <c r="B627" s="82"/>
      <c r="C627" s="97">
        <f ca="1">_xll.meDateFromTenor(C626,"1D","FOLLOWING","TGT")</f>
        <v>43391</v>
      </c>
      <c r="D627" s="95">
        <f ca="1"/>
        <v>-3.6471097224037852E-3</v>
      </c>
      <c r="E627" s="92"/>
      <c r="F627" s="97">
        <f ca="1">_xll.meDateFromTenor(F626,"1D","FOLLOWING","TGT")</f>
        <v>43391</v>
      </c>
      <c r="G627" s="95">
        <f ca="1"/>
        <v>-3.1766569157674479E-3</v>
      </c>
      <c r="H627" s="92" t="s">
        <v>4</v>
      </c>
      <c r="I627" s="97">
        <f ca="1">_xll.meDateFromTenor(I626,"1D","FOLLOWING","TGT")</f>
        <v>43391</v>
      </c>
      <c r="J627" s="95">
        <f ca="1"/>
        <v>-1.8798882790600109E-3</v>
      </c>
      <c r="K627" s="5" t="s">
        <v>4</v>
      </c>
      <c r="L627" s="97">
        <f ca="1">_xll.meDateFromTenor(L626,"1D","FOLLOWING","TGT")</f>
        <v>43391</v>
      </c>
      <c r="M627" s="95">
        <f ca="1"/>
        <v>-4.9857017327474573E-4</v>
      </c>
      <c r="N627" s="5" t="s">
        <v>4</v>
      </c>
      <c r="O627" s="97">
        <f ca="1">_xll.meDateFromTenor(O626,"1D","FOLLOWING","TGT")</f>
        <v>43391</v>
      </c>
      <c r="P627" s="95">
        <f ca="1"/>
        <v>1.5474071397756169E-3</v>
      </c>
      <c r="Q627" s="5" t="s">
        <v>4</v>
      </c>
      <c r="R627" s="83" t="s">
        <v>4</v>
      </c>
    </row>
    <row r="628" spans="1:18" x14ac:dyDescent="0.25">
      <c r="A628" s="88">
        <v>614</v>
      </c>
      <c r="B628" s="82"/>
      <c r="C628" s="97">
        <f ca="1">_xll.meDateFromTenor(C627,"1D","FOLLOWING","TGT")</f>
        <v>43392</v>
      </c>
      <c r="D628" s="95">
        <f ca="1"/>
        <v>-3.6439877875453774E-3</v>
      </c>
      <c r="E628" s="92"/>
      <c r="F628" s="97">
        <f ca="1">_xll.meDateFromTenor(F627,"1D","FOLLOWING","TGT")</f>
        <v>43392</v>
      </c>
      <c r="G628" s="95">
        <f ca="1"/>
        <v>-3.173061285821537E-3</v>
      </c>
      <c r="H628" s="92" t="s">
        <v>4</v>
      </c>
      <c r="I628" s="97">
        <f ca="1">_xll.meDateFromTenor(I627,"1D","FOLLOWING","TGT")</f>
        <v>43392</v>
      </c>
      <c r="J628" s="95">
        <f ca="1"/>
        <v>-1.8720854999590805E-3</v>
      </c>
      <c r="K628" s="5" t="s">
        <v>4</v>
      </c>
      <c r="L628" s="97">
        <f ca="1">_xll.meDateFromTenor(L627,"1D","FOLLOWING","TGT")</f>
        <v>43392</v>
      </c>
      <c r="M628" s="95">
        <f ca="1"/>
        <v>-4.9361483965272947E-4</v>
      </c>
      <c r="N628" s="5" t="s">
        <v>4</v>
      </c>
      <c r="O628" s="97">
        <f ca="1">_xll.meDateFromTenor(O627,"1D","FOLLOWING","TGT")</f>
        <v>43392</v>
      </c>
      <c r="P628" s="95">
        <f ca="1"/>
        <v>1.5525161671682828E-3</v>
      </c>
      <c r="Q628" s="5" t="s">
        <v>4</v>
      </c>
      <c r="R628" s="83" t="s">
        <v>4</v>
      </c>
    </row>
    <row r="629" spans="1:18" x14ac:dyDescent="0.25">
      <c r="A629" s="88">
        <v>615</v>
      </c>
      <c r="B629" s="82"/>
      <c r="C629" s="97">
        <f ca="1">_xll.meDateFromTenor(C628,"1D","FOLLOWING","TGT")</f>
        <v>43395</v>
      </c>
      <c r="D629" s="95">
        <f ca="1"/>
        <v>-3.6346140048473252E-3</v>
      </c>
      <c r="E629" s="92"/>
      <c r="F629" s="97">
        <f ca="1">_xll.meDateFromTenor(F628,"1D","FOLLOWING","TGT")</f>
        <v>43395</v>
      </c>
      <c r="G629" s="95">
        <f ca="1"/>
        <v>-3.16229967490973E-3</v>
      </c>
      <c r="H629" s="92" t="s">
        <v>4</v>
      </c>
      <c r="I629" s="97">
        <f ca="1">_xll.meDateFromTenor(I628,"1D","FOLLOWING","TGT")</f>
        <v>43395</v>
      </c>
      <c r="J629" s="95">
        <f ca="1"/>
        <v>-1.8489047369179808E-3</v>
      </c>
      <c r="K629" s="5" t="s">
        <v>4</v>
      </c>
      <c r="L629" s="97">
        <f ca="1">_xll.meDateFromTenor(L628,"1D","FOLLOWING","TGT")</f>
        <v>43395</v>
      </c>
      <c r="M629" s="95">
        <f ca="1"/>
        <v>-4.787300763017463E-4</v>
      </c>
      <c r="N629" s="5" t="s">
        <v>4</v>
      </c>
      <c r="O629" s="97">
        <f ca="1">_xll.meDateFromTenor(O628,"1D","FOLLOWING","TGT")</f>
        <v>43395</v>
      </c>
      <c r="P629" s="95">
        <f ca="1"/>
        <v>1.5678658731602842E-3</v>
      </c>
      <c r="Q629" s="5" t="s">
        <v>4</v>
      </c>
      <c r="R629" s="83" t="s">
        <v>4</v>
      </c>
    </row>
    <row r="630" spans="1:18" x14ac:dyDescent="0.25">
      <c r="A630" s="88">
        <v>616</v>
      </c>
      <c r="B630" s="82"/>
      <c r="C630" s="97">
        <f ca="1">_xll.meDateFromTenor(C629,"1D","FOLLOWING","TGT")</f>
        <v>43396</v>
      </c>
      <c r="D630" s="95">
        <f ca="1"/>
        <v>-3.6314867510530702E-3</v>
      </c>
      <c r="E630" s="92"/>
      <c r="F630" s="97">
        <f ca="1">_xll.meDateFromTenor(F629,"1D","FOLLOWING","TGT")</f>
        <v>43396</v>
      </c>
      <c r="G630" s="95">
        <f ca="1"/>
        <v>-3.1587206299395505E-3</v>
      </c>
      <c r="H630" s="92" t="s">
        <v>4</v>
      </c>
      <c r="I630" s="97">
        <f ca="1">_xll.meDateFromTenor(I629,"1D","FOLLOWING","TGT")</f>
        <v>43396</v>
      </c>
      <c r="J630" s="95">
        <f ca="1"/>
        <v>-1.8412526511509988E-3</v>
      </c>
      <c r="K630" s="5" t="s">
        <v>4</v>
      </c>
      <c r="L630" s="97">
        <f ca="1">_xll.meDateFromTenor(L629,"1D","FOLLOWING","TGT")</f>
        <v>43396</v>
      </c>
      <c r="M630" s="95">
        <f ca="1"/>
        <v>-4.7376241707666549E-4</v>
      </c>
      <c r="N630" s="5" t="s">
        <v>4</v>
      </c>
      <c r="O630" s="97">
        <f ca="1">_xll.meDateFromTenor(O629,"1D","FOLLOWING","TGT")</f>
        <v>43396</v>
      </c>
      <c r="P630" s="95">
        <f ca="1"/>
        <v>1.5729899216193539E-3</v>
      </c>
      <c r="Q630" s="5" t="s">
        <v>4</v>
      </c>
      <c r="R630" s="83" t="s">
        <v>4</v>
      </c>
    </row>
    <row r="631" spans="1:18" x14ac:dyDescent="0.25">
      <c r="A631" s="88">
        <v>617</v>
      </c>
      <c r="B631" s="82"/>
      <c r="C631" s="97">
        <f ca="1">_xll.meDateFromTenor(C630,"1D","FOLLOWING","TGT")</f>
        <v>43397</v>
      </c>
      <c r="D631" s="95">
        <f ca="1"/>
        <v>-3.6283581674041443E-3</v>
      </c>
      <c r="E631" s="92"/>
      <c r="F631" s="97">
        <f ca="1">_xll.meDateFromTenor(F630,"1D","FOLLOWING","TGT")</f>
        <v>43397</v>
      </c>
      <c r="G631" s="95">
        <f ca="1"/>
        <v>-3.1551455304821376E-3</v>
      </c>
      <c r="H631" s="92" t="s">
        <v>4</v>
      </c>
      <c r="I631" s="97">
        <f ca="1">_xll.meDateFromTenor(I630,"1D","FOLLOWING","TGT")</f>
        <v>43397</v>
      </c>
      <c r="J631" s="95">
        <f ca="1"/>
        <v>-1.8336374715871193E-3</v>
      </c>
      <c r="K631" s="5" t="s">
        <v>4</v>
      </c>
      <c r="L631" s="97">
        <f ca="1">_xll.meDateFromTenor(L630,"1D","FOLLOWING","TGT")</f>
        <v>43397</v>
      </c>
      <c r="M631" s="95">
        <f ca="1"/>
        <v>-4.6879181349098598E-4</v>
      </c>
      <c r="N631" s="5" t="s">
        <v>4</v>
      </c>
      <c r="O631" s="97">
        <f ca="1">_xll.meDateFromTenor(O630,"1D","FOLLOWING","TGT")</f>
        <v>43397</v>
      </c>
      <c r="P631" s="95">
        <f ca="1"/>
        <v>1.578117679237827E-3</v>
      </c>
      <c r="Q631" s="5" t="s">
        <v>4</v>
      </c>
      <c r="R631" s="83" t="s">
        <v>4</v>
      </c>
    </row>
    <row r="632" spans="1:18" x14ac:dyDescent="0.25">
      <c r="A632" s="88">
        <v>618</v>
      </c>
      <c r="B632" s="82"/>
      <c r="C632" s="97">
        <f ca="1">_xll.meDateFromTenor(C631,"1D","FOLLOWING","TGT")</f>
        <v>43398</v>
      </c>
      <c r="D632" s="95">
        <f ca="1"/>
        <v>-3.625228254046986E-3</v>
      </c>
      <c r="E632" s="92"/>
      <c r="F632" s="97">
        <f ca="1">_xll.meDateFromTenor(F631,"1D","FOLLOWING","TGT")</f>
        <v>43398</v>
      </c>
      <c r="G632" s="95">
        <f ca="1"/>
        <v>-3.1515742962450271E-3</v>
      </c>
      <c r="H632" s="92" t="s">
        <v>4</v>
      </c>
      <c r="I632" s="97">
        <f ca="1">_xll.meDateFromTenor(I631,"1D","FOLLOWING","TGT")</f>
        <v>43398</v>
      </c>
      <c r="J632" s="95">
        <f ca="1"/>
        <v>-1.8260588913741893E-3</v>
      </c>
      <c r="K632" s="5" t="s">
        <v>4</v>
      </c>
      <c r="L632" s="97">
        <f ca="1">_xll.meDateFromTenor(L631,"1D","FOLLOWING","TGT")</f>
        <v>43398</v>
      </c>
      <c r="M632" s="95">
        <f ca="1"/>
        <v>-4.6381832036077622E-4</v>
      </c>
      <c r="N632" s="5" t="s">
        <v>4</v>
      </c>
      <c r="O632" s="97">
        <f ca="1">_xll.meDateFromTenor(O631,"1D","FOLLOWING","TGT")</f>
        <v>43398</v>
      </c>
      <c r="P632" s="95">
        <f ca="1"/>
        <v>1.5832491275728229E-3</v>
      </c>
      <c r="Q632" s="5" t="s">
        <v>4</v>
      </c>
      <c r="R632" s="83" t="s">
        <v>4</v>
      </c>
    </row>
    <row r="633" spans="1:18" x14ac:dyDescent="0.25">
      <c r="A633" s="88">
        <v>619</v>
      </c>
      <c r="B633" s="82"/>
      <c r="C633" s="97">
        <f ca="1">_xll.meDateFromTenor(C632,"1D","FOLLOWING","TGT")</f>
        <v>43399</v>
      </c>
      <c r="D633" s="95">
        <f ca="1"/>
        <v>-3.6220970106521921E-3</v>
      </c>
      <c r="E633" s="92"/>
      <c r="F633" s="97">
        <f ca="1">_xll.meDateFromTenor(F632,"1D","FOLLOWING","TGT")</f>
        <v>43399</v>
      </c>
      <c r="G633" s="95">
        <f ca="1"/>
        <v>-3.1480068469357516E-3</v>
      </c>
      <c r="H633" s="92" t="s">
        <v>4</v>
      </c>
      <c r="I633" s="97">
        <f ca="1">_xll.meDateFromTenor(I632,"1D","FOLLOWING","TGT")</f>
        <v>43399</v>
      </c>
      <c r="J633" s="95">
        <f ca="1"/>
        <v>-1.8185166036600552E-3</v>
      </c>
      <c r="K633" s="5" t="s">
        <v>4</v>
      </c>
      <c r="L633" s="97">
        <f ca="1">_xll.meDateFromTenor(L632,"1D","FOLLOWING","TGT")</f>
        <v>43399</v>
      </c>
      <c r="M633" s="95">
        <f ca="1"/>
        <v>-4.588419925021037E-4</v>
      </c>
      <c r="N633" s="5" t="s">
        <v>4</v>
      </c>
      <c r="O633" s="97">
        <f ca="1">_xll.meDateFromTenor(O632,"1D","FOLLOWING","TGT")</f>
        <v>43399</v>
      </c>
      <c r="P633" s="95">
        <f ca="1"/>
        <v>1.5883842481814623E-3</v>
      </c>
      <c r="Q633" s="5" t="s">
        <v>4</v>
      </c>
      <c r="R633" s="83" t="s">
        <v>4</v>
      </c>
    </row>
    <row r="634" spans="1:18" x14ac:dyDescent="0.25">
      <c r="A634" s="88">
        <v>620</v>
      </c>
      <c r="B634" s="82"/>
      <c r="C634" s="97">
        <f ca="1">_xll.meDateFromTenor(C633,"1D","FOLLOWING","TGT")</f>
        <v>43402</v>
      </c>
      <c r="D634" s="95">
        <f ca="1"/>
        <v>-3.6126953008256413E-3</v>
      </c>
      <c r="E634" s="92"/>
      <c r="F634" s="97">
        <f ca="1">_xll.meDateFromTenor(F633,"1D","FOLLOWING","TGT")</f>
        <v>43402</v>
      </c>
      <c r="G634" s="95">
        <f ca="1"/>
        <v>-3.1373264056502839E-3</v>
      </c>
      <c r="H634" s="92" t="s">
        <v>4</v>
      </c>
      <c r="I634" s="97">
        <f ca="1">_xll.meDateFromTenor(I633,"1D","FOLLOWING","TGT")</f>
        <v>43402</v>
      </c>
      <c r="J634" s="95">
        <f ca="1"/>
        <v>-1.796104426988895E-3</v>
      </c>
      <c r="K634" s="5" t="s">
        <v>4</v>
      </c>
      <c r="L634" s="97">
        <f ca="1">_xll.meDateFromTenor(L633,"1D","FOLLOWING","TGT")</f>
        <v>43402</v>
      </c>
      <c r="M634" s="95">
        <f ca="1"/>
        <v>-4.4389654871598421E-4</v>
      </c>
      <c r="N634" s="5" t="s">
        <v>4</v>
      </c>
      <c r="O634" s="97">
        <f ca="1">_xll.meDateFromTenor(O633,"1D","FOLLOWING","TGT")</f>
        <v>43402</v>
      </c>
      <c r="P634" s="95">
        <f ca="1"/>
        <v>1.6038114592204465E-3</v>
      </c>
      <c r="Q634" s="5" t="s">
        <v>4</v>
      </c>
      <c r="R634" s="83" t="s">
        <v>4</v>
      </c>
    </row>
    <row r="635" spans="1:18" x14ac:dyDescent="0.25">
      <c r="A635" s="88">
        <v>621</v>
      </c>
      <c r="B635" s="82"/>
      <c r="C635" s="97">
        <f ca="1">_xll.meDateFromTenor(C634,"1D","FOLLOWING","TGT")</f>
        <v>43403</v>
      </c>
      <c r="D635" s="95">
        <f ca="1"/>
        <v>-3.609558737389662E-3</v>
      </c>
      <c r="E635" s="92"/>
      <c r="F635" s="97">
        <f ca="1">_xll.meDateFromTenor(F634,"1D","FOLLOWING","TGT")</f>
        <v>43403</v>
      </c>
      <c r="G635" s="95">
        <f ca="1"/>
        <v>-3.133773293127693E-3</v>
      </c>
      <c r="H635" s="92" t="s">
        <v>4</v>
      </c>
      <c r="I635" s="97">
        <f ca="1">_xll.meDateFromTenor(I634,"1D","FOLLOWING","TGT")</f>
        <v>43403</v>
      </c>
      <c r="J635" s="95">
        <f ca="1"/>
        <v>-1.7887042407484094E-3</v>
      </c>
      <c r="K635" s="5" t="s">
        <v>4</v>
      </c>
      <c r="L635" s="97">
        <f ca="1">_xll.meDateFromTenor(L634,"1D","FOLLOWING","TGT")</f>
        <v>43403</v>
      </c>
      <c r="M635" s="95">
        <f ca="1"/>
        <v>-4.3890943010413478E-4</v>
      </c>
      <c r="N635" s="5" t="s">
        <v>4</v>
      </c>
      <c r="O635" s="97">
        <f ca="1">_xll.meDateFromTenor(O634,"1D","FOLLOWING","TGT")</f>
        <v>43403</v>
      </c>
      <c r="P635" s="95">
        <f ca="1"/>
        <v>1.608961084494865E-3</v>
      </c>
      <c r="Q635" s="5" t="s">
        <v>4</v>
      </c>
      <c r="R635" s="83" t="s">
        <v>4</v>
      </c>
    </row>
    <row r="636" spans="1:18" x14ac:dyDescent="0.25">
      <c r="A636" s="88">
        <v>622</v>
      </c>
      <c r="B636" s="82"/>
      <c r="C636" s="97">
        <f ca="1">_xll.meDateFromTenor(C635,"1D","FOLLOWING","TGT")</f>
        <v>43404</v>
      </c>
      <c r="D636" s="95">
        <f ca="1"/>
        <v>-3.6064208439322565E-3</v>
      </c>
      <c r="E636" s="92"/>
      <c r="F636" s="97">
        <f ca="1">_xll.meDateFromTenor(F635,"1D","FOLLOWING","TGT")</f>
        <v>43404</v>
      </c>
      <c r="G636" s="95">
        <f ca="1"/>
        <v>-3.1302235640706085E-3</v>
      </c>
      <c r="H636" s="92" t="s">
        <v>4</v>
      </c>
      <c r="I636" s="97">
        <f ca="1">_xll.meDateFromTenor(I635,"1D","FOLLOWING","TGT")</f>
        <v>43404</v>
      </c>
      <c r="J636" s="95">
        <f ca="1"/>
        <v>-1.7813388127459538E-3</v>
      </c>
      <c r="K636" s="5" t="s">
        <v>4</v>
      </c>
      <c r="L636" s="97">
        <f ca="1">_xll.meDateFromTenor(L635,"1D","FOLLOWING","TGT")</f>
        <v>43404</v>
      </c>
      <c r="M636" s="95">
        <f ca="1"/>
        <v>-4.3391975084416067E-4</v>
      </c>
      <c r="N636" s="5" t="s">
        <v>4</v>
      </c>
      <c r="O636" s="97">
        <f ca="1">_xll.meDateFromTenor(O635,"1D","FOLLOWING","TGT")</f>
        <v>43404</v>
      </c>
      <c r="P636" s="95">
        <f ca="1"/>
        <v>1.6141142898285293E-3</v>
      </c>
      <c r="Q636" s="5" t="s">
        <v>4</v>
      </c>
      <c r="R636" s="83" t="s">
        <v>4</v>
      </c>
    </row>
    <row r="637" spans="1:18" x14ac:dyDescent="0.25">
      <c r="A637" s="88">
        <v>623</v>
      </c>
      <c r="B637" s="82"/>
      <c r="C637" s="97">
        <f ca="1">_xll.meDateFromTenor(C636,"1D","FOLLOWING","TGT")</f>
        <v>43405</v>
      </c>
      <c r="D637" s="95">
        <f ca="1"/>
        <v>-3.6032816203613871E-3</v>
      </c>
      <c r="E637" s="92"/>
      <c r="F637" s="97">
        <f ca="1">_xll.meDateFromTenor(F636,"1D","FOLLOWING","TGT")</f>
        <v>43405</v>
      </c>
      <c r="G637" s="95">
        <f ca="1"/>
        <v>-3.1266771381865642E-3</v>
      </c>
      <c r="H637" s="92" t="s">
        <v>4</v>
      </c>
      <c r="I637" s="97">
        <f ca="1">_xll.meDateFromTenor(I636,"1D","FOLLOWING","TGT")</f>
        <v>43405</v>
      </c>
      <c r="J637" s="95">
        <f ca="1"/>
        <v>-1.7740078361293719E-3</v>
      </c>
      <c r="K637" s="5" t="s">
        <v>4</v>
      </c>
      <c r="L637" s="97">
        <f ca="1">_xll.meDateFromTenor(L636,"1D","FOLLOWING","TGT")</f>
        <v>43405</v>
      </c>
      <c r="M637" s="95">
        <f ca="1"/>
        <v>-4.2892756575212745E-4</v>
      </c>
      <c r="N637" s="5" t="s">
        <v>4</v>
      </c>
      <c r="O637" s="97">
        <f ca="1">_xll.meDateFromTenor(O636,"1D","FOLLOWING","TGT")</f>
        <v>43405</v>
      </c>
      <c r="P637" s="95">
        <f ca="1"/>
        <v>1.6192710567785608E-3</v>
      </c>
      <c r="Q637" s="5" t="s">
        <v>4</v>
      </c>
      <c r="R637" s="83" t="s">
        <v>4</v>
      </c>
    </row>
    <row r="638" spans="1:18" x14ac:dyDescent="0.25">
      <c r="A638" s="88">
        <v>624</v>
      </c>
      <c r="B638" s="82"/>
      <c r="C638" s="97">
        <f ca="1">_xll.meDateFromTenor(C637,"1D","FOLLOWING","TGT")</f>
        <v>43406</v>
      </c>
      <c r="D638" s="95">
        <f ca="1"/>
        <v>-3.6001410665450484E-3</v>
      </c>
      <c r="E638" s="92"/>
      <c r="F638" s="97">
        <f ca="1">_xll.meDateFromTenor(F637,"1D","FOLLOWING","TGT")</f>
        <v>43406</v>
      </c>
      <c r="G638" s="95">
        <f ca="1"/>
        <v>-3.1231339351830926E-3</v>
      </c>
      <c r="H638" s="92" t="s">
        <v>4</v>
      </c>
      <c r="I638" s="97">
        <f ca="1">_xll.meDateFromTenor(I637,"1D","FOLLOWING","TGT")</f>
        <v>43406</v>
      </c>
      <c r="J638" s="95">
        <f ca="1"/>
        <v>-1.7667110040465114E-3</v>
      </c>
      <c r="K638" s="5" t="s">
        <v>4</v>
      </c>
      <c r="L638" s="97">
        <f ca="1">_xll.meDateFromTenor(L637,"1D","FOLLOWING","TGT")</f>
        <v>43406</v>
      </c>
      <c r="M638" s="95">
        <f ca="1"/>
        <v>-4.2393292964410374E-4</v>
      </c>
      <c r="N638" s="5" t="s">
        <v>4</v>
      </c>
      <c r="O638" s="97">
        <f ca="1">_xll.meDateFromTenor(O637,"1D","FOLLOWING","TGT")</f>
        <v>43406</v>
      </c>
      <c r="P638" s="95">
        <f ca="1"/>
        <v>1.6244313669020799E-3</v>
      </c>
      <c r="Q638" s="5" t="s">
        <v>4</v>
      </c>
      <c r="R638" s="83" t="s">
        <v>4</v>
      </c>
    </row>
    <row r="639" spans="1:18" x14ac:dyDescent="0.25">
      <c r="A639" s="88">
        <v>625</v>
      </c>
      <c r="B639" s="82"/>
      <c r="C639" s="97">
        <f ca="1">_xll.meDateFromTenor(C638,"1D","FOLLOWING","TGT")</f>
        <v>43409</v>
      </c>
      <c r="D639" s="95">
        <f ca="1"/>
        <v>-3.5907114237372362E-3</v>
      </c>
      <c r="E639" s="92"/>
      <c r="F639" s="97">
        <f ca="1">_xll.meDateFromTenor(F638,"1D","FOLLOWING","TGT")</f>
        <v>43409</v>
      </c>
      <c r="G639" s="95">
        <f ca="1"/>
        <v>-3.1125188855202742E-3</v>
      </c>
      <c r="H639" s="92" t="s">
        <v>4</v>
      </c>
      <c r="I639" s="97">
        <f ca="1">_xll.meDateFromTenor(I638,"1D","FOLLOWING","TGT")</f>
        <v>43409</v>
      </c>
      <c r="J639" s="95">
        <f ca="1"/>
        <v>-1.7450223064787232E-3</v>
      </c>
      <c r="K639" s="5" t="s">
        <v>4</v>
      </c>
      <c r="L639" s="97">
        <f ca="1">_xll.meDateFromTenor(L638,"1D","FOLLOWING","TGT")</f>
        <v>43409</v>
      </c>
      <c r="M639" s="95">
        <f ca="1"/>
        <v>-4.0893486338476284E-4</v>
      </c>
      <c r="N639" s="5" t="s">
        <v>4</v>
      </c>
      <c r="O639" s="97">
        <f ca="1">_xll.meDateFromTenor(O638,"1D","FOLLOWING","TGT")</f>
        <v>43409</v>
      </c>
      <c r="P639" s="95">
        <f ca="1"/>
        <v>1.6399333718847655E-3</v>
      </c>
      <c r="Q639" s="5" t="s">
        <v>4</v>
      </c>
      <c r="R639" s="83" t="s">
        <v>4</v>
      </c>
    </row>
    <row r="640" spans="1:18" x14ac:dyDescent="0.25">
      <c r="A640" s="88">
        <v>626</v>
      </c>
      <c r="B640" s="82"/>
      <c r="C640" s="97">
        <f ca="1">_xll.meDateFromTenor(C639,"1D","FOLLOWING","TGT")</f>
        <v>43410</v>
      </c>
      <c r="D640" s="95">
        <f ca="1"/>
        <v>-3.5875655486947711E-3</v>
      </c>
      <c r="E640" s="92"/>
      <c r="F640" s="97">
        <f ca="1">_xll.meDateFromTenor(F639,"1D","FOLLOWING","TGT")</f>
        <v>43410</v>
      </c>
      <c r="G640" s="95">
        <f ca="1"/>
        <v>-3.1089823238768829E-3</v>
      </c>
      <c r="H640" s="92" t="s">
        <v>4</v>
      </c>
      <c r="I640" s="97">
        <f ca="1">_xll.meDateFromTenor(I639,"1D","FOLLOWING","TGT")</f>
        <v>43410</v>
      </c>
      <c r="J640" s="95">
        <f ca="1"/>
        <v>-1.7378589840092132E-3</v>
      </c>
      <c r="K640" s="5" t="s">
        <v>4</v>
      </c>
      <c r="L640" s="97">
        <f ca="1">_xll.meDateFromTenor(L639,"1D","FOLLOWING","TGT")</f>
        <v>43410</v>
      </c>
      <c r="M640" s="95">
        <f ca="1"/>
        <v>-4.0393097137345085E-4</v>
      </c>
      <c r="N640" s="5" t="s">
        <v>4</v>
      </c>
      <c r="O640" s="97">
        <f ca="1">_xll.meDateFromTenor(O639,"1D","FOLLOWING","TGT")</f>
        <v>43410</v>
      </c>
      <c r="P640" s="95">
        <f ca="1"/>
        <v>1.6451076702734386E-3</v>
      </c>
      <c r="Q640" s="5" t="s">
        <v>4</v>
      </c>
      <c r="R640" s="83" t="s">
        <v>4</v>
      </c>
    </row>
    <row r="641" spans="1:18" x14ac:dyDescent="0.25">
      <c r="A641" s="88">
        <v>627</v>
      </c>
      <c r="B641" s="82"/>
      <c r="C641" s="97">
        <f ca="1">_xll.meDateFromTenor(C640,"1D","FOLLOWING","TGT")</f>
        <v>43411</v>
      </c>
      <c r="D641" s="95">
        <f ca="1"/>
        <v>-3.5844183435036481E-3</v>
      </c>
      <c r="E641" s="92"/>
      <c r="F641" s="97">
        <f ca="1">_xll.meDateFromTenor(F640,"1D","FOLLOWING","TGT")</f>
        <v>43411</v>
      </c>
      <c r="G641" s="95">
        <f ca="1"/>
        <v>-3.1054450503084558E-3</v>
      </c>
      <c r="H641" s="92" t="s">
        <v>4</v>
      </c>
      <c r="I641" s="97">
        <f ca="1">_xll.meDateFromTenor(I640,"1D","FOLLOWING","TGT")</f>
        <v>43411</v>
      </c>
      <c r="J641" s="95">
        <f ca="1"/>
        <v>-1.7307282718126578E-3</v>
      </c>
      <c r="K641" s="5" t="s">
        <v>4</v>
      </c>
      <c r="L641" s="97">
        <f ca="1">_xll.meDateFromTenor(L640,"1D","FOLLOWING","TGT")</f>
        <v>43411</v>
      </c>
      <c r="M641" s="95">
        <f ca="1"/>
        <v>-3.9892490242648628E-4</v>
      </c>
      <c r="N641" s="5" t="s">
        <v>4</v>
      </c>
      <c r="O641" s="97">
        <f ca="1">_xll.meDateFromTenor(O640,"1D","FOLLOWING","TGT")</f>
        <v>43411</v>
      </c>
      <c r="P641" s="95">
        <f ca="1"/>
        <v>1.6502854196212007E-3</v>
      </c>
      <c r="Q641" s="5" t="s">
        <v>4</v>
      </c>
      <c r="R641" s="83" t="s">
        <v>4</v>
      </c>
    </row>
    <row r="642" spans="1:18" x14ac:dyDescent="0.25">
      <c r="A642" s="88">
        <v>628</v>
      </c>
      <c r="B642" s="82"/>
      <c r="C642" s="97">
        <f ca="1">_xll.meDateFromTenor(C641,"1D","FOLLOWING","TGT")</f>
        <v>43412</v>
      </c>
      <c r="D642" s="95">
        <f ca="1"/>
        <v>-3.5812698077929417E-3</v>
      </c>
      <c r="E642" s="92"/>
      <c r="F642" s="97">
        <f ca="1">_xll.meDateFromTenor(F641,"1D","FOLLOWING","TGT")</f>
        <v>43412</v>
      </c>
      <c r="G642" s="95">
        <f ca="1"/>
        <v>-3.1019061011867063E-3</v>
      </c>
      <c r="H642" s="92" t="s">
        <v>4</v>
      </c>
      <c r="I642" s="97">
        <f ca="1">_xll.meDateFromTenor(I641,"1D","FOLLOWING","TGT")</f>
        <v>43412</v>
      </c>
      <c r="J642" s="95">
        <f ca="1"/>
        <v>-1.7236298630369021E-3</v>
      </c>
      <c r="K642" s="5" t="s">
        <v>4</v>
      </c>
      <c r="L642" s="97">
        <f ca="1">_xll.meDateFromTenor(L641,"1D","FOLLOWING","TGT")</f>
        <v>43412</v>
      </c>
      <c r="M642" s="95">
        <f ca="1"/>
        <v>-3.9391671135993506E-4</v>
      </c>
      <c r="N642" s="5" t="s">
        <v>4</v>
      </c>
      <c r="O642" s="97">
        <f ca="1">_xll.meDateFromTenor(O641,"1D","FOLLOWING","TGT")</f>
        <v>43412</v>
      </c>
      <c r="P642" s="95">
        <f ca="1"/>
        <v>1.6554666014851744E-3</v>
      </c>
      <c r="Q642" s="5" t="s">
        <v>4</v>
      </c>
      <c r="R642" s="83" t="s">
        <v>4</v>
      </c>
    </row>
    <row r="643" spans="1:18" x14ac:dyDescent="0.25">
      <c r="A643" s="88">
        <v>629</v>
      </c>
      <c r="B643" s="82"/>
      <c r="C643" s="97">
        <f ca="1">_xll.meDateFromTenor(C642,"1D","FOLLOWING","TGT")</f>
        <v>43413</v>
      </c>
      <c r="D643" s="95">
        <f ca="1"/>
        <v>-3.5781199416298204E-3</v>
      </c>
      <c r="E643" s="92"/>
      <c r="F643" s="97">
        <f ca="1">_xll.meDateFromTenor(F642,"1D","FOLLOWING","TGT")</f>
        <v>43413</v>
      </c>
      <c r="G643" s="95">
        <f ca="1"/>
        <v>-3.0983645128833497E-3</v>
      </c>
      <c r="H643" s="92" t="s">
        <v>4</v>
      </c>
      <c r="I643" s="97">
        <f ca="1">_xll.meDateFromTenor(I642,"1D","FOLLOWING","TGT")</f>
        <v>43413</v>
      </c>
      <c r="J643" s="95">
        <f ca="1"/>
        <v>-1.7165634508297942E-3</v>
      </c>
      <c r="K643" s="5" t="s">
        <v>4</v>
      </c>
      <c r="L643" s="97">
        <f ca="1">_xll.meDateFromTenor(L642,"1D","FOLLOWING","TGT")</f>
        <v>43413</v>
      </c>
      <c r="M643" s="95">
        <f ca="1"/>
        <v>-3.88906452989866E-4</v>
      </c>
      <c r="N643" s="5" t="s">
        <v>4</v>
      </c>
      <c r="O643" s="97">
        <f ca="1">_xll.meDateFromTenor(O642,"1D","FOLLOWING","TGT")</f>
        <v>43413</v>
      </c>
      <c r="P643" s="95">
        <f ca="1"/>
        <v>1.6606511974224779E-3</v>
      </c>
      <c r="Q643" s="5" t="s">
        <v>4</v>
      </c>
      <c r="R643" s="83" t="s">
        <v>4</v>
      </c>
    </row>
    <row r="644" spans="1:18" x14ac:dyDescent="0.25">
      <c r="A644" s="88">
        <v>630</v>
      </c>
      <c r="B644" s="82"/>
      <c r="C644" s="97">
        <f ca="1">_xll.meDateFromTenor(C643,"1D","FOLLOWING","TGT")</f>
        <v>43416</v>
      </c>
      <c r="D644" s="95">
        <f ca="1"/>
        <v>-3.5686623598228939E-3</v>
      </c>
      <c r="E644" s="92"/>
      <c r="F644" s="97">
        <f ca="1">_xll.meDateFromTenor(F643,"1D","FOLLOWING","TGT")</f>
        <v>43416</v>
      </c>
      <c r="G644" s="95">
        <f ca="1"/>
        <v>-3.0877142766007701E-3</v>
      </c>
      <c r="H644" s="92" t="s">
        <v>4</v>
      </c>
      <c r="I644" s="97">
        <f ca="1">_xll.meDateFromTenor(I643,"1D","FOLLOWING","TGT")</f>
        <v>43416</v>
      </c>
      <c r="J644" s="95">
        <f ca="1"/>
        <v>-1.6955531250988129E-3</v>
      </c>
      <c r="K644" s="5" t="s">
        <v>4</v>
      </c>
      <c r="L644" s="97">
        <f ca="1">_xll.meDateFromTenor(L643,"1D","FOLLOWING","TGT")</f>
        <v>43416</v>
      </c>
      <c r="M644" s="95">
        <f ca="1"/>
        <v>-3.7386382221922017E-4</v>
      </c>
      <c r="N644" s="5" t="s">
        <v>4</v>
      </c>
      <c r="O644" s="97">
        <f ca="1">_xll.meDateFromTenor(O643,"1D","FOLLOWING","TGT")</f>
        <v>43416</v>
      </c>
      <c r="P644" s="95">
        <f ca="1"/>
        <v>1.6762252852455816E-3</v>
      </c>
      <c r="Q644" s="5" t="s">
        <v>4</v>
      </c>
      <c r="R644" s="83" t="s">
        <v>4</v>
      </c>
    </row>
    <row r="645" spans="1:18" x14ac:dyDescent="0.25">
      <c r="A645" s="88">
        <v>631</v>
      </c>
      <c r="B645" s="82"/>
      <c r="C645" s="97">
        <f ca="1">_xll.meDateFromTenor(C644,"1D","FOLLOWING","TGT")</f>
        <v>43417</v>
      </c>
      <c r="D645" s="95">
        <f ca="1"/>
        <v>-3.5655071713664999E-3</v>
      </c>
      <c r="E645" s="92"/>
      <c r="F645" s="97">
        <f ca="1">_xll.meDateFromTenor(F644,"1D","FOLLOWING","TGT")</f>
        <v>43417</v>
      </c>
      <c r="G645" s="95">
        <f ca="1"/>
        <v>-3.0841524952881214E-3</v>
      </c>
      <c r="H645" s="92" t="s">
        <v>4</v>
      </c>
      <c r="I645" s="97">
        <f ca="1">_xll.meDateFromTenor(I644,"1D","FOLLOWING","TGT")</f>
        <v>43417</v>
      </c>
      <c r="J645" s="95">
        <f ca="1"/>
        <v>-1.6886116306447561E-3</v>
      </c>
      <c r="K645" s="5" t="s">
        <v>4</v>
      </c>
      <c r="L645" s="97">
        <f ca="1">_xll.meDateFromTenor(L644,"1D","FOLLOWING","TGT")</f>
        <v>43417</v>
      </c>
      <c r="M645" s="95">
        <f ca="1"/>
        <v>-3.6884584279575096E-4</v>
      </c>
      <c r="N645" s="5" t="s">
        <v>4</v>
      </c>
      <c r="O645" s="97">
        <f ca="1">_xll.meDateFromTenor(O644,"1D","FOLLOWING","TGT")</f>
        <v>43417</v>
      </c>
      <c r="P645" s="95">
        <f ca="1"/>
        <v>1.6814233530474153E-3</v>
      </c>
      <c r="Q645" s="5" t="s">
        <v>4</v>
      </c>
      <c r="R645" s="83" t="s">
        <v>4</v>
      </c>
    </row>
    <row r="646" spans="1:18" x14ac:dyDescent="0.25">
      <c r="A646" s="88">
        <v>632</v>
      </c>
      <c r="B646" s="82"/>
      <c r="C646" s="97">
        <f ca="1">_xll.meDateFromTenor(C645,"1D","FOLLOWING","TGT")</f>
        <v>43418</v>
      </c>
      <c r="D646" s="95">
        <f ca="1"/>
        <v>-3.5623506522356463E-3</v>
      </c>
      <c r="E646" s="92"/>
      <c r="F646" s="97">
        <f ca="1">_xll.meDateFromTenor(F645,"1D","FOLLOWING","TGT")</f>
        <v>43418</v>
      </c>
      <c r="G646" s="95">
        <f ca="1"/>
        <v>-3.0805832566524346E-3</v>
      </c>
      <c r="H646" s="92" t="s">
        <v>4</v>
      </c>
      <c r="I646" s="97">
        <f ca="1">_xll.meDateFromTenor(I645,"1D","FOLLOWING","TGT")</f>
        <v>43418</v>
      </c>
      <c r="J646" s="95">
        <f ca="1"/>
        <v>-1.6817005984985783E-3</v>
      </c>
      <c r="K646" s="5" t="s">
        <v>4</v>
      </c>
      <c r="L646" s="97">
        <f ca="1">_xll.meDateFromTenor(L645,"1D","FOLLOWING","TGT")</f>
        <v>43418</v>
      </c>
      <c r="M646" s="95">
        <f ca="1"/>
        <v>-3.6382607014910049E-4</v>
      </c>
      <c r="N646" s="5" t="s">
        <v>4</v>
      </c>
      <c r="O646" s="97">
        <f ca="1">_xll.meDateFromTenor(O645,"1D","FOLLOWING","TGT")</f>
        <v>43418</v>
      </c>
      <c r="P646" s="95">
        <f ca="1"/>
        <v>1.6866247427081819E-3</v>
      </c>
      <c r="Q646" s="5" t="s">
        <v>4</v>
      </c>
      <c r="R646" s="83" t="s">
        <v>4</v>
      </c>
    </row>
    <row r="647" spans="1:18" x14ac:dyDescent="0.25">
      <c r="A647" s="88">
        <v>633</v>
      </c>
      <c r="B647" s="82"/>
      <c r="C647" s="97">
        <f ca="1">_xll.meDateFromTenor(C646,"1D","FOLLOWING","TGT")</f>
        <v>43419</v>
      </c>
      <c r="D647" s="95">
        <f ca="1"/>
        <v>-3.5591928023382957E-3</v>
      </c>
      <c r="E647" s="92"/>
      <c r="F647" s="97">
        <f ca="1">_xll.meDateFromTenor(F646,"1D","FOLLOWING","TGT")</f>
        <v>43419</v>
      </c>
      <c r="G647" s="95">
        <f ca="1"/>
        <v>-3.077005597065423E-3</v>
      </c>
      <c r="H647" s="92" t="s">
        <v>4</v>
      </c>
      <c r="I647" s="97">
        <f ca="1">_xll.meDateFromTenor(I646,"1D","FOLLOWING","TGT")</f>
        <v>43419</v>
      </c>
      <c r="J647" s="95">
        <f ca="1"/>
        <v>-1.6748197218081264E-3</v>
      </c>
      <c r="K647" s="5" t="s">
        <v>4</v>
      </c>
      <c r="L647" s="97">
        <f ca="1">_xll.meDateFromTenor(L646,"1D","FOLLOWING","TGT")</f>
        <v>43419</v>
      </c>
      <c r="M647" s="95">
        <f ca="1"/>
        <v>-3.5880455909533617E-4</v>
      </c>
      <c r="N647" s="5" t="s">
        <v>4</v>
      </c>
      <c r="O647" s="97">
        <f ca="1">_xll.meDateFromTenor(O646,"1D","FOLLOWING","TGT")</f>
        <v>43419</v>
      </c>
      <c r="P647" s="95">
        <f ca="1"/>
        <v>1.6918294357850035E-3</v>
      </c>
      <c r="Q647" s="5" t="s">
        <v>4</v>
      </c>
      <c r="R647" s="83" t="s">
        <v>4</v>
      </c>
    </row>
    <row r="648" spans="1:18" x14ac:dyDescent="0.25">
      <c r="A648" s="88">
        <v>634</v>
      </c>
      <c r="B648" s="82"/>
      <c r="C648" s="97">
        <f ca="1">_xll.meDateFromTenor(C647,"1D","FOLLOWING","TGT")</f>
        <v>43420</v>
      </c>
      <c r="D648" s="95">
        <f ca="1"/>
        <v>-3.5560336218211086E-3</v>
      </c>
      <c r="E648" s="92"/>
      <c r="F648" s="97">
        <f ca="1">_xll.meDateFromTenor(F647,"1D","FOLLOWING","TGT")</f>
        <v>43420</v>
      </c>
      <c r="G648" s="95">
        <f ca="1"/>
        <v>-3.0734185528988028E-3</v>
      </c>
      <c r="H648" s="92" t="s">
        <v>4</v>
      </c>
      <c r="I648" s="97">
        <f ca="1">_xll.meDateFromTenor(I647,"1D","FOLLOWING","TGT")</f>
        <v>43420</v>
      </c>
      <c r="J648" s="95">
        <f ca="1"/>
        <v>-1.6679686937212477E-3</v>
      </c>
      <c r="K648" s="5" t="s">
        <v>4</v>
      </c>
      <c r="L648" s="97">
        <f ca="1">_xll.meDateFromTenor(L647,"1D","FOLLOWING","TGT")</f>
        <v>43420</v>
      </c>
      <c r="M648" s="95">
        <f ca="1"/>
        <v>-3.5378136445052651E-4</v>
      </c>
      <c r="N648" s="5" t="s">
        <v>4</v>
      </c>
      <c r="O648" s="97">
        <f ca="1">_xll.meDateFromTenor(O647,"1D","FOLLOWING","TGT")</f>
        <v>43420</v>
      </c>
      <c r="P648" s="95">
        <f ca="1"/>
        <v>1.6970374138349984E-3</v>
      </c>
      <c r="Q648" s="5" t="s">
        <v>4</v>
      </c>
      <c r="R648" s="83" t="s">
        <v>4</v>
      </c>
    </row>
    <row r="649" spans="1:18" x14ac:dyDescent="0.25">
      <c r="A649" s="88">
        <v>635</v>
      </c>
      <c r="B649" s="82"/>
      <c r="C649" s="97">
        <f ca="1">_xll.meDateFromTenor(C648,"1D","FOLLOWING","TGT")</f>
        <v>43423</v>
      </c>
      <c r="D649" s="95">
        <f ca="1"/>
        <v>-3.5465480949912198E-3</v>
      </c>
      <c r="E649" s="92"/>
      <c r="F649" s="97">
        <f ca="1">_xll.meDateFromTenor(F648,"1D","FOLLOWING","TGT")</f>
        <v>43423</v>
      </c>
      <c r="G649" s="95">
        <f ca="1"/>
        <v>-3.0625914766384201E-3</v>
      </c>
      <c r="H649" s="92" t="s">
        <v>4</v>
      </c>
      <c r="I649" s="97">
        <f ca="1">_xll.meDateFromTenor(I648,"1D","FOLLOWING","TGT")</f>
        <v>43423</v>
      </c>
      <c r="J649" s="95">
        <f ca="1"/>
        <v>-1.647591632560508E-3</v>
      </c>
      <c r="K649" s="5" t="s">
        <v>4</v>
      </c>
      <c r="L649" s="97">
        <f ca="1">_xll.meDateFromTenor(L648,"1D","FOLLOWING","TGT")</f>
        <v>43423</v>
      </c>
      <c r="M649" s="95">
        <f ca="1"/>
        <v>-3.3870222713049217E-4</v>
      </c>
      <c r="N649" s="5" t="s">
        <v>4</v>
      </c>
      <c r="O649" s="97">
        <f ca="1">_xll.meDateFromTenor(O648,"1D","FOLLOWING","TGT")</f>
        <v>43423</v>
      </c>
      <c r="P649" s="95">
        <f ca="1"/>
        <v>1.7126808733952384E-3</v>
      </c>
      <c r="Q649" s="5" t="s">
        <v>4</v>
      </c>
      <c r="R649" s="83" t="s">
        <v>4</v>
      </c>
    </row>
    <row r="650" spans="1:18" x14ac:dyDescent="0.25">
      <c r="A650" s="88">
        <v>636</v>
      </c>
      <c r="B650" s="82"/>
      <c r="C650" s="97">
        <f ca="1">_xll.meDateFromTenor(C649,"1D","FOLLOWING","TGT")</f>
        <v>43424</v>
      </c>
      <c r="D650" s="95">
        <f ca="1"/>
        <v>-3.5433835909929323E-3</v>
      </c>
      <c r="E650" s="92"/>
      <c r="F650" s="97">
        <f ca="1">_xll.meDateFromTenor(F649,"1D","FOLLOWING","TGT")</f>
        <v>43424</v>
      </c>
      <c r="G650" s="95">
        <f ca="1"/>
        <v>-3.0589572578704994E-3</v>
      </c>
      <c r="H650" s="92" t="s">
        <v>4</v>
      </c>
      <c r="I650" s="97">
        <f ca="1">_xll.meDateFromTenor(I649,"1D","FOLLOWING","TGT")</f>
        <v>43424</v>
      </c>
      <c r="J650" s="95">
        <f ca="1"/>
        <v>-1.6408569303663818E-3</v>
      </c>
      <c r="K650" s="5" t="s">
        <v>4</v>
      </c>
      <c r="L650" s="97">
        <f ca="1">_xll.meDateFromTenor(L649,"1D","FOLLOWING","TGT")</f>
        <v>43424</v>
      </c>
      <c r="M650" s="95">
        <f ca="1"/>
        <v>-3.3367284628217083E-4</v>
      </c>
      <c r="N650" s="5" t="s">
        <v>4</v>
      </c>
      <c r="O650" s="97">
        <f ca="1">_xll.meDateFromTenor(O649,"1D","FOLLOWING","TGT")</f>
        <v>43424</v>
      </c>
      <c r="P650" s="95">
        <f ca="1"/>
        <v>1.717901806909138E-3</v>
      </c>
      <c r="Q650" s="5" t="s">
        <v>4</v>
      </c>
      <c r="R650" s="83" t="s">
        <v>4</v>
      </c>
    </row>
    <row r="651" spans="1:18" x14ac:dyDescent="0.25">
      <c r="A651" s="88">
        <v>637</v>
      </c>
      <c r="B651" s="82"/>
      <c r="C651" s="97">
        <f ca="1">_xll.meDateFromTenor(C650,"1D","FOLLOWING","TGT")</f>
        <v>43425</v>
      </c>
      <c r="D651" s="95">
        <f ca="1"/>
        <v>-3.5402177559534787E-3</v>
      </c>
      <c r="E651" s="92"/>
      <c r="F651" s="97">
        <f ca="1">_xll.meDateFromTenor(F650,"1D","FOLLOWING","TGT")</f>
        <v>43425</v>
      </c>
      <c r="G651" s="95">
        <f ca="1"/>
        <v>-3.0553088363815387E-3</v>
      </c>
      <c r="H651" s="92" t="s">
        <v>4</v>
      </c>
      <c r="I651" s="97">
        <f ca="1">_xll.meDateFromTenor(I650,"1D","FOLLOWING","TGT")</f>
        <v>43425</v>
      </c>
      <c r="J651" s="95">
        <f ca="1"/>
        <v>-1.6341505425150607E-3</v>
      </c>
      <c r="K651" s="5" t="s">
        <v>4</v>
      </c>
      <c r="L651" s="97">
        <f ca="1">_xll.meDateFromTenor(L650,"1D","FOLLOWING","TGT")</f>
        <v>43425</v>
      </c>
      <c r="M651" s="95">
        <f ca="1"/>
        <v>-3.2864205592314055E-4</v>
      </c>
      <c r="N651" s="5" t="s">
        <v>4</v>
      </c>
      <c r="O651" s="97">
        <f ca="1">_xll.meDateFromTenor(O650,"1D","FOLLOWING","TGT")</f>
        <v>43425</v>
      </c>
      <c r="P651" s="95">
        <f ca="1"/>
        <v>1.7231259331818149E-3</v>
      </c>
      <c r="Q651" s="5" t="s">
        <v>4</v>
      </c>
      <c r="R651" s="83" t="s">
        <v>4</v>
      </c>
    </row>
    <row r="652" spans="1:18" x14ac:dyDescent="0.25">
      <c r="A652" s="88">
        <v>638</v>
      </c>
      <c r="B652" s="82"/>
      <c r="C652" s="97">
        <f ca="1">_xll.meDateFromTenor(C651,"1D","FOLLOWING","TGT")</f>
        <v>43426</v>
      </c>
      <c r="D652" s="95">
        <f ca="1"/>
        <v>-3.5370505899798843E-3</v>
      </c>
      <c r="E652" s="92"/>
      <c r="F652" s="97">
        <f ca="1">_xll.meDateFromTenor(F651,"1D","FOLLOWING","TGT")</f>
        <v>43426</v>
      </c>
      <c r="G652" s="95">
        <f ca="1"/>
        <v>-3.051645248543251E-3</v>
      </c>
      <c r="H652" s="92" t="s">
        <v>4</v>
      </c>
      <c r="I652" s="97">
        <f ca="1">_xll.meDateFromTenor(I651,"1D","FOLLOWING","TGT")</f>
        <v>43426</v>
      </c>
      <c r="J652" s="95">
        <f ca="1"/>
        <v>-1.6274721621543904E-3</v>
      </c>
      <c r="K652" s="5" t="s">
        <v>4</v>
      </c>
      <c r="L652" s="97">
        <f ca="1">_xll.meDateFromTenor(L651,"1D","FOLLOWING","TGT")</f>
        <v>43426</v>
      </c>
      <c r="M652" s="95">
        <f ca="1"/>
        <v>-3.2360991086946854E-4</v>
      </c>
      <c r="N652" s="5" t="s">
        <v>4</v>
      </c>
      <c r="O652" s="97">
        <f ca="1">_xll.meDateFromTenor(O651,"1D","FOLLOWING","TGT")</f>
        <v>43426</v>
      </c>
      <c r="P652" s="95">
        <f ca="1"/>
        <v>1.7283532337703897E-3</v>
      </c>
      <c r="Q652" s="5" t="s">
        <v>4</v>
      </c>
      <c r="R652" s="83" t="s">
        <v>4</v>
      </c>
    </row>
    <row r="653" spans="1:18" x14ac:dyDescent="0.25">
      <c r="A653" s="88">
        <v>639</v>
      </c>
      <c r="B653" s="82"/>
      <c r="C653" s="97">
        <f ca="1">_xll.meDateFromTenor(C652,"1D","FOLLOWING","TGT")</f>
        <v>43427</v>
      </c>
      <c r="D653" s="95">
        <f ca="1"/>
        <v>-3.5338820929001757E-3</v>
      </c>
      <c r="E653" s="92"/>
      <c r="F653" s="97">
        <f ca="1">_xll.meDateFromTenor(F652,"1D","FOLLOWING","TGT")</f>
        <v>43427</v>
      </c>
      <c r="G653" s="95">
        <f ca="1"/>
        <v>-3.0479655307273528E-3</v>
      </c>
      <c r="H653" s="92" t="s">
        <v>4</v>
      </c>
      <c r="I653" s="97">
        <f ca="1">_xll.meDateFromTenor(I652,"1D","FOLLOWING","TGT")</f>
        <v>43427</v>
      </c>
      <c r="J653" s="95">
        <f ca="1"/>
        <v>-1.6208214824322178E-3</v>
      </c>
      <c r="K653" s="5" t="s">
        <v>4</v>
      </c>
      <c r="L653" s="97">
        <f ca="1">_xll.meDateFromTenor(L652,"1D","FOLLOWING","TGT")</f>
        <v>43427</v>
      </c>
      <c r="M653" s="95">
        <f ca="1"/>
        <v>-3.1857646593722245E-4</v>
      </c>
      <c r="N653" s="5" t="s">
        <v>4</v>
      </c>
      <c r="O653" s="97">
        <f ca="1">_xll.meDateFromTenor(O652,"1D","FOLLOWING","TGT")</f>
        <v>43427</v>
      </c>
      <c r="P653" s="95">
        <f ca="1"/>
        <v>1.733583690231983E-3</v>
      </c>
      <c r="Q653" s="5" t="s">
        <v>4</v>
      </c>
      <c r="R653" s="83" t="s">
        <v>4</v>
      </c>
    </row>
    <row r="654" spans="1:18" x14ac:dyDescent="0.25">
      <c r="A654" s="88">
        <v>640</v>
      </c>
      <c r="B654" s="82"/>
      <c r="C654" s="97">
        <f ca="1">_xll.meDateFromTenor(C653,"1D","FOLLOWING","TGT")</f>
        <v>43430</v>
      </c>
      <c r="D654" s="95">
        <f ca="1"/>
        <v>-3.5243686149778464E-3</v>
      </c>
      <c r="E654" s="92"/>
      <c r="F654" s="97">
        <f ca="1">_xll.meDateFromTenor(F653,"1D","FOLLOWING","TGT")</f>
        <v>43430</v>
      </c>
      <c r="G654" s="95">
        <f ca="1"/>
        <v>-3.0368199611311244E-3</v>
      </c>
      <c r="H654" s="92" t="s">
        <v>4</v>
      </c>
      <c r="I654" s="97">
        <f ca="1">_xll.meDateFromTenor(I653,"1D","FOLLOWING","TGT")</f>
        <v>43430</v>
      </c>
      <c r="J654" s="95">
        <f ca="1"/>
        <v>-1.601032578575152E-3</v>
      </c>
      <c r="K654" s="5" t="s">
        <v>4</v>
      </c>
      <c r="L654" s="97">
        <f ca="1">_xll.meDateFromTenor(L653,"1D","FOLLOWING","TGT")</f>
        <v>43430</v>
      </c>
      <c r="M654" s="95">
        <f ca="1"/>
        <v>-3.0346888002971456E-4</v>
      </c>
      <c r="N654" s="5" t="s">
        <v>4</v>
      </c>
      <c r="O654" s="97">
        <f ca="1">_xll.meDateFromTenor(O653,"1D","FOLLOWING","TGT")</f>
        <v>43430</v>
      </c>
      <c r="P654" s="95">
        <f ca="1"/>
        <v>1.7492938104260774E-3</v>
      </c>
      <c r="Q654" s="5" t="s">
        <v>4</v>
      </c>
      <c r="R654" s="83" t="s">
        <v>4</v>
      </c>
    </row>
    <row r="655" spans="1:18" x14ac:dyDescent="0.25">
      <c r="A655" s="88">
        <v>641</v>
      </c>
      <c r="B655" s="82"/>
      <c r="C655" s="97">
        <f ca="1">_xll.meDateFromTenor(C654,"1D","FOLLOWING","TGT")</f>
        <v>43431</v>
      </c>
      <c r="D655" s="95">
        <f ca="1"/>
        <v>-3.5211947933078136E-3</v>
      </c>
      <c r="E655" s="92"/>
      <c r="F655" s="97">
        <f ca="1">_xll.meDateFromTenor(F654,"1D","FOLLOWING","TGT")</f>
        <v>43431</v>
      </c>
      <c r="G655" s="95">
        <f ca="1"/>
        <v>-3.0330660871219182E-3</v>
      </c>
      <c r="H655" s="92" t="s">
        <v>4</v>
      </c>
      <c r="I655" s="97">
        <f ca="1">_xll.meDateFromTenor(I654,"1D","FOLLOWING","TGT")</f>
        <v>43431</v>
      </c>
      <c r="J655" s="95">
        <f ca="1"/>
        <v>-1.594489632885436E-3</v>
      </c>
      <c r="K655" s="5" t="s">
        <v>4</v>
      </c>
      <c r="L655" s="97">
        <f ca="1">_xll.meDateFromTenor(L654,"1D","FOLLOWING","TGT")</f>
        <v>43431</v>
      </c>
      <c r="M655" s="95">
        <f ca="1"/>
        <v>-2.9843078374384714E-4</v>
      </c>
      <c r="N655" s="5" t="s">
        <v>4</v>
      </c>
      <c r="O655" s="97">
        <f ca="1">_xll.meDateFromTenor(O654,"1D","FOLLOWING","TGT")</f>
        <v>43431</v>
      </c>
      <c r="P655" s="95">
        <f ca="1"/>
        <v>1.7545367059509484E-3</v>
      </c>
      <c r="Q655" s="5" t="s">
        <v>4</v>
      </c>
      <c r="R655" s="83" t="s">
        <v>4</v>
      </c>
    </row>
    <row r="656" spans="1:18" x14ac:dyDescent="0.25">
      <c r="A656" s="88">
        <v>642</v>
      </c>
      <c r="B656" s="82"/>
      <c r="C656" s="97">
        <f ca="1">_xll.meDateFromTenor(C655,"1D","FOLLOWING","TGT")</f>
        <v>43432</v>
      </c>
      <c r="D656" s="95">
        <f ca="1"/>
        <v>-3.5180196403092889E-3</v>
      </c>
      <c r="E656" s="92"/>
      <c r="F656" s="97">
        <f ca="1">_xll.meDateFromTenor(F655,"1D","FOLLOWING","TGT")</f>
        <v>43432</v>
      </c>
      <c r="G656" s="95">
        <f ca="1"/>
        <v>-3.0292912649936693E-3</v>
      </c>
      <c r="H656" s="92" t="s">
        <v>4</v>
      </c>
      <c r="I656" s="97">
        <f ca="1">_xll.meDateFromTenor(I655,"1D","FOLLOWING","TGT")</f>
        <v>43432</v>
      </c>
      <c r="J656" s="95">
        <f ca="1"/>
        <v>-1.5879728535734487E-3</v>
      </c>
      <c r="K656" s="5" t="s">
        <v>4</v>
      </c>
      <c r="L656" s="97">
        <f ca="1">_xll.meDateFromTenor(L655,"1D","FOLLOWING","TGT")</f>
        <v>43432</v>
      </c>
      <c r="M656" s="95">
        <f ca="1"/>
        <v>-2.9339166165974208E-4</v>
      </c>
      <c r="N656" s="5" t="s">
        <v>4</v>
      </c>
      <c r="O656" s="97">
        <f ca="1">_xll.meDateFromTenor(O655,"1D","FOLLOWING","TGT")</f>
        <v>43432</v>
      </c>
      <c r="P656" s="95">
        <f ca="1"/>
        <v>1.7597826651344415E-3</v>
      </c>
      <c r="Q656" s="5" t="s">
        <v>4</v>
      </c>
      <c r="R656" s="83" t="s">
        <v>4</v>
      </c>
    </row>
    <row r="657" spans="1:18" x14ac:dyDescent="0.25">
      <c r="A657" s="88">
        <v>643</v>
      </c>
      <c r="B657" s="82"/>
      <c r="C657" s="97">
        <f ca="1">_xll.meDateFromTenor(C656,"1D","FOLLOWING","TGT")</f>
        <v>43433</v>
      </c>
      <c r="D657" s="95">
        <f ca="1"/>
        <v>-3.5148431560093618E-3</v>
      </c>
      <c r="E657" s="92"/>
      <c r="F657" s="97">
        <f ca="1">_xll.meDateFromTenor(F656,"1D","FOLLOWING","TGT")</f>
        <v>43433</v>
      </c>
      <c r="G657" s="95">
        <f ca="1"/>
        <v>-3.0254945311180923E-3</v>
      </c>
      <c r="H657" s="92" t="s">
        <v>4</v>
      </c>
      <c r="I657" s="97">
        <f ca="1">_xll.meDateFromTenor(I656,"1D","FOLLOWING","TGT")</f>
        <v>43433</v>
      </c>
      <c r="J657" s="95">
        <f ca="1"/>
        <v>-1.581481933787038E-3</v>
      </c>
      <c r="K657" s="5" t="s">
        <v>4</v>
      </c>
      <c r="L657" s="97">
        <f ca="1">_xll.meDateFromTenor(L656,"1D","FOLLOWING","TGT")</f>
        <v>43433</v>
      </c>
      <c r="M657" s="95">
        <f ca="1"/>
        <v>-2.8835156859346767E-4</v>
      </c>
      <c r="N657" s="5" t="s">
        <v>4</v>
      </c>
      <c r="O657" s="97">
        <f ca="1">_xll.meDateFromTenor(O656,"1D","FOLLOWING","TGT")</f>
        <v>43433</v>
      </c>
      <c r="P657" s="95">
        <f ca="1"/>
        <v>1.7650316695336764E-3</v>
      </c>
      <c r="Q657" s="5" t="s">
        <v>4</v>
      </c>
      <c r="R657" s="83" t="s">
        <v>4</v>
      </c>
    </row>
    <row r="658" spans="1:18" x14ac:dyDescent="0.25">
      <c r="A658" s="88">
        <v>644</v>
      </c>
      <c r="B658" s="82"/>
      <c r="C658" s="97">
        <f ca="1">_xll.meDateFromTenor(C657,"1D","FOLLOWING","TGT")</f>
        <v>43434</v>
      </c>
      <c r="D658" s="95">
        <f ca="1"/>
        <v>-3.5116653404354548E-3</v>
      </c>
      <c r="E658" s="92"/>
      <c r="F658" s="97">
        <f ca="1">_xll.meDateFromTenor(F657,"1D","FOLLOWING","TGT")</f>
        <v>43434</v>
      </c>
      <c r="G658" s="95">
        <f ca="1"/>
        <v>-3.0216749218669016E-3</v>
      </c>
      <c r="H658" s="92" t="s">
        <v>4</v>
      </c>
      <c r="I658" s="97">
        <f ca="1">_xll.meDateFromTenor(I657,"1D","FOLLOWING","TGT")</f>
        <v>43434</v>
      </c>
      <c r="J658" s="95">
        <f ca="1"/>
        <v>-1.5750165666740506E-3</v>
      </c>
      <c r="K658" s="5" t="s">
        <v>4</v>
      </c>
      <c r="L658" s="97">
        <f ca="1">_xll.meDateFromTenor(L657,"1D","FOLLOWING","TGT")</f>
        <v>43434</v>
      </c>
      <c r="M658" s="95">
        <f ca="1"/>
        <v>-2.8331055936109113E-4</v>
      </c>
      <c r="N658" s="5" t="s">
        <v>4</v>
      </c>
      <c r="O658" s="97">
        <f ca="1">_xll.meDateFromTenor(O657,"1D","FOLLOWING","TGT")</f>
        <v>43434</v>
      </c>
      <c r="P658" s="95">
        <f ca="1"/>
        <v>1.7702837007057728E-3</v>
      </c>
      <c r="Q658" s="5" t="s">
        <v>4</v>
      </c>
      <c r="R658" s="83" t="s">
        <v>4</v>
      </c>
    </row>
    <row r="659" spans="1:18" x14ac:dyDescent="0.25">
      <c r="A659" s="88">
        <v>645</v>
      </c>
      <c r="B659" s="82"/>
      <c r="C659" s="97">
        <f ca="1">_xll.meDateFromTenor(C658,"1D","FOLLOWING","TGT")</f>
        <v>43437</v>
      </c>
      <c r="D659" s="95">
        <f ca="1"/>
        <v>-3.5021274016456827E-3</v>
      </c>
      <c r="E659" s="92"/>
      <c r="F659" s="97">
        <f ca="1">_xll.meDateFromTenor(F658,"1D","FOLLOWING","TGT")</f>
        <v>43437</v>
      </c>
      <c r="G659" s="95">
        <f ca="1"/>
        <v>-3.0100692055767845E-3</v>
      </c>
      <c r="H659" s="92" t="s">
        <v>4</v>
      </c>
      <c r="I659" s="97">
        <f ca="1">_xll.meDateFromTenor(I658,"1D","FOLLOWING","TGT")</f>
        <v>43437</v>
      </c>
      <c r="J659" s="95">
        <f ca="1"/>
        <v>-1.555770712854091E-3</v>
      </c>
      <c r="K659" s="5" t="s">
        <v>4</v>
      </c>
      <c r="L659" s="97">
        <f ca="1">_xll.meDateFromTenor(L658,"1D","FOLLOWING","TGT")</f>
        <v>43437</v>
      </c>
      <c r="M659" s="95">
        <f ca="1"/>
        <v>-2.681825828280245E-4</v>
      </c>
      <c r="N659" s="5" t="s">
        <v>4</v>
      </c>
      <c r="O659" s="97">
        <f ca="1">_xll.meDateFromTenor(O658,"1D","FOLLOWING","TGT")</f>
        <v>43437</v>
      </c>
      <c r="P659" s="95">
        <f ca="1"/>
        <v>1.7860577704304408E-3</v>
      </c>
      <c r="Q659" s="5" t="s">
        <v>4</v>
      </c>
      <c r="R659" s="83" t="s">
        <v>4</v>
      </c>
    </row>
    <row r="660" spans="1:18" x14ac:dyDescent="0.25">
      <c r="A660" s="88">
        <v>646</v>
      </c>
      <c r="B660" s="82"/>
      <c r="C660" s="97">
        <f ca="1">_xll.meDateFromTenor(C659,"1D","FOLLOWING","TGT")</f>
        <v>43438</v>
      </c>
      <c r="D660" s="95">
        <f ca="1"/>
        <v>-3.4989652396832938E-3</v>
      </c>
      <c r="E660" s="92"/>
      <c r="F660" s="97">
        <f ca="1">_xll.meDateFromTenor(F659,"1D","FOLLOWING","TGT")</f>
        <v>43438</v>
      </c>
      <c r="G660" s="95">
        <f ca="1"/>
        <v>-3.006148955023978E-3</v>
      </c>
      <c r="H660" s="92" t="s">
        <v>4</v>
      </c>
      <c r="I660" s="97">
        <f ca="1">_xll.meDateFromTenor(I659,"1D","FOLLOWING","TGT")</f>
        <v>43438</v>
      </c>
      <c r="J660" s="95">
        <f ca="1"/>
        <v>-1.5494045528141925E-3</v>
      </c>
      <c r="K660" s="5" t="s">
        <v>4</v>
      </c>
      <c r="L660" s="97">
        <f ca="1">_xll.meDateFromTenor(L659,"1D","FOLLOWING","TGT")</f>
        <v>43438</v>
      </c>
      <c r="M660" s="95">
        <f ca="1"/>
        <v>-2.6313583782019181E-4</v>
      </c>
      <c r="N660" s="5" t="s">
        <v>4</v>
      </c>
      <c r="O660" s="97">
        <f ca="1">_xll.meDateFromTenor(O659,"1D","FOLLOWING","TGT")</f>
        <v>43438</v>
      </c>
      <c r="P660" s="95">
        <f ca="1"/>
        <v>1.7913217242651902E-3</v>
      </c>
      <c r="Q660" s="5" t="s">
        <v>4</v>
      </c>
      <c r="R660" s="83" t="s">
        <v>4</v>
      </c>
    </row>
    <row r="661" spans="1:18" x14ac:dyDescent="0.25">
      <c r="A661" s="88">
        <v>647</v>
      </c>
      <c r="B661" s="82"/>
      <c r="C661" s="97">
        <f ca="1">_xll.meDateFromTenor(C660,"1D","FOLLOWING","TGT")</f>
        <v>43439</v>
      </c>
      <c r="D661" s="95">
        <f ca="1"/>
        <v>-3.4958227254061613E-3</v>
      </c>
      <c r="E661" s="92"/>
      <c r="F661" s="97">
        <f ca="1">_xll.meDateFromTenor(F660,"1D","FOLLOWING","TGT")</f>
        <v>43439</v>
      </c>
      <c r="G661" s="95">
        <f ca="1"/>
        <v>-3.0022039898563281E-3</v>
      </c>
      <c r="H661" s="92" t="s">
        <v>4</v>
      </c>
      <c r="I661" s="97">
        <f ca="1">_xll.meDateFromTenor(I660,"1D","FOLLOWING","TGT")</f>
        <v>43439</v>
      </c>
      <c r="J661" s="95">
        <f ca="1"/>
        <v>-1.5430628005925337E-3</v>
      </c>
      <c r="K661" s="5" t="s">
        <v>4</v>
      </c>
      <c r="L661" s="97">
        <f ca="1">_xll.meDateFromTenor(L660,"1D","FOLLOWING","TGT")</f>
        <v>43439</v>
      </c>
      <c r="M661" s="95">
        <f ca="1"/>
        <v>-2.5808319657571262E-4</v>
      </c>
      <c r="N661" s="5" t="s">
        <v>4</v>
      </c>
      <c r="O661" s="97">
        <f ca="1">_xll.meDateFromTenor(O660,"1D","FOLLOWING","TGT")</f>
        <v>43439</v>
      </c>
      <c r="P661" s="95">
        <f ca="1"/>
        <v>1.7965886126584051E-3</v>
      </c>
      <c r="Q661" s="5" t="s">
        <v>4</v>
      </c>
      <c r="R661" s="83" t="s">
        <v>4</v>
      </c>
    </row>
    <row r="662" spans="1:18" x14ac:dyDescent="0.25">
      <c r="A662" s="88">
        <v>648</v>
      </c>
      <c r="B662" s="82"/>
      <c r="C662" s="97">
        <f ca="1">_xll.meDateFromTenor(C661,"1D","FOLLOWING","TGT")</f>
        <v>43440</v>
      </c>
      <c r="D662" s="95">
        <f ca="1"/>
        <v>-3.4926998577649027E-3</v>
      </c>
      <c r="E662" s="92"/>
      <c r="F662" s="97">
        <f ca="1">_xll.meDateFromTenor(F661,"1D","FOLLOWING","TGT")</f>
        <v>43440</v>
      </c>
      <c r="G662" s="95">
        <f ca="1"/>
        <v>-2.9982363253477492E-3</v>
      </c>
      <c r="H662" s="92" t="s">
        <v>4</v>
      </c>
      <c r="I662" s="97">
        <f ca="1">_xll.meDateFromTenor(I661,"1D","FOLLOWING","TGT")</f>
        <v>43440</v>
      </c>
      <c r="J662" s="95">
        <f ca="1"/>
        <v>-1.5367455387425492E-3</v>
      </c>
      <c r="K662" s="5" t="s">
        <v>4</v>
      </c>
      <c r="L662" s="97">
        <f ca="1">_xll.meDateFromTenor(L661,"1D","FOLLOWING","TGT")</f>
        <v>43440</v>
      </c>
      <c r="M662" s="95">
        <f ca="1"/>
        <v>-2.5302469049950574E-4</v>
      </c>
      <c r="N662" s="5" t="s">
        <v>4</v>
      </c>
      <c r="O662" s="97">
        <f ca="1">_xll.meDateFromTenor(O661,"1D","FOLLOWING","TGT")</f>
        <v>43440</v>
      </c>
      <c r="P662" s="95">
        <f ca="1"/>
        <v>1.8018584171672046E-3</v>
      </c>
      <c r="Q662" s="5" t="s">
        <v>4</v>
      </c>
      <c r="R662" s="83" t="s">
        <v>4</v>
      </c>
    </row>
    <row r="663" spans="1:18" x14ac:dyDescent="0.25">
      <c r="A663" s="88">
        <v>649</v>
      </c>
      <c r="B663" s="82"/>
      <c r="C663" s="97">
        <f ca="1">_xll.meDateFromTenor(C662,"1D","FOLLOWING","TGT")</f>
        <v>43441</v>
      </c>
      <c r="D663" s="95">
        <f ca="1"/>
        <v>-3.4895966363462927E-3</v>
      </c>
      <c r="E663" s="92"/>
      <c r="F663" s="97">
        <f ca="1">_xll.meDateFromTenor(F662,"1D","FOLLOWING","TGT")</f>
        <v>43441</v>
      </c>
      <c r="G663" s="95">
        <f ca="1"/>
        <v>-2.9942479767721551E-3</v>
      </c>
      <c r="H663" s="92" t="s">
        <v>4</v>
      </c>
      <c r="I663" s="97">
        <f ca="1">_xll.meDateFromTenor(I662,"1D","FOLLOWING","TGT")</f>
        <v>43441</v>
      </c>
      <c r="J663" s="95">
        <f ca="1"/>
        <v>-1.5304528498176692E-3</v>
      </c>
      <c r="K663" s="5" t="s">
        <v>4</v>
      </c>
      <c r="L663" s="97">
        <f ca="1">_xll.meDateFromTenor(L662,"1D","FOLLOWING","TGT")</f>
        <v>43441</v>
      </c>
      <c r="M663" s="95">
        <f ca="1"/>
        <v>-2.4796035099648652E-4</v>
      </c>
      <c r="N663" s="5" t="s">
        <v>4</v>
      </c>
      <c r="O663" s="97">
        <f ca="1">_xll.meDateFromTenor(O662,"1D","FOLLOWING","TGT")</f>
        <v>43441</v>
      </c>
      <c r="P663" s="95">
        <f ca="1"/>
        <v>1.8071311193487104E-3</v>
      </c>
      <c r="Q663" s="5" t="s">
        <v>4</v>
      </c>
      <c r="R663" s="83" t="s">
        <v>4</v>
      </c>
    </row>
    <row r="664" spans="1:18" x14ac:dyDescent="0.25">
      <c r="A664" s="88">
        <v>650</v>
      </c>
      <c r="B664" s="82"/>
      <c r="C664" s="97">
        <f ca="1">_xll.meDateFromTenor(C663,"1D","FOLLOWING","TGT")</f>
        <v>43444</v>
      </c>
      <c r="D664" s="95">
        <f ca="1"/>
        <v>-3.4804048424096345E-3</v>
      </c>
      <c r="E664" s="92"/>
      <c r="F664" s="97">
        <f ca="1">_xll.meDateFromTenor(F663,"1D","FOLLOWING","TGT")</f>
        <v>43444</v>
      </c>
      <c r="G664" s="95">
        <f ca="1"/>
        <v>-2.9821789793824318E-3</v>
      </c>
      <c r="H664" s="92" t="s">
        <v>4</v>
      </c>
      <c r="I664" s="97">
        <f ca="1">_xll.meDateFromTenor(I663,"1D","FOLLOWING","TGT")</f>
        <v>43444</v>
      </c>
      <c r="J664" s="95">
        <f ca="1"/>
        <v>-1.5117230461279805E-3</v>
      </c>
      <c r="K664" s="5" t="s">
        <v>4</v>
      </c>
      <c r="L664" s="97">
        <f ca="1">_xll.meDateFromTenor(L663,"1D","FOLLOWING","TGT")</f>
        <v>43444</v>
      </c>
      <c r="M664" s="95">
        <f ca="1"/>
        <v>-2.327326459757316E-4</v>
      </c>
      <c r="N664" s="5" t="s">
        <v>4</v>
      </c>
      <c r="O664" s="97">
        <f ca="1">_xll.meDateFromTenor(O663,"1D","FOLLOWING","TGT")</f>
        <v>43444</v>
      </c>
      <c r="P664" s="95">
        <f ca="1"/>
        <v>1.8229664275006688E-3</v>
      </c>
      <c r="Q664" s="5" t="s">
        <v>4</v>
      </c>
      <c r="R664" s="83" t="s">
        <v>4</v>
      </c>
    </row>
    <row r="665" spans="1:18" x14ac:dyDescent="0.25">
      <c r="A665" s="88">
        <v>651</v>
      </c>
      <c r="B665" s="82"/>
      <c r="C665" s="97">
        <f ca="1">_xll.meDateFromTenor(C664,"1D","FOLLOWING","TGT")</f>
        <v>43445</v>
      </c>
      <c r="D665" s="95">
        <f ca="1"/>
        <v>-3.4773801990580777E-3</v>
      </c>
      <c r="E665" s="92"/>
      <c r="F665" s="97">
        <f ca="1">_xll.meDateFromTenor(F664,"1D","FOLLOWING","TGT")</f>
        <v>43445</v>
      </c>
      <c r="G665" s="95">
        <f ca="1"/>
        <v>-2.9781280472779247E-3</v>
      </c>
      <c r="H665" s="92" t="s">
        <v>4</v>
      </c>
      <c r="I665" s="97">
        <f ca="1">_xll.meDateFromTenor(I664,"1D","FOLLOWING","TGT")</f>
        <v>43445</v>
      </c>
      <c r="J665" s="95">
        <f ca="1"/>
        <v>-1.5055294744378417E-3</v>
      </c>
      <c r="K665" s="5" t="s">
        <v>4</v>
      </c>
      <c r="L665" s="97">
        <f ca="1">_xll.meDateFromTenor(L664,"1D","FOLLOWING","TGT")</f>
        <v>43445</v>
      </c>
      <c r="M665" s="95">
        <f ca="1"/>
        <v>-2.2764528681463786E-4</v>
      </c>
      <c r="N665" s="5" t="s">
        <v>4</v>
      </c>
      <c r="O665" s="97">
        <f ca="1">_xll.meDateFromTenor(O664,"1D","FOLLOWING","TGT")</f>
        <v>43445</v>
      </c>
      <c r="P665" s="95">
        <f ca="1"/>
        <v>1.8282505359442033E-3</v>
      </c>
      <c r="Q665" s="5" t="s">
        <v>4</v>
      </c>
      <c r="R665" s="83" t="s">
        <v>4</v>
      </c>
    </row>
    <row r="666" spans="1:18" x14ac:dyDescent="0.25">
      <c r="A666" s="88">
        <v>652</v>
      </c>
      <c r="B666" s="82"/>
      <c r="C666" s="97">
        <f ca="1">_xll.meDateFromTenor(C665,"1D","FOLLOWING","TGT")</f>
        <v>43446</v>
      </c>
      <c r="D666" s="95">
        <f ca="1"/>
        <v>-3.4743751984518401E-3</v>
      </c>
      <c r="E666" s="92"/>
      <c r="F666" s="97">
        <f ca="1">_xll.meDateFromTenor(F665,"1D","FOLLOWING","TGT")</f>
        <v>43446</v>
      </c>
      <c r="G666" s="95">
        <f ca="1"/>
        <v>-2.9740665074759762E-3</v>
      </c>
      <c r="H666" s="92" t="s">
        <v>4</v>
      </c>
      <c r="I666" s="97">
        <f ca="1">_xll.meDateFromTenor(I665,"1D","FOLLOWING","TGT")</f>
        <v>43446</v>
      </c>
      <c r="J666" s="95">
        <f ca="1"/>
        <v>-1.4993608884399684E-3</v>
      </c>
      <c r="K666" s="5" t="s">
        <v>4</v>
      </c>
      <c r="L666" s="97">
        <f ca="1">_xll.meDateFromTenor(L665,"1D","FOLLOWING","TGT")</f>
        <v>43446</v>
      </c>
      <c r="M666" s="95">
        <f ca="1"/>
        <v>-2.2255225125131825E-4</v>
      </c>
      <c r="N666" s="5" t="s">
        <v>4</v>
      </c>
      <c r="O666" s="97">
        <f ca="1">_xll.meDateFromTenor(O665,"1D","FOLLOWING","TGT")</f>
        <v>43446</v>
      </c>
      <c r="P666" s="95">
        <f ca="1"/>
        <v>1.8335374498460464E-3</v>
      </c>
      <c r="Q666" s="5" t="s">
        <v>4</v>
      </c>
      <c r="R666" s="83" t="s">
        <v>4</v>
      </c>
    </row>
    <row r="667" spans="1:18" x14ac:dyDescent="0.25">
      <c r="A667" s="88">
        <v>653</v>
      </c>
      <c r="B667" s="82"/>
      <c r="C667" s="97">
        <f ca="1">_xll.meDateFromTenor(C666,"1D","FOLLOWING","TGT")</f>
        <v>43447</v>
      </c>
      <c r="D667" s="95">
        <f ca="1"/>
        <v>-3.4713898399715282E-3</v>
      </c>
      <c r="E667" s="92"/>
      <c r="F667" s="97">
        <f ca="1">_xll.meDateFromTenor(F666,"1D","FOLLOWING","TGT")</f>
        <v>43447</v>
      </c>
      <c r="G667" s="95">
        <f ca="1"/>
        <v>-2.9699963752505007E-3</v>
      </c>
      <c r="H667" s="92" t="s">
        <v>4</v>
      </c>
      <c r="I667" s="97">
        <f ca="1">_xll.meDateFromTenor(I666,"1D","FOLLOWING","TGT")</f>
        <v>43447</v>
      </c>
      <c r="J667" s="95">
        <f ca="1"/>
        <v>-1.4932173706877941E-3</v>
      </c>
      <c r="K667" s="5" t="s">
        <v>4</v>
      </c>
      <c r="L667" s="97">
        <f ca="1">_xll.meDateFromTenor(L666,"1D","FOLLOWING","TGT")</f>
        <v>43447</v>
      </c>
      <c r="M667" s="95">
        <f ca="1"/>
        <v>-2.1745357069069074E-4</v>
      </c>
      <c r="N667" s="5" t="s">
        <v>4</v>
      </c>
      <c r="O667" s="97">
        <f ca="1">_xll.meDateFromTenor(O666,"1D","FOLLOWING","TGT")</f>
        <v>43447</v>
      </c>
      <c r="P667" s="95">
        <f ca="1"/>
        <v>1.8388271507633175E-3</v>
      </c>
      <c r="Q667" s="5" t="s">
        <v>4</v>
      </c>
      <c r="R667" s="83" t="s">
        <v>4</v>
      </c>
    </row>
    <row r="668" spans="1:18" x14ac:dyDescent="0.25">
      <c r="A668" s="88">
        <v>654</v>
      </c>
      <c r="B668" s="82"/>
      <c r="C668" s="97">
        <f ca="1">_xll.meDateFromTenor(C667,"1D","FOLLOWING","TGT")</f>
        <v>43448</v>
      </c>
      <c r="D668" s="95">
        <f ca="1"/>
        <v>-3.4684241233550184E-3</v>
      </c>
      <c r="E668" s="92"/>
      <c r="F668" s="97">
        <f ca="1">_xll.meDateFromTenor(F667,"1D","FOLLOWING","TGT")</f>
        <v>43448</v>
      </c>
      <c r="G668" s="95">
        <f ca="1"/>
        <v>-2.9659196658754117E-3</v>
      </c>
      <c r="H668" s="92" t="s">
        <v>4</v>
      </c>
      <c r="I668" s="97">
        <f ca="1">_xll.meDateFromTenor(I667,"1D","FOLLOWING","TGT")</f>
        <v>43448</v>
      </c>
      <c r="J668" s="95">
        <f ca="1"/>
        <v>-1.4870990037347482E-3</v>
      </c>
      <c r="K668" s="5" t="s">
        <v>4</v>
      </c>
      <c r="L668" s="97">
        <f ca="1">_xll.meDateFromTenor(L667,"1D","FOLLOWING","TGT")</f>
        <v>43448</v>
      </c>
      <c r="M668" s="95">
        <f ca="1"/>
        <v>-2.1234927653767082E-4</v>
      </c>
      <c r="N668" s="5" t="s">
        <v>4</v>
      </c>
      <c r="O668" s="97">
        <f ca="1">_xll.meDateFromTenor(O667,"1D","FOLLOWING","TGT")</f>
        <v>43448</v>
      </c>
      <c r="P668" s="95">
        <f ca="1"/>
        <v>1.8441196202531387E-3</v>
      </c>
      <c r="Q668" s="5" t="s">
        <v>4</v>
      </c>
      <c r="R668" s="83" t="s">
        <v>4</v>
      </c>
    </row>
    <row r="669" spans="1:18" x14ac:dyDescent="0.25">
      <c r="A669" s="88">
        <v>655</v>
      </c>
      <c r="B669" s="82"/>
      <c r="C669" s="97">
        <f ca="1">_xll.meDateFromTenor(C668,"1D","FOLLOWING","TGT")</f>
        <v>43451</v>
      </c>
      <c r="D669" s="95">
        <f ca="1"/>
        <v>-3.4596448156782866E-3</v>
      </c>
      <c r="E669" s="92"/>
      <c r="F669" s="97">
        <f ca="1">_xll.meDateFromTenor(F668,"1D","FOLLOWING","TGT")</f>
        <v>43451</v>
      </c>
      <c r="G669" s="95">
        <f ca="1"/>
        <v>-2.9536702275916125E-3</v>
      </c>
      <c r="H669" s="92" t="s">
        <v>4</v>
      </c>
      <c r="I669" s="97">
        <f ca="1">_xll.meDateFromTenor(I668,"1D","FOLLOWING","TGT")</f>
        <v>43451</v>
      </c>
      <c r="J669" s="95">
        <f ca="1"/>
        <v>-1.4688956332047109E-3</v>
      </c>
      <c r="K669" s="5" t="s">
        <v>4</v>
      </c>
      <c r="L669" s="97">
        <f ca="1">_xll.meDateFromTenor(L668,"1D","FOLLOWING","TGT")</f>
        <v>43451</v>
      </c>
      <c r="M669" s="95">
        <f ca="1"/>
        <v>-1.9700302657343324E-4</v>
      </c>
      <c r="N669" s="5" t="s">
        <v>4</v>
      </c>
      <c r="O669" s="97">
        <f ca="1">_xll.meDateFromTenor(O668,"1D","FOLLOWING","TGT")</f>
        <v>43451</v>
      </c>
      <c r="P669" s="95">
        <f ca="1"/>
        <v>1.8600134557291046E-3</v>
      </c>
      <c r="Q669" s="5" t="s">
        <v>4</v>
      </c>
      <c r="R669" s="83" t="s">
        <v>4</v>
      </c>
    </row>
    <row r="670" spans="1:18" x14ac:dyDescent="0.25">
      <c r="A670" s="88">
        <v>656</v>
      </c>
      <c r="B670" s="82"/>
      <c r="C670" s="97">
        <f ca="1">_xll.meDateFromTenor(C669,"1D","FOLLOWING","TGT")</f>
        <v>43452</v>
      </c>
      <c r="D670" s="95">
        <f ca="1"/>
        <v>-3.4567576586161941E-3</v>
      </c>
      <c r="E670" s="92"/>
      <c r="F670" s="97">
        <f ca="1">_xll.meDateFromTenor(F669,"1D","FOLLOWING","TGT")</f>
        <v>43452</v>
      </c>
      <c r="G670" s="95">
        <f ca="1"/>
        <v>-2.9495873623572163E-3</v>
      </c>
      <c r="H670" s="92" t="s">
        <v>4</v>
      </c>
      <c r="I670" s="97">
        <f ca="1">_xll.meDateFromTenor(I669,"1D","FOLLOWING","TGT")</f>
        <v>43452</v>
      </c>
      <c r="J670" s="95">
        <f ca="1"/>
        <v>-1.4628786949825048E-3</v>
      </c>
      <c r="K670" s="5" t="s">
        <v>4</v>
      </c>
      <c r="L670" s="97">
        <f ca="1">_xll.meDateFromTenor(L669,"1D","FOLLOWING","TGT")</f>
        <v>43452</v>
      </c>
      <c r="M670" s="95">
        <f ca="1"/>
        <v>-1.9187659210001805E-4</v>
      </c>
      <c r="N670" s="5" t="s">
        <v>4</v>
      </c>
      <c r="O670" s="97">
        <f ca="1">_xll.meDateFromTenor(O669,"1D","FOLLOWING","TGT")</f>
        <v>43452</v>
      </c>
      <c r="P670" s="95">
        <f ca="1"/>
        <v>1.8653168150803295E-3</v>
      </c>
      <c r="Q670" s="5" t="s">
        <v>4</v>
      </c>
      <c r="R670" s="83" t="s">
        <v>4</v>
      </c>
    </row>
    <row r="671" spans="1:18" x14ac:dyDescent="0.25">
      <c r="A671" s="88">
        <v>657</v>
      </c>
      <c r="B671" s="82"/>
      <c r="C671" s="97">
        <f ca="1">_xll.meDateFromTenor(C670,"1D","FOLLOWING","TGT")</f>
        <v>43453</v>
      </c>
      <c r="D671" s="95">
        <f ca="1"/>
        <v>-3.4538901398597499E-3</v>
      </c>
      <c r="E671" s="92"/>
      <c r="F671" s="97">
        <f ca="1">_xll.meDateFromTenor(F670,"1D","FOLLOWING","TGT")</f>
        <v>43453</v>
      </c>
      <c r="G671" s="95">
        <f ca="1"/>
        <v>-2.9455079963427808E-3</v>
      </c>
      <c r="H671" s="92" t="s">
        <v>4</v>
      </c>
      <c r="I671" s="97">
        <f ca="1">_xll.meDateFromTenor(I670,"1D","FOLLOWING","TGT")</f>
        <v>43453</v>
      </c>
      <c r="J671" s="95">
        <f ca="1"/>
        <v>-1.4568873203265886E-3</v>
      </c>
      <c r="K671" s="5" t="s">
        <v>4</v>
      </c>
      <c r="L671" s="97">
        <f ca="1">_xll.meDateFromTenor(L670,"1D","FOLLOWING","TGT")</f>
        <v>43453</v>
      </c>
      <c r="M671" s="95">
        <f ca="1"/>
        <v>-1.8674470105879676E-4</v>
      </c>
      <c r="N671" s="5" t="s">
        <v>4</v>
      </c>
      <c r="O671" s="97">
        <f ca="1">_xll.meDateFromTenor(O670,"1D","FOLLOWING","TGT")</f>
        <v>43453</v>
      </c>
      <c r="P671" s="95">
        <f ca="1"/>
        <v>1.8706228507897064E-3</v>
      </c>
      <c r="Q671" s="5" t="s">
        <v>4</v>
      </c>
      <c r="R671" s="83" t="s">
        <v>4</v>
      </c>
    </row>
    <row r="672" spans="1:18" x14ac:dyDescent="0.25">
      <c r="A672" s="88">
        <v>658</v>
      </c>
      <c r="B672" s="82"/>
      <c r="C672" s="97">
        <f ca="1">_xll.meDateFromTenor(C671,"1D","FOLLOWING","TGT")</f>
        <v>43454</v>
      </c>
      <c r="D672" s="95">
        <f ca="1"/>
        <v>-3.451042258542647E-3</v>
      </c>
      <c r="E672" s="92"/>
      <c r="F672" s="97">
        <f ca="1">_xll.meDateFromTenor(F671,"1D","FOLLOWING","TGT")</f>
        <v>43454</v>
      </c>
      <c r="G672" s="95">
        <f ca="1"/>
        <v>-2.9414341448222186E-3</v>
      </c>
      <c r="H672" s="92" t="s">
        <v>4</v>
      </c>
      <c r="I672" s="97">
        <f ca="1">_xll.meDateFromTenor(I671,"1D","FOLLOWING","TGT")</f>
        <v>43454</v>
      </c>
      <c r="J672" s="95">
        <f ca="1"/>
        <v>-1.4509215917903944E-3</v>
      </c>
      <c r="K672" s="5" t="s">
        <v>4</v>
      </c>
      <c r="L672" s="97">
        <f ca="1">_xll.meDateFromTenor(L671,"1D","FOLLOWING","TGT")</f>
        <v>43454</v>
      </c>
      <c r="M672" s="95">
        <f ca="1"/>
        <v>-1.8160738485468661E-4</v>
      </c>
      <c r="N672" s="5" t="s">
        <v>4</v>
      </c>
      <c r="O672" s="97">
        <f ca="1">_xll.meDateFromTenor(O671,"1D","FOLLOWING","TGT")</f>
        <v>43454</v>
      </c>
      <c r="P672" s="95">
        <f ca="1"/>
        <v>1.875931544414356E-3</v>
      </c>
      <c r="Q672" s="5" t="s">
        <v>4</v>
      </c>
      <c r="R672" s="83" t="s">
        <v>4</v>
      </c>
    </row>
    <row r="673" spans="1:18" x14ac:dyDescent="0.25">
      <c r="A673" s="88">
        <v>659</v>
      </c>
      <c r="B673" s="82"/>
      <c r="C673" s="97">
        <f ca="1">_xll.meDateFromTenor(C672,"1D","FOLLOWING","TGT")</f>
        <v>43455</v>
      </c>
      <c r="D673" s="95">
        <f ca="1"/>
        <v>-3.4482140143148321E-3</v>
      </c>
      <c r="E673" s="92"/>
      <c r="F673" s="97">
        <f ca="1">_xll.meDateFromTenor(F672,"1D","FOLLOWING","TGT")</f>
        <v>43455</v>
      </c>
      <c r="G673" s="95">
        <f ca="1"/>
        <v>-2.9373678230694457E-3</v>
      </c>
      <c r="H673" s="92" t="s">
        <v>4</v>
      </c>
      <c r="I673" s="97">
        <f ca="1">_xll.meDateFromTenor(I672,"1D","FOLLOWING","TGT")</f>
        <v>43455</v>
      </c>
      <c r="J673" s="95">
        <f ca="1"/>
        <v>-1.4449815919273549E-3</v>
      </c>
      <c r="K673" s="5" t="s">
        <v>4</v>
      </c>
      <c r="L673" s="97">
        <f ca="1">_xll.meDateFromTenor(L672,"1D","FOLLOWING","TGT")</f>
        <v>43455</v>
      </c>
      <c r="M673" s="95">
        <f ca="1"/>
        <v>-1.7646467489260459E-4</v>
      </c>
      <c r="N673" s="5" t="s">
        <v>4</v>
      </c>
      <c r="O673" s="97">
        <f ca="1">_xll.meDateFromTenor(O672,"1D","FOLLOWING","TGT")</f>
        <v>43455</v>
      </c>
      <c r="P673" s="95">
        <f ca="1"/>
        <v>1.8812428775113988E-3</v>
      </c>
      <c r="Q673" s="5" t="s">
        <v>4</v>
      </c>
      <c r="R673" s="83" t="s">
        <v>4</v>
      </c>
    </row>
    <row r="674" spans="1:18" x14ac:dyDescent="0.25">
      <c r="A674" s="88">
        <v>660</v>
      </c>
      <c r="B674" s="82"/>
      <c r="C674" s="97">
        <f ca="1">_xll.meDateFromTenor(C673,"1D","FOLLOWING","TGT")</f>
        <v>43458</v>
      </c>
      <c r="D674" s="95">
        <f ca="1"/>
        <v>-3.439847096867843E-3</v>
      </c>
      <c r="E674" s="92"/>
      <c r="F674" s="97">
        <f ca="1">_xll.meDateFromTenor(F673,"1D","FOLLOWING","TGT")</f>
        <v>43458</v>
      </c>
      <c r="G674" s="95">
        <f ca="1"/>
        <v>-2.9252341891570039E-3</v>
      </c>
      <c r="H674" s="92" t="s">
        <v>4</v>
      </c>
      <c r="I674" s="97">
        <f ca="1">_xll.meDateFromTenor(I673,"1D","FOLLOWING","TGT")</f>
        <v>43458</v>
      </c>
      <c r="J674" s="95">
        <f ca="1"/>
        <v>-1.427316789911484E-3</v>
      </c>
      <c r="K674" s="5" t="s">
        <v>4</v>
      </c>
      <c r="L674" s="97">
        <f ca="1">_xll.meDateFromTenor(L673,"1D","FOLLOWING","TGT")</f>
        <v>43458</v>
      </c>
      <c r="M674" s="95">
        <f ca="1"/>
        <v>-1.6100449650770075E-4</v>
      </c>
      <c r="N674" s="5" t="s">
        <v>4</v>
      </c>
      <c r="O674" s="97">
        <f ca="1">_xll.meDateFromTenor(O673,"1D","FOLLOWING","TGT")</f>
        <v>43458</v>
      </c>
      <c r="P674" s="95">
        <f ca="1"/>
        <v>1.8971925292080901E-3</v>
      </c>
      <c r="Q674" s="5" t="s">
        <v>4</v>
      </c>
      <c r="R674" s="83" t="s">
        <v>4</v>
      </c>
    </row>
    <row r="675" spans="1:18" x14ac:dyDescent="0.25">
      <c r="A675" s="88">
        <v>661</v>
      </c>
      <c r="B675" s="82"/>
      <c r="C675" s="97">
        <f ca="1">_xll.meDateFromTenor(C674,"1D","FOLLOWING","TGT")</f>
        <v>43461</v>
      </c>
      <c r="D675" s="95">
        <f ca="1"/>
        <v>-3.4316568888478338E-3</v>
      </c>
      <c r="E675" s="92"/>
      <c r="F675" s="97">
        <f ca="1">_xll.meDateFromTenor(F674,"1D","FOLLOWING","TGT")</f>
        <v>43461</v>
      </c>
      <c r="G675" s="95">
        <f ca="1"/>
        <v>-2.9132408730155809E-3</v>
      </c>
      <c r="H675" s="92" t="s">
        <v>4</v>
      </c>
      <c r="I675" s="97">
        <f ca="1">_xll.meDateFromTenor(I674,"1D","FOLLOWING","TGT")</f>
        <v>43461</v>
      </c>
      <c r="J675" s="95">
        <f ca="1"/>
        <v>-1.4098865178775533E-3</v>
      </c>
      <c r="K675" s="5" t="s">
        <v>4</v>
      </c>
      <c r="L675" s="97">
        <f ca="1">_xll.meDateFromTenor(L674,"1D","FOLLOWING","TGT")</f>
        <v>43461</v>
      </c>
      <c r="M675" s="95">
        <f ca="1"/>
        <v>-1.454969048780653E-4</v>
      </c>
      <c r="N675" s="5" t="s">
        <v>4</v>
      </c>
      <c r="O675" s="97">
        <f ca="1">_xll.meDateFromTenor(O674,"1D","FOLLOWING","TGT")</f>
        <v>43461</v>
      </c>
      <c r="P675" s="95">
        <f ca="1"/>
        <v>1.9131652722126616E-3</v>
      </c>
      <c r="Q675" s="5" t="s">
        <v>4</v>
      </c>
      <c r="R675" s="83" t="s">
        <v>4</v>
      </c>
    </row>
    <row r="676" spans="1:18" x14ac:dyDescent="0.25">
      <c r="A676" s="88">
        <v>662</v>
      </c>
      <c r="B676" s="82"/>
      <c r="C676" s="97">
        <f ca="1">_xll.meDateFromTenor(C675,"1D","FOLLOWING","TGT")</f>
        <v>43462</v>
      </c>
      <c r="D676" s="95">
        <f ca="1"/>
        <v>-3.4289660851507531E-3</v>
      </c>
      <c r="E676" s="92"/>
      <c r="F676" s="97">
        <f ca="1">_xll.meDateFromTenor(F675,"1D","FOLLOWING","TGT")</f>
        <v>43462</v>
      </c>
      <c r="G676" s="95">
        <f ca="1"/>
        <v>-2.9092836873069344E-3</v>
      </c>
      <c r="H676" s="92" t="s">
        <v>4</v>
      </c>
      <c r="I676" s="97">
        <f ca="1">_xll.meDateFromTenor(I675,"1D","FOLLOWING","TGT")</f>
        <v>43462</v>
      </c>
      <c r="J676" s="95">
        <f ca="1"/>
        <v>-1.4041289302226913E-3</v>
      </c>
      <c r="K676" s="5" t="s">
        <v>4</v>
      </c>
      <c r="L676" s="97">
        <f ca="1">_xll.meDateFromTenor(L675,"1D","FOLLOWING","TGT")</f>
        <v>43462</v>
      </c>
      <c r="M676" s="95">
        <f ca="1"/>
        <v>-1.4031731794786006E-4</v>
      </c>
      <c r="N676" s="5" t="s">
        <v>4</v>
      </c>
      <c r="O676" s="97">
        <f ca="1">_xll.meDateFromTenor(O675,"1D","FOLLOWING","TGT")</f>
        <v>43462</v>
      </c>
      <c r="P676" s="95">
        <f ca="1"/>
        <v>1.9184945652158316E-3</v>
      </c>
      <c r="Q676" s="5" t="s">
        <v>4</v>
      </c>
      <c r="R676" s="83" t="s">
        <v>4</v>
      </c>
    </row>
    <row r="677" spans="1:18" x14ac:dyDescent="0.25">
      <c r="A677" s="88">
        <v>663</v>
      </c>
      <c r="B677" s="82"/>
      <c r="C677" s="97">
        <f ca="1">_xll.meDateFromTenor(C676,"1D","FOLLOWING","TGT")</f>
        <v>43465</v>
      </c>
      <c r="D677" s="95">
        <f ca="1"/>
        <v>-3.4210114620165655E-3</v>
      </c>
      <c r="E677" s="92"/>
      <c r="F677" s="97">
        <f ca="1">_xll.meDateFromTenor(F676,"1D","FOLLOWING","TGT")</f>
        <v>43465</v>
      </c>
      <c r="G677" s="95">
        <f ca="1"/>
        <v>-2.8975621030312821E-3</v>
      </c>
      <c r="H677" s="92" t="s">
        <v>4</v>
      </c>
      <c r="I677" s="97">
        <f ca="1">_xll.meDateFromTenor(I676,"1D","FOLLOWING","TGT")</f>
        <v>43465</v>
      </c>
      <c r="J677" s="95">
        <f ca="1"/>
        <v>-1.3870148320754994E-3</v>
      </c>
      <c r="K677" s="5" t="s">
        <v>4</v>
      </c>
      <c r="L677" s="97">
        <f ca="1">_xll.meDateFromTenor(L676,"1D","FOLLOWING","TGT")</f>
        <v>43465</v>
      </c>
      <c r="M677" s="95">
        <f ca="1"/>
        <v>-1.2474782766510445E-4</v>
      </c>
      <c r="N677" s="5" t="s">
        <v>4</v>
      </c>
      <c r="O677" s="97">
        <f ca="1">_xll.meDateFromTenor(O676,"1D","FOLLOWING","TGT")</f>
        <v>43465</v>
      </c>
      <c r="P677" s="95">
        <f ca="1"/>
        <v>1.9344973220299683E-3</v>
      </c>
      <c r="Q677" s="5" t="s">
        <v>4</v>
      </c>
      <c r="R677" s="83" t="s">
        <v>4</v>
      </c>
    </row>
    <row r="678" spans="1:18" x14ac:dyDescent="0.25">
      <c r="A678" s="88">
        <v>664</v>
      </c>
      <c r="B678" s="82"/>
      <c r="C678" s="97">
        <f ca="1">_xll.meDateFromTenor(C677,"1D","FOLLOWING","TGT")</f>
        <v>43467</v>
      </c>
      <c r="D678" s="95">
        <f ca="1"/>
        <v>-3.4158065302709595E-3</v>
      </c>
      <c r="E678" s="92"/>
      <c r="F678" s="97">
        <f ca="1">_xll.meDateFromTenor(F677,"1D","FOLLOWING","TGT")</f>
        <v>43467</v>
      </c>
      <c r="G678" s="95">
        <f ca="1"/>
        <v>-2.889892843628564E-3</v>
      </c>
      <c r="H678" s="92" t="s">
        <v>4</v>
      </c>
      <c r="I678" s="97">
        <f ca="1">_xll.meDateFromTenor(I677,"1D","FOLLOWING","TGT")</f>
        <v>43467</v>
      </c>
      <c r="J678" s="95">
        <f ca="1"/>
        <v>-1.3757384795261868E-3</v>
      </c>
      <c r="K678" s="5" t="s">
        <v>4</v>
      </c>
      <c r="L678" s="97">
        <f ca="1">_xll.meDateFromTenor(L677,"1D","FOLLOWING","TGT")</f>
        <v>43467</v>
      </c>
      <c r="M678" s="95">
        <f ca="1"/>
        <v>-1.1434287361565497E-4</v>
      </c>
      <c r="N678" s="5" t="s">
        <v>4</v>
      </c>
      <c r="O678" s="97">
        <f ca="1">_xll.meDateFromTenor(O677,"1D","FOLLOWING","TGT")</f>
        <v>43467</v>
      </c>
      <c r="P678" s="95">
        <f ca="1"/>
        <v>1.9451780403144533E-3</v>
      </c>
      <c r="Q678" s="5" t="s">
        <v>4</v>
      </c>
      <c r="R678" s="83" t="s">
        <v>4</v>
      </c>
    </row>
    <row r="679" spans="1:18" x14ac:dyDescent="0.25">
      <c r="A679" s="88">
        <v>665</v>
      </c>
      <c r="B679" s="82"/>
      <c r="C679" s="97">
        <f ca="1">_xll.meDateFromTenor(C678,"1D","FOLLOWING","TGT")</f>
        <v>43468</v>
      </c>
      <c r="D679" s="95">
        <f ca="1"/>
        <v>-3.4132335073583375E-3</v>
      </c>
      <c r="E679" s="92"/>
      <c r="F679" s="97">
        <f ca="1">_xll.meDateFromTenor(F678,"1D","FOLLOWING","TGT")</f>
        <v>43468</v>
      </c>
      <c r="G679" s="95">
        <f ca="1"/>
        <v>-2.8861071204130543E-3</v>
      </c>
      <c r="H679" s="92" t="s">
        <v>4</v>
      </c>
      <c r="I679" s="97">
        <f ca="1">_xll.meDateFromTenor(I678,"1D","FOLLOWING","TGT")</f>
        <v>43468</v>
      </c>
      <c r="J679" s="95">
        <f ca="1"/>
        <v>-1.3701404647764707E-3</v>
      </c>
      <c r="K679" s="5" t="s">
        <v>4</v>
      </c>
      <c r="L679" s="97">
        <f ca="1">_xll.meDateFromTenor(L678,"1D","FOLLOWING","TGT")</f>
        <v>43468</v>
      </c>
      <c r="M679" s="95">
        <f ca="1"/>
        <v>-1.0913290264739732E-4</v>
      </c>
      <c r="N679" s="5" t="s">
        <v>4</v>
      </c>
      <c r="O679" s="97">
        <f ca="1">_xll.meDateFromTenor(O678,"1D","FOLLOWING","TGT")</f>
        <v>43468</v>
      </c>
      <c r="P679" s="95">
        <f ca="1"/>
        <v>1.9505220082505765E-3</v>
      </c>
      <c r="Q679" s="5" t="s">
        <v>4</v>
      </c>
      <c r="R679" s="83" t="s">
        <v>4</v>
      </c>
    </row>
    <row r="680" spans="1:18" x14ac:dyDescent="0.25">
      <c r="A680" s="88">
        <v>666</v>
      </c>
      <c r="B680" s="82"/>
      <c r="C680" s="97">
        <f ca="1">_xll.meDateFromTenor(C679,"1D","FOLLOWING","TGT")</f>
        <v>43469</v>
      </c>
      <c r="D680" s="95">
        <f ca="1"/>
        <v>-3.4106801124518249E-3</v>
      </c>
      <c r="E680" s="92"/>
      <c r="F680" s="97">
        <f ca="1">_xll.meDateFromTenor(F679,"1D","FOLLOWING","TGT")</f>
        <v>43469</v>
      </c>
      <c r="G680" s="95">
        <f ca="1"/>
        <v>-2.882353070578882E-3</v>
      </c>
      <c r="H680" s="92" t="s">
        <v>4</v>
      </c>
      <c r="I680" s="97">
        <f ca="1">_xll.meDateFromTenor(I679,"1D","FOLLOWING","TGT")</f>
        <v>43469</v>
      </c>
      <c r="J680" s="95">
        <f ca="1"/>
        <v>-1.364569334447958E-3</v>
      </c>
      <c r="K680" s="5" t="s">
        <v>4</v>
      </c>
      <c r="L680" s="97">
        <f ca="1">_xll.meDateFromTenor(L679,"1D","FOLLOWING","TGT")</f>
        <v>43469</v>
      </c>
      <c r="M680" s="95">
        <f ca="1"/>
        <v>-1.0391797759000755E-4</v>
      </c>
      <c r="N680" s="5" t="s">
        <v>4</v>
      </c>
      <c r="O680" s="97">
        <f ca="1">_xll.meDateFromTenor(O679,"1D","FOLLOWING","TGT")</f>
        <v>43469</v>
      </c>
      <c r="P680" s="95">
        <f ca="1"/>
        <v>1.95586835745878E-3</v>
      </c>
      <c r="Q680" s="5" t="s">
        <v>4</v>
      </c>
      <c r="R680" s="83" t="s">
        <v>4</v>
      </c>
    </row>
    <row r="681" spans="1:18" x14ac:dyDescent="0.25">
      <c r="A681" s="88">
        <v>667</v>
      </c>
      <c r="B681" s="82"/>
      <c r="C681" s="97">
        <f ca="1">_xll.meDateFromTenor(C680,"1D","FOLLOWING","TGT")</f>
        <v>43472</v>
      </c>
      <c r="D681" s="95">
        <f ca="1"/>
        <v>-3.4031376883857378E-3</v>
      </c>
      <c r="E681" s="92"/>
      <c r="F681" s="97">
        <f ca="1">_xll.meDateFromTenor(F680,"1D","FOLLOWING","TGT")</f>
        <v>43472</v>
      </c>
      <c r="G681" s="95">
        <f ca="1"/>
        <v>-2.8712604118909953E-3</v>
      </c>
      <c r="H681" s="92" t="s">
        <v>4</v>
      </c>
      <c r="I681" s="97">
        <f ca="1">_xll.meDateFromTenor(I680,"1D","FOLLOWING","TGT")</f>
        <v>43472</v>
      </c>
      <c r="J681" s="95">
        <f ca="1"/>
        <v>-1.3480180755239598E-3</v>
      </c>
      <c r="K681" s="5" t="s">
        <v>4</v>
      </c>
      <c r="L681" s="97">
        <f ca="1">_xll.meDateFromTenor(L680,"1D","FOLLOWING","TGT")</f>
        <v>43472</v>
      </c>
      <c r="M681" s="95">
        <f ca="1"/>
        <v>-8.8243791932216448E-5</v>
      </c>
      <c r="N681" s="5" t="s">
        <v>4</v>
      </c>
      <c r="O681" s="97">
        <f ca="1">_xll.meDateFromTenor(O680,"1D","FOLLOWING","TGT")</f>
        <v>43472</v>
      </c>
      <c r="P681" s="95">
        <f ca="1"/>
        <v>1.9719215082870797E-3</v>
      </c>
      <c r="Q681" s="5" t="s">
        <v>4</v>
      </c>
      <c r="R681" s="83" t="s">
        <v>4</v>
      </c>
    </row>
    <row r="682" spans="1:18" x14ac:dyDescent="0.25">
      <c r="A682" s="88">
        <v>668</v>
      </c>
      <c r="B682" s="82"/>
      <c r="C682" s="97">
        <f ca="1">_xll.meDateFromTenor(C681,"1D","FOLLOWING","TGT")</f>
        <v>43473</v>
      </c>
      <c r="D682" s="95">
        <f ca="1"/>
        <v>-3.4006627983933502E-3</v>
      </c>
      <c r="E682" s="92"/>
      <c r="F682" s="97">
        <f ca="1">_xll.meDateFromTenor(F681,"1D","FOLLOWING","TGT")</f>
        <v>43473</v>
      </c>
      <c r="G682" s="95">
        <f ca="1"/>
        <v>-2.8676125061087767E-3</v>
      </c>
      <c r="H682" s="92" t="s">
        <v>4</v>
      </c>
      <c r="I682" s="97">
        <f ca="1">_xll.meDateFromTenor(I681,"1D","FOLLOWING","TGT")</f>
        <v>43473</v>
      </c>
      <c r="J682" s="95">
        <f ca="1"/>
        <v>-1.3425553084145817E-3</v>
      </c>
      <c r="K682" s="5" t="s">
        <v>4</v>
      </c>
      <c r="L682" s="97">
        <f ca="1">_xll.meDateFromTenor(L681,"1D","FOLLOWING","TGT")</f>
        <v>43473</v>
      </c>
      <c r="M682" s="95">
        <f ca="1"/>
        <v>-8.3009364567470062E-5</v>
      </c>
      <c r="N682" s="5" t="s">
        <v>4</v>
      </c>
      <c r="O682" s="97">
        <f ca="1">_xll.meDateFromTenor(O681,"1D","FOLLOWING","TGT")</f>
        <v>43473</v>
      </c>
      <c r="P682" s="95">
        <f ca="1"/>
        <v>1.9772771981548106E-3</v>
      </c>
      <c r="Q682" s="5" t="s">
        <v>4</v>
      </c>
      <c r="R682" s="83" t="s">
        <v>4</v>
      </c>
    </row>
    <row r="683" spans="1:18" x14ac:dyDescent="0.25">
      <c r="A683" s="88">
        <v>669</v>
      </c>
      <c r="B683" s="82"/>
      <c r="C683" s="97">
        <f ca="1">_xll.meDateFromTenor(C682,"1D","FOLLOWING","TGT")</f>
        <v>43474</v>
      </c>
      <c r="D683" s="95">
        <f ca="1"/>
        <v>-3.3982075330452055E-3</v>
      </c>
      <c r="E683" s="92"/>
      <c r="F683" s="97">
        <f ca="1">_xll.meDateFromTenor(F682,"1D","FOLLOWING","TGT")</f>
        <v>43474</v>
      </c>
      <c r="G683" s="95">
        <f ca="1"/>
        <v>-2.8639859989711973E-3</v>
      </c>
      <c r="H683" s="92" t="s">
        <v>4</v>
      </c>
      <c r="I683" s="97">
        <f ca="1">_xll.meDateFromTenor(I682,"1D","FOLLOWING","TGT")</f>
        <v>43474</v>
      </c>
      <c r="J683" s="95">
        <f ca="1"/>
        <v>-1.3371198384935661E-3</v>
      </c>
      <c r="K683" s="5" t="s">
        <v>4</v>
      </c>
      <c r="L683" s="97">
        <f ca="1">_xll.meDateFromTenor(L682,"1D","FOLLOWING","TGT")</f>
        <v>43474</v>
      </c>
      <c r="M683" s="95">
        <f ca="1"/>
        <v>-7.7770140138176287E-5</v>
      </c>
      <c r="N683" s="5" t="s">
        <v>4</v>
      </c>
      <c r="O683" s="97">
        <f ca="1">_xll.meDateFromTenor(O682,"1D","FOLLOWING","TGT")</f>
        <v>43474</v>
      </c>
      <c r="P683" s="95">
        <f ca="1"/>
        <v>1.982635177080225E-3</v>
      </c>
      <c r="Q683" s="5" t="s">
        <v>4</v>
      </c>
      <c r="R683" s="83" t="s">
        <v>4</v>
      </c>
    </row>
    <row r="684" spans="1:18" x14ac:dyDescent="0.25">
      <c r="A684" s="88">
        <v>670</v>
      </c>
      <c r="B684" s="82"/>
      <c r="C684" s="97">
        <f ca="1">_xll.meDateFromTenor(C683,"1D","FOLLOWING","TGT")</f>
        <v>43475</v>
      </c>
      <c r="D684" s="95">
        <f ca="1"/>
        <v>-3.3957718918087298E-3</v>
      </c>
      <c r="E684" s="92"/>
      <c r="F684" s="97">
        <f ca="1">_xll.meDateFromTenor(F683,"1D","FOLLOWING","TGT")</f>
        <v>43475</v>
      </c>
      <c r="G684" s="95">
        <f ca="1"/>
        <v>-2.8603788355309172E-3</v>
      </c>
      <c r="H684" s="92" t="s">
        <v>4</v>
      </c>
      <c r="I684" s="97">
        <f ca="1">_xll.meDateFromTenor(I683,"1D","FOLLOWING","TGT")</f>
        <v>43475</v>
      </c>
      <c r="J684" s="95">
        <f ca="1"/>
        <v>-1.3317117483143466E-3</v>
      </c>
      <c r="K684" s="5" t="s">
        <v>4</v>
      </c>
      <c r="L684" s="97">
        <f ca="1">_xll.meDateFromTenor(L683,"1D","FOLLOWING","TGT")</f>
        <v>43475</v>
      </c>
      <c r="M684" s="95">
        <f ca="1"/>
        <v>-7.2526150049253042E-5</v>
      </c>
      <c r="N684" s="5" t="s">
        <v>4</v>
      </c>
      <c r="O684" s="97">
        <f ca="1">_xll.meDateFromTenor(O683,"1D","FOLLOWING","TGT")</f>
        <v>43475</v>
      </c>
      <c r="P684" s="95">
        <f ca="1"/>
        <v>1.9879954266204436E-3</v>
      </c>
      <c r="Q684" s="5" t="s">
        <v>4</v>
      </c>
      <c r="R684" s="83" t="s">
        <v>4</v>
      </c>
    </row>
    <row r="685" spans="1:18" x14ac:dyDescent="0.25">
      <c r="A685" s="88">
        <v>671</v>
      </c>
      <c r="B685" s="82"/>
      <c r="C685" s="97">
        <f ca="1">_xll.meDateFromTenor(C684,"1D","FOLLOWING","TGT")</f>
        <v>43476</v>
      </c>
      <c r="D685" s="95">
        <f ca="1"/>
        <v>-3.393355873871573E-3</v>
      </c>
      <c r="E685" s="92"/>
      <c r="F685" s="97">
        <f ca="1">_xll.meDateFromTenor(F684,"1D","FOLLOWING","TGT")</f>
        <v>43476</v>
      </c>
      <c r="G685" s="95">
        <f ca="1"/>
        <v>-2.8567889608405975E-3</v>
      </c>
      <c r="H685" s="92" t="s">
        <v>4</v>
      </c>
      <c r="I685" s="97">
        <f ca="1">_xll.meDateFromTenor(I684,"1D","FOLLOWING","TGT")</f>
        <v>43476</v>
      </c>
      <c r="J685" s="95">
        <f ca="1"/>
        <v>-1.3263311204303554E-3</v>
      </c>
      <c r="K685" s="5" t="s">
        <v>4</v>
      </c>
      <c r="L685" s="97">
        <f ca="1">_xll.meDateFromTenor(L684,"1D","FOLLOWING","TGT")</f>
        <v>43476</v>
      </c>
      <c r="M685" s="95">
        <f ca="1"/>
        <v>-6.7277425705618326E-5</v>
      </c>
      <c r="N685" s="5" t="s">
        <v>4</v>
      </c>
      <c r="O685" s="97">
        <f ca="1">_xll.meDateFromTenor(O684,"1D","FOLLOWING","TGT")</f>
        <v>43476</v>
      </c>
      <c r="P685" s="95">
        <f ca="1"/>
        <v>1.9933579283325856E-3</v>
      </c>
      <c r="Q685" s="5" t="s">
        <v>4</v>
      </c>
      <c r="R685" s="83" t="s">
        <v>4</v>
      </c>
    </row>
    <row r="686" spans="1:18" x14ac:dyDescent="0.25">
      <c r="A686" s="88">
        <v>672</v>
      </c>
      <c r="B686" s="82"/>
      <c r="C686" s="97">
        <f ca="1">_xll.meDateFromTenor(C685,"1D","FOLLOWING","TGT")</f>
        <v>43479</v>
      </c>
      <c r="D686" s="95">
        <f ca="1"/>
        <v>-3.3862255535458408E-3</v>
      </c>
      <c r="E686" s="92"/>
      <c r="F686" s="97">
        <f ca="1">_xll.meDateFromTenor(F685,"1D","FOLLOWING","TGT")</f>
        <v>43479</v>
      </c>
      <c r="G686" s="95">
        <f ca="1"/>
        <v>-2.8461025197959984E-3</v>
      </c>
      <c r="H686" s="92" t="s">
        <v>4</v>
      </c>
      <c r="I686" s="97">
        <f ca="1">_xll.meDateFromTenor(I685,"1D","FOLLOWING","TGT")</f>
        <v>43479</v>
      </c>
      <c r="J686" s="95">
        <f ca="1"/>
        <v>-1.3103548360840673E-3</v>
      </c>
      <c r="K686" s="5" t="s">
        <v>4</v>
      </c>
      <c r="L686" s="97">
        <f ca="1">_xll.meDateFromTenor(L685,"1D","FOLLOWING","TGT")</f>
        <v>43479</v>
      </c>
      <c r="M686" s="95">
        <f ca="1"/>
        <v>-5.1503161195608807E-5</v>
      </c>
      <c r="N686" s="5" t="s">
        <v>4</v>
      </c>
      <c r="O686" s="97">
        <f ca="1">_xll.meDateFromTenor(O685,"1D","FOLLOWING","TGT")</f>
        <v>43479</v>
      </c>
      <c r="P686" s="95">
        <f ca="1"/>
        <v>2.0094587620717659E-3</v>
      </c>
      <c r="Q686" s="5" t="s">
        <v>4</v>
      </c>
      <c r="R686" s="83" t="s">
        <v>4</v>
      </c>
    </row>
    <row r="687" spans="1:18" x14ac:dyDescent="0.25">
      <c r="A687" s="88">
        <v>673</v>
      </c>
      <c r="B687" s="82"/>
      <c r="C687" s="97">
        <f ca="1">_xll.meDateFromTenor(C686,"1D","FOLLOWING","TGT")</f>
        <v>43480</v>
      </c>
      <c r="D687" s="95">
        <f ca="1"/>
        <v>-3.3838880224102974E-3</v>
      </c>
      <c r="E687" s="92"/>
      <c r="F687" s="97">
        <f ca="1">_xll.meDateFromTenor(F686,"1D","FOLLOWING","TGT")</f>
        <v>43480</v>
      </c>
      <c r="G687" s="95">
        <f ca="1"/>
        <v>-2.8425612506321201E-3</v>
      </c>
      <c r="H687" s="92" t="s">
        <v>4</v>
      </c>
      <c r="I687" s="97">
        <f ca="1">_xll.meDateFromTenor(I686,"1D","FOLLOWING","TGT")</f>
        <v>43480</v>
      </c>
      <c r="J687" s="95">
        <f ca="1"/>
        <v>-1.305084882915307E-3</v>
      </c>
      <c r="K687" s="5" t="s">
        <v>4</v>
      </c>
      <c r="L687" s="97">
        <f ca="1">_xll.meDateFromTenor(L686,"1D","FOLLOWING","TGT")</f>
        <v>43480</v>
      </c>
      <c r="M687" s="95">
        <f ca="1"/>
        <v>-4.6235813882295089E-5</v>
      </c>
      <c r="N687" s="5" t="s">
        <v>4</v>
      </c>
      <c r="O687" s="97">
        <f ca="1">_xll.meDateFromTenor(O686,"1D","FOLLOWING","TGT")</f>
        <v>43480</v>
      </c>
      <c r="P687" s="95">
        <f ca="1"/>
        <v>2.0148300880428113E-3</v>
      </c>
      <c r="Q687" s="5" t="s">
        <v>4</v>
      </c>
      <c r="R687" s="83" t="s">
        <v>4</v>
      </c>
    </row>
    <row r="688" spans="1:18" x14ac:dyDescent="0.25">
      <c r="A688" s="88">
        <v>674</v>
      </c>
      <c r="B688" s="82"/>
      <c r="C688" s="97">
        <f ca="1">_xll.meDateFromTenor(C687,"1D","FOLLOWING","TGT")</f>
        <v>43481</v>
      </c>
      <c r="D688" s="95">
        <f ca="1"/>
        <v>-3.3815701114502383E-3</v>
      </c>
      <c r="E688" s="92"/>
      <c r="F688" s="97">
        <f ca="1">_xll.meDateFromTenor(F687,"1D","FOLLOWING","TGT")</f>
        <v>43481</v>
      </c>
      <c r="G688" s="95">
        <f ca="1"/>
        <v>-2.8390269954815029E-3</v>
      </c>
      <c r="H688" s="92" t="s">
        <v>4</v>
      </c>
      <c r="I688" s="97">
        <f ca="1">_xll.meDateFromTenor(I687,"1D","FOLLOWING","TGT")</f>
        <v>43481</v>
      </c>
      <c r="J688" s="95">
        <f ca="1"/>
        <v>-1.299842804808935E-3</v>
      </c>
      <c r="K688" s="5" t="s">
        <v>4</v>
      </c>
      <c r="L688" s="97">
        <f ca="1">_xll.meDateFromTenor(L687,"1D","FOLLOWING","TGT")</f>
        <v>43481</v>
      </c>
      <c r="M688" s="95">
        <f ca="1"/>
        <v>-4.0963889338854628E-5</v>
      </c>
      <c r="N688" s="5" t="s">
        <v>4</v>
      </c>
      <c r="O688" s="97">
        <f ca="1">_xll.meDateFromTenor(O687,"1D","FOLLOWING","TGT")</f>
        <v>43481</v>
      </c>
      <c r="P688" s="95">
        <f ca="1"/>
        <v>2.0202035739713842E-3</v>
      </c>
      <c r="Q688" s="5" t="s">
        <v>4</v>
      </c>
      <c r="R688" s="83" t="s">
        <v>4</v>
      </c>
    </row>
    <row r="689" spans="1:18" x14ac:dyDescent="0.25">
      <c r="A689" s="88">
        <v>675</v>
      </c>
      <c r="B689" s="82"/>
      <c r="C689" s="97">
        <f ca="1">_xll.meDateFromTenor(C688,"1D","FOLLOWING","TGT")</f>
        <v>43482</v>
      </c>
      <c r="D689" s="95">
        <f ca="1"/>
        <v>-3.3792718199258109E-3</v>
      </c>
      <c r="E689" s="92"/>
      <c r="F689" s="97">
        <f ca="1">_xll.meDateFromTenor(F688,"1D","FOLLOWING","TGT")</f>
        <v>43482</v>
      </c>
      <c r="G689" s="95">
        <f ca="1"/>
        <v>-2.835497699396808E-3</v>
      </c>
      <c r="H689" s="92" t="s">
        <v>4</v>
      </c>
      <c r="I689" s="97">
        <f ca="1">_xll.meDateFromTenor(I688,"1D","FOLLOWING","TGT")</f>
        <v>43482</v>
      </c>
      <c r="J689" s="95">
        <f ca="1"/>
        <v>-1.2946286843183842E-3</v>
      </c>
      <c r="K689" s="5" t="s">
        <v>4</v>
      </c>
      <c r="L689" s="97">
        <f ca="1">_xll.meDateFromTenor(L688,"1D","FOLLOWING","TGT")</f>
        <v>43482</v>
      </c>
      <c r="M689" s="95">
        <f ca="1"/>
        <v>-3.5687418970205384E-5</v>
      </c>
      <c r="N689" s="5" t="s">
        <v>4</v>
      </c>
      <c r="O689" s="97">
        <f ca="1">_xll.meDateFromTenor(O688,"1D","FOLLOWING","TGT")</f>
        <v>43482</v>
      </c>
      <c r="P689" s="95">
        <f ca="1"/>
        <v>2.0255792014146033E-3</v>
      </c>
      <c r="Q689" s="5" t="s">
        <v>4</v>
      </c>
      <c r="R689" s="83" t="s">
        <v>4</v>
      </c>
    </row>
    <row r="690" spans="1:18" x14ac:dyDescent="0.25">
      <c r="A690" s="88">
        <v>676</v>
      </c>
      <c r="B690" s="82"/>
      <c r="C690" s="97">
        <f ca="1">_xll.meDateFromTenor(C689,"1D","FOLLOWING","TGT")</f>
        <v>43483</v>
      </c>
      <c r="D690" s="95">
        <f ca="1"/>
        <v>-3.3769931472952264E-3</v>
      </c>
      <c r="E690" s="92"/>
      <c r="F690" s="97">
        <f ca="1">_xll.meDateFromTenor(F689,"1D","FOLLOWING","TGT")</f>
        <v>43483</v>
      </c>
      <c r="G690" s="95">
        <f ca="1"/>
        <v>-2.8319713074306946E-3</v>
      </c>
      <c r="H690" s="92" t="s">
        <v>4</v>
      </c>
      <c r="I690" s="97">
        <f ca="1">_xll.meDateFromTenor(I689,"1D","FOLLOWING","TGT")</f>
        <v>43483</v>
      </c>
      <c r="J690" s="95">
        <f ca="1"/>
        <v>-1.2894426039970848E-3</v>
      </c>
      <c r="K690" s="5" t="s">
        <v>4</v>
      </c>
      <c r="L690" s="97">
        <f ca="1">_xll.meDateFromTenor(L689,"1D","FOLLOWING","TGT")</f>
        <v>43483</v>
      </c>
      <c r="M690" s="95">
        <f ca="1"/>
        <v>-3.0406434181262808E-5</v>
      </c>
      <c r="N690" s="5" t="s">
        <v>4</v>
      </c>
      <c r="O690" s="97">
        <f ca="1">_xll.meDateFromTenor(O689,"1D","FOLLOWING","TGT")</f>
        <v>43483</v>
      </c>
      <c r="P690" s="95">
        <f ca="1"/>
        <v>2.0309569519295916E-3</v>
      </c>
      <c r="Q690" s="5" t="s">
        <v>4</v>
      </c>
      <c r="R690" s="83" t="s">
        <v>4</v>
      </c>
    </row>
    <row r="691" spans="1:18" x14ac:dyDescent="0.25">
      <c r="A691" s="88">
        <v>677</v>
      </c>
      <c r="B691" s="82"/>
      <c r="C691" s="97">
        <f ca="1">_xll.meDateFromTenor(C690,"1D","FOLLOWING","TGT")</f>
        <v>43486</v>
      </c>
      <c r="D691" s="95">
        <f ca="1"/>
        <v>-3.3702748356979617E-3</v>
      </c>
      <c r="E691" s="92"/>
      <c r="F691" s="97">
        <f ca="1">_xll.meDateFromTenor(F690,"1D","FOLLOWING","TGT")</f>
        <v>43486</v>
      </c>
      <c r="G691" s="95">
        <f ca="1"/>
        <v>-2.8213890067704489E-3</v>
      </c>
      <c r="H691" s="92" t="s">
        <v>4</v>
      </c>
      <c r="I691" s="97">
        <f ca="1">_xll.meDateFromTenor(I690,"1D","FOLLOWING","TGT")</f>
        <v>43486</v>
      </c>
      <c r="J691" s="95">
        <f ca="1"/>
        <v>-1.2740534295830215E-3</v>
      </c>
      <c r="K691" s="5" t="s">
        <v>4</v>
      </c>
      <c r="L691" s="97">
        <f ca="1">_xll.meDateFromTenor(L690,"1D","FOLLOWING","TGT")</f>
        <v>43486</v>
      </c>
      <c r="M691" s="95">
        <f ca="1"/>
        <v>-1.4536707341851938E-5</v>
      </c>
      <c r="N691" s="5" t="s">
        <v>4</v>
      </c>
      <c r="O691" s="97">
        <f ca="1">_xll.meDateFromTenor(O690,"1D","FOLLOWING","TGT")</f>
        <v>43486</v>
      </c>
      <c r="P691" s="95">
        <f ca="1"/>
        <v>2.0471027574763688E-3</v>
      </c>
      <c r="Q691" s="5" t="s">
        <v>4</v>
      </c>
      <c r="R691" s="83" t="s">
        <v>4</v>
      </c>
    </row>
    <row r="692" spans="1:18" x14ac:dyDescent="0.25">
      <c r="A692" s="88">
        <v>678</v>
      </c>
      <c r="B692" s="82"/>
      <c r="C692" s="97">
        <f ca="1">_xll.meDateFromTenor(C691,"1D","FOLLOWING","TGT")</f>
        <v>43487</v>
      </c>
      <c r="D692" s="95">
        <f ca="1"/>
        <v>-3.3680746318870414E-3</v>
      </c>
      <c r="E692" s="92"/>
      <c r="F692" s="97">
        <f ca="1">_xll.meDateFromTenor(F691,"1D","FOLLOWING","TGT")</f>
        <v>43487</v>
      </c>
      <c r="G692" s="95">
        <f ca="1"/>
        <v>-2.8178536818052663E-3</v>
      </c>
      <c r="H692" s="92" t="s">
        <v>4</v>
      </c>
      <c r="I692" s="97">
        <f ca="1">_xll.meDateFromTenor(I691,"1D","FOLLOWING","TGT")</f>
        <v>43487</v>
      </c>
      <c r="J692" s="95">
        <f ca="1"/>
        <v>-1.268980335473052E-3</v>
      </c>
      <c r="K692" s="5" t="s">
        <v>4</v>
      </c>
      <c r="L692" s="97">
        <f ca="1">_xll.meDateFromTenor(L691,"1D","FOLLOWING","TGT")</f>
        <v>43487</v>
      </c>
      <c r="M692" s="95">
        <f ca="1"/>
        <v>-9.2379789209104987E-6</v>
      </c>
      <c r="N692" s="5" t="s">
        <v>4</v>
      </c>
      <c r="O692" s="97">
        <f ca="1">_xll.meDateFromTenor(O691,"1D","FOLLOWING","TGT")</f>
        <v>43487</v>
      </c>
      <c r="P692" s="95">
        <f ca="1"/>
        <v>2.0524888158496351E-3</v>
      </c>
      <c r="Q692" s="5" t="s">
        <v>4</v>
      </c>
      <c r="R692" s="83" t="s">
        <v>4</v>
      </c>
    </row>
    <row r="693" spans="1:18" x14ac:dyDescent="0.25">
      <c r="A693" s="88">
        <v>679</v>
      </c>
      <c r="B693" s="82"/>
      <c r="C693" s="97">
        <f ca="1">_xll.meDateFromTenor(C692,"1D","FOLLOWING","TGT")</f>
        <v>43488</v>
      </c>
      <c r="D693" s="95">
        <f ca="1"/>
        <v>-3.365894043645512E-3</v>
      </c>
      <c r="E693" s="92"/>
      <c r="F693" s="97">
        <f ca="1">_xll.meDateFromTenor(F692,"1D","FOLLOWING","TGT")</f>
        <v>43488</v>
      </c>
      <c r="G693" s="95">
        <f ca="1"/>
        <v>-2.8143109862219674E-3</v>
      </c>
      <c r="H693" s="92" t="s">
        <v>4</v>
      </c>
      <c r="I693" s="97">
        <f ca="1">_xll.meDateFromTenor(I692,"1D","FOLLOWING","TGT")</f>
        <v>43488</v>
      </c>
      <c r="J693" s="95">
        <f ca="1"/>
        <v>-1.2639356942994952E-3</v>
      </c>
      <c r="K693" s="5" t="s">
        <v>4</v>
      </c>
      <c r="L693" s="97">
        <f ca="1">_xll.meDateFromTenor(L692,"1D","FOLLOWING","TGT")</f>
        <v>43488</v>
      </c>
      <c r="M693" s="95">
        <f ca="1"/>
        <v>-3.9348931042620811E-6</v>
      </c>
      <c r="N693" s="5" t="s">
        <v>4</v>
      </c>
      <c r="O693" s="97">
        <f ca="1">_xll.meDateFromTenor(O692,"1D","FOLLOWING","TGT")</f>
        <v>43488</v>
      </c>
      <c r="P693" s="95">
        <f ca="1"/>
        <v>2.0578769050802713E-3</v>
      </c>
      <c r="Q693" s="5" t="s">
        <v>4</v>
      </c>
      <c r="R693" s="83" t="s">
        <v>4</v>
      </c>
    </row>
    <row r="694" spans="1:18" x14ac:dyDescent="0.25">
      <c r="A694" s="88">
        <v>680</v>
      </c>
      <c r="B694" s="82"/>
      <c r="C694" s="97">
        <f ca="1">_xll.meDateFromTenor(C693,"1D","FOLLOWING","TGT")</f>
        <v>43489</v>
      </c>
      <c r="D694" s="95">
        <f ca="1"/>
        <v>-3.3637330703466528E-3</v>
      </c>
      <c r="E694" s="92"/>
      <c r="F694" s="97">
        <f ca="1">_xll.meDateFromTenor(F693,"1D","FOLLOWING","TGT")</f>
        <v>43489</v>
      </c>
      <c r="G694" s="95">
        <f ca="1"/>
        <v>-2.8107588650732119E-3</v>
      </c>
      <c r="H694" s="92" t="s">
        <v>4</v>
      </c>
      <c r="I694" s="97">
        <f ca="1">_xll.meDateFromTenor(I693,"1D","FOLLOWING","TGT")</f>
        <v>43489</v>
      </c>
      <c r="J694" s="95">
        <f ca="1"/>
        <v>-1.2589195886157829E-3</v>
      </c>
      <c r="K694" s="5" t="s">
        <v>4</v>
      </c>
      <c r="L694" s="97">
        <f ca="1">_xll.meDateFromTenor(L693,"1D","FOLLOWING","TGT")</f>
        <v>43489</v>
      </c>
      <c r="M694" s="95">
        <f ca="1"/>
        <v>1.3725187031760903E-6</v>
      </c>
      <c r="N694" s="5" t="s">
        <v>4</v>
      </c>
      <c r="O694" s="97">
        <f ca="1">_xll.meDateFromTenor(O693,"1D","FOLLOWING","TGT")</f>
        <v>43489</v>
      </c>
      <c r="P694" s="95">
        <f ca="1"/>
        <v>2.063267006725399E-3</v>
      </c>
      <c r="Q694" s="5" t="s">
        <v>4</v>
      </c>
      <c r="R694" s="83" t="s">
        <v>4</v>
      </c>
    </row>
    <row r="695" spans="1:18" x14ac:dyDescent="0.25">
      <c r="A695" s="88">
        <v>681</v>
      </c>
      <c r="B695" s="82"/>
      <c r="C695" s="97">
        <f ca="1">_xll.meDateFromTenor(C694,"1D","FOLLOWING","TGT")</f>
        <v>43490</v>
      </c>
      <c r="D695" s="95">
        <f ca="1"/>
        <v>-3.3615917113193339E-3</v>
      </c>
      <c r="E695" s="92"/>
      <c r="F695" s="97">
        <f ca="1">_xll.meDateFromTenor(F694,"1D","FOLLOWING","TGT")</f>
        <v>43490</v>
      </c>
      <c r="G695" s="95">
        <f ca="1"/>
        <v>-2.8071952634116607E-3</v>
      </c>
      <c r="H695" s="92" t="s">
        <v>4</v>
      </c>
      <c r="I695" s="97">
        <f ca="1">_xll.meDateFromTenor(I694,"1D","FOLLOWING","TGT")</f>
        <v>43490</v>
      </c>
      <c r="J695" s="95">
        <f ca="1"/>
        <v>-1.2539321009753478E-3</v>
      </c>
      <c r="K695" s="5" t="s">
        <v>4</v>
      </c>
      <c r="L695" s="97">
        <f ca="1">_xll.meDateFromTenor(L694,"1D","FOLLOWING","TGT")</f>
        <v>43490</v>
      </c>
      <c r="M695" s="95">
        <f ca="1"/>
        <v>6.6842250964870032E-6</v>
      </c>
      <c r="N695" s="5" t="s">
        <v>4</v>
      </c>
      <c r="O695" s="97">
        <f ca="1">_xll.meDateFromTenor(O694,"1D","FOLLOWING","TGT")</f>
        <v>43490</v>
      </c>
      <c r="P695" s="95">
        <f ca="1"/>
        <v>2.0686591023421387E-3</v>
      </c>
      <c r="Q695" s="5" t="s">
        <v>4</v>
      </c>
      <c r="R695" s="83" t="s">
        <v>4</v>
      </c>
    </row>
    <row r="696" spans="1:18" x14ac:dyDescent="0.25">
      <c r="A696" s="88">
        <v>682</v>
      </c>
      <c r="B696" s="82"/>
      <c r="C696" s="97">
        <f ca="1">_xll.meDateFromTenor(C695,"1D","FOLLOWING","TGT")</f>
        <v>43493</v>
      </c>
      <c r="D696" s="95">
        <f ca="1"/>
        <v>-3.3552853137162053E-3</v>
      </c>
      <c r="E696" s="92"/>
      <c r="F696" s="97">
        <f ca="1">_xll.meDateFromTenor(F695,"1D","FOLLOWING","TGT")</f>
        <v>43493</v>
      </c>
      <c r="G696" s="95">
        <f ca="1"/>
        <v>-2.7964150258768341E-3</v>
      </c>
      <c r="H696" s="92" t="s">
        <v>4</v>
      </c>
      <c r="I696" s="97">
        <f ca="1">_xll.meDateFromTenor(I695,"1D","FOLLOWING","TGT")</f>
        <v>43493</v>
      </c>
      <c r="J696" s="95">
        <f ca="1"/>
        <v>-1.2391421718480238E-3</v>
      </c>
      <c r="K696" s="5" t="s">
        <v>4</v>
      </c>
      <c r="L696" s="97">
        <f ca="1">_xll.meDateFromTenor(L695,"1D","FOLLOWING","TGT")</f>
        <v>43493</v>
      </c>
      <c r="M696" s="95">
        <f ca="1"/>
        <v>2.2644797742483741E-5</v>
      </c>
      <c r="N696" s="5" t="s">
        <v>4</v>
      </c>
      <c r="O696" s="97">
        <f ca="1">_xll.meDateFromTenor(O695,"1D","FOLLOWING","TGT")</f>
        <v>43493</v>
      </c>
      <c r="P696" s="95">
        <f ca="1"/>
        <v>2.0848471685932326E-3</v>
      </c>
      <c r="Q696" s="5" t="s">
        <v>4</v>
      </c>
      <c r="R696" s="83" t="s">
        <v>4</v>
      </c>
    </row>
    <row r="697" spans="1:18" x14ac:dyDescent="0.25">
      <c r="A697" s="88">
        <v>683</v>
      </c>
      <c r="B697" s="82"/>
      <c r="C697" s="97">
        <f ca="1">_xll.meDateFromTenor(C696,"1D","FOLLOWING","TGT")</f>
        <v>43494</v>
      </c>
      <c r="D697" s="95">
        <f ca="1"/>
        <v>-3.3532224053784976E-3</v>
      </c>
      <c r="E697" s="92"/>
      <c r="F697" s="97">
        <f ca="1">_xll.meDateFromTenor(F696,"1D","FOLLOWING","TGT")</f>
        <v>43494</v>
      </c>
      <c r="G697" s="95">
        <f ca="1"/>
        <v>-2.7927849526907028E-3</v>
      </c>
      <c r="H697" s="92" t="s">
        <v>4</v>
      </c>
      <c r="I697" s="97">
        <f ca="1">_xll.meDateFromTenor(I696,"1D","FOLLOWING","TGT")</f>
        <v>43494</v>
      </c>
      <c r="J697" s="95">
        <f ca="1"/>
        <v>-1.234269981915017E-3</v>
      </c>
      <c r="K697" s="5" t="s">
        <v>4</v>
      </c>
      <c r="L697" s="97">
        <f ca="1">_xll.meDateFromTenor(L696,"1D","FOLLOWING","TGT")</f>
        <v>43494</v>
      </c>
      <c r="M697" s="95">
        <f ca="1"/>
        <v>2.7973368430113381E-5</v>
      </c>
      <c r="N697" s="5" t="s">
        <v>4</v>
      </c>
      <c r="O697" s="97">
        <f ca="1">_xll.meDateFromTenor(O696,"1D","FOLLOWING","TGT")</f>
        <v>43494</v>
      </c>
      <c r="P697" s="95">
        <f ca="1"/>
        <v>2.0902470556676237E-3</v>
      </c>
      <c r="Q697" s="5" t="s">
        <v>4</v>
      </c>
      <c r="R697" s="83" t="s">
        <v>4</v>
      </c>
    </row>
    <row r="698" spans="1:18" x14ac:dyDescent="0.25">
      <c r="A698" s="88">
        <v>684</v>
      </c>
      <c r="B698" s="82"/>
      <c r="C698" s="97">
        <f ca="1">_xll.meDateFromTenor(C697,"1D","FOLLOWING","TGT")</f>
        <v>43495</v>
      </c>
      <c r="D698" s="95">
        <f ca="1"/>
        <v>-3.3511791083866704E-3</v>
      </c>
      <c r="E698" s="92"/>
      <c r="F698" s="97">
        <f ca="1">_xll.meDateFromTenor(F697,"1D","FOLLOWING","TGT")</f>
        <v>43495</v>
      </c>
      <c r="G698" s="95">
        <f ca="1"/>
        <v>-2.7891331242550763E-3</v>
      </c>
      <c r="H698" s="92" t="s">
        <v>4</v>
      </c>
      <c r="I698" s="97">
        <f ca="1">_xll.meDateFromTenor(I697,"1D","FOLLOWING","TGT")</f>
        <v>43495</v>
      </c>
      <c r="J698" s="95">
        <f ca="1"/>
        <v>-1.2294268227924468E-3</v>
      </c>
      <c r="K698" s="5" t="s">
        <v>4</v>
      </c>
      <c r="L698" s="97">
        <f ca="1">_xll.meDateFromTenor(L697,"1D","FOLLOWING","TGT")</f>
        <v>43495</v>
      </c>
      <c r="M698" s="95">
        <f ca="1"/>
        <v>3.3306076679030925E-5</v>
      </c>
      <c r="N698" s="5" t="s">
        <v>4</v>
      </c>
      <c r="O698" s="97">
        <f ca="1">_xll.meDateFromTenor(O697,"1D","FOLLOWING","TGT")</f>
        <v>43495</v>
      </c>
      <c r="P698" s="95">
        <f ca="1"/>
        <v>2.0956488444992304E-3</v>
      </c>
      <c r="Q698" s="5" t="s">
        <v>4</v>
      </c>
      <c r="R698" s="83" t="s">
        <v>4</v>
      </c>
    </row>
    <row r="699" spans="1:18" x14ac:dyDescent="0.25">
      <c r="A699" s="88">
        <v>685</v>
      </c>
      <c r="B699" s="82"/>
      <c r="C699" s="97">
        <f ca="1">_xll.meDateFromTenor(C698,"1D","FOLLOWING","TGT")</f>
        <v>43496</v>
      </c>
      <c r="D699" s="95">
        <f ca="1"/>
        <v>-3.3491554215063779E-3</v>
      </c>
      <c r="E699" s="92"/>
      <c r="F699" s="97">
        <f ca="1">_xll.meDateFromTenor(F698,"1D","FOLLOWING","TGT")</f>
        <v>43496</v>
      </c>
      <c r="G699" s="95">
        <f ca="1"/>
        <v>-2.7854574856226158E-3</v>
      </c>
      <c r="H699" s="92" t="s">
        <v>4</v>
      </c>
      <c r="I699" s="97">
        <f ca="1">_xll.meDateFromTenor(I698,"1D","FOLLOWING","TGT")</f>
        <v>43496</v>
      </c>
      <c r="J699" s="95">
        <f ca="1"/>
        <v>-1.2246127770337459E-3</v>
      </c>
      <c r="K699" s="5" t="s">
        <v>4</v>
      </c>
      <c r="L699" s="97">
        <f ca="1">_xll.meDateFromTenor(L698,"1D","FOLLOWING","TGT")</f>
        <v>43496</v>
      </c>
      <c r="M699" s="95">
        <f ca="1"/>
        <v>3.8642891084318502E-5</v>
      </c>
      <c r="N699" s="5" t="s">
        <v>4</v>
      </c>
      <c r="O699" s="97">
        <f ca="1">_xll.meDateFromTenor(O698,"1D","FOLLOWING","TGT")</f>
        <v>43496</v>
      </c>
      <c r="P699" s="95">
        <f ca="1"/>
        <v>2.1010525166451715E-3</v>
      </c>
      <c r="Q699" s="5" t="s">
        <v>4</v>
      </c>
      <c r="R699" s="83" t="s">
        <v>4</v>
      </c>
    </row>
    <row r="700" spans="1:18" x14ac:dyDescent="0.25">
      <c r="A700" s="88">
        <v>686</v>
      </c>
      <c r="B700" s="82"/>
      <c r="C700" s="97">
        <f ca="1">_xll.meDateFromTenor(C699,"1D","FOLLOWING","TGT")</f>
        <v>43497</v>
      </c>
      <c r="D700" s="95">
        <f ca="1"/>
        <v>-3.347151344697652E-3</v>
      </c>
      <c r="E700" s="92"/>
      <c r="F700" s="97">
        <f ca="1">_xll.meDateFromTenor(F699,"1D","FOLLOWING","TGT")</f>
        <v>43497</v>
      </c>
      <c r="G700" s="95">
        <f ca="1"/>
        <v>-2.7817559818459816E-3</v>
      </c>
      <c r="H700" s="92" t="s">
        <v>4</v>
      </c>
      <c r="I700" s="97">
        <f ca="1">_xll.meDateFromTenor(I699,"1D","FOLLOWING","TGT")</f>
        <v>43497</v>
      </c>
      <c r="J700" s="95">
        <f ca="1"/>
        <v>-1.2198279271923463E-3</v>
      </c>
      <c r="K700" s="5" t="s">
        <v>4</v>
      </c>
      <c r="L700" s="97">
        <f ca="1">_xll.meDateFromTenor(L699,"1D","FOLLOWING","TGT")</f>
        <v>43497</v>
      </c>
      <c r="M700" s="95">
        <f ca="1"/>
        <v>4.3983780241058898E-5</v>
      </c>
      <c r="N700" s="5" t="s">
        <v>4</v>
      </c>
      <c r="O700" s="97">
        <f ca="1">_xll.meDateFromTenor(O699,"1D","FOLLOWING","TGT")</f>
        <v>43497</v>
      </c>
      <c r="P700" s="95">
        <f ca="1"/>
        <v>2.1064580536625686E-3</v>
      </c>
      <c r="Q700" s="5" t="s">
        <v>4</v>
      </c>
      <c r="R700" s="83" t="s">
        <v>4</v>
      </c>
    </row>
    <row r="701" spans="1:18" x14ac:dyDescent="0.25">
      <c r="A701" s="88">
        <v>687</v>
      </c>
      <c r="B701" s="82"/>
      <c r="C701" s="97">
        <f ca="1">_xll.meDateFromTenor(C700,"1D","FOLLOWING","TGT")</f>
        <v>43500</v>
      </c>
      <c r="D701" s="95">
        <f ca="1"/>
        <v>-3.3412567660749959E-3</v>
      </c>
      <c r="E701" s="92"/>
      <c r="F701" s="97">
        <f ca="1">_xll.meDateFromTenor(F700,"1D","FOLLOWING","TGT")</f>
        <v>43500</v>
      </c>
      <c r="G701" s="95">
        <f ca="1"/>
        <v>-2.7704757301776398E-3</v>
      </c>
      <c r="H701" s="92" t="s">
        <v>4</v>
      </c>
      <c r="I701" s="97">
        <f ca="1">_xll.meDateFromTenor(I700,"1D","FOLLOWING","TGT")</f>
        <v>43500</v>
      </c>
      <c r="J701" s="95">
        <f ca="1"/>
        <v>-1.2056493787062767E-3</v>
      </c>
      <c r="K701" s="5" t="s">
        <v>4</v>
      </c>
      <c r="L701" s="97">
        <f ca="1">_xll.meDateFromTenor(L700,"1D","FOLLOWING","TGT")</f>
        <v>43500</v>
      </c>
      <c r="M701" s="95">
        <f ca="1"/>
        <v>6.0030582170825375E-5</v>
      </c>
      <c r="N701" s="5" t="s">
        <v>4</v>
      </c>
      <c r="O701" s="97">
        <f ca="1">_xll.meDateFromTenor(O700,"1D","FOLLOWING","TGT")</f>
        <v>43500</v>
      </c>
      <c r="P701" s="95">
        <f ca="1"/>
        <v>2.1226856695146967E-3</v>
      </c>
      <c r="Q701" s="5" t="s">
        <v>4</v>
      </c>
      <c r="R701" s="83" t="s">
        <v>4</v>
      </c>
    </row>
    <row r="702" spans="1:18" x14ac:dyDescent="0.25">
      <c r="A702" s="88">
        <v>688</v>
      </c>
      <c r="B702" s="82"/>
      <c r="C702" s="97">
        <f ca="1">_xll.meDateFromTenor(C701,"1D","FOLLOWING","TGT")</f>
        <v>43501</v>
      </c>
      <c r="D702" s="95">
        <f ca="1"/>
        <v>-3.3393311217975175E-3</v>
      </c>
      <c r="E702" s="92"/>
      <c r="F702" s="97">
        <f ca="1">_xll.meDateFromTenor(F701,"1D","FOLLOWING","TGT")</f>
        <v>43501</v>
      </c>
      <c r="G702" s="95">
        <f ca="1"/>
        <v>-2.7666508062587736E-3</v>
      </c>
      <c r="H702" s="92" t="s">
        <v>4</v>
      </c>
      <c r="I702" s="97">
        <f ca="1">_xll.meDateFromTenor(I701,"1D","FOLLOWING","TGT")</f>
        <v>43501</v>
      </c>
      <c r="J702" s="95">
        <f ca="1"/>
        <v>-1.200982138068403E-3</v>
      </c>
      <c r="K702" s="5" t="s">
        <v>4</v>
      </c>
      <c r="L702" s="97">
        <f ca="1">_xll.meDateFromTenor(L701,"1D","FOLLOWING","TGT")</f>
        <v>43501</v>
      </c>
      <c r="M702" s="95">
        <f ca="1"/>
        <v>6.5387456284206059E-5</v>
      </c>
      <c r="N702" s="5" t="s">
        <v>4</v>
      </c>
      <c r="O702" s="97">
        <f ca="1">_xll.meDateFromTenor(O701,"1D","FOLLOWING","TGT")</f>
        <v>43501</v>
      </c>
      <c r="P702" s="95">
        <f ca="1"/>
        <v>2.1280984815891207E-3</v>
      </c>
      <c r="Q702" s="5" t="s">
        <v>4</v>
      </c>
      <c r="R702" s="83" t="s">
        <v>4</v>
      </c>
    </row>
    <row r="703" spans="1:18" x14ac:dyDescent="0.25">
      <c r="A703" s="88">
        <v>689</v>
      </c>
      <c r="B703" s="82"/>
      <c r="C703" s="97">
        <f ca="1">_xll.meDateFromTenor(C702,"1D","FOLLOWING","TGT")</f>
        <v>43502</v>
      </c>
      <c r="D703" s="95">
        <f ca="1"/>
        <v>-3.3374250842260755E-3</v>
      </c>
      <c r="E703" s="92"/>
      <c r="F703" s="97">
        <f ca="1">_xll.meDateFromTenor(F702,"1D","FOLLOWING","TGT")</f>
        <v>43502</v>
      </c>
      <c r="G703" s="95">
        <f ca="1"/>
        <v>-2.7627932819061984E-3</v>
      </c>
      <c r="H703" s="92" t="s">
        <v>4</v>
      </c>
      <c r="I703" s="97">
        <f ca="1">_xll.meDateFromTenor(I702,"1D","FOLLOWING","TGT")</f>
        <v>43502</v>
      </c>
      <c r="J703" s="95">
        <f ca="1"/>
        <v>-1.1963445061149909E-3</v>
      </c>
      <c r="K703" s="5" t="s">
        <v>4</v>
      </c>
      <c r="L703" s="97">
        <f ca="1">_xll.meDateFromTenor(L702,"1D","FOLLOWING","TGT")</f>
        <v>43502</v>
      </c>
      <c r="M703" s="95">
        <f ca="1"/>
        <v>7.0748248124454096E-5</v>
      </c>
      <c r="N703" s="5" t="s">
        <v>4</v>
      </c>
      <c r="O703" s="97">
        <f ca="1">_xll.meDateFromTenor(O702,"1D","FOLLOWING","TGT")</f>
        <v>43502</v>
      </c>
      <c r="P703" s="95">
        <f ca="1"/>
        <v>2.1335130663206032E-3</v>
      </c>
      <c r="Q703" s="5" t="s">
        <v>4</v>
      </c>
      <c r="R703" s="83" t="s">
        <v>4</v>
      </c>
    </row>
    <row r="704" spans="1:18" x14ac:dyDescent="0.25">
      <c r="A704" s="88">
        <v>690</v>
      </c>
      <c r="B704" s="82"/>
      <c r="C704" s="97">
        <f ca="1">_xll.meDateFromTenor(C703,"1D","FOLLOWING","TGT")</f>
        <v>43503</v>
      </c>
      <c r="D704" s="95">
        <f ca="1"/>
        <v>-3.3355386524771546E-3</v>
      </c>
      <c r="E704" s="92"/>
      <c r="F704" s="97">
        <f ca="1">_xll.meDateFromTenor(F703,"1D","FOLLOWING","TGT")</f>
        <v>43503</v>
      </c>
      <c r="G704" s="95">
        <f ca="1"/>
        <v>-2.758904641619736E-3</v>
      </c>
      <c r="H704" s="92" t="s">
        <v>4</v>
      </c>
      <c r="I704" s="97">
        <f ca="1">_xll.meDateFromTenor(I703,"1D","FOLLOWING","TGT")</f>
        <v>43503</v>
      </c>
      <c r="J704" s="95">
        <f ca="1"/>
        <v>-1.1917365653994732E-3</v>
      </c>
      <c r="K704" s="5" t="s">
        <v>4</v>
      </c>
      <c r="L704" s="97">
        <f ca="1">_xll.meDateFromTenor(L703,"1D","FOLLOWING","TGT")</f>
        <v>43503</v>
      </c>
      <c r="M704" s="95">
        <f ca="1"/>
        <v>7.6112926286651378E-5</v>
      </c>
      <c r="N704" s="5" t="s">
        <v>4</v>
      </c>
      <c r="O704" s="97">
        <f ca="1">_xll.meDateFromTenor(O703,"1D","FOLLOWING","TGT")</f>
        <v>43503</v>
      </c>
      <c r="P704" s="95">
        <f ca="1"/>
        <v>2.1389294052662632E-3</v>
      </c>
      <c r="Q704" s="5" t="s">
        <v>4</v>
      </c>
      <c r="R704" s="83" t="s">
        <v>4</v>
      </c>
    </row>
    <row r="705" spans="1:18" x14ac:dyDescent="0.25">
      <c r="A705" s="88">
        <v>691</v>
      </c>
      <c r="B705" s="82"/>
      <c r="C705" s="97">
        <f ca="1">_xll.meDateFromTenor(C704,"1D","FOLLOWING","TGT")</f>
        <v>43504</v>
      </c>
      <c r="D705" s="95">
        <f ca="1"/>
        <v>-3.333671825904827E-3</v>
      </c>
      <c r="E705" s="92"/>
      <c r="F705" s="97">
        <f ca="1">_xll.meDateFromTenor(F704,"1D","FOLLOWING","TGT")</f>
        <v>43504</v>
      </c>
      <c r="G705" s="95">
        <f ca="1"/>
        <v>-2.754986369899209E-3</v>
      </c>
      <c r="H705" s="92" t="s">
        <v>4</v>
      </c>
      <c r="I705" s="97">
        <f ca="1">_xll.meDateFromTenor(I704,"1D","FOLLOWING","TGT")</f>
        <v>43504</v>
      </c>
      <c r="J705" s="95">
        <f ca="1"/>
        <v>-1.187158398475281E-3</v>
      </c>
      <c r="K705" s="5" t="s">
        <v>4</v>
      </c>
      <c r="L705" s="97">
        <f ca="1">_xll.meDateFromTenor(L704,"1D","FOLLOWING","TGT")</f>
        <v>43504</v>
      </c>
      <c r="M705" s="95">
        <f ca="1"/>
        <v>8.1481459365882614E-5</v>
      </c>
      <c r="N705" s="5" t="s">
        <v>4</v>
      </c>
      <c r="O705" s="97">
        <f ca="1">_xll.meDateFromTenor(O704,"1D","FOLLOWING","TGT")</f>
        <v>43504</v>
      </c>
      <c r="P705" s="95">
        <f ca="1"/>
        <v>2.1443474799832233E-3</v>
      </c>
      <c r="Q705" s="5" t="s">
        <v>4</v>
      </c>
      <c r="R705" s="83" t="s">
        <v>4</v>
      </c>
    </row>
    <row r="706" spans="1:18" x14ac:dyDescent="0.25">
      <c r="A706" s="88">
        <v>692</v>
      </c>
      <c r="B706" s="82"/>
      <c r="C706" s="97">
        <f ca="1">_xll.meDateFromTenor(C705,"1D","FOLLOWING","TGT")</f>
        <v>43507</v>
      </c>
      <c r="D706" s="95">
        <f ca="1"/>
        <v>-3.3281889717280411E-3</v>
      </c>
      <c r="E706" s="92"/>
      <c r="F706" s="97">
        <f ca="1">_xll.meDateFromTenor(F705,"1D","FOLLOWING","TGT")</f>
        <v>43507</v>
      </c>
      <c r="G706" s="95">
        <f ca="1"/>
        <v>-2.7430686111314688E-3</v>
      </c>
      <c r="H706" s="92" t="s">
        <v>4</v>
      </c>
      <c r="I706" s="97">
        <f ca="1">_xll.meDateFromTenor(I705,"1D","FOLLOWING","TGT")</f>
        <v>43507</v>
      </c>
      <c r="J706" s="95">
        <f ca="1"/>
        <v>-1.1736033659849794E-3</v>
      </c>
      <c r="K706" s="5" t="s">
        <v>4</v>
      </c>
      <c r="L706" s="97">
        <f ca="1">_xll.meDateFromTenor(L705,"1D","FOLLOWING","TGT")</f>
        <v>43507</v>
      </c>
      <c r="M706" s="95">
        <f ca="1"/>
        <v>9.760987405660332E-5</v>
      </c>
      <c r="N706" s="5" t="s">
        <v>4</v>
      </c>
      <c r="O706" s="97">
        <f ca="1">_xll.meDateFromTenor(O705,"1D","FOLLOWING","TGT")</f>
        <v>43507</v>
      </c>
      <c r="P706" s="95">
        <f ca="1"/>
        <v>2.1606119343331046E-3</v>
      </c>
      <c r="Q706" s="5" t="s">
        <v>4</v>
      </c>
      <c r="R706" s="83" t="s">
        <v>4</v>
      </c>
    </row>
    <row r="707" spans="1:18" x14ac:dyDescent="0.25">
      <c r="A707" s="88">
        <v>693</v>
      </c>
      <c r="B707" s="82"/>
      <c r="C707" s="97">
        <f ca="1">_xll.meDateFromTenor(C706,"1D","FOLLOWING","TGT")</f>
        <v>43508</v>
      </c>
      <c r="D707" s="95">
        <f ca="1"/>
        <v>-3.3264005596993496E-3</v>
      </c>
      <c r="E707" s="92"/>
      <c r="F707" s="97">
        <f ca="1">_xll.meDateFromTenor(F706,"1D","FOLLOWING","TGT")</f>
        <v>43508</v>
      </c>
      <c r="G707" s="95">
        <f ca="1"/>
        <v>-2.739046658672912E-3</v>
      </c>
      <c r="H707" s="92" t="s">
        <v>4</v>
      </c>
      <c r="I707" s="97">
        <f ca="1">_xll.meDateFromTenor(I706,"1D","FOLLOWING","TGT")</f>
        <v>43508</v>
      </c>
      <c r="J707" s="95">
        <f ca="1"/>
        <v>-1.1691451197604113E-3</v>
      </c>
      <c r="K707" s="5" t="s">
        <v>4</v>
      </c>
      <c r="L707" s="97">
        <f ca="1">_xll.meDateFromTenor(L706,"1D","FOLLOWING","TGT")</f>
        <v>43508</v>
      </c>
      <c r="M707" s="95">
        <f ca="1"/>
        <v>1.0299351275479557E-4</v>
      </c>
      <c r="N707" s="5" t="s">
        <v>4</v>
      </c>
      <c r="O707" s="97">
        <f ca="1">_xll.meDateFromTenor(O706,"1D","FOLLOWING","TGT")</f>
        <v>43508</v>
      </c>
      <c r="P707" s="95">
        <f ca="1"/>
        <v>2.1660367677064666E-3</v>
      </c>
      <c r="Q707" s="5" t="s">
        <v>4</v>
      </c>
      <c r="R707" s="83" t="s">
        <v>4</v>
      </c>
    </row>
    <row r="708" spans="1:18" x14ac:dyDescent="0.25">
      <c r="A708" s="88">
        <v>694</v>
      </c>
      <c r="B708" s="82"/>
      <c r="C708" s="97">
        <f ca="1">_xll.meDateFromTenor(C707,"1D","FOLLOWING","TGT")</f>
        <v>43509</v>
      </c>
      <c r="D708" s="95">
        <f ca="1"/>
        <v>-3.3246317500390532E-3</v>
      </c>
      <c r="E708" s="92"/>
      <c r="F708" s="97">
        <f ca="1">_xll.meDateFromTenor(F707,"1D","FOLLOWING","TGT")</f>
        <v>43509</v>
      </c>
      <c r="G708" s="95">
        <f ca="1"/>
        <v>-2.7350024972794054E-3</v>
      </c>
      <c r="H708" s="92" t="s">
        <v>4</v>
      </c>
      <c r="I708" s="97">
        <f ca="1">_xll.meDateFromTenor(I707,"1D","FOLLOWING","TGT")</f>
        <v>43509</v>
      </c>
      <c r="J708" s="95">
        <f ca="1"/>
        <v>-1.1647170600943297E-3</v>
      </c>
      <c r="K708" s="5" t="s">
        <v>4</v>
      </c>
      <c r="L708" s="97">
        <f ca="1">_xll.meDateFromTenor(L707,"1D","FOLLOWING","TGT")</f>
        <v>43509</v>
      </c>
      <c r="M708" s="95">
        <f ca="1"/>
        <v>1.0838084934543436E-4</v>
      </c>
      <c r="N708" s="5" t="s">
        <v>4</v>
      </c>
      <c r="O708" s="97">
        <f ca="1">_xll.meDateFromTenor(O707,"1D","FOLLOWING","TGT")</f>
        <v>43509</v>
      </c>
      <c r="P708" s="95">
        <f ca="1"/>
        <v>2.1714632446367304E-3</v>
      </c>
      <c r="Q708" s="5" t="s">
        <v>4</v>
      </c>
      <c r="R708" s="83" t="s">
        <v>4</v>
      </c>
    </row>
    <row r="709" spans="1:18" x14ac:dyDescent="0.25">
      <c r="A709" s="88">
        <v>695</v>
      </c>
      <c r="B709" s="82"/>
      <c r="C709" s="97">
        <f ca="1">_xll.meDateFromTenor(C708,"1D","FOLLOWING","TGT")</f>
        <v>43510</v>
      </c>
      <c r="D709" s="95">
        <f ca="1"/>
        <v>-3.3228825416957708E-3</v>
      </c>
      <c r="E709" s="92"/>
      <c r="F709" s="97">
        <f ca="1">_xll.meDateFromTenor(F708,"1D","FOLLOWING","TGT")</f>
        <v>43510</v>
      </c>
      <c r="G709" s="95">
        <f ca="1"/>
        <v>-2.730937611450769E-3</v>
      </c>
      <c r="H709" s="92" t="s">
        <v>4</v>
      </c>
      <c r="I709" s="97">
        <f ca="1">_xll.meDateFromTenor(I708,"1D","FOLLOWING","TGT")</f>
        <v>43510</v>
      </c>
      <c r="J709" s="95">
        <f ca="1"/>
        <v>-1.1603192695401659E-3</v>
      </c>
      <c r="K709" s="5" t="s">
        <v>4</v>
      </c>
      <c r="L709" s="97">
        <f ca="1">_xll.meDateFromTenor(L708,"1D","FOLLOWING","TGT")</f>
        <v>43510</v>
      </c>
      <c r="M709" s="95">
        <f ca="1"/>
        <v>1.1377185242360442E-4</v>
      </c>
      <c r="N709" s="5" t="s">
        <v>4</v>
      </c>
      <c r="O709" s="97">
        <f ca="1">_xll.meDateFromTenor(O708,"1D","FOLLOWING","TGT")</f>
        <v>43510</v>
      </c>
      <c r="P709" s="95">
        <f ca="1"/>
        <v>2.1768913466810166E-3</v>
      </c>
      <c r="Q709" s="5" t="s">
        <v>4</v>
      </c>
      <c r="R709" s="83" t="s">
        <v>4</v>
      </c>
    </row>
    <row r="710" spans="1:18" x14ac:dyDescent="0.25">
      <c r="A710" s="88">
        <v>696</v>
      </c>
      <c r="B710" s="82"/>
      <c r="C710" s="97">
        <f ca="1">_xll.meDateFromTenor(C709,"1D","FOLLOWING","TGT")</f>
        <v>43511</v>
      </c>
      <c r="D710" s="95">
        <f ca="1"/>
        <v>-3.321152933935978E-3</v>
      </c>
      <c r="E710" s="92"/>
      <c r="F710" s="97">
        <f ca="1">_xll.meDateFromTenor(F709,"1D","FOLLOWING","TGT")</f>
        <v>43511</v>
      </c>
      <c r="G710" s="95">
        <f ca="1"/>
        <v>-2.7268534856868284E-3</v>
      </c>
      <c r="H710" s="92" t="s">
        <v>4</v>
      </c>
      <c r="I710" s="97">
        <f ca="1">_xll.meDateFromTenor(I709,"1D","FOLLOWING","TGT")</f>
        <v>43511</v>
      </c>
      <c r="J710" s="95">
        <f ca="1"/>
        <v>-1.1559518306513525E-3</v>
      </c>
      <c r="K710" s="5" t="s">
        <v>4</v>
      </c>
      <c r="L710" s="97">
        <f ca="1">_xll.meDateFromTenor(L709,"1D","FOLLOWING","TGT")</f>
        <v>43511</v>
      </c>
      <c r="M710" s="95">
        <f ca="1"/>
        <v>1.1916649058438764E-4</v>
      </c>
      <c r="N710" s="5" t="s">
        <v>4</v>
      </c>
      <c r="O710" s="97">
        <f ca="1">_xll.meDateFromTenor(O709,"1D","FOLLOWING","TGT")</f>
        <v>43511</v>
      </c>
      <c r="P710" s="95">
        <f ca="1"/>
        <v>2.1823210553964462E-3</v>
      </c>
      <c r="Q710" s="5" t="s">
        <v>4</v>
      </c>
      <c r="R710" s="83" t="s">
        <v>4</v>
      </c>
    </row>
    <row r="711" spans="1:18" x14ac:dyDescent="0.25">
      <c r="A711" s="88">
        <v>697</v>
      </c>
      <c r="B711" s="82"/>
      <c r="C711" s="97">
        <f ca="1">_xll.meDateFromTenor(C710,"1D","FOLLOWING","TGT")</f>
        <v>43514</v>
      </c>
      <c r="D711" s="95">
        <f ca="1"/>
        <v>-3.3160817089151751E-3</v>
      </c>
      <c r="E711" s="92"/>
      <c r="F711" s="97">
        <f ca="1">_xll.meDateFromTenor(F710,"1D","FOLLOWING","TGT")</f>
        <v>43514</v>
      </c>
      <c r="G711" s="95">
        <f ca="1"/>
        <v>-2.7145005137814023E-3</v>
      </c>
      <c r="H711" s="92" t="s">
        <v>4</v>
      </c>
      <c r="I711" s="97">
        <f ca="1">_xll.meDateFromTenor(I710,"1D","FOLLOWING","TGT")</f>
        <v>43514</v>
      </c>
      <c r="J711" s="95">
        <f ca="1"/>
        <v>-1.1430324495113355E-3</v>
      </c>
      <c r="K711" s="5" t="s">
        <v>4</v>
      </c>
      <c r="L711" s="97">
        <f ca="1">_xll.meDateFromTenor(L710,"1D","FOLLOWING","TGT")</f>
        <v>43514</v>
      </c>
      <c r="M711" s="95">
        <f ca="1"/>
        <v>1.3537190151324474E-4</v>
      </c>
      <c r="N711" s="5" t="s">
        <v>4</v>
      </c>
      <c r="O711" s="97">
        <f ca="1">_xll.meDateFromTenor(O710,"1D","FOLLOWING","TGT")</f>
        <v>43514</v>
      </c>
      <c r="P711" s="95">
        <f ca="1"/>
        <v>2.1986196371407965E-3</v>
      </c>
      <c r="Q711" s="5" t="s">
        <v>4</v>
      </c>
      <c r="R711" s="83" t="s">
        <v>4</v>
      </c>
    </row>
    <row r="712" spans="1:18" x14ac:dyDescent="0.25">
      <c r="A712" s="88">
        <v>698</v>
      </c>
      <c r="B712" s="82"/>
      <c r="C712" s="97">
        <f ca="1">_xll.meDateFromTenor(C711,"1D","FOLLOWING","TGT")</f>
        <v>43515</v>
      </c>
      <c r="D712" s="95">
        <f ca="1"/>
        <v>-3.3144304978031114E-3</v>
      </c>
      <c r="E712" s="92"/>
      <c r="F712" s="97">
        <f ca="1">_xll.meDateFromTenor(F711,"1D","FOLLOWING","TGT")</f>
        <v>43515</v>
      </c>
      <c r="G712" s="95">
        <f ca="1"/>
        <v>-2.7103542732744685E-3</v>
      </c>
      <c r="H712" s="92" t="s">
        <v>4</v>
      </c>
      <c r="I712" s="97">
        <f ca="1">_xll.meDateFromTenor(I711,"1D","FOLLOWING","TGT")</f>
        <v>43515</v>
      </c>
      <c r="J712" s="95">
        <f ca="1"/>
        <v>-1.1387872428182441E-3</v>
      </c>
      <c r="K712" s="5" t="s">
        <v>4</v>
      </c>
      <c r="L712" s="97">
        <f ca="1">_xll.meDateFromTenor(L711,"1D","FOLLOWING","TGT")</f>
        <v>43515</v>
      </c>
      <c r="M712" s="95">
        <f ca="1"/>
        <v>1.4078076595530967E-4</v>
      </c>
      <c r="N712" s="5" t="s">
        <v>4</v>
      </c>
      <c r="O712" s="97">
        <f ca="1">_xll.meDateFromTenor(O711,"1D","FOLLOWING","TGT")</f>
        <v>43515</v>
      </c>
      <c r="P712" s="95">
        <f ca="1"/>
        <v>2.204055588112003E-3</v>
      </c>
      <c r="Q712" s="5" t="s">
        <v>4</v>
      </c>
      <c r="R712" s="83" t="s">
        <v>4</v>
      </c>
    </row>
    <row r="713" spans="1:18" x14ac:dyDescent="0.25">
      <c r="A713" s="88">
        <v>699</v>
      </c>
      <c r="B713" s="82"/>
      <c r="C713" s="97">
        <f ca="1">_xll.meDateFromTenor(C712,"1D","FOLLOWING","TGT")</f>
        <v>43516</v>
      </c>
      <c r="D713" s="95">
        <f ca="1"/>
        <v>-3.312798884066992E-3</v>
      </c>
      <c r="E713" s="92"/>
      <c r="F713" s="97">
        <f ca="1">_xll.meDateFromTenor(F712,"1D","FOLLOWING","TGT")</f>
        <v>43516</v>
      </c>
      <c r="G713" s="95">
        <f ca="1"/>
        <v>-2.7061962153313423E-3</v>
      </c>
      <c r="H713" s="92" t="s">
        <v>4</v>
      </c>
      <c r="I713" s="97">
        <f ca="1">_xll.meDateFromTenor(I712,"1D","FOLLOWING","TGT")</f>
        <v>43516</v>
      </c>
      <c r="J713" s="95">
        <f ca="1"/>
        <v>-1.1345728005576635E-3</v>
      </c>
      <c r="K713" s="5" t="s">
        <v>4</v>
      </c>
      <c r="L713" s="97">
        <f ca="1">_xll.meDateFromTenor(L712,"1D","FOLLOWING","TGT")</f>
        <v>43516</v>
      </c>
      <c r="M713" s="95">
        <f ca="1"/>
        <v>1.4619310845540232E-4</v>
      </c>
      <c r="N713" s="5" t="s">
        <v>4</v>
      </c>
      <c r="O713" s="97">
        <f ca="1">_xll.meDateFromTenor(O712,"1D","FOLLOWING","TGT")</f>
        <v>43516</v>
      </c>
      <c r="P713" s="95">
        <f ca="1"/>
        <v>2.2094930535399553E-3</v>
      </c>
      <c r="Q713" s="5" t="s">
        <v>4</v>
      </c>
      <c r="R713" s="83" t="s">
        <v>4</v>
      </c>
    </row>
    <row r="714" spans="1:18" x14ac:dyDescent="0.25">
      <c r="A714" s="88">
        <v>700</v>
      </c>
      <c r="B714" s="82"/>
      <c r="C714" s="97">
        <f ca="1">_xll.meDateFromTenor(C713,"1D","FOLLOWING","TGT")</f>
        <v>43517</v>
      </c>
      <c r="D714" s="95">
        <f ca="1"/>
        <v>-3.3111868673249001E-3</v>
      </c>
      <c r="E714" s="92"/>
      <c r="F714" s="97">
        <f ca="1">_xll.meDateFromTenor(F713,"1D","FOLLOWING","TGT")</f>
        <v>43517</v>
      </c>
      <c r="G714" s="95">
        <f ca="1"/>
        <v>-2.7020278244518489E-3</v>
      </c>
      <c r="H714" s="92" t="s">
        <v>4</v>
      </c>
      <c r="I714" s="97">
        <f ca="1">_xll.meDateFromTenor(I713,"1D","FOLLOWING","TGT")</f>
        <v>43517</v>
      </c>
      <c r="J714" s="95">
        <f ca="1"/>
        <v>-1.1303892052830259E-3</v>
      </c>
      <c r="K714" s="5" t="s">
        <v>4</v>
      </c>
      <c r="L714" s="97">
        <f ca="1">_xll.meDateFromTenor(L713,"1D","FOLLOWING","TGT")</f>
        <v>43517</v>
      </c>
      <c r="M714" s="95">
        <f ca="1"/>
        <v>1.5160889760860457E-4</v>
      </c>
      <c r="N714" s="5" t="s">
        <v>4</v>
      </c>
      <c r="O714" s="97">
        <f ca="1">_xll.meDateFromTenor(O713,"1D","FOLLOWING","TGT")</f>
        <v>43517</v>
      </c>
      <c r="P714" s="95">
        <f ca="1"/>
        <v>2.2149320149817725E-3</v>
      </c>
      <c r="Q714" s="5" t="s">
        <v>4</v>
      </c>
      <c r="R714" s="83" t="s">
        <v>4</v>
      </c>
    </row>
    <row r="715" spans="1:18" x14ac:dyDescent="0.25">
      <c r="A715" s="88">
        <v>701</v>
      </c>
      <c r="B715" s="82"/>
      <c r="C715" s="97">
        <f ca="1">_xll.meDateFromTenor(C714,"1D","FOLLOWING","TGT")</f>
        <v>43518</v>
      </c>
      <c r="D715" s="95">
        <f ca="1"/>
        <v>-3.3095944467553817E-3</v>
      </c>
      <c r="E715" s="92"/>
      <c r="F715" s="97">
        <f ca="1">_xll.meDateFromTenor(F714,"1D","FOLLOWING","TGT")</f>
        <v>43518</v>
      </c>
      <c r="G715" s="95">
        <f ca="1"/>
        <v>-2.6978505851358078E-3</v>
      </c>
      <c r="H715" s="92" t="s">
        <v>4</v>
      </c>
      <c r="I715" s="97">
        <f ca="1">_xll.meDateFromTenor(I714,"1D","FOLLOWING","TGT")</f>
        <v>43518</v>
      </c>
      <c r="J715" s="95">
        <f ca="1"/>
        <v>-1.1262365395477629E-3</v>
      </c>
      <c r="K715" s="5" t="s">
        <v>4</v>
      </c>
      <c r="L715" s="97">
        <f ca="1">_xll.meDateFromTenor(L714,"1D","FOLLOWING","TGT")</f>
        <v>43518</v>
      </c>
      <c r="M715" s="95">
        <f ca="1"/>
        <v>1.5702810201000114E-4</v>
      </c>
      <c r="N715" s="5" t="s">
        <v>4</v>
      </c>
      <c r="O715" s="97">
        <f ca="1">_xll.meDateFromTenor(O714,"1D","FOLLOWING","TGT")</f>
        <v>43518</v>
      </c>
      <c r="P715" s="95">
        <f ca="1"/>
        <v>2.2203724539945776E-3</v>
      </c>
      <c r="Q715" s="5" t="s">
        <v>4</v>
      </c>
      <c r="R715" s="83" t="s">
        <v>4</v>
      </c>
    </row>
    <row r="716" spans="1:18" x14ac:dyDescent="0.25">
      <c r="A716" s="88">
        <v>702</v>
      </c>
      <c r="B716" s="82"/>
      <c r="C716" s="97">
        <f ca="1">_xll.meDateFromTenor(C715,"1D","FOLLOWING","TGT")</f>
        <v>43521</v>
      </c>
      <c r="D716" s="95">
        <f ca="1"/>
        <v>-3.3049347559226394E-3</v>
      </c>
      <c r="E716" s="92"/>
      <c r="F716" s="97">
        <f ca="1">_xll.meDateFromTenor(F715,"1D","FOLLOWING","TGT")</f>
        <v>43521</v>
      </c>
      <c r="G716" s="95">
        <f ca="1"/>
        <v>-2.6852806215666371E-3</v>
      </c>
      <c r="H716" s="92" t="s">
        <v>4</v>
      </c>
      <c r="I716" s="97">
        <f ca="1">_xll.meDateFromTenor(I715,"1D","FOLLOWING","TGT")</f>
        <v>43521</v>
      </c>
      <c r="J716" s="95">
        <f ca="1"/>
        <v>-1.1139649451125445E-3</v>
      </c>
      <c r="K716" s="5" t="s">
        <v>4</v>
      </c>
      <c r="L716" s="97">
        <f ca="1">_xll.meDateFromTenor(L715,"1D","FOLLOWING","TGT")</f>
        <v>43521</v>
      </c>
      <c r="M716" s="95">
        <f ca="1"/>
        <v>1.733058926541791E-4</v>
      </c>
      <c r="N716" s="5" t="s">
        <v>4</v>
      </c>
      <c r="O716" s="97">
        <f ca="1">_xll.meDateFromTenor(O715,"1D","FOLLOWING","TGT")</f>
        <v>43521</v>
      </c>
      <c r="P716" s="95">
        <f ca="1"/>
        <v>2.2367024520301157E-3</v>
      </c>
      <c r="Q716" s="5" t="s">
        <v>4</v>
      </c>
      <c r="R716" s="83" t="s">
        <v>4</v>
      </c>
    </row>
    <row r="717" spans="1:18" x14ac:dyDescent="0.25">
      <c r="A717" s="88">
        <v>703</v>
      </c>
      <c r="B717" s="82"/>
      <c r="C717" s="97">
        <f ca="1">_xll.meDateFromTenor(C716,"1D","FOLLOWING","TGT")</f>
        <v>43522</v>
      </c>
      <c r="D717" s="95">
        <f ca="1"/>
        <v>-3.3034207137583316E-3</v>
      </c>
      <c r="E717" s="92"/>
      <c r="F717" s="97">
        <f ca="1">_xll.meDateFromTenor(F716,"1D","FOLLOWING","TGT")</f>
        <v>43522</v>
      </c>
      <c r="G717" s="95">
        <f ca="1"/>
        <v>-2.6810828335026397E-3</v>
      </c>
      <c r="H717" s="92" t="s">
        <v>4</v>
      </c>
      <c r="I717" s="97">
        <f ca="1">_xll.meDateFromTenor(I716,"1D","FOLLOWING","TGT")</f>
        <v>43522</v>
      </c>
      <c r="J717" s="95">
        <f ca="1"/>
        <v>-1.1099368230691018E-3</v>
      </c>
      <c r="K717" s="5" t="s">
        <v>4</v>
      </c>
      <c r="L717" s="97">
        <f ca="1">_xll.meDateFromTenor(L716,"1D","FOLLOWING","TGT")</f>
        <v>43522</v>
      </c>
      <c r="M717" s="95">
        <f ca="1"/>
        <v>1.7873844399917812E-4</v>
      </c>
      <c r="N717" s="5" t="s">
        <v>4</v>
      </c>
      <c r="O717" s="97">
        <f ca="1">_xll.meDateFromTenor(O716,"1D","FOLLOWING","TGT")</f>
        <v>43522</v>
      </c>
      <c r="P717" s="95">
        <f ca="1"/>
        <v>2.2421486168980728E-3</v>
      </c>
      <c r="Q717" s="5" t="s">
        <v>4</v>
      </c>
      <c r="R717" s="83" t="s">
        <v>4</v>
      </c>
    </row>
    <row r="718" spans="1:18" x14ac:dyDescent="0.25">
      <c r="A718" s="88">
        <v>704</v>
      </c>
      <c r="B718" s="82"/>
      <c r="C718" s="97">
        <f ca="1">_xll.meDateFromTenor(C717,"1D","FOLLOWING","TGT")</f>
        <v>43523</v>
      </c>
      <c r="D718" s="95">
        <f ca="1"/>
        <v>-3.3019262644389258E-3</v>
      </c>
      <c r="E718" s="92"/>
      <c r="F718" s="97">
        <f ca="1">_xll.meDateFromTenor(F717,"1D","FOLLOWING","TGT")</f>
        <v>43523</v>
      </c>
      <c r="G718" s="95">
        <f ca="1"/>
        <v>-2.6768836195012096E-3</v>
      </c>
      <c r="H718" s="92" t="s">
        <v>4</v>
      </c>
      <c r="I718" s="97">
        <f ca="1">_xll.meDateFromTenor(I717,"1D","FOLLOWING","TGT")</f>
        <v>43523</v>
      </c>
      <c r="J718" s="95">
        <f ca="1"/>
        <v>-1.1059400433321943E-3</v>
      </c>
      <c r="K718" s="5" t="s">
        <v>4</v>
      </c>
      <c r="L718" s="97">
        <f ca="1">_xll.meDateFromTenor(L717,"1D","FOLLOWING","TGT")</f>
        <v>43523</v>
      </c>
      <c r="M718" s="95">
        <f ca="1"/>
        <v>1.8417425356778491E-4</v>
      </c>
      <c r="N718" s="5" t="s">
        <v>4</v>
      </c>
      <c r="O718" s="97">
        <f ca="1">_xll.meDateFromTenor(O717,"1D","FOLLOWING","TGT")</f>
        <v>43523</v>
      </c>
      <c r="P718" s="95">
        <f ca="1"/>
        <v>2.2475961671226184E-3</v>
      </c>
      <c r="Q718" s="5" t="s">
        <v>4</v>
      </c>
      <c r="R718" s="83" t="s">
        <v>4</v>
      </c>
    </row>
    <row r="719" spans="1:18" x14ac:dyDescent="0.25">
      <c r="A719" s="88">
        <v>705</v>
      </c>
      <c r="B719" s="82"/>
      <c r="C719" s="97">
        <f ca="1">_xll.meDateFromTenor(C718,"1D","FOLLOWING","TGT")</f>
        <v>43524</v>
      </c>
      <c r="D719" s="95">
        <f ca="1"/>
        <v>-3.3004514075744007E-3</v>
      </c>
      <c r="E719" s="92"/>
      <c r="F719" s="97">
        <f ca="1">_xll.meDateFromTenor(F718,"1D","FOLLOWING","TGT")</f>
        <v>43524</v>
      </c>
      <c r="G719" s="95">
        <f ca="1"/>
        <v>-2.67268446406217E-3</v>
      </c>
      <c r="H719" s="92" t="s">
        <v>4</v>
      </c>
      <c r="I719" s="97">
        <f ca="1">_xll.meDateFromTenor(I718,"1D","FOLLOWING","TGT")</f>
        <v>43524</v>
      </c>
      <c r="J719" s="95">
        <f ca="1"/>
        <v>-1.1019746884552539E-3</v>
      </c>
      <c r="K719" s="5" t="s">
        <v>4</v>
      </c>
      <c r="L719" s="97">
        <f ca="1">_xll.meDateFromTenor(L718,"1D","FOLLOWING","TGT")</f>
        <v>43524</v>
      </c>
      <c r="M719" s="95">
        <f ca="1"/>
        <v>1.8961328995508242E-4</v>
      </c>
      <c r="N719" s="5" t="s">
        <v>4</v>
      </c>
      <c r="O719" s="97">
        <f ca="1">_xll.meDateFromTenor(O718,"1D","FOLLOWING","TGT")</f>
        <v>43524</v>
      </c>
      <c r="P719" s="95">
        <f ca="1"/>
        <v>2.2530450842608734E-3</v>
      </c>
      <c r="Q719" s="5" t="s">
        <v>4</v>
      </c>
      <c r="R719" s="83" t="s">
        <v>4</v>
      </c>
    </row>
    <row r="720" spans="1:18" x14ac:dyDescent="0.25">
      <c r="A720" s="88">
        <v>706</v>
      </c>
      <c r="B720" s="82"/>
      <c r="C720" s="97">
        <f ca="1">_xll.meDateFromTenor(C719,"1D","FOLLOWING","TGT")</f>
        <v>43525</v>
      </c>
      <c r="D720" s="95">
        <f ca="1"/>
        <v>-3.2989961423351977E-3</v>
      </c>
      <c r="E720" s="92"/>
      <c r="F720" s="97">
        <f ca="1">_xll.meDateFromTenor(F719,"1D","FOLLOWING","TGT")</f>
        <v>43525</v>
      </c>
      <c r="G720" s="95">
        <f ca="1"/>
        <v>-2.6684868516853432E-3</v>
      </c>
      <c r="H720" s="92" t="s">
        <v>4</v>
      </c>
      <c r="I720" s="97">
        <f ca="1">_xll.meDateFromTenor(I719,"1D","FOLLOWING","TGT")</f>
        <v>43525</v>
      </c>
      <c r="J720" s="95">
        <f ca="1"/>
        <v>-1.0980408409917129E-3</v>
      </c>
      <c r="K720" s="5" t="s">
        <v>4</v>
      </c>
      <c r="L720" s="97">
        <f ca="1">_xll.meDateFromTenor(L719,"1D","FOLLOWING","TGT")</f>
        <v>43525</v>
      </c>
      <c r="M720" s="95">
        <f ca="1"/>
        <v>1.9505552175615347E-4</v>
      </c>
      <c r="N720" s="5" t="s">
        <v>4</v>
      </c>
      <c r="O720" s="97">
        <f ca="1">_xll.meDateFromTenor(O719,"1D","FOLLOWING","TGT")</f>
        <v>43525</v>
      </c>
      <c r="P720" s="95">
        <f ca="1"/>
        <v>2.2584953498699599E-3</v>
      </c>
      <c r="Q720" s="5" t="s">
        <v>4</v>
      </c>
      <c r="R720" s="83" t="s">
        <v>4</v>
      </c>
    </row>
    <row r="721" spans="1:18" x14ac:dyDescent="0.25">
      <c r="A721" s="88">
        <v>707</v>
      </c>
      <c r="B721" s="82"/>
      <c r="C721" s="97">
        <f ca="1">_xll.meDateFromTenor(C720,"1D","FOLLOWING","TGT")</f>
        <v>43528</v>
      </c>
      <c r="D721" s="95">
        <f ca="1"/>
        <v>-3.294738017834975E-3</v>
      </c>
      <c r="E721" s="92"/>
      <c r="F721" s="97">
        <f ca="1">_xll.meDateFromTenor(F720,"1D","FOLLOWING","TGT")</f>
        <v>43528</v>
      </c>
      <c r="G721" s="95">
        <f ca="1"/>
        <v>-2.6559181179263698E-3</v>
      </c>
      <c r="H721" s="92" t="s">
        <v>4</v>
      </c>
      <c r="I721" s="97">
        <f ca="1">_xll.meDateFromTenor(I720,"1D","FOLLOWING","TGT")</f>
        <v>43528</v>
      </c>
      <c r="J721" s="95">
        <f ca="1"/>
        <v>-1.0864291686158078E-3</v>
      </c>
      <c r="K721" s="5" t="s">
        <v>4</v>
      </c>
      <c r="L721" s="97">
        <f ca="1">_xll.meDateFromTenor(L720,"1D","FOLLOWING","TGT")</f>
        <v>43528</v>
      </c>
      <c r="M721" s="95">
        <f ca="1"/>
        <v>2.1140107559283622E-4</v>
      </c>
      <c r="N721" s="5" t="s">
        <v>4</v>
      </c>
      <c r="O721" s="97">
        <f ca="1">_xll.meDateFromTenor(O720,"1D","FOLLOWING","TGT")</f>
        <v>43528</v>
      </c>
      <c r="P721" s="95">
        <f ca="1"/>
        <v>2.2748540530934049E-3</v>
      </c>
      <c r="Q721" s="5" t="s">
        <v>4</v>
      </c>
      <c r="R721" s="83" t="s">
        <v>4</v>
      </c>
    </row>
    <row r="722" spans="1:18" x14ac:dyDescent="0.25">
      <c r="A722" s="88">
        <v>708</v>
      </c>
      <c r="B722" s="82"/>
      <c r="C722" s="97">
        <f ca="1">_xll.meDateFromTenor(C721,"1D","FOLLOWING","TGT")</f>
        <v>43529</v>
      </c>
      <c r="D722" s="95">
        <f ca="1"/>
        <v>-3.2933018790713975E-3</v>
      </c>
      <c r="E722" s="92"/>
      <c r="F722" s="97">
        <f ca="1">_xll.meDateFromTenor(F721,"1D","FOLLOWING","TGT")</f>
        <v>43529</v>
      </c>
      <c r="G722" s="95">
        <f ca="1"/>
        <v>-2.6517411362643882E-3</v>
      </c>
      <c r="H722" s="92" t="s">
        <v>4</v>
      </c>
      <c r="I722" s="97">
        <f ca="1">_xll.meDateFromTenor(I721,"1D","FOLLOWING","TGT")</f>
        <v>43529</v>
      </c>
      <c r="J722" s="95">
        <f ca="1"/>
        <v>-1.0826220830710631E-3</v>
      </c>
      <c r="K722" s="5" t="s">
        <v>4</v>
      </c>
      <c r="L722" s="97">
        <f ca="1">_xll.meDateFromTenor(L721,"1D","FOLLOWING","TGT")</f>
        <v>43529</v>
      </c>
      <c r="M722" s="95">
        <f ca="1"/>
        <v>2.1685577499983049E-4</v>
      </c>
      <c r="N722" s="5" t="s">
        <v>4</v>
      </c>
      <c r="O722" s="97">
        <f ca="1">_xll.meDateFromTenor(O721,"1D","FOLLOWING","TGT")</f>
        <v>43529</v>
      </c>
      <c r="P722" s="95">
        <f ca="1"/>
        <v>2.2803095281570176E-3</v>
      </c>
      <c r="Q722" s="5" t="s">
        <v>4</v>
      </c>
      <c r="R722" s="83" t="s">
        <v>4</v>
      </c>
    </row>
    <row r="723" spans="1:18" x14ac:dyDescent="0.25">
      <c r="A723" s="88">
        <v>709</v>
      </c>
      <c r="B723" s="82"/>
      <c r="C723" s="97">
        <f ca="1">_xll.meDateFromTenor(C722,"1D","FOLLOWING","TGT")</f>
        <v>43530</v>
      </c>
      <c r="D723" s="95">
        <f ca="1"/>
        <v>-3.2918260969780899E-3</v>
      </c>
      <c r="E723" s="92"/>
      <c r="F723" s="97">
        <f ca="1">_xll.meDateFromTenor(F722,"1D","FOLLOWING","TGT")</f>
        <v>43530</v>
      </c>
      <c r="G723" s="95">
        <f ca="1"/>
        <v>-2.6475708009703288E-3</v>
      </c>
      <c r="H723" s="92" t="s">
        <v>4</v>
      </c>
      <c r="I723" s="97">
        <f ca="1">_xll.meDateFromTenor(I722,"1D","FOLLOWING","TGT")</f>
        <v>43530</v>
      </c>
      <c r="J723" s="95">
        <f ca="1"/>
        <v>-1.0788463580921469E-3</v>
      </c>
      <c r="K723" s="5" t="s">
        <v>4</v>
      </c>
      <c r="L723" s="97">
        <f ca="1">_xll.meDateFromTenor(L722,"1D","FOLLOWING","TGT")</f>
        <v>43530</v>
      </c>
      <c r="M723" s="95">
        <f ca="1"/>
        <v>2.2231351279601176E-4</v>
      </c>
      <c r="N723" s="5" t="s">
        <v>4</v>
      </c>
      <c r="O723" s="97">
        <f ca="1">_xll.meDateFromTenor(O722,"1D","FOLLOWING","TGT")</f>
        <v>43530</v>
      </c>
      <c r="P723" s="95">
        <f ca="1"/>
        <v>2.2857662594770621E-3</v>
      </c>
      <c r="Q723" s="5" t="s">
        <v>4</v>
      </c>
      <c r="R723" s="83" t="s">
        <v>4</v>
      </c>
    </row>
    <row r="724" spans="1:18" x14ac:dyDescent="0.25">
      <c r="A724" s="88">
        <v>710</v>
      </c>
      <c r="B724" s="82"/>
      <c r="C724" s="97">
        <f ca="1">_xll.meDateFromTenor(C723,"1D","FOLLOWING","TGT")</f>
        <v>43531</v>
      </c>
      <c r="D724" s="95">
        <f ca="1"/>
        <v>-3.2903106728533471E-3</v>
      </c>
      <c r="E724" s="92"/>
      <c r="F724" s="97">
        <f ca="1">_xll.meDateFromTenor(F723,"1D","FOLLOWING","TGT")</f>
        <v>43531</v>
      </c>
      <c r="G724" s="95">
        <f ca="1"/>
        <v>-2.6434062773506074E-3</v>
      </c>
      <c r="H724" s="92" t="s">
        <v>4</v>
      </c>
      <c r="I724" s="97">
        <f ca="1">_xll.meDateFromTenor(I723,"1D","FOLLOWING","TGT")</f>
        <v>43531</v>
      </c>
      <c r="J724" s="95">
        <f ca="1"/>
        <v>-1.0751015166177579E-3</v>
      </c>
      <c r="K724" s="5" t="s">
        <v>4</v>
      </c>
      <c r="L724" s="97">
        <f ca="1">_xll.meDateFromTenor(L723,"1D","FOLLOWING","TGT")</f>
        <v>43531</v>
      </c>
      <c r="M724" s="95">
        <f ca="1"/>
        <v>2.2777425757646491E-4</v>
      </c>
      <c r="N724" s="5" t="s">
        <v>4</v>
      </c>
      <c r="O724" s="97">
        <f ca="1">_xll.meDateFromTenor(O723,"1D","FOLLOWING","TGT")</f>
        <v>43531</v>
      </c>
      <c r="P724" s="95">
        <f ca="1"/>
        <v>2.2912242286106613E-3</v>
      </c>
      <c r="Q724" s="5" t="s">
        <v>4</v>
      </c>
      <c r="R724" s="83" t="s">
        <v>4</v>
      </c>
    </row>
    <row r="725" spans="1:18" x14ac:dyDescent="0.25">
      <c r="A725" s="88">
        <v>711</v>
      </c>
      <c r="B725" s="82"/>
      <c r="C725" s="97">
        <f ca="1">_xll.meDateFromTenor(C724,"1D","FOLLOWING","TGT")</f>
        <v>43532</v>
      </c>
      <c r="D725" s="95">
        <f ca="1"/>
        <v>-3.2887556077121349E-3</v>
      </c>
      <c r="E725" s="92"/>
      <c r="F725" s="97">
        <f ca="1">_xll.meDateFromTenor(F724,"1D","FOLLOWING","TGT")</f>
        <v>43532</v>
      </c>
      <c r="G725" s="95">
        <f ca="1"/>
        <v>-2.6392467307116414E-3</v>
      </c>
      <c r="H725" s="92" t="s">
        <v>4</v>
      </c>
      <c r="I725" s="97">
        <f ca="1">_xll.meDateFromTenor(I724,"1D","FOLLOWING","TGT")</f>
        <v>43532</v>
      </c>
      <c r="J725" s="95">
        <f ca="1"/>
        <v>-1.0713870815865973E-3</v>
      </c>
      <c r="K725" s="5" t="s">
        <v>4</v>
      </c>
      <c r="L725" s="97">
        <f ca="1">_xll.meDateFromTenor(L724,"1D","FOLLOWING","TGT")</f>
        <v>43532</v>
      </c>
      <c r="M725" s="95">
        <f ca="1"/>
        <v>2.332379779362718E-4</v>
      </c>
      <c r="N725" s="5" t="s">
        <v>4</v>
      </c>
      <c r="O725" s="97">
        <f ca="1">_xll.meDateFromTenor(O724,"1D","FOLLOWING","TGT")</f>
        <v>43532</v>
      </c>
      <c r="P725" s="95">
        <f ca="1"/>
        <v>2.2966834171149349E-3</v>
      </c>
      <c r="Q725" s="5" t="s">
        <v>4</v>
      </c>
      <c r="R725" s="83" t="s">
        <v>4</v>
      </c>
    </row>
    <row r="726" spans="1:18" x14ac:dyDescent="0.25">
      <c r="A726" s="88">
        <v>712</v>
      </c>
      <c r="B726" s="82"/>
      <c r="C726" s="97">
        <f ca="1">_xll.meDateFromTenor(C725,"1D","FOLLOWING","TGT")</f>
        <v>43535</v>
      </c>
      <c r="D726" s="95">
        <f ca="1"/>
        <v>-3.2838525792140416E-3</v>
      </c>
      <c r="E726" s="92"/>
      <c r="F726" s="97">
        <f ca="1">_xll.meDateFromTenor(F725,"1D","FOLLOWING","TGT")</f>
        <v>43535</v>
      </c>
      <c r="G726" s="95">
        <f ca="1"/>
        <v>-2.6267896057434502E-3</v>
      </c>
      <c r="H726" s="92" t="s">
        <v>4</v>
      </c>
      <c r="I726" s="97">
        <f ca="1">_xll.meDateFromTenor(I725,"1D","FOLLOWING","TGT")</f>
        <v>43535</v>
      </c>
      <c r="J726" s="95">
        <f ca="1"/>
        <v>-1.0604214445394857E-3</v>
      </c>
      <c r="K726" s="5" t="s">
        <v>4</v>
      </c>
      <c r="L726" s="97">
        <f ca="1">_xll.meDateFromTenor(L725,"1D","FOLLOWING","TGT")</f>
        <v>43535</v>
      </c>
      <c r="M726" s="95">
        <f ca="1"/>
        <v>2.4964667844264295E-4</v>
      </c>
      <c r="N726" s="5" t="s">
        <v>4</v>
      </c>
      <c r="O726" s="97">
        <f ca="1">_xll.meDateFromTenor(O725,"1D","FOLLOWING","TGT")</f>
        <v>43535</v>
      </c>
      <c r="P726" s="95">
        <f ca="1"/>
        <v>2.3130681144230033E-3</v>
      </c>
      <c r="Q726" s="5" t="s">
        <v>4</v>
      </c>
      <c r="R726" s="83" t="s">
        <v>4</v>
      </c>
    </row>
    <row r="727" spans="1:18" x14ac:dyDescent="0.25">
      <c r="A727" s="88">
        <v>713</v>
      </c>
      <c r="B727" s="82"/>
      <c r="C727" s="97">
        <f ca="1">_xll.meDateFromTenor(C726,"1D","FOLLOWING","TGT")</f>
        <v>43536</v>
      </c>
      <c r="D727" s="95">
        <f ca="1"/>
        <v>-3.2821389628489017E-3</v>
      </c>
      <c r="E727" s="92"/>
      <c r="F727" s="97">
        <f ca="1">_xll.meDateFromTenor(F726,"1D","FOLLOWING","TGT")</f>
        <v>43536</v>
      </c>
      <c r="G727" s="95">
        <f ca="1"/>
        <v>-2.6226416200916796E-3</v>
      </c>
      <c r="H727" s="92" t="s">
        <v>4</v>
      </c>
      <c r="I727" s="97">
        <f ca="1">_xll.meDateFromTenor(I726,"1D","FOLLOWING","TGT")</f>
        <v>43536</v>
      </c>
      <c r="J727" s="95">
        <f ca="1"/>
        <v>-1.0568238646682388E-3</v>
      </c>
      <c r="K727" s="5" t="s">
        <v>4</v>
      </c>
      <c r="L727" s="97">
        <f ca="1">_xll.meDateFromTenor(L726,"1D","FOLLOWING","TGT")</f>
        <v>43536</v>
      </c>
      <c r="M727" s="95">
        <f ca="1"/>
        <v>2.5512198707069371E-4</v>
      </c>
      <c r="N727" s="5" t="s">
        <v>4</v>
      </c>
      <c r="O727" s="97">
        <f ca="1">_xll.meDateFromTenor(O726,"1D","FOLLOWING","TGT")</f>
        <v>43536</v>
      </c>
      <c r="P727" s="95">
        <f ca="1"/>
        <v>2.3185319959811782E-3</v>
      </c>
      <c r="Q727" s="5" t="s">
        <v>4</v>
      </c>
      <c r="R727" s="83" t="s">
        <v>4</v>
      </c>
    </row>
    <row r="728" spans="1:18" x14ac:dyDescent="0.25">
      <c r="A728" s="88">
        <v>714</v>
      </c>
      <c r="B728" s="82"/>
      <c r="C728" s="97">
        <f ca="1">_xll.meDateFromTenor(C727,"1D","FOLLOWING","TGT")</f>
        <v>43537</v>
      </c>
      <c r="D728" s="95">
        <f ca="1"/>
        <v>-3.2803857117054136E-3</v>
      </c>
      <c r="E728" s="92"/>
      <c r="F728" s="97">
        <f ca="1">_xll.meDateFromTenor(F727,"1D","FOLLOWING","TGT")</f>
        <v>43537</v>
      </c>
      <c r="G728" s="95">
        <f ca="1"/>
        <v>-2.6184944379527503E-3</v>
      </c>
      <c r="H728" s="92" t="s">
        <v>4</v>
      </c>
      <c r="I728" s="97">
        <f ca="1">_xll.meDateFromTenor(I727,"1D","FOLLOWING","TGT")</f>
        <v>43537</v>
      </c>
      <c r="J728" s="95">
        <f ca="1"/>
        <v>-1.0532543059337211E-3</v>
      </c>
      <c r="K728" s="5" t="s">
        <v>4</v>
      </c>
      <c r="L728" s="97">
        <f ca="1">_xll.meDateFromTenor(L727,"1D","FOLLOWING","TGT")</f>
        <v>43537</v>
      </c>
      <c r="M728" s="95">
        <f ca="1"/>
        <v>2.6060011425351257E-4</v>
      </c>
      <c r="N728" s="5" t="s">
        <v>4</v>
      </c>
      <c r="O728" s="97">
        <f ca="1">_xll.meDateFromTenor(O727,"1D","FOLLOWING","TGT")</f>
        <v>43537</v>
      </c>
      <c r="P728" s="95">
        <f ca="1"/>
        <v>2.3239970046956301E-3</v>
      </c>
      <c r="Q728" s="5" t="s">
        <v>4</v>
      </c>
      <c r="R728" s="83" t="s">
        <v>4</v>
      </c>
    </row>
    <row r="729" spans="1:18" x14ac:dyDescent="0.25">
      <c r="A729" s="88">
        <v>715</v>
      </c>
      <c r="B729" s="82"/>
      <c r="C729" s="97">
        <f ca="1">_xll.meDateFromTenor(C728,"1D","FOLLOWING","TGT")</f>
        <v>43538</v>
      </c>
      <c r="D729" s="95">
        <f ca="1"/>
        <v>-3.2785928271288345E-3</v>
      </c>
      <c r="E729" s="92"/>
      <c r="F729" s="97">
        <f ca="1">_xll.meDateFromTenor(F728,"1D","FOLLOWING","TGT")</f>
        <v>43538</v>
      </c>
      <c r="G729" s="95">
        <f ca="1"/>
        <v>-2.6143472246330803E-3</v>
      </c>
      <c r="H729" s="92" t="s">
        <v>4</v>
      </c>
      <c r="I729" s="97">
        <f ca="1">_xll.meDateFromTenor(I728,"1D","FOLLOWING","TGT")</f>
        <v>43538</v>
      </c>
      <c r="J729" s="95">
        <f ca="1"/>
        <v>-1.049712291274632E-3</v>
      </c>
      <c r="K729" s="5" t="s">
        <v>4</v>
      </c>
      <c r="L729" s="97">
        <f ca="1">_xll.meDateFromTenor(L728,"1D","FOLLOWING","TGT")</f>
        <v>43538</v>
      </c>
      <c r="M729" s="95">
        <f ca="1"/>
        <v>2.6608102858618256E-4</v>
      </c>
      <c r="N729" s="5" t="s">
        <v>4</v>
      </c>
      <c r="O729" s="97">
        <f ca="1">_xll.meDateFromTenor(O728,"1D","FOLLOWING","TGT")</f>
        <v>43538</v>
      </c>
      <c r="P729" s="95">
        <f ca="1"/>
        <v>2.3294631221234788E-3</v>
      </c>
      <c r="Q729" s="5" t="s">
        <v>4</v>
      </c>
      <c r="R729" s="83" t="s">
        <v>4</v>
      </c>
    </row>
    <row r="730" spans="1:18" x14ac:dyDescent="0.25">
      <c r="A730" s="88">
        <v>716</v>
      </c>
      <c r="B730" s="82"/>
      <c r="C730" s="97">
        <f ca="1">_xll.meDateFromTenor(C729,"1D","FOLLOWING","TGT")</f>
        <v>43539</v>
      </c>
      <c r="D730" s="95">
        <f ca="1"/>
        <v>-3.2767603099415066E-3</v>
      </c>
      <c r="E730" s="92"/>
      <c r="F730" s="97">
        <f ca="1">_xll.meDateFromTenor(F729,"1D","FOLLOWING","TGT")</f>
        <v>43539</v>
      </c>
      <c r="G730" s="95">
        <f ca="1"/>
        <v>-2.6101991454390871E-3</v>
      </c>
      <c r="H730" s="92" t="s">
        <v>4</v>
      </c>
      <c r="I730" s="97">
        <f ca="1">_xll.meDateFromTenor(I729,"1D","FOLLOWING","TGT")</f>
        <v>43539</v>
      </c>
      <c r="J730" s="95">
        <f ca="1"/>
        <v>-1.0461973436296727E-3</v>
      </c>
      <c r="K730" s="5" t="s">
        <v>4</v>
      </c>
      <c r="L730" s="97">
        <f ca="1">_xll.meDateFromTenor(L729,"1D","FOLLOWING","TGT")</f>
        <v>43539</v>
      </c>
      <c r="M730" s="95">
        <f ca="1"/>
        <v>2.7156469866378564E-4</v>
      </c>
      <c r="N730" s="5" t="s">
        <v>4</v>
      </c>
      <c r="O730" s="97">
        <f ca="1">_xll.meDateFromTenor(O729,"1D","FOLLOWING","TGT")</f>
        <v>43539</v>
      </c>
      <c r="P730" s="95">
        <f ca="1"/>
        <v>2.3349303298218446E-3</v>
      </c>
      <c r="Q730" s="5" t="s">
        <v>4</v>
      </c>
      <c r="R730" s="83" t="s">
        <v>4</v>
      </c>
    </row>
    <row r="731" spans="1:18" x14ac:dyDescent="0.25">
      <c r="A731" s="88">
        <v>717</v>
      </c>
      <c r="B731" s="82"/>
      <c r="C731" s="97">
        <f ca="1">_xll.meDateFromTenor(C730,"1D","FOLLOWING","TGT")</f>
        <v>43542</v>
      </c>
      <c r="D731" s="95">
        <f ca="1"/>
        <v>-3.2710249771644717E-3</v>
      </c>
      <c r="E731" s="92"/>
      <c r="F731" s="97">
        <f ca="1">_xll.meDateFromTenor(F730,"1D","FOLLOWING","TGT")</f>
        <v>43542</v>
      </c>
      <c r="G731" s="95">
        <f ca="1"/>
        <v>-2.5977413656753366E-3</v>
      </c>
      <c r="H731" s="92" t="s">
        <v>4</v>
      </c>
      <c r="I731" s="97">
        <f ca="1">_xll.meDateFromTenor(I730,"1D","FOLLOWING","TGT")</f>
        <v>43542</v>
      </c>
      <c r="J731" s="95">
        <f ca="1"/>
        <v>-1.0358101321665699E-3</v>
      </c>
      <c r="K731" s="5" t="s">
        <v>4</v>
      </c>
      <c r="L731" s="97">
        <f ca="1">_xll.meDateFromTenor(L730,"1D","FOLLOWING","TGT")</f>
        <v>43542</v>
      </c>
      <c r="M731" s="95">
        <f ca="1"/>
        <v>2.8803192931702986E-4</v>
      </c>
      <c r="N731" s="5" t="s">
        <v>4</v>
      </c>
      <c r="O731" s="97">
        <f ca="1">_xll.meDateFromTenor(O730,"1D","FOLLOWING","TGT")</f>
        <v>43542</v>
      </c>
      <c r="P731" s="95">
        <f ca="1"/>
        <v>2.3513383101112562E-3</v>
      </c>
      <c r="Q731" s="5" t="s">
        <v>4</v>
      </c>
      <c r="R731" s="83" t="s">
        <v>4</v>
      </c>
    </row>
    <row r="732" spans="1:18" x14ac:dyDescent="0.25">
      <c r="A732" s="88">
        <v>718</v>
      </c>
      <c r="B732" s="82"/>
      <c r="C732" s="97">
        <f ca="1">_xll.meDateFromTenor(C731,"1D","FOLLOWING","TGT")</f>
        <v>43543</v>
      </c>
      <c r="D732" s="95">
        <f ca="1"/>
        <v>-3.2690339427248194E-3</v>
      </c>
      <c r="E732" s="92"/>
      <c r="F732" s="97">
        <f ca="1">_xll.meDateFromTenor(F731,"1D","FOLLOWING","TGT")</f>
        <v>43543</v>
      </c>
      <c r="G732" s="95">
        <f ca="1"/>
        <v>-2.5935814760482206E-3</v>
      </c>
      <c r="H732" s="92" t="s">
        <v>4</v>
      </c>
      <c r="I732" s="97">
        <f ca="1">_xll.meDateFromTenor(I731,"1D","FOLLOWING","TGT")</f>
        <v>43543</v>
      </c>
      <c r="J732" s="95">
        <f ca="1"/>
        <v>-1.0323986819651279E-3</v>
      </c>
      <c r="K732" s="5" t="s">
        <v>4</v>
      </c>
      <c r="L732" s="97">
        <f ca="1">_xll.meDateFromTenor(L731,"1D","FOLLOWING","TGT")</f>
        <v>43543</v>
      </c>
      <c r="M732" s="95">
        <f ca="1"/>
        <v>2.9352630832519839E-4</v>
      </c>
      <c r="N732" s="5" t="s">
        <v>4</v>
      </c>
      <c r="O732" s="97">
        <f ca="1">_xll.meDateFromTenor(O731,"1D","FOLLOWING","TGT")</f>
        <v>43543</v>
      </c>
      <c r="P732" s="95">
        <f ca="1"/>
        <v>2.3568096944628992E-3</v>
      </c>
      <c r="Q732" s="5" t="s">
        <v>4</v>
      </c>
      <c r="R732" s="83" t="s">
        <v>4</v>
      </c>
    </row>
    <row r="733" spans="1:18" x14ac:dyDescent="0.25">
      <c r="A733" s="88">
        <v>719</v>
      </c>
      <c r="B733" s="82"/>
      <c r="C733" s="97">
        <f ca="1">_xll.meDateFromTenor(C732,"1D","FOLLOWING","TGT")</f>
        <v>43544</v>
      </c>
      <c r="D733" s="95">
        <f ca="1"/>
        <v>-3.2670032820270034E-3</v>
      </c>
      <c r="E733" s="92"/>
      <c r="F733" s="97">
        <f ca="1">_xll.meDateFromTenor(F732,"1D","FOLLOWING","TGT")</f>
        <v>43544</v>
      </c>
      <c r="G733" s="95">
        <f ca="1"/>
        <v>-2.5894165470788681E-3</v>
      </c>
      <c r="H733" s="92" t="s">
        <v>4</v>
      </c>
      <c r="I733" s="97">
        <f ca="1">_xll.meDateFromTenor(I732,"1D","FOLLOWING","TGT")</f>
        <v>43544</v>
      </c>
      <c r="J733" s="95">
        <f ca="1"/>
        <v>-1.0290119134713168E-3</v>
      </c>
      <c r="K733" s="5" t="s">
        <v>4</v>
      </c>
      <c r="L733" s="97">
        <f ca="1">_xll.meDateFromTenor(L732,"1D","FOLLOWING","TGT")</f>
        <v>43544</v>
      </c>
      <c r="M733" s="95">
        <f ca="1"/>
        <v>2.9902328605371439E-4</v>
      </c>
      <c r="N733" s="5" t="s">
        <v>4</v>
      </c>
      <c r="O733" s="97">
        <f ca="1">_xll.meDateFromTenor(O732,"1D","FOLLOWING","TGT")</f>
        <v>43544</v>
      </c>
      <c r="P733" s="95">
        <f ca="1"/>
        <v>2.3622820768706616E-3</v>
      </c>
      <c r="Q733" s="5" t="s">
        <v>4</v>
      </c>
      <c r="R733" s="83" t="s">
        <v>4</v>
      </c>
    </row>
    <row r="734" spans="1:18" x14ac:dyDescent="0.25">
      <c r="A734" s="88">
        <v>720</v>
      </c>
      <c r="B734" s="82"/>
      <c r="C734" s="97">
        <f ca="1">_xll.meDateFromTenor(C733,"1D","FOLLOWING","TGT")</f>
        <v>43545</v>
      </c>
      <c r="D734" s="95">
        <f ca="1"/>
        <v>-3.2649329960645623E-3</v>
      </c>
      <c r="E734" s="92"/>
      <c r="F734" s="97">
        <f ca="1">_xll.meDateFromTenor(F733,"1D","FOLLOWING","TGT")</f>
        <v>43545</v>
      </c>
      <c r="G734" s="95">
        <f ca="1"/>
        <v>-2.5852457440736941E-3</v>
      </c>
      <c r="H734" s="92" t="s">
        <v>4</v>
      </c>
      <c r="I734" s="97">
        <f ca="1">_xll.meDateFromTenor(I733,"1D","FOLLOWING","TGT")</f>
        <v>43545</v>
      </c>
      <c r="J734" s="95">
        <f ca="1"/>
        <v>-1.0256493496238351E-3</v>
      </c>
      <c r="K734" s="5" t="s">
        <v>4</v>
      </c>
      <c r="L734" s="97">
        <f ca="1">_xll.meDateFromTenor(L733,"1D","FOLLOWING","TGT")</f>
        <v>43545</v>
      </c>
      <c r="M734" s="95">
        <f ca="1"/>
        <v>3.0452283109766242E-4</v>
      </c>
      <c r="N734" s="5" t="s">
        <v>4</v>
      </c>
      <c r="O734" s="97">
        <f ca="1">_xll.meDateFromTenor(O733,"1D","FOLLOWING","TGT")</f>
        <v>43545</v>
      </c>
      <c r="P734" s="95">
        <f ca="1"/>
        <v>2.3677554388916657E-3</v>
      </c>
      <c r="Q734" s="5" t="s">
        <v>4</v>
      </c>
      <c r="R734" s="83" t="s">
        <v>4</v>
      </c>
    </row>
    <row r="735" spans="1:18" x14ac:dyDescent="0.25">
      <c r="A735" s="88">
        <v>721</v>
      </c>
      <c r="B735" s="82"/>
      <c r="C735" s="97">
        <f ca="1">_xll.meDateFromTenor(C734,"1D","FOLLOWING","TGT")</f>
        <v>43546</v>
      </c>
      <c r="D735" s="95">
        <f ca="1"/>
        <v>-3.2628230861050378E-3</v>
      </c>
      <c r="E735" s="92"/>
      <c r="F735" s="97">
        <f ca="1">_xll.meDateFromTenor(F734,"1D","FOLLOWING","TGT")</f>
        <v>43546</v>
      </c>
      <c r="G735" s="95">
        <f ca="1"/>
        <v>-2.5810682323391164E-3</v>
      </c>
      <c r="H735" s="92" t="s">
        <v>4</v>
      </c>
      <c r="I735" s="97">
        <f ca="1">_xll.meDateFromTenor(I734,"1D","FOLLOWING","TGT")</f>
        <v>43546</v>
      </c>
      <c r="J735" s="95">
        <f ca="1"/>
        <v>-1.0223105133613834E-3</v>
      </c>
      <c r="K735" s="5" t="s">
        <v>4</v>
      </c>
      <c r="L735" s="97">
        <f ca="1">_xll.meDateFromTenor(L734,"1D","FOLLOWING","TGT")</f>
        <v>43546</v>
      </c>
      <c r="M735" s="95">
        <f ca="1"/>
        <v>3.1002491205212469E-4</v>
      </c>
      <c r="N735" s="5" t="s">
        <v>4</v>
      </c>
      <c r="O735" s="97">
        <f ca="1">_xll.meDateFromTenor(O734,"1D","FOLLOWING","TGT")</f>
        <v>43546</v>
      </c>
      <c r="P735" s="95">
        <f ca="1"/>
        <v>2.3732297620830318E-3</v>
      </c>
      <c r="Q735" s="5" t="s">
        <v>4</v>
      </c>
      <c r="R735" s="83" t="s">
        <v>4</v>
      </c>
    </row>
    <row r="736" spans="1:18" x14ac:dyDescent="0.25">
      <c r="A736" s="88">
        <v>722</v>
      </c>
      <c r="B736" s="82"/>
      <c r="C736" s="97">
        <f ca="1">_xll.meDateFromTenor(C735,"1D","FOLLOWING","TGT")</f>
        <v>43549</v>
      </c>
      <c r="D736" s="95">
        <f ca="1"/>
        <v>-3.2562556229778217E-3</v>
      </c>
      <c r="E736" s="92"/>
      <c r="F736" s="97">
        <f ca="1">_xll.meDateFromTenor(F735,"1D","FOLLOWING","TGT")</f>
        <v>43549</v>
      </c>
      <c r="G736" s="95">
        <f ca="1"/>
        <v>-2.5684870978231402E-3</v>
      </c>
      <c r="H736" s="92" t="s">
        <v>4</v>
      </c>
      <c r="I736" s="97">
        <f ca="1">_xll.meDateFromTenor(I735,"1D","FOLLOWING","TGT")</f>
        <v>43549</v>
      </c>
      <c r="J736" s="95">
        <f ca="1"/>
        <v>-1.0124315994712119E-3</v>
      </c>
      <c r="K736" s="5" t="s">
        <v>4</v>
      </c>
      <c r="L736" s="97">
        <f ca="1">_xll.meDateFromTenor(L735,"1D","FOLLOWING","TGT")</f>
        <v>43549</v>
      </c>
      <c r="M736" s="95">
        <f ca="1"/>
        <v>3.2654605632942397E-4</v>
      </c>
      <c r="N736" s="5" t="s">
        <v>4</v>
      </c>
      <c r="O736" s="97">
        <f ca="1">_xll.meDateFromTenor(O735,"1D","FOLLOWING","TGT")</f>
        <v>43549</v>
      </c>
      <c r="P736" s="95">
        <f ca="1"/>
        <v>2.3896583142505026E-3</v>
      </c>
      <c r="Q736" s="5" t="s">
        <v>4</v>
      </c>
      <c r="R736" s="83" t="s">
        <v>4</v>
      </c>
    </row>
    <row r="737" spans="1:18" x14ac:dyDescent="0.25">
      <c r="A737" s="88">
        <v>723</v>
      </c>
      <c r="B737" s="82"/>
      <c r="C737" s="97">
        <f ca="1">_xll.meDateFromTenor(C736,"1D","FOLLOWING","TGT")</f>
        <v>43550</v>
      </c>
      <c r="D737" s="95">
        <f ca="1"/>
        <v>-3.2539872280986648E-3</v>
      </c>
      <c r="E737" s="92"/>
      <c r="F737" s="97">
        <f ca="1">_xll.meDateFromTenor(F736,"1D","FOLLOWING","TGT")</f>
        <v>43550</v>
      </c>
      <c r="G737" s="95">
        <f ca="1"/>
        <v>-2.5642744042351233E-3</v>
      </c>
      <c r="H737" s="92" t="s">
        <v>4</v>
      </c>
      <c r="I737" s="97">
        <f ca="1">_xll.meDateFromTenor(I736,"1D","FOLLOWING","TGT")</f>
        <v>43550</v>
      </c>
      <c r="J737" s="95">
        <f ca="1"/>
        <v>-1.0091829029358827E-3</v>
      </c>
      <c r="K737" s="5" t="s">
        <v>4</v>
      </c>
      <c r="L737" s="97">
        <f ca="1">_xll.meDateFromTenor(L736,"1D","FOLLOWING","TGT")</f>
        <v>43550</v>
      </c>
      <c r="M737" s="95">
        <f ca="1"/>
        <v>3.3205796687677149E-4</v>
      </c>
      <c r="N737" s="5" t="s">
        <v>4</v>
      </c>
      <c r="O737" s="97">
        <f ca="1">_xll.meDateFromTenor(O736,"1D","FOLLOWING","TGT")</f>
        <v>43550</v>
      </c>
      <c r="P737" s="95">
        <f ca="1"/>
        <v>2.3951362976945192E-3</v>
      </c>
      <c r="Q737" s="5" t="s">
        <v>4</v>
      </c>
      <c r="R737" s="83" t="s">
        <v>4</v>
      </c>
    </row>
    <row r="738" spans="1:18" x14ac:dyDescent="0.25">
      <c r="A738" s="88">
        <v>724</v>
      </c>
      <c r="B738" s="82"/>
      <c r="C738" s="97">
        <f ca="1">_xll.meDateFromTenor(C737,"1D","FOLLOWING","TGT")</f>
        <v>43551</v>
      </c>
      <c r="D738" s="95">
        <f ca="1"/>
        <v>-3.2516792148526985E-3</v>
      </c>
      <c r="E738" s="92"/>
      <c r="F738" s="97">
        <f ca="1">_xll.meDateFromTenor(F737,"1D","FOLLOWING","TGT")</f>
        <v>43551</v>
      </c>
      <c r="G738" s="95">
        <f ca="1"/>
        <v>-2.5600508284497892E-3</v>
      </c>
      <c r="H738" s="92" t="s">
        <v>4</v>
      </c>
      <c r="I738" s="97">
        <f ca="1">_xll.meDateFromTenor(I737,"1D","FOLLOWING","TGT")</f>
        <v>43551</v>
      </c>
      <c r="J738" s="95">
        <f ca="1"/>
        <v>-1.0059555486790844E-3</v>
      </c>
      <c r="K738" s="5" t="s">
        <v>4</v>
      </c>
      <c r="L738" s="97">
        <f ca="1">_xll.meDateFromTenor(L737,"1D","FOLLOWING","TGT")</f>
        <v>43551</v>
      </c>
      <c r="M738" s="95">
        <f ca="1"/>
        <v>3.3757225631004758E-4</v>
      </c>
      <c r="N738" s="5" t="s">
        <v>4</v>
      </c>
      <c r="O738" s="97">
        <f ca="1">_xll.meDateFromTenor(O737,"1D","FOLLOWING","TGT")</f>
        <v>43551</v>
      </c>
      <c r="P738" s="95">
        <f ca="1"/>
        <v>2.4006151500945007E-3</v>
      </c>
      <c r="Q738" s="5" t="s">
        <v>4</v>
      </c>
      <c r="R738" s="83" t="s">
        <v>4</v>
      </c>
    </row>
    <row r="739" spans="1:18" x14ac:dyDescent="0.25">
      <c r="A739" s="88">
        <v>725</v>
      </c>
      <c r="B739" s="82"/>
      <c r="C739" s="97">
        <f ca="1">_xll.meDateFromTenor(C738,"1D","FOLLOWING","TGT")</f>
        <v>43552</v>
      </c>
      <c r="D739" s="95">
        <f ca="1"/>
        <v>-3.2493315842802017E-3</v>
      </c>
      <c r="E739" s="92"/>
      <c r="F739" s="97">
        <f ca="1">_xll.meDateFromTenor(F738,"1D","FOLLOWING","TGT")</f>
        <v>43552</v>
      </c>
      <c r="G739" s="95">
        <f ca="1"/>
        <v>-2.5558155357735552E-3</v>
      </c>
      <c r="H739" s="92" t="s">
        <v>4</v>
      </c>
      <c r="I739" s="97">
        <f ca="1">_xll.meDateFromTenor(I738,"1D","FOLLOWING","TGT")</f>
        <v>43552</v>
      </c>
      <c r="J739" s="95">
        <f ca="1"/>
        <v>-1.0027490596395169E-3</v>
      </c>
      <c r="K739" s="5" t="s">
        <v>4</v>
      </c>
      <c r="L739" s="97">
        <f ca="1">_xll.meDateFromTenor(L738,"1D","FOLLOWING","TGT")</f>
        <v>43552</v>
      </c>
      <c r="M739" s="95">
        <f ca="1"/>
        <v>3.4308889322433507E-4</v>
      </c>
      <c r="N739" s="5" t="s">
        <v>4</v>
      </c>
      <c r="O739" s="97">
        <f ca="1">_xll.meDateFromTenor(O738,"1D","FOLLOWING","TGT")</f>
        <v>43552</v>
      </c>
      <c r="P739" s="95">
        <f ca="1"/>
        <v>2.4060948530075662E-3</v>
      </c>
      <c r="Q739" s="5" t="s">
        <v>4</v>
      </c>
      <c r="R739" s="83" t="s">
        <v>4</v>
      </c>
    </row>
    <row r="740" spans="1:18" x14ac:dyDescent="0.25">
      <c r="A740" s="88">
        <v>726</v>
      </c>
      <c r="B740" s="82"/>
      <c r="C740" s="97">
        <f ca="1">_xll.meDateFromTenor(C739,"1D","FOLLOWING","TGT")</f>
        <v>43553</v>
      </c>
      <c r="D740" s="95">
        <f ca="1"/>
        <v>-3.2469443375362506E-3</v>
      </c>
      <c r="E740" s="92"/>
      <c r="F740" s="97">
        <f ca="1">_xll.meDateFromTenor(F739,"1D","FOLLOWING","TGT")</f>
        <v>43553</v>
      </c>
      <c r="G740" s="95">
        <f ca="1"/>
        <v>-2.5515676915128399E-3</v>
      </c>
      <c r="H740" s="92" t="s">
        <v>4</v>
      </c>
      <c r="I740" s="97">
        <f ca="1">_xll.meDateFromTenor(I739,"1D","FOLLOWING","TGT")</f>
        <v>43553</v>
      </c>
      <c r="J740" s="95">
        <f ca="1"/>
        <v>-9.9956295875588139E-4</v>
      </c>
      <c r="K740" s="5" t="s">
        <v>4</v>
      </c>
      <c r="L740" s="97">
        <f ca="1">_xll.meDateFromTenor(L739,"1D","FOLLOWING","TGT")</f>
        <v>43553</v>
      </c>
      <c r="M740" s="95">
        <f ca="1"/>
        <v>3.4860784621471589E-4</v>
      </c>
      <c r="N740" s="5" t="s">
        <v>4</v>
      </c>
      <c r="O740" s="97">
        <f ca="1">_xll.meDateFromTenor(O739,"1D","FOLLOWING","TGT")</f>
        <v>43553</v>
      </c>
      <c r="P740" s="95">
        <f ca="1"/>
        <v>2.4115753879908369E-3</v>
      </c>
      <c r="Q740" s="5" t="s">
        <v>4</v>
      </c>
      <c r="R740" s="83" t="s">
        <v>4</v>
      </c>
    </row>
    <row r="741" spans="1:18" x14ac:dyDescent="0.25">
      <c r="A741" s="88">
        <v>727</v>
      </c>
      <c r="B741" s="82"/>
      <c r="C741" s="97">
        <f ca="1">_xll.meDateFromTenor(C740,"1D","FOLLOWING","TGT")</f>
        <v>43556</v>
      </c>
      <c r="D741" s="95">
        <f ca="1"/>
        <v>-3.2395449115965036E-3</v>
      </c>
      <c r="E741" s="92"/>
      <c r="F741" s="97">
        <f ca="1">_xll.meDateFromTenor(F740,"1D","FOLLOWING","TGT")</f>
        <v>43556</v>
      </c>
      <c r="G741" s="95">
        <f ca="1"/>
        <v>-2.5387405022879697E-3</v>
      </c>
      <c r="H741" s="92" t="s">
        <v>4</v>
      </c>
      <c r="I741" s="97">
        <f ca="1">_xll.meDateFromTenor(I740,"1D","FOLLOWING","TGT")</f>
        <v>43556</v>
      </c>
      <c r="J741" s="95">
        <f ca="1"/>
        <v>-9.9012221442756226E-4</v>
      </c>
      <c r="K741" s="5" t="s">
        <v>4</v>
      </c>
      <c r="L741" s="97">
        <f ca="1">_xll.meDateFromTenor(L740,"1D","FOLLOWING","TGT")</f>
        <v>43556</v>
      </c>
      <c r="M741" s="95">
        <f ca="1"/>
        <v>3.65178287593255E-4</v>
      </c>
      <c r="N741" s="5" t="s">
        <v>4</v>
      </c>
      <c r="O741" s="97">
        <f ca="1">_xll.meDateFromTenor(O740,"1D","FOLLOWING","TGT")</f>
        <v>43556</v>
      </c>
      <c r="P741" s="95">
        <f ca="1"/>
        <v>2.4280218009330853E-3</v>
      </c>
      <c r="Q741" s="5" t="s">
        <v>4</v>
      </c>
      <c r="R741" s="83" t="s">
        <v>4</v>
      </c>
    </row>
    <row r="742" spans="1:18" x14ac:dyDescent="0.25">
      <c r="A742" s="88">
        <v>728</v>
      </c>
      <c r="B742" s="82"/>
      <c r="C742" s="97">
        <f ca="1">_xll.meDateFromTenor(C741,"1D","FOLLOWING","TGT")</f>
        <v>43557</v>
      </c>
      <c r="D742" s="95">
        <f ca="1"/>
        <v>-3.2369992111452861E-3</v>
      </c>
      <c r="E742" s="92"/>
      <c r="F742" s="97">
        <f ca="1">_xll.meDateFromTenor(F741,"1D","FOLLOWING","TGT")</f>
        <v>43557</v>
      </c>
      <c r="G742" s="95">
        <f ca="1"/>
        <v>-2.5344341047534961E-3</v>
      </c>
      <c r="H742" s="92" t="s">
        <v>4</v>
      </c>
      <c r="I742" s="97">
        <f ca="1">_xll.meDateFromTenor(I741,"1D","FOLLOWING","TGT")</f>
        <v>43557</v>
      </c>
      <c r="J742" s="95">
        <f ca="1"/>
        <v>-9.8701289555465279E-4</v>
      </c>
      <c r="K742" s="5" t="s">
        <v>4</v>
      </c>
      <c r="L742" s="97">
        <f ca="1">_xll.meDateFromTenor(L741,"1D","FOLLOWING","TGT")</f>
        <v>43557</v>
      </c>
      <c r="M742" s="95">
        <f ca="1"/>
        <v>3.7070619083884272E-4</v>
      </c>
      <c r="N742" s="5" t="s">
        <v>4</v>
      </c>
      <c r="O742" s="97">
        <f ca="1">_xll.meDateFromTenor(O741,"1D","FOLLOWING","TGT")</f>
        <v>43557</v>
      </c>
      <c r="P742" s="95">
        <f ca="1"/>
        <v>2.433505479768382E-3</v>
      </c>
      <c r="Q742" s="5" t="s">
        <v>4</v>
      </c>
      <c r="R742" s="83" t="s">
        <v>4</v>
      </c>
    </row>
    <row r="743" spans="1:18" x14ac:dyDescent="0.25">
      <c r="A743" s="88">
        <v>729</v>
      </c>
      <c r="B743" s="82"/>
      <c r="C743" s="97">
        <f ca="1">_xll.meDateFromTenor(C742,"1D","FOLLOWING","TGT")</f>
        <v>43558</v>
      </c>
      <c r="D743" s="95">
        <f ca="1"/>
        <v>-3.2344138999486072E-3</v>
      </c>
      <c r="E743" s="92"/>
      <c r="F743" s="97">
        <f ca="1">_xll.meDateFromTenor(F742,"1D","FOLLOWING","TGT")</f>
        <v>43558</v>
      </c>
      <c r="G743" s="95">
        <f ca="1"/>
        <v>-2.5301113472252622E-3</v>
      </c>
      <c r="H743" s="92" t="s">
        <v>4</v>
      </c>
      <c r="I743" s="97">
        <f ca="1">_xll.meDateFromTenor(I742,"1D","FOLLOWING","TGT")</f>
        <v>43558</v>
      </c>
      <c r="J743" s="95">
        <f ca="1"/>
        <v>-9.8392157953117502E-4</v>
      </c>
      <c r="K743" s="5" t="s">
        <v>4</v>
      </c>
      <c r="L743" s="97">
        <f ca="1">_xll.meDateFromTenor(L742,"1D","FOLLOWING","TGT")</f>
        <v>43558</v>
      </c>
      <c r="M743" s="95">
        <f ca="1"/>
        <v>3.7623625313593925E-4</v>
      </c>
      <c r="N743" s="5" t="s">
        <v>4</v>
      </c>
      <c r="O743" s="97">
        <f ca="1">_xll.meDateFromTenor(O742,"1D","FOLLOWING","TGT")</f>
        <v>43558</v>
      </c>
      <c r="P743" s="95">
        <f ca="1"/>
        <v>2.4389898984594877E-3</v>
      </c>
      <c r="Q743" s="5" t="s">
        <v>4</v>
      </c>
      <c r="R743" s="83" t="s">
        <v>4</v>
      </c>
    </row>
    <row r="744" spans="1:18" x14ac:dyDescent="0.25">
      <c r="A744" s="88">
        <v>730</v>
      </c>
      <c r="B744" s="82"/>
      <c r="C744" s="97">
        <f ca="1">_xll.meDateFromTenor(C743,"1D","FOLLOWING","TGT")</f>
        <v>43559</v>
      </c>
      <c r="D744" s="95">
        <f ca="1"/>
        <v>-3.2317889792528032E-3</v>
      </c>
      <c r="E744" s="92"/>
      <c r="F744" s="97">
        <f ca="1">_xll.meDateFromTenor(F743,"1D","FOLLOWING","TGT")</f>
        <v>43559</v>
      </c>
      <c r="G744" s="95">
        <f ca="1"/>
        <v>-2.525773220302863E-3</v>
      </c>
      <c r="H744" s="92" t="s">
        <v>4</v>
      </c>
      <c r="I744" s="97">
        <f ca="1">_xll.meDateFromTenor(I743,"1D","FOLLOWING","TGT")</f>
        <v>43559</v>
      </c>
      <c r="J744" s="95">
        <f ca="1"/>
        <v>-9.808477892958294E-4</v>
      </c>
      <c r="K744" s="5" t="s">
        <v>4</v>
      </c>
      <c r="L744" s="97">
        <f ca="1">_xll.meDateFromTenor(L743,"1D","FOLLOWING","TGT")</f>
        <v>43559</v>
      </c>
      <c r="M744" s="95">
        <f ca="1"/>
        <v>3.8176844307962734E-4</v>
      </c>
      <c r="N744" s="5" t="s">
        <v>4</v>
      </c>
      <c r="O744" s="97">
        <f ca="1">_xll.meDateFromTenor(O743,"1D","FOLLOWING","TGT")</f>
        <v>43559</v>
      </c>
      <c r="P744" s="95">
        <f ca="1"/>
        <v>2.4444750385635206E-3</v>
      </c>
      <c r="Q744" s="5" t="s">
        <v>4</v>
      </c>
      <c r="R744" s="83" t="s">
        <v>4</v>
      </c>
    </row>
    <row r="745" spans="1:18" x14ac:dyDescent="0.25">
      <c r="A745" s="88">
        <v>731</v>
      </c>
      <c r="B745" s="82"/>
      <c r="C745" s="97">
        <f ca="1">_xll.meDateFromTenor(C744,"1D","FOLLOWING","TGT")</f>
        <v>43560</v>
      </c>
      <c r="D745" s="95">
        <f ca="1"/>
        <v>-3.2291244498217075E-3</v>
      </c>
      <c r="E745" s="92"/>
      <c r="F745" s="97">
        <f ca="1">_xll.meDateFromTenor(F744,"1D","FOLLOWING","TGT")</f>
        <v>43560</v>
      </c>
      <c r="G745" s="95">
        <f ca="1"/>
        <v>-2.5214210796445321E-3</v>
      </c>
      <c r="H745" s="92" t="s">
        <v>4</v>
      </c>
      <c r="I745" s="97">
        <f ca="1">_xll.meDateFromTenor(I744,"1D","FOLLOWING","TGT")</f>
        <v>43560</v>
      </c>
      <c r="J745" s="95">
        <f ca="1"/>
        <v>-9.7779104778731598E-4</v>
      </c>
      <c r="K745" s="5" t="s">
        <v>4</v>
      </c>
      <c r="L745" s="97">
        <f ca="1">_xll.meDateFromTenor(L744,"1D","FOLLOWING","TGT")</f>
        <v>43560</v>
      </c>
      <c r="M745" s="95">
        <f ca="1"/>
        <v>3.8730272926498993E-4</v>
      </c>
      <c r="N745" s="5" t="s">
        <v>4</v>
      </c>
      <c r="O745" s="97">
        <f ca="1">_xll.meDateFromTenor(O744,"1D","FOLLOWING","TGT")</f>
        <v>43560</v>
      </c>
      <c r="P745" s="95">
        <f ca="1"/>
        <v>2.4499608816376025E-3</v>
      </c>
      <c r="Q745" s="5" t="s">
        <v>4</v>
      </c>
      <c r="R745" s="83" t="s">
        <v>4</v>
      </c>
    </row>
    <row r="746" spans="1:18" x14ac:dyDescent="0.25">
      <c r="A746" s="88">
        <v>732</v>
      </c>
      <c r="B746" s="82"/>
      <c r="C746" s="97">
        <f ca="1">_xll.meDateFromTenor(C745,"1D","FOLLOWING","TGT")</f>
        <v>43563</v>
      </c>
      <c r="D746" s="95">
        <f ca="1"/>
        <v>-3.2208932203465768E-3</v>
      </c>
      <c r="E746" s="92"/>
      <c r="F746" s="97">
        <f ca="1">_xll.meDateFromTenor(F745,"1D","FOLLOWING","TGT")</f>
        <v>43563</v>
      </c>
      <c r="G746" s="95">
        <f ca="1"/>
        <v>-2.5082941318362584E-3</v>
      </c>
      <c r="H746" s="92" t="s">
        <v>4</v>
      </c>
      <c r="I746" s="97">
        <f ca="1">_xll.meDateFromTenor(I745,"1D","FOLLOWING","TGT")</f>
        <v>43563</v>
      </c>
      <c r="J746" s="95">
        <f ca="1"/>
        <v>-9.6871834500977143E-4</v>
      </c>
      <c r="K746" s="5" t="s">
        <v>4</v>
      </c>
      <c r="L746" s="97">
        <f ca="1">_xll.meDateFromTenor(L745,"1D","FOLLOWING","TGT")</f>
        <v>43563</v>
      </c>
      <c r="M746" s="95">
        <f ca="1"/>
        <v>4.0391785122195241E-4</v>
      </c>
      <c r="N746" s="5" t="s">
        <v>4</v>
      </c>
      <c r="O746" s="97">
        <f ca="1">_xll.meDateFromTenor(O745,"1D","FOLLOWING","TGT")</f>
        <v>43563</v>
      </c>
      <c r="P746" s="95">
        <f ca="1"/>
        <v>2.4664224442513477E-3</v>
      </c>
      <c r="Q746" s="5" t="s">
        <v>4</v>
      </c>
      <c r="R746" s="83" t="s">
        <v>4</v>
      </c>
    </row>
    <row r="747" spans="1:18" x14ac:dyDescent="0.25">
      <c r="A747" s="88">
        <v>733</v>
      </c>
      <c r="B747" s="82"/>
      <c r="C747" s="97">
        <f ca="1">_xll.meDateFromTenor(C746,"1D","FOLLOWING","TGT")</f>
        <v>43564</v>
      </c>
      <c r="D747" s="95">
        <f ca="1"/>
        <v>-3.2180702668627159E-3</v>
      </c>
      <c r="E747" s="92"/>
      <c r="F747" s="97">
        <f ca="1">_xll.meDateFromTenor(F746,"1D","FOLLOWING","TGT")</f>
        <v>43564</v>
      </c>
      <c r="G747" s="95">
        <f ca="1"/>
        <v>-2.5038994928165128E-3</v>
      </c>
      <c r="H747" s="92" t="s">
        <v>4</v>
      </c>
      <c r="I747" s="97">
        <f ca="1">_xll.meDateFromTenor(I746,"1D","FOLLOWING","TGT")</f>
        <v>43564</v>
      </c>
      <c r="J747" s="95">
        <f ca="1"/>
        <v>-9.6572502779558871E-4</v>
      </c>
      <c r="K747" s="5" t="s">
        <v>4</v>
      </c>
      <c r="L747" s="97">
        <f ca="1">_xll.meDateFromTenor(L746,"1D","FOLLOWING","TGT")</f>
        <v>43564</v>
      </c>
      <c r="M747" s="95">
        <f ca="1"/>
        <v>4.0946020832484175E-4</v>
      </c>
      <c r="N747" s="5" t="s">
        <v>4</v>
      </c>
      <c r="O747" s="97">
        <f ca="1">_xll.meDateFromTenor(O746,"1D","FOLLOWING","TGT")</f>
        <v>43564</v>
      </c>
      <c r="P747" s="95">
        <f ca="1"/>
        <v>2.4719109147768306E-3</v>
      </c>
      <c r="Q747" s="5" t="s">
        <v>4</v>
      </c>
      <c r="R747" s="83" t="s">
        <v>4</v>
      </c>
    </row>
    <row r="748" spans="1:18" x14ac:dyDescent="0.25">
      <c r="A748" s="88">
        <v>734</v>
      </c>
      <c r="B748" s="82"/>
      <c r="C748" s="97">
        <f ca="1">_xll.meDateFromTenor(C747,"1D","FOLLOWING","TGT")</f>
        <v>43565</v>
      </c>
      <c r="D748" s="95">
        <f ca="1"/>
        <v>-3.2152077100244814E-3</v>
      </c>
      <c r="E748" s="92"/>
      <c r="F748" s="97">
        <f ca="1">_xll.meDateFromTenor(F747,"1D","FOLLOWING","TGT")</f>
        <v>43565</v>
      </c>
      <c r="G748" s="95">
        <f ca="1"/>
        <v>-2.4994976183519944E-3</v>
      </c>
      <c r="H748" s="92" t="s">
        <v>4</v>
      </c>
      <c r="I748" s="97">
        <f ca="1">_xll.meDateFromTenor(I747,"1D","FOLLOWING","TGT")</f>
        <v>43565</v>
      </c>
      <c r="J748" s="95">
        <f ca="1"/>
        <v>-9.6274637400173952E-4</v>
      </c>
      <c r="K748" s="5" t="s">
        <v>4</v>
      </c>
      <c r="L748" s="97">
        <f ca="1">_xll.meDateFromTenor(L747,"1D","FOLLOWING","TGT")</f>
        <v>43565</v>
      </c>
      <c r="M748" s="95">
        <f ca="1"/>
        <v>4.1500450464481895E-4</v>
      </c>
      <c r="N748" s="5" t="s">
        <v>4</v>
      </c>
      <c r="O748" s="97">
        <f ca="1">_xll.meDateFromTenor(O747,"1D","FOLLOWING","TGT")</f>
        <v>43565</v>
      </c>
      <c r="P748" s="95">
        <f ca="1"/>
        <v>2.4773999960579643E-3</v>
      </c>
      <c r="Q748" s="5" t="s">
        <v>4</v>
      </c>
      <c r="R748" s="83" t="s">
        <v>4</v>
      </c>
    </row>
    <row r="749" spans="1:18" x14ac:dyDescent="0.25">
      <c r="A749" s="88">
        <v>735</v>
      </c>
      <c r="B749" s="82"/>
      <c r="C749" s="97">
        <f ca="1">_xll.meDateFromTenor(C748,"1D","FOLLOWING","TGT")</f>
        <v>43566</v>
      </c>
      <c r="D749" s="95">
        <f ca="1"/>
        <v>-3.2123055505276499E-3</v>
      </c>
      <c r="E749" s="92"/>
      <c r="F749" s="97">
        <f ca="1">_xll.meDateFromTenor(F748,"1D","FOLLOWING","TGT")</f>
        <v>43566</v>
      </c>
      <c r="G749" s="95">
        <f ca="1"/>
        <v>-2.4950898641009321E-3</v>
      </c>
      <c r="H749" s="92" t="s">
        <v>4</v>
      </c>
      <c r="I749" s="97">
        <f ca="1">_xll.meDateFromTenor(I748,"1D","FOLLOWING","TGT")</f>
        <v>43566</v>
      </c>
      <c r="J749" s="95">
        <f ca="1"/>
        <v>-9.5978190656692292E-4</v>
      </c>
      <c r="K749" s="5" t="s">
        <v>4</v>
      </c>
      <c r="L749" s="97">
        <f ca="1">_xll.meDateFromTenor(L748,"1D","FOLLOWING","TGT")</f>
        <v>43566</v>
      </c>
      <c r="M749" s="95">
        <f ca="1"/>
        <v>4.2055070877696898E-4</v>
      </c>
      <c r="N749" s="5" t="s">
        <v>4</v>
      </c>
      <c r="O749" s="97">
        <f ca="1">_xll.meDateFromTenor(O748,"1D","FOLLOWING","TGT")</f>
        <v>43566</v>
      </c>
      <c r="P749" s="95">
        <f ca="1"/>
        <v>2.4828896696518711E-3</v>
      </c>
      <c r="Q749" s="5" t="s">
        <v>4</v>
      </c>
      <c r="R749" s="83" t="s">
        <v>4</v>
      </c>
    </row>
    <row r="750" spans="1:18" x14ac:dyDescent="0.25">
      <c r="A750" s="88">
        <v>736</v>
      </c>
      <c r="B750" s="82"/>
      <c r="C750" s="97">
        <f ca="1">_xll.meDateFromTenor(C749,"1D","FOLLOWING","TGT")</f>
        <v>43567</v>
      </c>
      <c r="D750" s="95">
        <f ca="1"/>
        <v>-3.2093637899397454E-3</v>
      </c>
      <c r="E750" s="92"/>
      <c r="F750" s="97">
        <f ca="1">_xll.meDateFromTenor(F749,"1D","FOLLOWING","TGT")</f>
        <v>43567</v>
      </c>
      <c r="G750" s="95">
        <f ca="1"/>
        <v>-2.49067758572156E-3</v>
      </c>
      <c r="H750" s="92" t="s">
        <v>4</v>
      </c>
      <c r="I750" s="97">
        <f ca="1">_xll.meDateFromTenor(I749,"1D","FOLLOWING","TGT")</f>
        <v>43567</v>
      </c>
      <c r="J750" s="95">
        <f ca="1"/>
        <v>-9.5683114842983949E-4</v>
      </c>
      <c r="K750" s="5" t="s">
        <v>4</v>
      </c>
      <c r="L750" s="97">
        <f ca="1">_xll.meDateFromTenor(L749,"1D","FOLLOWING","TGT")</f>
        <v>43567</v>
      </c>
      <c r="M750" s="95">
        <f ca="1"/>
        <v>4.2609878931637357E-4</v>
      </c>
      <c r="N750" s="5" t="s">
        <v>4</v>
      </c>
      <c r="O750" s="97">
        <f ca="1">_xll.meDateFromTenor(O749,"1D","FOLLOWING","TGT")</f>
        <v>43567</v>
      </c>
      <c r="P750" s="95">
        <f ca="1"/>
        <v>2.4883799171156705E-3</v>
      </c>
      <c r="Q750" s="5" t="s">
        <v>4</v>
      </c>
      <c r="R750" s="83" t="s">
        <v>4</v>
      </c>
    </row>
    <row r="751" spans="1:18" x14ac:dyDescent="0.25">
      <c r="A751" s="88">
        <v>737</v>
      </c>
      <c r="B751" s="82"/>
      <c r="C751" s="97">
        <f ca="1">_xll.meDateFromTenor(C750,"1D","FOLLOWING","TGT")</f>
        <v>43570</v>
      </c>
      <c r="D751" s="95">
        <f ca="1"/>
        <v>-3.2003009087864243E-3</v>
      </c>
      <c r="E751" s="92"/>
      <c r="F751" s="97">
        <f ca="1">_xll.meDateFromTenor(F750,"1D","FOLLOWING","TGT")</f>
        <v>43570</v>
      </c>
      <c r="G751" s="95">
        <f ca="1"/>
        <v>-2.4774271623958961E-3</v>
      </c>
      <c r="H751" s="92" t="s">
        <v>4</v>
      </c>
      <c r="I751" s="97">
        <f ca="1">_xll.meDateFromTenor(I750,"1D","FOLLOWING","TGT")</f>
        <v>43570</v>
      </c>
      <c r="J751" s="95">
        <f ca="1"/>
        <v>-9.4805635919199089E-4</v>
      </c>
      <c r="K751" s="5" t="s">
        <v>4</v>
      </c>
      <c r="L751" s="97">
        <f ca="1">_xll.meDateFromTenor(L750,"1D","FOLLOWING","TGT")</f>
        <v>43570</v>
      </c>
      <c r="M751" s="95">
        <f ca="1"/>
        <v>4.4275397532894418E-4</v>
      </c>
      <c r="N751" s="5" t="s">
        <v>4</v>
      </c>
      <c r="O751" s="97">
        <f ca="1">_xll.meDateFromTenor(O750,"1D","FOLLOWING","TGT")</f>
        <v>43570</v>
      </c>
      <c r="P751" s="95">
        <f ca="1"/>
        <v>2.5048539182976302E-3</v>
      </c>
      <c r="Q751" s="5" t="s">
        <v>4</v>
      </c>
      <c r="R751" s="83" t="s">
        <v>4</v>
      </c>
    </row>
    <row r="752" spans="1:18" x14ac:dyDescent="0.25">
      <c r="A752" s="88">
        <v>738</v>
      </c>
      <c r="B752" s="82"/>
      <c r="C752" s="97">
        <f ca="1">_xll.meDateFromTenor(C751,"1D","FOLLOWING","TGT")</f>
        <v>43571</v>
      </c>
      <c r="D752" s="95">
        <f ca="1"/>
        <v>-3.1972007520437717E-3</v>
      </c>
      <c r="E752" s="92"/>
      <c r="F752" s="97">
        <f ca="1">_xll.meDateFromTenor(F751,"1D","FOLLOWING","TGT")</f>
        <v>43571</v>
      </c>
      <c r="G752" s="95">
        <f ca="1"/>
        <v>-2.4730103440855997E-3</v>
      </c>
      <c r="H752" s="92" t="s">
        <v>4</v>
      </c>
      <c r="I752" s="97">
        <f ca="1">_xll.meDateFromTenor(I751,"1D","FOLLOWING","TGT")</f>
        <v>43571</v>
      </c>
      <c r="J752" s="95">
        <f ca="1"/>
        <v>-9.4515566763284271E-4</v>
      </c>
      <c r="K752" s="5" t="s">
        <v>4</v>
      </c>
      <c r="L752" s="97">
        <f ca="1">_xll.meDateFromTenor(L751,"1D","FOLLOWING","TGT")</f>
        <v>43571</v>
      </c>
      <c r="M752" s="95">
        <f ca="1"/>
        <v>4.4830924744819538E-4</v>
      </c>
      <c r="N752" s="5" t="s">
        <v>4</v>
      </c>
      <c r="O752" s="97">
        <f ca="1">_xll.meDateFromTenor(O751,"1D","FOLLOWING","TGT")</f>
        <v>43571</v>
      </c>
      <c r="P752" s="95">
        <f ca="1"/>
        <v>2.5103462768122043E-3</v>
      </c>
      <c r="Q752" s="5" t="s">
        <v>4</v>
      </c>
      <c r="R752" s="83" t="s">
        <v>4</v>
      </c>
    </row>
    <row r="753" spans="1:18" x14ac:dyDescent="0.25">
      <c r="A753" s="88">
        <v>739</v>
      </c>
      <c r="B753" s="82"/>
      <c r="C753" s="97">
        <f ca="1">_xll.meDateFromTenor(C752,"1D","FOLLOWING","TGT")</f>
        <v>43572</v>
      </c>
      <c r="D753" s="95">
        <f ca="1"/>
        <v>-3.1940609988292401E-3</v>
      </c>
      <c r="E753" s="92"/>
      <c r="F753" s="97">
        <f ca="1">_xll.meDateFromTenor(F752,"1D","FOLLOWING","TGT")</f>
        <v>43572</v>
      </c>
      <c r="G753" s="95">
        <f ca="1"/>
        <v>-2.4685957799381506E-3</v>
      </c>
      <c r="H753" s="92" t="s">
        <v>4</v>
      </c>
      <c r="I753" s="97">
        <f ca="1">_xll.meDateFromTenor(I752,"1D","FOLLOWING","TGT")</f>
        <v>43572</v>
      </c>
      <c r="J753" s="95">
        <f ca="1"/>
        <v>-9.4226630006492807E-4</v>
      </c>
      <c r="K753" s="5" t="s">
        <v>4</v>
      </c>
      <c r="L753" s="97">
        <f ca="1">_xll.meDateFromTenor(L752,"1D","FOLLOWING","TGT")</f>
        <v>43572</v>
      </c>
      <c r="M753" s="95">
        <f ca="1"/>
        <v>4.5386623895011656E-4</v>
      </c>
      <c r="N753" s="5" t="s">
        <v>4</v>
      </c>
      <c r="O753" s="97">
        <f ca="1">_xll.meDateFromTenor(O752,"1D","FOLLOWING","TGT")</f>
        <v>43572</v>
      </c>
      <c r="P753" s="95">
        <f ca="1"/>
        <v>2.5158391169822747E-3</v>
      </c>
      <c r="Q753" s="5" t="s">
        <v>4</v>
      </c>
      <c r="R753" s="83" t="s">
        <v>4</v>
      </c>
    </row>
    <row r="754" spans="1:18" x14ac:dyDescent="0.25">
      <c r="A754" s="88">
        <v>740</v>
      </c>
      <c r="B754" s="82"/>
      <c r="C754" s="97">
        <f ca="1">_xll.meDateFromTenor(C753,"1D","FOLLOWING","TGT")</f>
        <v>43573</v>
      </c>
      <c r="D754" s="95">
        <f ca="1"/>
        <v>-3.1908816500050285E-3</v>
      </c>
      <c r="E754" s="92"/>
      <c r="F754" s="97">
        <f ca="1">_xll.meDateFromTenor(F753,"1D","FOLLOWING","TGT")</f>
        <v>43573</v>
      </c>
      <c r="G754" s="95">
        <f ca="1"/>
        <v>-2.4641848256117807E-3</v>
      </c>
      <c r="H754" s="92" t="s">
        <v>4</v>
      </c>
      <c r="I754" s="97">
        <f ca="1">_xll.meDateFromTenor(I753,"1D","FOLLOWING","TGT")</f>
        <v>43573</v>
      </c>
      <c r="J754" s="95">
        <f ca="1"/>
        <v>-9.3938777942694776E-4</v>
      </c>
      <c r="K754" s="5" t="s">
        <v>4</v>
      </c>
      <c r="L754" s="97">
        <f ca="1">_xll.meDateFromTenor(L753,"1D","FOLLOWING","TGT")</f>
        <v>43573</v>
      </c>
      <c r="M754" s="95">
        <f ca="1"/>
        <v>4.5942491842978957E-4</v>
      </c>
      <c r="N754" s="5" t="s">
        <v>4</v>
      </c>
      <c r="O754" s="97">
        <f ca="1">_xll.meDateFromTenor(O753,"1D","FOLLOWING","TGT")</f>
        <v>43573</v>
      </c>
      <c r="P754" s="95">
        <f ca="1"/>
        <v>2.5213324203649614E-3</v>
      </c>
      <c r="Q754" s="5" t="s">
        <v>4</v>
      </c>
      <c r="R754" s="83" t="s">
        <v>4</v>
      </c>
    </row>
    <row r="755" spans="1:18" x14ac:dyDescent="0.25">
      <c r="A755" s="88">
        <v>741</v>
      </c>
      <c r="B755" s="82"/>
      <c r="C755" s="97">
        <f ca="1">_xll.meDateFromTenor(C754,"1D","FOLLOWING","TGT")</f>
        <v>43578</v>
      </c>
      <c r="D755" s="95">
        <f ca="1"/>
        <v>-3.1743910045263224E-3</v>
      </c>
      <c r="E755" s="92"/>
      <c r="F755" s="97">
        <f ca="1">_xll.meDateFromTenor(F754,"1D","FOLLOWING","TGT")</f>
        <v>43578</v>
      </c>
      <c r="G755" s="95">
        <f ca="1"/>
        <v>-2.4422316493342431E-3</v>
      </c>
      <c r="H755" s="92" t="s">
        <v>4</v>
      </c>
      <c r="I755" s="97">
        <f ca="1">_xll.meDateFromTenor(I754,"1D","FOLLOWING","TGT")</f>
        <v>43578</v>
      </c>
      <c r="J755" s="95">
        <f ca="1"/>
        <v>-9.2514118304056414E-4</v>
      </c>
      <c r="K755" s="5" t="s">
        <v>4</v>
      </c>
      <c r="L755" s="97">
        <f ca="1">_xll.meDateFromTenor(L754,"1D","FOLLOWING","TGT")</f>
        <v>43578</v>
      </c>
      <c r="M755" s="95">
        <f ca="1"/>
        <v>4.8724253632233429E-4</v>
      </c>
      <c r="N755" s="5" t="s">
        <v>4</v>
      </c>
      <c r="O755" s="97">
        <f ca="1">_xll.meDateFromTenor(O754,"1D","FOLLOWING","TGT")</f>
        <v>43578</v>
      </c>
      <c r="P755" s="95">
        <f ca="1"/>
        <v>2.5488052399668475E-3</v>
      </c>
      <c r="Q755" s="5" t="s">
        <v>4</v>
      </c>
      <c r="R755" s="83" t="s">
        <v>4</v>
      </c>
    </row>
    <row r="756" spans="1:18" x14ac:dyDescent="0.25">
      <c r="A756" s="88">
        <v>742</v>
      </c>
      <c r="B756" s="82"/>
      <c r="C756" s="97">
        <f ca="1">_xll.meDateFromTenor(C755,"1D","FOLLOWING","TGT")</f>
        <v>43579</v>
      </c>
      <c r="D756" s="95">
        <f ca="1"/>
        <v>-3.1709741016761051E-3</v>
      </c>
      <c r="E756" s="92"/>
      <c r="F756" s="97">
        <f ca="1">_xll.meDateFromTenor(F755,"1D","FOLLOWING","TGT")</f>
        <v>43579</v>
      </c>
      <c r="G756" s="95">
        <f ca="1"/>
        <v>-2.4378708227572191E-3</v>
      </c>
      <c r="H756" s="92" t="s">
        <v>4</v>
      </c>
      <c r="I756" s="97">
        <f ca="1">_xll.meDateFromTenor(I755,"1D","FOLLOWING","TGT")</f>
        <v>43579</v>
      </c>
      <c r="J756" s="95">
        <f ca="1"/>
        <v>-9.2231772569489195E-4</v>
      </c>
      <c r="K756" s="5" t="s">
        <v>4</v>
      </c>
      <c r="L756" s="97">
        <f ca="1">_xll.meDateFromTenor(L755,"1D","FOLLOWING","TGT")</f>
        <v>43579</v>
      </c>
      <c r="M756" s="95">
        <f ca="1"/>
        <v>4.928106841652597E-4</v>
      </c>
      <c r="N756" s="5" t="s">
        <v>4</v>
      </c>
      <c r="O756" s="97">
        <f ca="1">_xll.meDateFromTenor(O755,"1D","FOLLOWING","TGT")</f>
        <v>43579</v>
      </c>
      <c r="P756" s="95">
        <f ca="1"/>
        <v>2.5543009353247597E-3</v>
      </c>
      <c r="Q756" s="5" t="s">
        <v>4</v>
      </c>
      <c r="R756" s="83" t="s">
        <v>4</v>
      </c>
    </row>
    <row r="757" spans="1:18" x14ac:dyDescent="0.25">
      <c r="A757" s="88">
        <v>743</v>
      </c>
      <c r="B757" s="82"/>
      <c r="C757" s="97">
        <f ca="1">_xll.meDateFromTenor(C756,"1D","FOLLOWING","TGT")</f>
        <v>43580</v>
      </c>
      <c r="D757" s="95">
        <f ca="1"/>
        <v>-3.1675176095964375E-3</v>
      </c>
      <c r="E757" s="92"/>
      <c r="F757" s="97">
        <f ca="1">_xll.meDateFromTenor(F756,"1D","FOLLOWING","TGT")</f>
        <v>43580</v>
      </c>
      <c r="G757" s="95">
        <f ca="1"/>
        <v>-2.4335230956088979E-3</v>
      </c>
      <c r="H757" s="92" t="s">
        <v>4</v>
      </c>
      <c r="I757" s="97">
        <f ca="1">_xll.meDateFromTenor(I756,"1D","FOLLOWING","TGT")</f>
        <v>43580</v>
      </c>
      <c r="J757" s="95">
        <f ca="1"/>
        <v>-9.1950177585005562E-4</v>
      </c>
      <c r="K757" s="5" t="s">
        <v>4</v>
      </c>
      <c r="L757" s="97">
        <f ca="1">_xll.meDateFromTenor(L756,"1D","FOLLOWING","TGT")</f>
        <v>43580</v>
      </c>
      <c r="M757" s="95">
        <f ca="1"/>
        <v>4.9838030015151615E-4</v>
      </c>
      <c r="N757" s="5" t="s">
        <v>4</v>
      </c>
      <c r="O757" s="97">
        <f ca="1">_xll.meDateFromTenor(O756,"1D","FOLLOWING","TGT")</f>
        <v>43580</v>
      </c>
      <c r="P757" s="95">
        <f ca="1"/>
        <v>2.559796964795131E-3</v>
      </c>
      <c r="Q757" s="5" t="s">
        <v>4</v>
      </c>
      <c r="R757" s="83" t="s">
        <v>4</v>
      </c>
    </row>
    <row r="758" spans="1:18" x14ac:dyDescent="0.25">
      <c r="A758" s="88">
        <v>744</v>
      </c>
      <c r="B758" s="82"/>
      <c r="C758" s="97">
        <f ca="1">_xll.meDateFromTenor(C757,"1D","FOLLOWING","TGT")</f>
        <v>43581</v>
      </c>
      <c r="D758" s="95">
        <f ca="1"/>
        <v>-3.1640215293513574E-3</v>
      </c>
      <c r="E758" s="92"/>
      <c r="F758" s="97">
        <f ca="1">_xll.meDateFromTenor(F757,"1D","FOLLOWING","TGT")</f>
        <v>43581</v>
      </c>
      <c r="G758" s="95">
        <f ca="1"/>
        <v>-2.4291898235475101E-3</v>
      </c>
      <c r="H758" s="92" t="s">
        <v>4</v>
      </c>
      <c r="I758" s="97">
        <f ca="1">_xll.meDateFromTenor(I757,"1D","FOLLOWING","TGT")</f>
        <v>43581</v>
      </c>
      <c r="J758" s="95">
        <f ca="1"/>
        <v>-9.1669285644475418E-4</v>
      </c>
      <c r="K758" s="5" t="s">
        <v>4</v>
      </c>
      <c r="L758" s="97">
        <f ca="1">_xll.meDateFromTenor(L757,"1D","FOLLOWING","TGT")</f>
        <v>43581</v>
      </c>
      <c r="M758" s="95">
        <f ca="1"/>
        <v>5.0395135287618865E-4</v>
      </c>
      <c r="N758" s="5" t="s">
        <v>4</v>
      </c>
      <c r="O758" s="97">
        <f ca="1">_xll.meDateFromTenor(O757,"1D","FOLLOWING","TGT")</f>
        <v>43581</v>
      </c>
      <c r="P758" s="95">
        <f ca="1"/>
        <v>2.5652933099350821E-3</v>
      </c>
      <c r="Q758" s="5" t="s">
        <v>4</v>
      </c>
      <c r="R758" s="83" t="s">
        <v>4</v>
      </c>
    </row>
    <row r="759" spans="1:18" x14ac:dyDescent="0.25">
      <c r="A759" s="88">
        <v>745</v>
      </c>
      <c r="B759" s="82"/>
      <c r="C759" s="97">
        <f ca="1">_xll.meDateFromTenor(C758,"1D","FOLLOWING","TGT")</f>
        <v>43584</v>
      </c>
      <c r="D759" s="95">
        <f ca="1"/>
        <v>-3.1532957673602313E-3</v>
      </c>
      <c r="E759" s="92"/>
      <c r="F759" s="97">
        <f ca="1">_xll.meDateFromTenor(F758,"1D","FOLLOWING","TGT")</f>
        <v>43584</v>
      </c>
      <c r="G759" s="95">
        <f ca="1"/>
        <v>-2.4162902944672676E-3</v>
      </c>
      <c r="H759" s="92" t="s">
        <v>4</v>
      </c>
      <c r="I759" s="97">
        <f ca="1">_xll.meDateFromTenor(I758,"1D","FOLLOWING","TGT")</f>
        <v>43584</v>
      </c>
      <c r="J759" s="95">
        <f ca="1"/>
        <v>-9.0830351025306371E-4</v>
      </c>
      <c r="K759" s="5" t="s">
        <v>4</v>
      </c>
      <c r="L759" s="97">
        <f ca="1">_xll.meDateFromTenor(L758,"1D","FOLLOWING","TGT")</f>
        <v>43584</v>
      </c>
      <c r="M759" s="95">
        <f ca="1"/>
        <v>5.2067281743152407E-4</v>
      </c>
      <c r="N759" s="5" t="s">
        <v>4</v>
      </c>
      <c r="O759" s="97">
        <f ca="1">_xll.meDateFromTenor(O758,"1D","FOLLOWING","TGT")</f>
        <v>43584</v>
      </c>
      <c r="P759" s="95">
        <f ca="1"/>
        <v>2.5817840549436223E-3</v>
      </c>
      <c r="Q759" s="5" t="s">
        <v>4</v>
      </c>
      <c r="R759" s="83" t="s">
        <v>4</v>
      </c>
    </row>
    <row r="760" spans="1:18" x14ac:dyDescent="0.25">
      <c r="A760" s="88">
        <v>746</v>
      </c>
      <c r="B760" s="82"/>
      <c r="C760" s="97">
        <f ca="1">_xll.meDateFromTenor(C759,"1D","FOLLOWING","TGT")</f>
        <v>43585</v>
      </c>
      <c r="D760" s="95">
        <f ca="1"/>
        <v>-3.1496413425251557E-3</v>
      </c>
      <c r="E760" s="92"/>
      <c r="F760" s="97">
        <f ca="1">_xll.meDateFromTenor(F759,"1D","FOLLOWING","TGT")</f>
        <v>43585</v>
      </c>
      <c r="G760" s="95">
        <f ca="1"/>
        <v>-2.4120283993359325E-3</v>
      </c>
      <c r="H760" s="92" t="s">
        <v>4</v>
      </c>
      <c r="I760" s="97">
        <f ca="1">_xll.meDateFromTenor(I759,"1D","FOLLOWING","TGT")</f>
        <v>43585</v>
      </c>
      <c r="J760" s="95">
        <f ca="1"/>
        <v>-9.0551794199290523E-4</v>
      </c>
      <c r="K760" s="5" t="s">
        <v>4</v>
      </c>
      <c r="L760" s="97">
        <f ca="1">_xll.meDateFromTenor(L759,"1D","FOLLOWING","TGT")</f>
        <v>43585</v>
      </c>
      <c r="M760" s="95">
        <f ca="1"/>
        <v>5.2624930306068539E-4</v>
      </c>
      <c r="N760" s="5" t="s">
        <v>4</v>
      </c>
      <c r="O760" s="97">
        <f ca="1">_xll.meDateFromTenor(O759,"1D","FOLLOWING","TGT")</f>
        <v>43585</v>
      </c>
      <c r="P760" s="95">
        <f ca="1"/>
        <v>2.5872814783331E-3</v>
      </c>
      <c r="Q760" s="5" t="s">
        <v>4</v>
      </c>
      <c r="R760" s="83" t="s">
        <v>4</v>
      </c>
    </row>
    <row r="761" spans="1:18" x14ac:dyDescent="0.25">
      <c r="A761" s="88">
        <v>747</v>
      </c>
      <c r="B761" s="82"/>
      <c r="C761" s="97">
        <f ca="1">_xll.meDateFromTenor(C760,"1D","FOLLOWING","TGT")</f>
        <v>43587</v>
      </c>
      <c r="D761" s="95">
        <f ca="1"/>
        <v>-3.1422137419492291E-3</v>
      </c>
      <c r="E761" s="92"/>
      <c r="F761" s="97">
        <f ca="1">_xll.meDateFromTenor(F760,"1D","FOLLOWING","TGT")</f>
        <v>43587</v>
      </c>
      <c r="G761" s="95">
        <f ca="1"/>
        <v>-2.4035696648657709E-3</v>
      </c>
      <c r="H761" s="92" t="s">
        <v>4</v>
      </c>
      <c r="I761" s="97">
        <f ca="1">_xll.meDateFromTenor(I760,"1D","FOLLOWING","TGT")</f>
        <v>43587</v>
      </c>
      <c r="J761" s="95">
        <f ca="1"/>
        <v>-8.999602638103967E-4</v>
      </c>
      <c r="K761" s="5" t="s">
        <v>4</v>
      </c>
      <c r="L761" s="97">
        <f ca="1">_xll.meDateFromTenor(L760,"1D","FOLLOWING","TGT")</f>
        <v>43587</v>
      </c>
      <c r="M761" s="95">
        <f ca="1"/>
        <v>5.3740608205557938E-4</v>
      </c>
      <c r="N761" s="5" t="s">
        <v>4</v>
      </c>
      <c r="O761" s="97">
        <f ca="1">_xll.meDateFromTenor(O760,"1D","FOLLOWING","TGT")</f>
        <v>43587</v>
      </c>
      <c r="P761" s="95">
        <f ca="1"/>
        <v>2.5982769770347231E-3</v>
      </c>
      <c r="Q761" s="5" t="s">
        <v>4</v>
      </c>
      <c r="R761" s="83" t="s">
        <v>4</v>
      </c>
    </row>
    <row r="762" spans="1:18" x14ac:dyDescent="0.25">
      <c r="A762" s="88">
        <v>748</v>
      </c>
      <c r="B762" s="82"/>
      <c r="C762" s="97">
        <f ca="1">_xll.meDateFromTenor(C761,"1D","FOLLOWING","TGT")</f>
        <v>43588</v>
      </c>
      <c r="D762" s="95">
        <f ca="1"/>
        <v>-3.1384405677965521E-3</v>
      </c>
      <c r="E762" s="92"/>
      <c r="F762" s="97">
        <f ca="1">_xll.meDateFromTenor(F761,"1D","FOLLOWING","TGT")</f>
        <v>43588</v>
      </c>
      <c r="G762" s="95">
        <f ca="1"/>
        <v>-2.3993750057051204E-3</v>
      </c>
      <c r="H762" s="92" t="s">
        <v>4</v>
      </c>
      <c r="I762" s="97">
        <f ca="1">_xll.meDateFromTenor(I761,"1D","FOLLOWING","TGT")</f>
        <v>43588</v>
      </c>
      <c r="J762" s="95">
        <f ca="1"/>
        <v>-8.9718719976544694E-4</v>
      </c>
      <c r="K762" s="5" t="s">
        <v>4</v>
      </c>
      <c r="L762" s="97">
        <f ca="1">_xll.meDateFromTenor(L761,"1D","FOLLOWING","TGT")</f>
        <v>43588</v>
      </c>
      <c r="M762" s="95">
        <f ca="1"/>
        <v>5.4298631261147769E-4</v>
      </c>
      <c r="N762" s="5" t="s">
        <v>4</v>
      </c>
      <c r="O762" s="97">
        <f ca="1">_xll.meDateFromTenor(O761,"1D","FOLLOWING","TGT")</f>
        <v>43588</v>
      </c>
      <c r="P762" s="95">
        <f ca="1"/>
        <v>2.6037750154611103E-3</v>
      </c>
      <c r="Q762" s="5" t="s">
        <v>4</v>
      </c>
      <c r="R762" s="83" t="s">
        <v>4</v>
      </c>
    </row>
    <row r="763" spans="1:18" x14ac:dyDescent="0.25">
      <c r="A763" s="88">
        <v>749</v>
      </c>
      <c r="B763" s="82"/>
      <c r="C763" s="97">
        <f ca="1">_xll.meDateFromTenor(C762,"1D","FOLLOWING","TGT")</f>
        <v>43591</v>
      </c>
      <c r="D763" s="95">
        <f ca="1"/>
        <v>-3.1268835594294719E-3</v>
      </c>
      <c r="E763" s="92"/>
      <c r="F763" s="97">
        <f ca="1">_xll.meDateFromTenor(F762,"1D","FOLLOWING","TGT")</f>
        <v>43591</v>
      </c>
      <c r="G763" s="95">
        <f ca="1"/>
        <v>-2.3869163846755308E-3</v>
      </c>
      <c r="H763" s="92" t="s">
        <v>4</v>
      </c>
      <c r="I763" s="97">
        <f ca="1">_xll.meDateFromTenor(I762,"1D","FOLLOWING","TGT")</f>
        <v>43591</v>
      </c>
      <c r="J763" s="95">
        <f ca="1"/>
        <v>-8.8888538308021822E-4</v>
      </c>
      <c r="K763" s="5" t="s">
        <v>4</v>
      </c>
      <c r="L763" s="97">
        <f ca="1">_xll.meDateFromTenor(L762,"1D","FOLLOWING","TGT")</f>
        <v>43591</v>
      </c>
      <c r="M763" s="95">
        <f ca="1"/>
        <v>5.5973399165397159E-4</v>
      </c>
      <c r="N763" s="5" t="s">
        <v>4</v>
      </c>
      <c r="O763" s="97">
        <f ca="1">_xll.meDateFromTenor(O762,"1D","FOLLOWING","TGT")</f>
        <v>43591</v>
      </c>
      <c r="P763" s="95">
        <f ca="1"/>
        <v>2.6202700657280177E-3</v>
      </c>
      <c r="Q763" s="5" t="s">
        <v>4</v>
      </c>
      <c r="R763" s="83" t="s">
        <v>4</v>
      </c>
    </row>
    <row r="764" spans="1:18" x14ac:dyDescent="0.25">
      <c r="A764" s="88">
        <v>750</v>
      </c>
      <c r="B764" s="82"/>
      <c r="C764" s="97">
        <f ca="1">_xll.meDateFromTenor(C763,"1D","FOLLOWING","TGT")</f>
        <v>43592</v>
      </c>
      <c r="D764" s="95">
        <f ca="1"/>
        <v>-3.1229520639162178E-3</v>
      </c>
      <c r="E764" s="92"/>
      <c r="F764" s="97">
        <f ca="1">_xll.meDateFromTenor(F763,"1D","FOLLOWING","TGT")</f>
        <v>43592</v>
      </c>
      <c r="G764" s="95">
        <f ca="1"/>
        <v>-2.3827991925781306E-3</v>
      </c>
      <c r="H764" s="92" t="s">
        <v>4</v>
      </c>
      <c r="I764" s="97">
        <f ca="1">_xll.meDateFromTenor(I763,"1D","FOLLOWING","TGT")</f>
        <v>43592</v>
      </c>
      <c r="J764" s="95">
        <f ca="1"/>
        <v>-8.8612231246401607E-4</v>
      </c>
      <c r="K764" s="5" t="s">
        <v>4</v>
      </c>
      <c r="L764" s="97">
        <f ca="1">_xll.meDateFromTenor(L763,"1D","FOLLOWING","TGT")</f>
        <v>43592</v>
      </c>
      <c r="M764" s="95">
        <f ca="1"/>
        <v>5.6531877577667845E-4</v>
      </c>
      <c r="N764" s="5" t="s">
        <v>4</v>
      </c>
      <c r="O764" s="97">
        <f ca="1">_xll.meDateFromTenor(O763,"1D","FOLLOWING","TGT")</f>
        <v>43592</v>
      </c>
      <c r="P764" s="95">
        <f ca="1"/>
        <v>2.6257686660033047E-3</v>
      </c>
      <c r="Q764" s="5" t="s">
        <v>4</v>
      </c>
      <c r="R764" s="83" t="s">
        <v>4</v>
      </c>
    </row>
    <row r="765" spans="1:18" x14ac:dyDescent="0.25">
      <c r="A765" s="88">
        <v>751</v>
      </c>
      <c r="B765" s="82"/>
      <c r="C765" s="97">
        <f ca="1">_xll.meDateFromTenor(C764,"1D","FOLLOWING","TGT")</f>
        <v>43593</v>
      </c>
      <c r="D765" s="95">
        <f ca="1"/>
        <v>-3.1189809902443244E-3</v>
      </c>
      <c r="E765" s="92"/>
      <c r="F765" s="97">
        <f ca="1">_xll.meDateFromTenor(F764,"1D","FOLLOWING","TGT")</f>
        <v>43593</v>
      </c>
      <c r="G765" s="95">
        <f ca="1"/>
        <v>-2.3786967893177991E-3</v>
      </c>
      <c r="H765" s="92" t="s">
        <v>4</v>
      </c>
      <c r="I765" s="97">
        <f ca="1">_xll.meDateFromTenor(I764,"1D","FOLLOWING","TGT")</f>
        <v>43593</v>
      </c>
      <c r="J765" s="95">
        <f ca="1"/>
        <v>-8.8336054755175049E-4</v>
      </c>
      <c r="K765" s="5" t="s">
        <v>4</v>
      </c>
      <c r="L765" s="97">
        <f ca="1">_xll.meDateFromTenor(L764,"1D","FOLLOWING","TGT")</f>
        <v>43593</v>
      </c>
      <c r="M765" s="95">
        <f ca="1"/>
        <v>5.70904619778796E-4</v>
      </c>
      <c r="N765" s="5" t="s">
        <v>4</v>
      </c>
      <c r="O765" s="97">
        <f ca="1">_xll.meDateFromTenor(O764,"1D","FOLLOWING","TGT")</f>
        <v>43593</v>
      </c>
      <c r="P765" s="95">
        <f ca="1"/>
        <v>2.6312673606336185E-3</v>
      </c>
      <c r="Q765" s="5" t="s">
        <v>4</v>
      </c>
      <c r="R765" s="83" t="s">
        <v>4</v>
      </c>
    </row>
    <row r="766" spans="1:18" x14ac:dyDescent="0.25">
      <c r="A766" s="88">
        <v>752</v>
      </c>
      <c r="B766" s="82"/>
      <c r="C766" s="97">
        <f ca="1">_xll.meDateFromTenor(C765,"1D","FOLLOWING","TGT")</f>
        <v>43594</v>
      </c>
      <c r="D766" s="95">
        <f ca="1"/>
        <v>-3.1149703389782291E-3</v>
      </c>
      <c r="E766" s="92"/>
      <c r="F766" s="97">
        <f ca="1">_xll.meDateFromTenor(F765,"1D","FOLLOWING","TGT")</f>
        <v>43594</v>
      </c>
      <c r="G766" s="95">
        <f ca="1"/>
        <v>-2.3746073437230382E-3</v>
      </c>
      <c r="H766" s="92" t="s">
        <v>4</v>
      </c>
      <c r="I766" s="97">
        <f ca="1">_xll.meDateFromTenor(I765,"1D","FOLLOWING","TGT")</f>
        <v>43594</v>
      </c>
      <c r="J766" s="95">
        <f ca="1"/>
        <v>-8.805996112821225E-4</v>
      </c>
      <c r="K766" s="5" t="s">
        <v>4</v>
      </c>
      <c r="L766" s="97">
        <f ca="1">_xll.meDateFromTenor(L765,"1D","FOLLOWING","TGT")</f>
        <v>43594</v>
      </c>
      <c r="M766" s="95">
        <f ca="1"/>
        <v>5.7649149225540597E-4</v>
      </c>
      <c r="N766" s="5" t="s">
        <v>4</v>
      </c>
      <c r="O766" s="97">
        <f ca="1">_xll.meDateFromTenor(O765,"1D","FOLLOWING","TGT")</f>
        <v>43594</v>
      </c>
      <c r="P766" s="95">
        <f ca="1"/>
        <v>2.6367661311760796E-3</v>
      </c>
      <c r="Q766" s="5" t="s">
        <v>4</v>
      </c>
      <c r="R766" s="83" t="s">
        <v>4</v>
      </c>
    </row>
    <row r="767" spans="1:18" x14ac:dyDescent="0.25">
      <c r="A767" s="88">
        <v>753</v>
      </c>
      <c r="B767" s="82"/>
      <c r="C767" s="97">
        <f ca="1">_xll.meDateFromTenor(C766,"1D","FOLLOWING","TGT")</f>
        <v>43595</v>
      </c>
      <c r="D767" s="95">
        <f ca="1"/>
        <v>-3.1109201108767692E-3</v>
      </c>
      <c r="E767" s="92"/>
      <c r="F767" s="97">
        <f ca="1">_xll.meDateFromTenor(F766,"1D","FOLLOWING","TGT")</f>
        <v>43595</v>
      </c>
      <c r="G767" s="95">
        <f ca="1"/>
        <v>-2.3705290246223525E-3</v>
      </c>
      <c r="H767" s="92" t="s">
        <v>4</v>
      </c>
      <c r="I767" s="97">
        <f ca="1">_xll.meDateFromTenor(I766,"1D","FOLLOWING","TGT")</f>
        <v>43595</v>
      </c>
      <c r="J767" s="95">
        <f ca="1"/>
        <v>-8.7783902659383179E-4</v>
      </c>
      <c r="K767" s="5" t="s">
        <v>4</v>
      </c>
      <c r="L767" s="97">
        <f ca="1">_xll.meDateFromTenor(L766,"1D","FOLLOWING","TGT")</f>
        <v>43595</v>
      </c>
      <c r="M767" s="95">
        <f ca="1"/>
        <v>5.8207936180159129E-4</v>
      </c>
      <c r="N767" s="5" t="s">
        <v>4</v>
      </c>
      <c r="O767" s="97">
        <f ca="1">_xll.meDateFromTenor(O766,"1D","FOLLOWING","TGT")</f>
        <v>43595</v>
      </c>
      <c r="P767" s="95">
        <f ca="1"/>
        <v>2.6422649591878074E-3</v>
      </c>
      <c r="Q767" s="5" t="s">
        <v>4</v>
      </c>
      <c r="R767" s="83" t="s">
        <v>4</v>
      </c>
    </row>
    <row r="768" spans="1:18" x14ac:dyDescent="0.25">
      <c r="A768" s="88">
        <v>754</v>
      </c>
      <c r="B768" s="82"/>
      <c r="C768" s="97">
        <f ca="1">_xll.meDateFromTenor(C767,"1D","FOLLOWING","TGT")</f>
        <v>43598</v>
      </c>
      <c r="D768" s="95">
        <f ca="1"/>
        <v>-3.0985319733982664E-3</v>
      </c>
      <c r="E768" s="92"/>
      <c r="F768" s="97">
        <f ca="1">_xll.meDateFromTenor(F767,"1D","FOLLOWING","TGT")</f>
        <v>43598</v>
      </c>
      <c r="G768" s="95">
        <f ca="1"/>
        <v>-2.3583425145697647E-3</v>
      </c>
      <c r="H768" s="92" t="s">
        <v>4</v>
      </c>
      <c r="I768" s="97">
        <f ca="1">_xll.meDateFromTenor(I767,"1D","FOLLOWING","TGT")</f>
        <v>43598</v>
      </c>
      <c r="J768" s="95">
        <f ca="1"/>
        <v>-8.6955461140398639E-4</v>
      </c>
      <c r="K768" s="5" t="s">
        <v>4</v>
      </c>
      <c r="L768" s="97">
        <f ca="1">_xll.meDateFromTenor(L767,"1D","FOLLOWING","TGT")</f>
        <v>43598</v>
      </c>
      <c r="M768" s="95">
        <f ca="1"/>
        <v>5.988486388084274E-4</v>
      </c>
      <c r="N768" s="5" t="s">
        <v>4</v>
      </c>
      <c r="O768" s="97">
        <f ca="1">_xll.meDateFromTenor(O767,"1D","FOLLOWING","TGT")</f>
        <v>43598</v>
      </c>
      <c r="P768" s="95">
        <f ca="1"/>
        <v>2.658761603609801E-3</v>
      </c>
      <c r="Q768" s="5" t="s">
        <v>4</v>
      </c>
      <c r="R768" s="83" t="s">
        <v>4</v>
      </c>
    </row>
    <row r="769" spans="1:18" x14ac:dyDescent="0.25">
      <c r="A769" s="88">
        <v>755</v>
      </c>
      <c r="B769" s="82"/>
      <c r="C769" s="97">
        <f ca="1">_xll.meDateFromTenor(C768,"1D","FOLLOWING","TGT")</f>
        <v>43599</v>
      </c>
      <c r="D769" s="95">
        <f ca="1"/>
        <v>-3.0943234455308444E-3</v>
      </c>
      <c r="E769" s="92"/>
      <c r="F769" s="97">
        <f ca="1">_xll.meDateFromTenor(F768,"1D","FOLLOWING","TGT")</f>
        <v>43599</v>
      </c>
      <c r="G769" s="95">
        <f ca="1"/>
        <v>-2.3542903897304009E-3</v>
      </c>
      <c r="H769" s="92" t="s">
        <v>4</v>
      </c>
      <c r="I769" s="97">
        <f ca="1">_xll.meDateFromTenor(I768,"1D","FOLLOWING","TGT")</f>
        <v>43599</v>
      </c>
      <c r="J769" s="95">
        <f ca="1"/>
        <v>-8.6679066242804708E-4</v>
      </c>
      <c r="K769" s="5" t="s">
        <v>4</v>
      </c>
      <c r="L769" s="97">
        <f ca="1">_xll.meDateFromTenor(L768,"1D","FOLLOWING","TGT")</f>
        <v>43599</v>
      </c>
      <c r="M769" s="95">
        <f ca="1"/>
        <v>6.0444018258374308E-4</v>
      </c>
      <c r="N769" s="5" t="s">
        <v>4</v>
      </c>
      <c r="O769" s="97">
        <f ca="1">_xll.meDateFromTenor(O768,"1D","FOLLOWING","TGT")</f>
        <v>43599</v>
      </c>
      <c r="P769" s="95">
        <f ca="1"/>
        <v>2.6642604770698046E-3</v>
      </c>
      <c r="Q769" s="5" t="s">
        <v>4</v>
      </c>
      <c r="R769" s="83" t="s">
        <v>4</v>
      </c>
    </row>
    <row r="770" spans="1:18" x14ac:dyDescent="0.25">
      <c r="A770" s="88">
        <v>756</v>
      </c>
      <c r="B770" s="82"/>
      <c r="C770" s="97">
        <f ca="1">_xll.meDateFromTenor(C769,"1D","FOLLOWING","TGT")</f>
        <v>43600</v>
      </c>
      <c r="D770" s="95">
        <f ca="1"/>
        <v>-3.0900753445526341E-3</v>
      </c>
      <c r="E770" s="92"/>
      <c r="F770" s="97">
        <f ca="1">_xll.meDateFromTenor(F769,"1D","FOLLOWING","TGT")</f>
        <v>43600</v>
      </c>
      <c r="G770" s="95">
        <f ca="1"/>
        <v>-2.3502402355276247E-3</v>
      </c>
      <c r="H770" s="92" t="s">
        <v>4</v>
      </c>
      <c r="I770" s="97">
        <f ca="1">_xll.meDateFromTenor(I769,"1D","FOLLOWING","TGT")</f>
        <v>43600</v>
      </c>
      <c r="J770" s="95">
        <f ca="1"/>
        <v>-8.6402467972694576E-4</v>
      </c>
      <c r="K770" s="5" t="s">
        <v>4</v>
      </c>
      <c r="L770" s="97">
        <f ca="1">_xll.meDateFromTenor(L769,"1D","FOLLOWING","TGT")</f>
        <v>43600</v>
      </c>
      <c r="M770" s="95">
        <f ca="1"/>
        <v>6.1003256640404849E-4</v>
      </c>
      <c r="N770" s="5" t="s">
        <v>4</v>
      </c>
      <c r="O770" s="97">
        <f ca="1">_xll.meDateFromTenor(O769,"1D","FOLLOWING","TGT")</f>
        <v>43600</v>
      </c>
      <c r="P770" s="95">
        <f ca="1"/>
        <v>2.6697593157846782E-3</v>
      </c>
      <c r="Q770" s="5" t="s">
        <v>4</v>
      </c>
      <c r="R770" s="83" t="s">
        <v>4</v>
      </c>
    </row>
    <row r="771" spans="1:18" x14ac:dyDescent="0.25">
      <c r="A771" s="88">
        <v>757</v>
      </c>
      <c r="B771" s="82"/>
      <c r="C771" s="97">
        <f ca="1">_xll.meDateFromTenor(C770,"1D","FOLLOWING","TGT")</f>
        <v>43601</v>
      </c>
      <c r="D771" s="95">
        <f ca="1"/>
        <v>-3.0857876712740984E-3</v>
      </c>
      <c r="E771" s="92"/>
      <c r="F771" s="97">
        <f ca="1">_xll.meDateFromTenor(F770,"1D","FOLLOWING","TGT")</f>
        <v>43601</v>
      </c>
      <c r="G771" s="95">
        <f ca="1"/>
        <v>-2.3461902207899377E-3</v>
      </c>
      <c r="H771" s="92" t="s">
        <v>4</v>
      </c>
      <c r="I771" s="97">
        <f ca="1">_xll.meDateFromTenor(I770,"1D","FOLLOWING","TGT")</f>
        <v>43601</v>
      </c>
      <c r="J771" s="95">
        <f ca="1"/>
        <v>-8.6125618623938342E-4</v>
      </c>
      <c r="K771" s="5" t="s">
        <v>4</v>
      </c>
      <c r="L771" s="97">
        <f ca="1">_xll.meDateFromTenor(L770,"1D","FOLLOWING","TGT")</f>
        <v>43601</v>
      </c>
      <c r="M771" s="95">
        <f ca="1"/>
        <v>6.1562575886442569E-4</v>
      </c>
      <c r="N771" s="5" t="s">
        <v>4</v>
      </c>
      <c r="O771" s="97">
        <f ca="1">_xll.meDateFromTenor(O770,"1D","FOLLOWING","TGT")</f>
        <v>43601</v>
      </c>
      <c r="P771" s="95">
        <f ca="1"/>
        <v>2.6752581013115419E-3</v>
      </c>
      <c r="Q771" s="5" t="s">
        <v>4</v>
      </c>
      <c r="R771" s="83" t="s">
        <v>4</v>
      </c>
    </row>
    <row r="772" spans="1:18" x14ac:dyDescent="0.25">
      <c r="A772" s="88">
        <v>758</v>
      </c>
      <c r="B772" s="82"/>
      <c r="C772" s="97">
        <f ca="1">_xll.meDateFromTenor(C771,"1D","FOLLOWING","TGT")</f>
        <v>43602</v>
      </c>
      <c r="D772" s="95">
        <f ca="1"/>
        <v>-3.081460426222149E-3</v>
      </c>
      <c r="E772" s="92"/>
      <c r="F772" s="97">
        <f ca="1">_xll.meDateFromTenor(F771,"1D","FOLLOWING","TGT")</f>
        <v>43602</v>
      </c>
      <c r="G772" s="95">
        <f ca="1"/>
        <v>-2.3421385143458429E-3</v>
      </c>
      <c r="H772" s="92" t="s">
        <v>4</v>
      </c>
      <c r="I772" s="97">
        <f ca="1">_xll.meDateFromTenor(I771,"1D","FOLLOWING","TGT")</f>
        <v>43602</v>
      </c>
      <c r="J772" s="95">
        <f ca="1"/>
        <v>-8.5848470490405913E-4</v>
      </c>
      <c r="K772" s="5" t="s">
        <v>4</v>
      </c>
      <c r="L772" s="97">
        <f ca="1">_xll.meDateFromTenor(L771,"1D","FOLLOWING","TGT")</f>
        <v>43602</v>
      </c>
      <c r="M772" s="95">
        <f ca="1"/>
        <v>6.2121972855995933E-4</v>
      </c>
      <c r="N772" s="5" t="s">
        <v>4</v>
      </c>
      <c r="O772" s="97">
        <f ca="1">_xll.meDateFromTenor(O771,"1D","FOLLOWING","TGT")</f>
        <v>43602</v>
      </c>
      <c r="P772" s="95">
        <f ca="1"/>
        <v>2.6807568152075164E-3</v>
      </c>
      <c r="Q772" s="5" t="s">
        <v>4</v>
      </c>
      <c r="R772" s="83" t="s">
        <v>4</v>
      </c>
    </row>
    <row r="773" spans="1:18" x14ac:dyDescent="0.25">
      <c r="A773" s="88">
        <v>759</v>
      </c>
      <c r="B773" s="82"/>
      <c r="C773" s="97">
        <f ca="1">_xll.meDateFromTenor(C772,"1D","FOLLOWING","TGT")</f>
        <v>43605</v>
      </c>
      <c r="D773" s="95">
        <f ca="1"/>
        <v>-3.0682412674184478E-3</v>
      </c>
      <c r="E773" s="92"/>
      <c r="F773" s="97">
        <f ca="1">_xll.meDateFromTenor(F772,"1D","FOLLOWING","TGT")</f>
        <v>43605</v>
      </c>
      <c r="G773" s="95">
        <f ca="1"/>
        <v>-2.3299549330601374E-3</v>
      </c>
      <c r="H773" s="92" t="s">
        <v>4</v>
      </c>
      <c r="I773" s="97">
        <f ca="1">_xll.meDateFromTenor(I772,"1D","FOLLOWING","TGT")</f>
        <v>43605</v>
      </c>
      <c r="J773" s="95">
        <f ca="1"/>
        <v>-8.501475631985183E-4</v>
      </c>
      <c r="K773" s="5" t="s">
        <v>4</v>
      </c>
      <c r="L773" s="97">
        <f ca="1">_xll.meDateFromTenor(L772,"1D","FOLLOWING","TGT")</f>
        <v>43605</v>
      </c>
      <c r="M773" s="95">
        <f ca="1"/>
        <v>6.3800598700832238E-4</v>
      </c>
      <c r="N773" s="5" t="s">
        <v>4</v>
      </c>
      <c r="O773" s="97">
        <f ca="1">_xll.meDateFromTenor(O772,"1D","FOLLOWING","TGT")</f>
        <v>43605</v>
      </c>
      <c r="P773" s="95">
        <f ca="1"/>
        <v>2.697252342681315E-3</v>
      </c>
      <c r="Q773" s="5" t="s">
        <v>4</v>
      </c>
      <c r="R773" s="83" t="s">
        <v>4</v>
      </c>
    </row>
    <row r="774" spans="1:18" x14ac:dyDescent="0.25">
      <c r="A774" s="88">
        <v>760</v>
      </c>
      <c r="B774" s="82"/>
      <c r="C774" s="97">
        <f ca="1">_xll.meDateFromTenor(C773,"1D","FOLLOWING","TGT")</f>
        <v>43606</v>
      </c>
      <c r="D774" s="95">
        <f ca="1"/>
        <v>-3.063755742321761E-3</v>
      </c>
      <c r="E774" s="92"/>
      <c r="F774" s="97">
        <f ca="1">_xll.meDateFromTenor(F773,"1D","FOLLOWING","TGT")</f>
        <v>43606</v>
      </c>
      <c r="G774" s="95">
        <f ca="1"/>
        <v>-2.3258781480754377E-3</v>
      </c>
      <c r="H774" s="92" t="s">
        <v>4</v>
      </c>
      <c r="I774" s="97">
        <f ca="1">_xll.meDateFromTenor(I773,"1D","FOLLOWING","TGT")</f>
        <v>43606</v>
      </c>
      <c r="J774" s="95">
        <f ca="1"/>
        <v>-8.4735935985914986E-4</v>
      </c>
      <c r="K774" s="5" t="s">
        <v>4</v>
      </c>
      <c r="L774" s="97">
        <f ca="1">_xll.meDateFromTenor(L773,"1D","FOLLOWING","TGT")</f>
        <v>43606</v>
      </c>
      <c r="M774" s="95">
        <f ca="1"/>
        <v>6.4360275159530624E-4</v>
      </c>
      <c r="N774" s="5" t="s">
        <v>4</v>
      </c>
      <c r="O774" s="97">
        <f ca="1">_xll.meDateFromTenor(O773,"1D","FOLLOWING","TGT")</f>
        <v>43606</v>
      </c>
      <c r="P774" s="95">
        <f ca="1"/>
        <v>2.7027505856249399E-3</v>
      </c>
      <c r="Q774" s="5" t="s">
        <v>4</v>
      </c>
      <c r="R774" s="83" t="s">
        <v>4</v>
      </c>
    </row>
    <row r="775" spans="1:18" x14ac:dyDescent="0.25">
      <c r="A775" s="88">
        <v>761</v>
      </c>
      <c r="B775" s="82"/>
      <c r="C775" s="97">
        <f ca="1">_xll.meDateFromTenor(C774,"1D","FOLLOWING","TGT")</f>
        <v>43607</v>
      </c>
      <c r="D775" s="95">
        <f ca="1"/>
        <v>-3.0592306488130827E-3</v>
      </c>
      <c r="E775" s="92"/>
      <c r="F775" s="97">
        <f ca="1">_xll.meDateFromTenor(F774,"1D","FOLLOWING","TGT")</f>
        <v>43607</v>
      </c>
      <c r="G775" s="95">
        <f ca="1"/>
        <v>-2.3217905155268428E-3</v>
      </c>
      <c r="H775" s="92" t="s">
        <v>4</v>
      </c>
      <c r="I775" s="97">
        <f ca="1">_xll.meDateFromTenor(I774,"1D","FOLLOWING","TGT")</f>
        <v>43607</v>
      </c>
      <c r="J775" s="95">
        <f ca="1"/>
        <v>-8.4456578336552016E-4</v>
      </c>
      <c r="K775" s="5" t="s">
        <v>4</v>
      </c>
      <c r="L775" s="97">
        <f ca="1">_xll.meDateFromTenor(L774,"1D","FOLLOWING","TGT")</f>
        <v>43607</v>
      </c>
      <c r="M775" s="95">
        <f ca="1"/>
        <v>6.4920013639286082E-4</v>
      </c>
      <c r="N775" s="5" t="s">
        <v>4</v>
      </c>
      <c r="O775" s="97">
        <f ca="1">_xll.meDateFromTenor(O774,"1D","FOLLOWING","TGT")</f>
        <v>43607</v>
      </c>
      <c r="P775" s="95">
        <f ca="1"/>
        <v>2.7082486647232785E-3</v>
      </c>
      <c r="Q775" s="5" t="s">
        <v>4</v>
      </c>
      <c r="R775" s="83" t="s">
        <v>4</v>
      </c>
    </row>
    <row r="776" spans="1:18" x14ac:dyDescent="0.25">
      <c r="A776" s="88">
        <v>762</v>
      </c>
      <c r="B776" s="82"/>
      <c r="C776" s="97">
        <f ca="1">_xll.meDateFromTenor(C775,"1D","FOLLOWING","TGT")</f>
        <v>43608</v>
      </c>
      <c r="D776" s="95">
        <f ca="1"/>
        <v>-3.0546659874313153E-3</v>
      </c>
      <c r="E776" s="92"/>
      <c r="F776" s="97">
        <f ca="1">_xll.meDateFromTenor(F775,"1D","FOLLOWING","TGT")</f>
        <v>43608</v>
      </c>
      <c r="G776" s="95">
        <f ca="1"/>
        <v>-2.3176902042428551E-3</v>
      </c>
      <c r="H776" s="92" t="s">
        <v>4</v>
      </c>
      <c r="I776" s="97">
        <f ca="1">_xll.meDateFromTenor(I775,"1D","FOLLOWING","TGT")</f>
        <v>43608</v>
      </c>
      <c r="J776" s="95">
        <f ca="1"/>
        <v>-8.4176635665632988E-4</v>
      </c>
      <c r="K776" s="5" t="s">
        <v>4</v>
      </c>
      <c r="L776" s="97">
        <f ca="1">_xll.meDateFromTenor(L775,"1D","FOLLOWING","TGT")</f>
        <v>43608</v>
      </c>
      <c r="M776" s="95">
        <f ca="1"/>
        <v>6.547981099960683E-4</v>
      </c>
      <c r="N776" s="5" t="s">
        <v>4</v>
      </c>
      <c r="O776" s="97">
        <f ca="1">_xll.meDateFromTenor(O775,"1D","FOLLOWING","TGT")</f>
        <v>43608</v>
      </c>
      <c r="P776" s="95">
        <f ca="1"/>
        <v>2.7137465615334521E-3</v>
      </c>
      <c r="Q776" s="5" t="s">
        <v>4</v>
      </c>
      <c r="R776" s="83" t="s">
        <v>4</v>
      </c>
    </row>
    <row r="777" spans="1:18" x14ac:dyDescent="0.25">
      <c r="A777" s="88">
        <v>763</v>
      </c>
      <c r="B777" s="82"/>
      <c r="C777" s="97">
        <f ca="1">_xll.meDateFromTenor(C776,"1D","FOLLOWING","TGT")</f>
        <v>43609</v>
      </c>
      <c r="D777" s="95">
        <f ca="1"/>
        <v>-3.0500617591486812E-3</v>
      </c>
      <c r="E777" s="92"/>
      <c r="F777" s="97">
        <f ca="1">_xll.meDateFromTenor(F776,"1D","FOLLOWING","TGT")</f>
        <v>43609</v>
      </c>
      <c r="G777" s="95">
        <f ca="1"/>
        <v>-2.3135753830519782E-3</v>
      </c>
      <c r="H777" s="92" t="s">
        <v>4</v>
      </c>
      <c r="I777" s="97">
        <f ca="1">_xll.meDateFromTenor(I776,"1D","FOLLOWING","TGT")</f>
        <v>43609</v>
      </c>
      <c r="J777" s="95">
        <f ca="1"/>
        <v>-8.3896060267027906E-4</v>
      </c>
      <c r="K777" s="5" t="s">
        <v>4</v>
      </c>
      <c r="L777" s="97">
        <f ca="1">_xll.meDateFromTenor(L776,"1D","FOLLOWING","TGT")</f>
        <v>43609</v>
      </c>
      <c r="M777" s="95">
        <f ca="1"/>
        <v>6.6039664100001148E-4</v>
      </c>
      <c r="N777" s="5" t="s">
        <v>4</v>
      </c>
      <c r="O777" s="97">
        <f ca="1">_xll.meDateFromTenor(O776,"1D","FOLLOWING","TGT")</f>
        <v>43609</v>
      </c>
      <c r="P777" s="95">
        <f ca="1"/>
        <v>2.719244257612581E-3</v>
      </c>
      <c r="Q777" s="5" t="s">
        <v>4</v>
      </c>
      <c r="R777" s="83" t="s">
        <v>4</v>
      </c>
    </row>
    <row r="778" spans="1:18" x14ac:dyDescent="0.25">
      <c r="A778" s="88">
        <v>764</v>
      </c>
      <c r="B778" s="82"/>
      <c r="C778" s="97">
        <f ca="1">_xll.meDateFromTenor(C777,"1D","FOLLOWING","TGT")</f>
        <v>43612</v>
      </c>
      <c r="D778" s="95">
        <f ca="1"/>
        <v>-3.0360116774892365E-3</v>
      </c>
      <c r="E778" s="92"/>
      <c r="F778" s="97">
        <f ca="1">_xll.meDateFromTenor(F777,"1D","FOLLOWING","TGT")</f>
        <v>43612</v>
      </c>
      <c r="G778" s="95">
        <f ca="1"/>
        <v>-2.3011255483230356E-3</v>
      </c>
      <c r="H778" s="92" t="s">
        <v>4</v>
      </c>
      <c r="I778" s="97">
        <f ca="1">_xll.meDateFromTenor(I777,"1D","FOLLOWING","TGT")</f>
        <v>43612</v>
      </c>
      <c r="J778" s="95">
        <f ca="1"/>
        <v>-8.3050060643796578E-4</v>
      </c>
      <c r="K778" s="5" t="s">
        <v>4</v>
      </c>
      <c r="L778" s="97">
        <f ca="1">_xll.meDateFromTenor(L777,"1D","FOLLOWING","TGT")</f>
        <v>43612</v>
      </c>
      <c r="M778" s="95">
        <f ca="1"/>
        <v>6.7719526436708336E-4</v>
      </c>
      <c r="N778" s="5" t="s">
        <v>4</v>
      </c>
      <c r="O778" s="97">
        <f ca="1">_xll.meDateFromTenor(O777,"1D","FOLLOWING","TGT")</f>
        <v>43612</v>
      </c>
      <c r="P778" s="95">
        <f ca="1"/>
        <v>2.7357359570348997E-3</v>
      </c>
      <c r="Q778" s="5" t="s">
        <v>4</v>
      </c>
      <c r="R778" s="83" t="s">
        <v>4</v>
      </c>
    </row>
    <row r="779" spans="1:18" x14ac:dyDescent="0.25">
      <c r="A779" s="88">
        <v>765</v>
      </c>
      <c r="B779" s="82"/>
      <c r="C779" s="97">
        <f ca="1">_xll.meDateFromTenor(C778,"1D","FOLLOWING","TGT")</f>
        <v>43613</v>
      </c>
      <c r="D779" s="95">
        <f ca="1"/>
        <v>-3.0312491866512081E-3</v>
      </c>
      <c r="E779" s="92"/>
      <c r="F779" s="97">
        <f ca="1">_xll.meDateFromTenor(F778,"1D","FOLLOWING","TGT")</f>
        <v>43613</v>
      </c>
      <c r="G779" s="95">
        <f ca="1"/>
        <v>-2.2969343757896265E-3</v>
      </c>
      <c r="H779" s="92" t="s">
        <v>4</v>
      </c>
      <c r="I779" s="97">
        <f ca="1">_xll.meDateFromTenor(I778,"1D","FOLLOWING","TGT")</f>
        <v>43613</v>
      </c>
      <c r="J779" s="95">
        <f ca="1"/>
        <v>-8.2766477273147482E-4</v>
      </c>
      <c r="K779" s="5" t="s">
        <v>4</v>
      </c>
      <c r="L779" s="97">
        <f ca="1">_xll.meDateFromTenor(L778,"1D","FOLLOWING","TGT")</f>
        <v>43613</v>
      </c>
      <c r="M779" s="95">
        <f ca="1"/>
        <v>6.8279571092479834E-4</v>
      </c>
      <c r="N779" s="5" t="s">
        <v>4</v>
      </c>
      <c r="O779" s="97">
        <f ca="1">_xll.meDateFromTenor(O778,"1D","FOLLOWING","TGT")</f>
        <v>43613</v>
      </c>
      <c r="P779" s="95">
        <f ca="1"/>
        <v>2.7412326657610536E-3</v>
      </c>
      <c r="Q779" s="5" t="s">
        <v>4</v>
      </c>
      <c r="R779" s="83" t="s">
        <v>4</v>
      </c>
    </row>
    <row r="780" spans="1:18" x14ac:dyDescent="0.25">
      <c r="A780" s="88">
        <v>766</v>
      </c>
      <c r="B780" s="82"/>
      <c r="C780" s="97">
        <f ca="1">_xll.meDateFromTenor(C779,"1D","FOLLOWING","TGT")</f>
        <v>43614</v>
      </c>
      <c r="D780" s="95">
        <f ca="1"/>
        <v>-3.0264471318710573E-3</v>
      </c>
      <c r="E780" s="92"/>
      <c r="F780" s="97">
        <f ca="1">_xll.meDateFromTenor(F779,"1D","FOLLOWING","TGT")</f>
        <v>43614</v>
      </c>
      <c r="G780" s="95">
        <f ca="1"/>
        <v>-2.2927195374918396E-3</v>
      </c>
      <c r="H780" s="92" t="s">
        <v>4</v>
      </c>
      <c r="I780" s="97">
        <f ca="1">_xll.meDateFromTenor(I779,"1D","FOLLOWING","TGT")</f>
        <v>43614</v>
      </c>
      <c r="J780" s="95">
        <f ca="1"/>
        <v>-8.248202264416239E-4</v>
      </c>
      <c r="K780" s="5" t="s">
        <v>4</v>
      </c>
      <c r="L780" s="97">
        <f ca="1">_xll.meDateFromTenor(L779,"1D","FOLLOWING","TGT")</f>
        <v>43614</v>
      </c>
      <c r="M780" s="95">
        <f ca="1"/>
        <v>6.8839655785866343E-4</v>
      </c>
      <c r="N780" s="5" t="s">
        <v>4</v>
      </c>
      <c r="O780" s="97">
        <f ca="1">_xll.meDateFromTenor(O779,"1D","FOLLOWING","TGT")</f>
        <v>43614</v>
      </c>
      <c r="P780" s="95">
        <f ca="1"/>
        <v>2.7467290815417641E-3</v>
      </c>
      <c r="Q780" s="5" t="s">
        <v>4</v>
      </c>
      <c r="R780" s="83" t="s">
        <v>4</v>
      </c>
    </row>
    <row r="781" spans="1:18" x14ac:dyDescent="0.25">
      <c r="A781" s="88">
        <v>767</v>
      </c>
      <c r="B781" s="82"/>
      <c r="C781" s="97">
        <f ca="1">_xll.meDateFromTenor(C780,"1D","FOLLOWING","TGT")</f>
        <v>43615</v>
      </c>
      <c r="D781" s="95">
        <f ca="1"/>
        <v>-3.0216055135353637E-3</v>
      </c>
      <c r="E781" s="92"/>
      <c r="F781" s="97">
        <f ca="1">_xll.meDateFromTenor(F780,"1D","FOLLOWING","TGT")</f>
        <v>43615</v>
      </c>
      <c r="G781" s="95">
        <f ca="1"/>
        <v>-2.2884792022581798E-3</v>
      </c>
      <c r="H781" s="92" t="s">
        <v>4</v>
      </c>
      <c r="I781" s="97">
        <f ca="1">_xll.meDateFromTenor(I780,"1D","FOLLOWING","TGT")</f>
        <v>43615</v>
      </c>
      <c r="J781" s="95">
        <f ca="1"/>
        <v>-8.2196649050711381E-4</v>
      </c>
      <c r="K781" s="5" t="s">
        <v>4</v>
      </c>
      <c r="L781" s="97">
        <f ca="1">_xll.meDateFromTenor(L780,"1D","FOLLOWING","TGT")</f>
        <v>43615</v>
      </c>
      <c r="M781" s="95">
        <f ca="1"/>
        <v>6.9399777376376065E-4</v>
      </c>
      <c r="N781" s="5" t="s">
        <v>4</v>
      </c>
      <c r="O781" s="97">
        <f ca="1">_xll.meDateFromTenor(O780,"1D","FOLLOWING","TGT")</f>
        <v>43615</v>
      </c>
      <c r="P781" s="95">
        <f ca="1"/>
        <v>2.7522251859341523E-3</v>
      </c>
      <c r="Q781" s="5" t="s">
        <v>4</v>
      </c>
      <c r="R781" s="83" t="s">
        <v>4</v>
      </c>
    </row>
    <row r="782" spans="1:18" x14ac:dyDescent="0.25">
      <c r="A782" s="88">
        <v>768</v>
      </c>
      <c r="B782" s="82"/>
      <c r="C782" s="97">
        <f ca="1">_xll.meDateFromTenor(C781,"1D","FOLLOWING","TGT")</f>
        <v>43616</v>
      </c>
      <c r="D782" s="95">
        <f ca="1"/>
        <v>-3.0167243322251069E-3</v>
      </c>
      <c r="E782" s="92"/>
      <c r="F782" s="97">
        <f ca="1">_xll.meDateFromTenor(F781,"1D","FOLLOWING","TGT")</f>
        <v>43616</v>
      </c>
      <c r="G782" s="95">
        <f ca="1"/>
        <v>-2.2842115389171474E-3</v>
      </c>
      <c r="H782" s="92" t="s">
        <v>4</v>
      </c>
      <c r="I782" s="97">
        <f ca="1">_xll.meDateFromTenor(I781,"1D","FOLLOWING","TGT")</f>
        <v>43616</v>
      </c>
      <c r="J782" s="95">
        <f ca="1"/>
        <v>-8.1910308786664382E-4</v>
      </c>
      <c r="K782" s="5" t="s">
        <v>4</v>
      </c>
      <c r="L782" s="97">
        <f ca="1">_xll.meDateFromTenor(L781,"1D","FOLLOWING","TGT")</f>
        <v>43616</v>
      </c>
      <c r="M782" s="95">
        <f ca="1"/>
        <v>6.9959932723517458E-4</v>
      </c>
      <c r="N782" s="5" t="s">
        <v>4</v>
      </c>
      <c r="O782" s="97">
        <f ca="1">_xll.meDateFromTenor(O781,"1D","FOLLOWING","TGT")</f>
        <v>43616</v>
      </c>
      <c r="P782" s="95">
        <f ca="1"/>
        <v>2.7577209604953403E-3</v>
      </c>
      <c r="Q782" s="5" t="s">
        <v>4</v>
      </c>
      <c r="R782" s="83" t="s">
        <v>4</v>
      </c>
    </row>
    <row r="783" spans="1:18" x14ac:dyDescent="0.25">
      <c r="A783" s="88">
        <v>769</v>
      </c>
      <c r="B783" s="82"/>
      <c r="C783" s="97">
        <f ca="1">_xll.meDateFromTenor(C782,"1D","FOLLOWING","TGT")</f>
        <v>43619</v>
      </c>
      <c r="D783" s="95">
        <f ca="1"/>
        <v>-3.0018503516383577E-3</v>
      </c>
      <c r="E783" s="92"/>
      <c r="F783" s="97">
        <f ca="1">_xll.meDateFromTenor(F782,"1D","FOLLOWING","TGT")</f>
        <v>43619</v>
      </c>
      <c r="G783" s="95">
        <f ca="1"/>
        <v>-2.2712262685348479E-3</v>
      </c>
      <c r="H783" s="92" t="s">
        <v>4</v>
      </c>
      <c r="I783" s="97">
        <f ca="1">_xll.meDateFromTenor(I782,"1D","FOLLOWING","TGT")</f>
        <v>43619</v>
      </c>
      <c r="J783" s="95">
        <f ca="1"/>
        <v>-8.1045010909647935E-4</v>
      </c>
      <c r="K783" s="5" t="s">
        <v>4</v>
      </c>
      <c r="L783" s="97">
        <f ca="1">_xll.meDateFromTenor(L782,"1D","FOLLOWING","TGT")</f>
        <v>43619</v>
      </c>
      <c r="M783" s="95">
        <f ca="1"/>
        <v>7.1640569899814022E-4</v>
      </c>
      <c r="N783" s="5" t="s">
        <v>4</v>
      </c>
      <c r="O783" s="97">
        <f ca="1">_xll.meDateFromTenor(O782,"1D","FOLLOWING","TGT")</f>
        <v>43619</v>
      </c>
      <c r="P783" s="95">
        <f ca="1"/>
        <v>2.7742061207628988E-3</v>
      </c>
      <c r="Q783" s="5" t="s">
        <v>4</v>
      </c>
      <c r="R783" s="83" t="s">
        <v>4</v>
      </c>
    </row>
    <row r="784" spans="1:18" x14ac:dyDescent="0.25">
      <c r="A784" s="88">
        <v>770</v>
      </c>
      <c r="B784" s="82"/>
      <c r="C784" s="97">
        <f ca="1">_xll.meDateFromTenor(C783,"1D","FOLLOWING","TGT")</f>
        <v>43620</v>
      </c>
      <c r="D784" s="95">
        <f ca="1"/>
        <v>-2.9968525384954647E-3</v>
      </c>
      <c r="E784" s="92"/>
      <c r="F784" s="97">
        <f ca="1">_xll.meDateFromTenor(F783,"1D","FOLLOWING","TGT")</f>
        <v>43620</v>
      </c>
      <c r="G784" s="95">
        <f ca="1"/>
        <v>-2.2668315156553608E-3</v>
      </c>
      <c r="H784" s="92" t="s">
        <v>4</v>
      </c>
      <c r="I784" s="97">
        <f ca="1">_xll.meDateFromTenor(I783,"1D","FOLLOWING","TGT")</f>
        <v>43620</v>
      </c>
      <c r="J784" s="95">
        <f ca="1"/>
        <v>-8.0754334990806593E-4</v>
      </c>
      <c r="K784" s="5" t="s">
        <v>4</v>
      </c>
      <c r="L784" s="97">
        <f ca="1">_xll.meDateFromTenor(L783,"1D","FOLLOWING","TGT")</f>
        <v>43620</v>
      </c>
      <c r="M784" s="95">
        <f ca="1"/>
        <v>7.2200936446597586E-4</v>
      </c>
      <c r="N784" s="5" t="s">
        <v>4</v>
      </c>
      <c r="O784" s="97">
        <f ca="1">_xll.meDateFromTenor(O783,"1D","FOLLOWING","TGT")</f>
        <v>43620</v>
      </c>
      <c r="P784" s="95">
        <f ca="1"/>
        <v>2.7797003973381289E-3</v>
      </c>
      <c r="Q784" s="5" t="s">
        <v>4</v>
      </c>
      <c r="R784" s="83" t="s">
        <v>4</v>
      </c>
    </row>
    <row r="785" spans="1:18" x14ac:dyDescent="0.25">
      <c r="A785" s="88">
        <v>771</v>
      </c>
      <c r="B785" s="82"/>
      <c r="C785" s="97">
        <f ca="1">_xll.meDateFromTenor(C784,"1D","FOLLOWING","TGT")</f>
        <v>43621</v>
      </c>
      <c r="D785" s="95">
        <f ca="1"/>
        <v>-2.9918567792001083E-3</v>
      </c>
      <c r="E785" s="92"/>
      <c r="F785" s="97">
        <f ca="1">_xll.meDateFromTenor(F784,"1D","FOLLOWING","TGT")</f>
        <v>43621</v>
      </c>
      <c r="G785" s="95">
        <f ca="1"/>
        <v>-2.2624034864470485E-3</v>
      </c>
      <c r="H785" s="92" t="s">
        <v>4</v>
      </c>
      <c r="I785" s="97">
        <f ca="1">_xll.meDateFromTenor(I784,"1D","FOLLOWING","TGT")</f>
        <v>43621</v>
      </c>
      <c r="J785" s="95">
        <f ca="1"/>
        <v>-8.0462502404054961E-4</v>
      </c>
      <c r="K785" s="5" t="s">
        <v>4</v>
      </c>
      <c r="L785" s="97">
        <f ca="1">_xll.meDateFromTenor(L784,"1D","FOLLOWING","TGT")</f>
        <v>43621</v>
      </c>
      <c r="M785" s="95">
        <f ca="1"/>
        <v>7.2761538036661595E-4</v>
      </c>
      <c r="N785" s="5" t="s">
        <v>4</v>
      </c>
      <c r="O785" s="97">
        <f ca="1">_xll.meDateFromTenor(O784,"1D","FOLLOWING","TGT")</f>
        <v>43621</v>
      </c>
      <c r="P785" s="95">
        <f ca="1"/>
        <v>2.7851942864736213E-3</v>
      </c>
      <c r="Q785" s="5" t="s">
        <v>4</v>
      </c>
      <c r="R785" s="83" t="s">
        <v>4</v>
      </c>
    </row>
    <row r="786" spans="1:18" x14ac:dyDescent="0.25">
      <c r="A786" s="88">
        <v>772</v>
      </c>
      <c r="B786" s="82"/>
      <c r="C786" s="97">
        <f ca="1">_xll.meDateFromTenor(C785,"1D","FOLLOWING","TGT")</f>
        <v>43622</v>
      </c>
      <c r="D786" s="95">
        <f ca="1"/>
        <v>-2.9868630733449475E-3</v>
      </c>
      <c r="E786" s="92"/>
      <c r="F786" s="97">
        <f ca="1">_xll.meDateFromTenor(F785,"1D","FOLLOWING","TGT")</f>
        <v>43622</v>
      </c>
      <c r="G786" s="95">
        <f ca="1"/>
        <v>-2.2579435573744479E-3</v>
      </c>
      <c r="H786" s="92" t="s">
        <v>4</v>
      </c>
      <c r="I786" s="97">
        <f ca="1">_xll.meDateFromTenor(I785,"1D","FOLLOWING","TGT")</f>
        <v>43622</v>
      </c>
      <c r="J786" s="95">
        <f ca="1"/>
        <v>-8.0169513976598703E-4</v>
      </c>
      <c r="K786" s="5" t="s">
        <v>4</v>
      </c>
      <c r="L786" s="97">
        <f ca="1">_xll.meDateFromTenor(L785,"1D","FOLLOWING","TGT")</f>
        <v>43622</v>
      </c>
      <c r="M786" s="95">
        <f ca="1"/>
        <v>7.332237427907668E-4</v>
      </c>
      <c r="N786" s="5" t="s">
        <v>4</v>
      </c>
      <c r="O786" s="97">
        <f ca="1">_xll.meDateFromTenor(O785,"1D","FOLLOWING","TGT")</f>
        <v>43622</v>
      </c>
      <c r="P786" s="95">
        <f ca="1"/>
        <v>2.7906878043323534E-3</v>
      </c>
      <c r="Q786" s="5" t="s">
        <v>4</v>
      </c>
      <c r="R786" s="83" t="s">
        <v>4</v>
      </c>
    </row>
    <row r="787" spans="1:18" x14ac:dyDescent="0.25">
      <c r="A787" s="88">
        <v>773</v>
      </c>
      <c r="B787" s="82"/>
      <c r="C787" s="97">
        <f ca="1">_xll.meDateFromTenor(C786,"1D","FOLLOWING","TGT")</f>
        <v>43623</v>
      </c>
      <c r="D787" s="95">
        <f ca="1"/>
        <v>-2.9818714207214825E-3</v>
      </c>
      <c r="E787" s="92"/>
      <c r="F787" s="97">
        <f ca="1">_xll.meDateFromTenor(F786,"1D","FOLLOWING","TGT")</f>
        <v>43623</v>
      </c>
      <c r="G787" s="95">
        <f ca="1"/>
        <v>-2.2534531049020938E-3</v>
      </c>
      <c r="H787" s="92" t="s">
        <v>4</v>
      </c>
      <c r="I787" s="97">
        <f ca="1">_xll.meDateFromTenor(I786,"1D","FOLLOWING","TGT")</f>
        <v>43623</v>
      </c>
      <c r="J787" s="95">
        <f ca="1"/>
        <v>-7.9875370535643431E-4</v>
      </c>
      <c r="K787" s="5" t="s">
        <v>4</v>
      </c>
      <c r="L787" s="97">
        <f ca="1">_xll.meDateFromTenor(L786,"1D","FOLLOWING","TGT")</f>
        <v>43623</v>
      </c>
      <c r="M787" s="95">
        <f ca="1"/>
        <v>7.3883444782913473E-4</v>
      </c>
      <c r="N787" s="5" t="s">
        <v>4</v>
      </c>
      <c r="O787" s="97">
        <f ca="1">_xll.meDateFromTenor(O786,"1D","FOLLOWING","TGT")</f>
        <v>43623</v>
      </c>
      <c r="P787" s="95">
        <f ca="1"/>
        <v>2.7961809670773068E-3</v>
      </c>
      <c r="Q787" s="5" t="s">
        <v>4</v>
      </c>
      <c r="R787" s="83" t="s">
        <v>4</v>
      </c>
    </row>
    <row r="788" spans="1:18" x14ac:dyDescent="0.25">
      <c r="A788" s="88">
        <v>774</v>
      </c>
      <c r="B788" s="82"/>
      <c r="C788" s="97">
        <f ca="1">_xll.meDateFromTenor(C787,"1D","FOLLOWING","TGT")</f>
        <v>43626</v>
      </c>
      <c r="D788" s="95">
        <f ca="1"/>
        <v>-2.9669087798059879E-3</v>
      </c>
      <c r="E788" s="92"/>
      <c r="F788" s="97">
        <f ca="1">_xll.meDateFromTenor(F787,"1D","FOLLOWING","TGT")</f>
        <v>43626</v>
      </c>
      <c r="G788" s="95">
        <f ca="1"/>
        <v>-2.2398123717318748E-3</v>
      </c>
      <c r="H788" s="92" t="s">
        <v>4</v>
      </c>
      <c r="I788" s="97">
        <f ca="1">_xll.meDateFromTenor(I787,"1D","FOLLOWING","TGT")</f>
        <v>43626</v>
      </c>
      <c r="J788" s="95">
        <f ca="1"/>
        <v>-7.8986018403839724E-4</v>
      </c>
      <c r="K788" s="5" t="s">
        <v>4</v>
      </c>
      <c r="L788" s="97">
        <f ca="1">_xll.meDateFromTenor(L787,"1D","FOLLOWING","TGT")</f>
        <v>43626</v>
      </c>
      <c r="M788" s="95">
        <f ca="1"/>
        <v>7.556805795366048E-4</v>
      </c>
      <c r="N788" s="5" t="s">
        <v>4</v>
      </c>
      <c r="O788" s="97">
        <f ca="1">_xll.meDateFromTenor(O787,"1D","FOLLOWING","TGT")</f>
        <v>43626</v>
      </c>
      <c r="P788" s="95">
        <f ca="1"/>
        <v>2.8126584862592945E-3</v>
      </c>
      <c r="Q788" s="5" t="s">
        <v>4</v>
      </c>
      <c r="R788" s="83" t="s">
        <v>4</v>
      </c>
    </row>
    <row r="789" spans="1:18" x14ac:dyDescent="0.25">
      <c r="A789" s="88">
        <v>775</v>
      </c>
      <c r="B789" s="82"/>
      <c r="C789" s="97">
        <f ca="1">_xll.meDateFromTenor(C788,"1D","FOLLOWING","TGT")</f>
        <v>43627</v>
      </c>
      <c r="D789" s="95">
        <f ca="1"/>
        <v>-2.9619253377912713E-3</v>
      </c>
      <c r="E789" s="92"/>
      <c r="F789" s="97">
        <f ca="1">_xll.meDateFromTenor(F788,"1D","FOLLOWING","TGT")</f>
        <v>43627</v>
      </c>
      <c r="G789" s="95">
        <f ca="1"/>
        <v>-2.2352135903058704E-3</v>
      </c>
      <c r="H789" s="92" t="s">
        <v>4</v>
      </c>
      <c r="I789" s="97">
        <f ca="1">_xll.meDateFromTenor(I788,"1D","FOLLOWING","TGT")</f>
        <v>43627</v>
      </c>
      <c r="J789" s="95">
        <f ca="1"/>
        <v>-7.86872631809446E-4</v>
      </c>
      <c r="K789" s="5" t="s">
        <v>4</v>
      </c>
      <c r="L789" s="97">
        <f ca="1">_xll.meDateFromTenor(L788,"1D","FOLLOWING","TGT")</f>
        <v>43627</v>
      </c>
      <c r="M789" s="95">
        <f ca="1"/>
        <v>7.613006159389045E-4</v>
      </c>
      <c r="N789" s="5" t="s">
        <v>4</v>
      </c>
      <c r="O789" s="97">
        <f ca="1">_xll.meDateFromTenor(O788,"1D","FOLLOWING","TGT")</f>
        <v>43627</v>
      </c>
      <c r="P789" s="95">
        <f ca="1"/>
        <v>2.8181503901789336E-3</v>
      </c>
      <c r="Q789" s="5" t="s">
        <v>4</v>
      </c>
      <c r="R789" s="83" t="s">
        <v>4</v>
      </c>
    </row>
    <row r="790" spans="1:18" x14ac:dyDescent="0.25">
      <c r="A790" s="88">
        <v>776</v>
      </c>
      <c r="B790" s="82"/>
      <c r="C790" s="97">
        <f ca="1">_xll.meDateFromTenor(C789,"1D","FOLLOWING","TGT")</f>
        <v>43628</v>
      </c>
      <c r="D790" s="95">
        <f ca="1"/>
        <v>-2.9569439478883686E-3</v>
      </c>
      <c r="E790" s="92"/>
      <c r="F790" s="97">
        <f ca="1">_xll.meDateFromTenor(F789,"1D","FOLLOWING","TGT")</f>
        <v>43628</v>
      </c>
      <c r="G790" s="95">
        <f ca="1"/>
        <v>-2.2305911678027926E-3</v>
      </c>
      <c r="H790" s="92" t="s">
        <v>4</v>
      </c>
      <c r="I790" s="97">
        <f ca="1">_xll.meDateFromTenor(I789,"1D","FOLLOWING","TGT")</f>
        <v>43628</v>
      </c>
      <c r="J790" s="95">
        <f ca="1"/>
        <v>-7.8387357080578527E-4</v>
      </c>
      <c r="K790" s="5" t="s">
        <v>4</v>
      </c>
      <c r="L790" s="97">
        <f ca="1">_xll.meDateFromTenor(L789,"1D","FOLLOWING","TGT")</f>
        <v>43628</v>
      </c>
      <c r="M790" s="95">
        <f ca="1"/>
        <v>7.669229754089542E-4</v>
      </c>
      <c r="N790" s="5" t="s">
        <v>4</v>
      </c>
      <c r="O790" s="97">
        <f ca="1">_xll.meDateFromTenor(O789,"1D","FOLLOWING","TGT")</f>
        <v>43628</v>
      </c>
      <c r="P790" s="95">
        <f ca="1"/>
        <v>2.8236420197996943E-3</v>
      </c>
      <c r="Q790" s="5" t="s">
        <v>4</v>
      </c>
      <c r="R790" s="83" t="s">
        <v>4</v>
      </c>
    </row>
    <row r="791" spans="1:18" x14ac:dyDescent="0.25">
      <c r="A791" s="88">
        <v>777</v>
      </c>
      <c r="B791" s="82"/>
      <c r="C791" s="97">
        <f ca="1">_xll.meDateFromTenor(C790,"1D","FOLLOWING","TGT")</f>
        <v>43629</v>
      </c>
      <c r="D791" s="95">
        <f ca="1"/>
        <v>-2.9519646094905427E-3</v>
      </c>
      <c r="E791" s="92"/>
      <c r="F791" s="97">
        <f ca="1">_xll.meDateFromTenor(F790,"1D","FOLLOWING","TGT")</f>
        <v>43629</v>
      </c>
      <c r="G791" s="95">
        <f ca="1"/>
        <v>-2.2259464806871788E-3</v>
      </c>
      <c r="H791" s="92" t="s">
        <v>4</v>
      </c>
      <c r="I791" s="97">
        <f ca="1">_xll.meDateFromTenor(I790,"1D","FOLLOWING","TGT")</f>
        <v>43629</v>
      </c>
      <c r="J791" s="95">
        <f ca="1"/>
        <v>-7.8086300929947159E-4</v>
      </c>
      <c r="K791" s="5" t="s">
        <v>4</v>
      </c>
      <c r="L791" s="97">
        <f ca="1">_xll.meDateFromTenor(L790,"1D","FOLLOWING","TGT")</f>
        <v>43629</v>
      </c>
      <c r="M791" s="95">
        <f ca="1"/>
        <v>7.7254765403745966E-4</v>
      </c>
      <c r="N791" s="5" t="s">
        <v>4</v>
      </c>
      <c r="O791" s="97">
        <f ca="1">_xll.meDateFromTenor(O790,"1D","FOLLOWING","TGT")</f>
        <v>43629</v>
      </c>
      <c r="P791" s="95">
        <f ca="1"/>
        <v>2.8291333912845583E-3</v>
      </c>
      <c r="Q791" s="5" t="s">
        <v>4</v>
      </c>
      <c r="R791" s="83" t="s">
        <v>4</v>
      </c>
    </row>
    <row r="792" spans="1:18" x14ac:dyDescent="0.25">
      <c r="A792" s="88">
        <v>778</v>
      </c>
      <c r="B792" s="82"/>
      <c r="C792" s="97">
        <f ca="1">_xll.meDateFromTenor(C791,"1D","FOLLOWING","TGT")</f>
        <v>43630</v>
      </c>
      <c r="D792" s="95">
        <f ca="1"/>
        <v>-2.9469873228279431E-3</v>
      </c>
      <c r="E792" s="92"/>
      <c r="F792" s="97">
        <f ca="1">_xll.meDateFromTenor(F791,"1D","FOLLOWING","TGT")</f>
        <v>43630</v>
      </c>
      <c r="G792" s="95">
        <f ca="1"/>
        <v>-2.2212809054235646E-3</v>
      </c>
      <c r="H792" s="92" t="s">
        <v>4</v>
      </c>
      <c r="I792" s="97">
        <f ca="1">_xll.meDateFromTenor(I791,"1D","FOLLOWING","TGT")</f>
        <v>43630</v>
      </c>
      <c r="J792" s="95">
        <f ca="1"/>
        <v>-7.7784095556256106E-4</v>
      </c>
      <c r="K792" s="5" t="s">
        <v>4</v>
      </c>
      <c r="L792" s="97">
        <f ca="1">_xll.meDateFromTenor(L791,"1D","FOLLOWING","TGT")</f>
        <v>43630</v>
      </c>
      <c r="M792" s="95">
        <f ca="1"/>
        <v>7.7817464791512679E-4</v>
      </c>
      <c r="N792" s="5" t="s">
        <v>4</v>
      </c>
      <c r="O792" s="97">
        <f ca="1">_xll.meDateFromTenor(O791,"1D","FOLLOWING","TGT")</f>
        <v>43630</v>
      </c>
      <c r="P792" s="95">
        <f ca="1"/>
        <v>2.8346245207965031E-3</v>
      </c>
      <c r="Q792" s="5" t="s">
        <v>4</v>
      </c>
      <c r="R792" s="83" t="s">
        <v>4</v>
      </c>
    </row>
    <row r="793" spans="1:18" x14ac:dyDescent="0.25">
      <c r="A793" s="88">
        <v>779</v>
      </c>
      <c r="B793" s="82"/>
      <c r="C793" s="97">
        <f ca="1">_xll.meDateFromTenor(C792,"1D","FOLLOWING","TGT")</f>
        <v>43633</v>
      </c>
      <c r="D793" s="95">
        <f ca="1"/>
        <v>-2.9320677695355846E-3</v>
      </c>
      <c r="E793" s="92"/>
      <c r="F793" s="97">
        <f ca="1">_xll.meDateFromTenor(F792,"1D","FOLLOWING","TGT")</f>
        <v>43633</v>
      </c>
      <c r="G793" s="95">
        <f ca="1"/>
        <v>-2.2071726153900799E-3</v>
      </c>
      <c r="H793" s="92" t="s">
        <v>4</v>
      </c>
      <c r="I793" s="97">
        <f ca="1">_xll.meDateFromTenor(I792,"1D","FOLLOWING","TGT")</f>
        <v>43633</v>
      </c>
      <c r="J793" s="95">
        <f ca="1"/>
        <v>-7.6870592368881126E-4</v>
      </c>
      <c r="K793" s="5" t="s">
        <v>4</v>
      </c>
      <c r="L793" s="97">
        <f ca="1">_xll.meDateFromTenor(L792,"1D","FOLLOWING","TGT")</f>
        <v>43633</v>
      </c>
      <c r="M793" s="95">
        <f ca="1"/>
        <v>7.9506948195016405E-4</v>
      </c>
      <c r="N793" s="5" t="s">
        <v>4</v>
      </c>
      <c r="O793" s="97">
        <f ca="1">_xll.meDateFromTenor(O792,"1D","FOLLOWING","TGT")</f>
        <v>43633</v>
      </c>
      <c r="P793" s="95">
        <f ca="1"/>
        <v>2.8510966191246327E-3</v>
      </c>
      <c r="Q793" s="5" t="s">
        <v>4</v>
      </c>
      <c r="R793" s="83" t="s">
        <v>4</v>
      </c>
    </row>
    <row r="794" spans="1:18" x14ac:dyDescent="0.25">
      <c r="A794" s="88">
        <v>780</v>
      </c>
      <c r="B794" s="82"/>
      <c r="C794" s="97">
        <f ca="1">_xll.meDateFromTenor(C793,"1D","FOLLOWING","TGT")</f>
        <v>43634</v>
      </c>
      <c r="D794" s="95">
        <f ca="1"/>
        <v>-2.9270986866557491E-3</v>
      </c>
      <c r="E794" s="92"/>
      <c r="F794" s="97">
        <f ca="1">_xll.meDateFromTenor(F793,"1D","FOLLOWING","TGT")</f>
        <v>43634</v>
      </c>
      <c r="G794" s="95">
        <f ca="1"/>
        <v>-2.2024372521798259E-3</v>
      </c>
      <c r="H794" s="92" t="s">
        <v>4</v>
      </c>
      <c r="I794" s="97">
        <f ca="1">_xll.meDateFromTenor(I793,"1D","FOLLOWING","TGT")</f>
        <v>43634</v>
      </c>
      <c r="J794" s="95">
        <f ca="1"/>
        <v>-7.656379837500763E-4</v>
      </c>
      <c r="K794" s="5" t="s">
        <v>4</v>
      </c>
      <c r="L794" s="97">
        <f ca="1">_xll.meDateFromTenor(L793,"1D","FOLLOWING","TGT")</f>
        <v>43634</v>
      </c>
      <c r="M794" s="95">
        <f ca="1"/>
        <v>8.0070569773154189E-4</v>
      </c>
      <c r="N794" s="5" t="s">
        <v>4</v>
      </c>
      <c r="O794" s="97">
        <f ca="1">_xll.meDateFromTenor(O793,"1D","FOLLOWING","TGT")</f>
        <v>43634</v>
      </c>
      <c r="P794" s="95">
        <f ca="1"/>
        <v>2.856586942374706E-3</v>
      </c>
      <c r="Q794" s="5" t="s">
        <v>4</v>
      </c>
      <c r="R794" s="83" t="s">
        <v>4</v>
      </c>
    </row>
    <row r="795" spans="1:18" x14ac:dyDescent="0.25">
      <c r="A795" s="88">
        <v>781</v>
      </c>
      <c r="B795" s="82"/>
      <c r="C795" s="97">
        <f ca="1">_xll.meDateFromTenor(C794,"1D","FOLLOWING","TGT")</f>
        <v>43635</v>
      </c>
      <c r="D795" s="95">
        <f ca="1"/>
        <v>-2.9221316541111486E-3</v>
      </c>
      <c r="E795" s="92"/>
      <c r="F795" s="97">
        <f ca="1">_xll.meDateFromTenor(F794,"1D","FOLLOWING","TGT")</f>
        <v>43635</v>
      </c>
      <c r="G795" s="95">
        <f ca="1"/>
        <v>-2.1976878831442511E-3</v>
      </c>
      <c r="H795" s="92" t="s">
        <v>4</v>
      </c>
      <c r="I795" s="97">
        <f ca="1">_xll.meDateFromTenor(I794,"1D","FOLLOWING","TGT")</f>
        <v>43635</v>
      </c>
      <c r="J795" s="95">
        <f ca="1"/>
        <v>-7.6255859294102515E-4</v>
      </c>
      <c r="K795" s="5" t="s">
        <v>4</v>
      </c>
      <c r="L795" s="97">
        <f ca="1">_xll.meDateFromTenor(L794,"1D","FOLLOWING","TGT")</f>
        <v>43635</v>
      </c>
      <c r="M795" s="95">
        <f ca="1"/>
        <v>8.0634420921561474E-4</v>
      </c>
      <c r="N795" s="5" t="s">
        <v>4</v>
      </c>
      <c r="O795" s="97">
        <f ca="1">_xll.meDateFromTenor(O794,"1D","FOLLOWING","TGT")</f>
        <v>43635</v>
      </c>
      <c r="P795" s="95">
        <f ca="1"/>
        <v>2.862077104466764E-3</v>
      </c>
      <c r="Q795" s="5" t="s">
        <v>4</v>
      </c>
      <c r="R795" s="83" t="s">
        <v>4</v>
      </c>
    </row>
    <row r="796" spans="1:18" x14ac:dyDescent="0.25">
      <c r="A796" s="88">
        <v>782</v>
      </c>
      <c r="B796" s="82"/>
      <c r="C796" s="97">
        <f ca="1">_xll.meDateFromTenor(C795,"1D","FOLLOWING","TGT")</f>
        <v>43636</v>
      </c>
      <c r="D796" s="95">
        <f ca="1"/>
        <v>-2.9171666715341882E-3</v>
      </c>
      <c r="E796" s="92"/>
      <c r="F796" s="97">
        <f ca="1">_xll.meDateFromTenor(F795,"1D","FOLLOWING","TGT")</f>
        <v>43636</v>
      </c>
      <c r="G796" s="95">
        <f ca="1"/>
        <v>-2.1929258847478931E-3</v>
      </c>
      <c r="H796" s="92" t="s">
        <v>4</v>
      </c>
      <c r="I796" s="97">
        <f ca="1">_xll.meDateFromTenor(I795,"1D","FOLLOWING","TGT")</f>
        <v>43636</v>
      </c>
      <c r="J796" s="95">
        <f ca="1"/>
        <v>-7.5946775953371511E-4</v>
      </c>
      <c r="K796" s="5" t="s">
        <v>4</v>
      </c>
      <c r="L796" s="97">
        <f ca="1">_xll.meDateFromTenor(L795,"1D","FOLLOWING","TGT")</f>
        <v>43636</v>
      </c>
      <c r="M796" s="95">
        <f ca="1"/>
        <v>8.1198501249308685E-4</v>
      </c>
      <c r="N796" s="5" t="s">
        <v>4</v>
      </c>
      <c r="O796" s="97">
        <f ca="1">_xll.meDateFromTenor(O795,"1D","FOLLOWING","TGT")</f>
        <v>43636</v>
      </c>
      <c r="P796" s="95">
        <f ca="1"/>
        <v>2.867567121563783E-3</v>
      </c>
      <c r="Q796" s="5" t="s">
        <v>4</v>
      </c>
      <c r="R796" s="83" t="s">
        <v>4</v>
      </c>
    </row>
    <row r="797" spans="1:18" x14ac:dyDescent="0.25">
      <c r="A797" s="88">
        <v>783</v>
      </c>
      <c r="B797" s="82"/>
      <c r="C797" s="97">
        <f ca="1">_xll.meDateFromTenor(C796,"1D","FOLLOWING","TGT")</f>
        <v>43637</v>
      </c>
      <c r="D797" s="95">
        <f ca="1"/>
        <v>-2.912203738875907E-3</v>
      </c>
      <c r="E797" s="92"/>
      <c r="F797" s="97">
        <f ca="1">_xll.meDateFromTenor(F796,"1D","FOLLOWING","TGT")</f>
        <v>43637</v>
      </c>
      <c r="G797" s="95">
        <f ca="1"/>
        <v>-2.188152633455287E-3</v>
      </c>
      <c r="H797" s="92" t="s">
        <v>4</v>
      </c>
      <c r="I797" s="97">
        <f ca="1">_xll.meDateFromTenor(I796,"1D","FOLLOWING","TGT")</f>
        <v>43637</v>
      </c>
      <c r="J797" s="95">
        <f ca="1"/>
        <v>-7.5636549180020099E-4</v>
      </c>
      <c r="K797" s="5" t="s">
        <v>4</v>
      </c>
      <c r="L797" s="97">
        <f ca="1">_xll.meDateFromTenor(L796,"1D","FOLLOWING","TGT")</f>
        <v>43637</v>
      </c>
      <c r="M797" s="95">
        <f ca="1"/>
        <v>8.176281036546667E-4</v>
      </c>
      <c r="N797" s="5" t="s">
        <v>4</v>
      </c>
      <c r="O797" s="97">
        <f ca="1">_xll.meDateFromTenor(O796,"1D","FOLLOWING","TGT")</f>
        <v>43637</v>
      </c>
      <c r="P797" s="95">
        <f ca="1"/>
        <v>2.8730570098287464E-3</v>
      </c>
      <c r="Q797" s="5" t="s">
        <v>4</v>
      </c>
      <c r="R797" s="83" t="s">
        <v>4</v>
      </c>
    </row>
    <row r="798" spans="1:18" x14ac:dyDescent="0.25">
      <c r="A798" s="88">
        <v>784</v>
      </c>
      <c r="B798" s="82"/>
      <c r="C798" s="97">
        <f ca="1">_xll.meDateFromTenor(C797,"1D","FOLLOWING","TGT")</f>
        <v>43640</v>
      </c>
      <c r="D798" s="95">
        <f ca="1"/>
        <v>-2.8973272375726333E-3</v>
      </c>
      <c r="E798" s="92"/>
      <c r="F798" s="97">
        <f ca="1">_xll.meDateFromTenor(F797,"1D","FOLLOWING","TGT")</f>
        <v>43640</v>
      </c>
      <c r="G798" s="95">
        <f ca="1"/>
        <v>-2.1737791268453418E-3</v>
      </c>
      <c r="H798" s="92" t="s">
        <v>4</v>
      </c>
      <c r="I798" s="97">
        <f ca="1">_xll.meDateFromTenor(I797,"1D","FOLLOWING","TGT")</f>
        <v>43640</v>
      </c>
      <c r="J798" s="95">
        <f ca="1"/>
        <v>-7.4699016536300151E-4</v>
      </c>
      <c r="K798" s="5" t="s">
        <v>4</v>
      </c>
      <c r="L798" s="97">
        <f ca="1">_xll.meDateFromTenor(L797,"1D","FOLLOWING","TGT")</f>
        <v>43640</v>
      </c>
      <c r="M798" s="95">
        <f ca="1"/>
        <v>8.3457106535111004E-4</v>
      </c>
      <c r="N798" s="5" t="s">
        <v>4</v>
      </c>
      <c r="O798" s="97">
        <f ca="1">_xll.meDateFromTenor(O797,"1D","FOLLOWING","TGT")</f>
        <v>43640</v>
      </c>
      <c r="P798" s="95">
        <f ca="1"/>
        <v>2.8895260632610959E-3</v>
      </c>
      <c r="Q798" s="5" t="s">
        <v>4</v>
      </c>
      <c r="R798" s="83" t="s">
        <v>4</v>
      </c>
    </row>
    <row r="799" spans="1:18" x14ac:dyDescent="0.25">
      <c r="A799" s="88">
        <v>785</v>
      </c>
      <c r="B799" s="82"/>
      <c r="C799" s="97">
        <f ca="1">_xll.meDateFromTenor(C798,"1D","FOLLOWING","TGT")</f>
        <v>43641</v>
      </c>
      <c r="D799" s="95">
        <f ca="1"/>
        <v>-2.8923725021469116E-3</v>
      </c>
      <c r="E799" s="92"/>
      <c r="F799" s="97">
        <f ca="1">_xll.meDateFromTenor(F798,"1D","FOLLOWING","TGT")</f>
        <v>43641</v>
      </c>
      <c r="G799" s="95">
        <f ca="1"/>
        <v>-2.1689746286131053E-3</v>
      </c>
      <c r="H799" s="92" t="s">
        <v>4</v>
      </c>
      <c r="I799" s="97">
        <f ca="1">_xll.meDateFromTenor(I798,"1D","FOLLOWING","TGT")</f>
        <v>43641</v>
      </c>
      <c r="J799" s="95">
        <f ca="1"/>
        <v>-7.4384224304523637E-4</v>
      </c>
      <c r="K799" s="5" t="s">
        <v>4</v>
      </c>
      <c r="L799" s="97">
        <f ca="1">_xll.meDateFromTenor(L798,"1D","FOLLOWING","TGT")</f>
        <v>43641</v>
      </c>
      <c r="M799" s="95">
        <f ca="1"/>
        <v>8.4022326895618043E-4</v>
      </c>
      <c r="N799" s="5" t="s">
        <v>4</v>
      </c>
      <c r="O799" s="97">
        <f ca="1">_xll.meDateFromTenor(O798,"1D","FOLLOWING","TGT")</f>
        <v>43641</v>
      </c>
      <c r="P799" s="95">
        <f ca="1"/>
        <v>2.8950155978276324E-3</v>
      </c>
      <c r="Q799" s="5" t="s">
        <v>4</v>
      </c>
      <c r="R799" s="83" t="s">
        <v>4</v>
      </c>
    </row>
    <row r="800" spans="1:18" x14ac:dyDescent="0.25">
      <c r="A800" s="88">
        <v>786</v>
      </c>
      <c r="B800" s="82"/>
      <c r="C800" s="97">
        <f ca="1">_xll.meDateFromTenor(C799,"1D","FOLLOWING","TGT")</f>
        <v>43642</v>
      </c>
      <c r="D800" s="95">
        <f ca="1"/>
        <v>-2.8874198150000696E-3</v>
      </c>
      <c r="E800" s="92"/>
      <c r="F800" s="97">
        <f ca="1">_xll.meDateFromTenor(F799,"1D","FOLLOWING","TGT")</f>
        <v>43642</v>
      </c>
      <c r="G800" s="95">
        <f ca="1"/>
        <v>-2.1641657598073022E-3</v>
      </c>
      <c r="H800" s="92" t="s">
        <v>4</v>
      </c>
      <c r="I800" s="97">
        <f ca="1">_xll.meDateFromTenor(I799,"1D","FOLLOWING","TGT")</f>
        <v>43642</v>
      </c>
      <c r="J800" s="95">
        <f ca="1"/>
        <v>-7.4068292776154922E-4</v>
      </c>
      <c r="K800" s="5" t="s">
        <v>4</v>
      </c>
      <c r="L800" s="97">
        <f ca="1">_xll.meDateFromTenor(L799,"1D","FOLLOWING","TGT")</f>
        <v>43642</v>
      </c>
      <c r="M800" s="95">
        <f ca="1"/>
        <v>8.4587774089888953E-4</v>
      </c>
      <c r="N800" s="5" t="s">
        <v>4</v>
      </c>
      <c r="O800" s="97">
        <f ca="1">_xll.meDateFromTenor(O799,"1D","FOLLOWING","TGT")</f>
        <v>43642</v>
      </c>
      <c r="P800" s="95">
        <f ca="1"/>
        <v>2.9005050843770126E-3</v>
      </c>
      <c r="Q800" s="5" t="s">
        <v>4</v>
      </c>
      <c r="R800" s="83" t="s">
        <v>4</v>
      </c>
    </row>
    <row r="801" spans="1:18" x14ac:dyDescent="0.25">
      <c r="A801" s="88">
        <v>787</v>
      </c>
      <c r="B801" s="82"/>
      <c r="C801" s="97">
        <f ca="1">_xll.meDateFromTenor(C800,"1D","FOLLOWING","TGT")</f>
        <v>43643</v>
      </c>
      <c r="D801" s="95">
        <f ca="1"/>
        <v>-2.8824691766013988E-3</v>
      </c>
      <c r="E801" s="92"/>
      <c r="F801" s="97">
        <f ca="1">_xll.meDateFromTenor(F800,"1D","FOLLOWING","TGT")</f>
        <v>43643</v>
      </c>
      <c r="G801" s="95">
        <f ca="1"/>
        <v>-2.1593538968924676E-3</v>
      </c>
      <c r="H801" s="92" t="s">
        <v>4</v>
      </c>
      <c r="I801" s="97">
        <f ca="1">_xll.meDateFromTenor(I800,"1D","FOLLOWING","TGT")</f>
        <v>43643</v>
      </c>
      <c r="J801" s="95">
        <f ca="1"/>
        <v>-7.3751222778399637E-4</v>
      </c>
      <c r="K801" s="5" t="s">
        <v>4</v>
      </c>
      <c r="L801" s="97">
        <f ca="1">_xll.meDateFromTenor(L800,"1D","FOLLOWING","TGT")</f>
        <v>43643</v>
      </c>
      <c r="M801" s="95">
        <f ca="1"/>
        <v>8.5153447726994279E-4</v>
      </c>
      <c r="N801" s="5" t="s">
        <v>4</v>
      </c>
      <c r="O801" s="97">
        <f ca="1">_xll.meDateFromTenor(O800,"1D","FOLLOWING","TGT")</f>
        <v>43643</v>
      </c>
      <c r="P801" s="95">
        <f ca="1"/>
        <v>2.9059945390722155E-3</v>
      </c>
      <c r="Q801" s="5" t="s">
        <v>4</v>
      </c>
      <c r="R801" s="83" t="s">
        <v>4</v>
      </c>
    </row>
    <row r="802" spans="1:18" x14ac:dyDescent="0.25">
      <c r="A802" s="88">
        <v>788</v>
      </c>
      <c r="B802" s="82"/>
      <c r="C802" s="97">
        <f ca="1">_xll.meDateFromTenor(C801,"1D","FOLLOWING","TGT")</f>
        <v>43644</v>
      </c>
      <c r="D802" s="95">
        <f ca="1"/>
        <v>-2.8775205860648301E-3</v>
      </c>
      <c r="E802" s="92"/>
      <c r="F802" s="97">
        <f ca="1">_xll.meDateFromTenor(F801,"1D","FOLLOWING","TGT")</f>
        <v>43644</v>
      </c>
      <c r="G802" s="95">
        <f ca="1"/>
        <v>-2.1545404163331376E-3</v>
      </c>
      <c r="H802" s="92" t="s">
        <v>4</v>
      </c>
      <c r="I802" s="97">
        <f ca="1">_xll.meDateFromTenor(I801,"1D","FOLLOWING","TGT")</f>
        <v>43644</v>
      </c>
      <c r="J802" s="95">
        <f ca="1"/>
        <v>-7.3433015138463318E-4</v>
      </c>
      <c r="K802" s="5" t="s">
        <v>4</v>
      </c>
      <c r="L802" s="97">
        <f ca="1">_xll.meDateFromTenor(L801,"1D","FOLLOWING","TGT")</f>
        <v>43644</v>
      </c>
      <c r="M802" s="95">
        <f ca="1"/>
        <v>8.5719347416004837E-4</v>
      </c>
      <c r="N802" s="5" t="s">
        <v>4</v>
      </c>
      <c r="O802" s="97">
        <f ca="1">_xll.meDateFromTenor(O801,"1D","FOLLOWING","TGT")</f>
        <v>43644</v>
      </c>
      <c r="P802" s="95">
        <f ca="1"/>
        <v>2.9114839780762232E-3</v>
      </c>
      <c r="Q802" s="5" t="s">
        <v>4</v>
      </c>
      <c r="R802" s="83" t="s">
        <v>4</v>
      </c>
    </row>
    <row r="803" spans="1:18" x14ac:dyDescent="0.25">
      <c r="A803" s="88">
        <v>789</v>
      </c>
      <c r="B803" s="82"/>
      <c r="C803" s="97">
        <f ca="1">_xll.meDateFromTenor(C802,"1D","FOLLOWING","TGT")</f>
        <v>43647</v>
      </c>
      <c r="D803" s="95">
        <f ca="1"/>
        <v>-2.8626871016154132E-3</v>
      </c>
      <c r="E803" s="92"/>
      <c r="F803" s="97">
        <f ca="1">_xll.meDateFromTenor(F802,"1D","FOLLOWING","TGT")</f>
        <v>43647</v>
      </c>
      <c r="G803" s="95">
        <f ca="1"/>
        <v>-2.1401040334335379E-3</v>
      </c>
      <c r="H803" s="92" t="s">
        <v>4</v>
      </c>
      <c r="I803" s="97">
        <f ca="1">_xll.meDateFromTenor(I802,"1D","FOLLOWING","TGT")</f>
        <v>43647</v>
      </c>
      <c r="J803" s="95">
        <f ca="1"/>
        <v>-7.2471574637624717E-4</v>
      </c>
      <c r="K803" s="5" t="s">
        <v>4</v>
      </c>
      <c r="L803" s="97">
        <f ca="1">_xll.meDateFromTenor(L802,"1D","FOLLOWING","TGT")</f>
        <v>43647</v>
      </c>
      <c r="M803" s="95">
        <f ca="1"/>
        <v>8.7418398885173677E-4</v>
      </c>
      <c r="N803" s="5" t="s">
        <v>4</v>
      </c>
      <c r="O803" s="97">
        <f ca="1">_xll.meDateFromTenor(O802,"1D","FOLLOWING","TGT")</f>
        <v>43647</v>
      </c>
      <c r="P803" s="95">
        <f ca="1"/>
        <v>2.9279523625708715E-3</v>
      </c>
      <c r="Q803" s="5" t="s">
        <v>4</v>
      </c>
      <c r="R803" s="83" t="s">
        <v>4</v>
      </c>
    </row>
    <row r="804" spans="1:18" x14ac:dyDescent="0.25">
      <c r="A804" s="88">
        <v>790</v>
      </c>
      <c r="B804" s="82"/>
      <c r="C804" s="97">
        <f ca="1">_xll.meDateFromTenor(C803,"1D","FOLLOWING","TGT")</f>
        <v>43648</v>
      </c>
      <c r="D804" s="95">
        <f ca="1"/>
        <v>-2.8577467016779323E-3</v>
      </c>
      <c r="E804" s="92"/>
      <c r="F804" s="97">
        <f ca="1">_xll.meDateFromTenor(F803,"1D","FOLLOWING","TGT")</f>
        <v>43648</v>
      </c>
      <c r="G804" s="95">
        <f ca="1"/>
        <v>-2.1352978469415885E-3</v>
      </c>
      <c r="H804" s="92" t="s">
        <v>4</v>
      </c>
      <c r="I804" s="97">
        <f ca="1">_xll.meDateFromTenor(I803,"1D","FOLLOWING","TGT")</f>
        <v>43648</v>
      </c>
      <c r="J804" s="95">
        <f ca="1"/>
        <v>-7.2148824701020672E-4</v>
      </c>
      <c r="K804" s="5" t="s">
        <v>4</v>
      </c>
      <c r="L804" s="97">
        <f ca="1">_xll.meDateFromTenor(L803,"1D","FOLLOWING","TGT")</f>
        <v>43648</v>
      </c>
      <c r="M804" s="95">
        <f ca="1"/>
        <v>8.7985198872511216E-4</v>
      </c>
      <c r="N804" s="5" t="s">
        <v>4</v>
      </c>
      <c r="O804" s="97">
        <f ca="1">_xll.meDateFromTenor(O803,"1D","FOLLOWING","TGT")</f>
        <v>43648</v>
      </c>
      <c r="P804" s="95">
        <f ca="1"/>
        <v>2.933441900439896E-3</v>
      </c>
      <c r="Q804" s="5" t="s">
        <v>4</v>
      </c>
      <c r="R804" s="83" t="s">
        <v>4</v>
      </c>
    </row>
    <row r="805" spans="1:18" x14ac:dyDescent="0.25">
      <c r="A805" s="88">
        <v>791</v>
      </c>
      <c r="B805" s="82"/>
      <c r="C805" s="97">
        <f ca="1">_xll.meDateFromTenor(C804,"1D","FOLLOWING","TGT")</f>
        <v>43649</v>
      </c>
      <c r="D805" s="95">
        <f ca="1"/>
        <v>-2.8528083485201972E-3</v>
      </c>
      <c r="E805" s="92"/>
      <c r="F805" s="97">
        <f ca="1">_xll.meDateFromTenor(F804,"1D","FOLLOWING","TGT")</f>
        <v>43649</v>
      </c>
      <c r="G805" s="95">
        <f ca="1"/>
        <v>-2.1304966791813804E-3</v>
      </c>
      <c r="H805" s="92" t="s">
        <v>4</v>
      </c>
      <c r="I805" s="97">
        <f ca="1">_xll.meDateFromTenor(I804,"1D","FOLLOWING","TGT")</f>
        <v>43649</v>
      </c>
      <c r="J805" s="95">
        <f ca="1"/>
        <v>-7.1824941258263745E-4</v>
      </c>
      <c r="K805" s="5" t="s">
        <v>4</v>
      </c>
      <c r="L805" s="97">
        <f ca="1">_xll.meDateFromTenor(L804,"1D","FOLLOWING","TGT")</f>
        <v>43649</v>
      </c>
      <c r="M805" s="95">
        <f ca="1"/>
        <v>8.8552222957107094E-4</v>
      </c>
      <c r="N805" s="5" t="s">
        <v>4</v>
      </c>
      <c r="O805" s="97">
        <f ca="1">_xll.meDateFromTenor(O804,"1D","FOLLOWING","TGT")</f>
        <v>43649</v>
      </c>
      <c r="P805" s="95">
        <f ca="1"/>
        <v>2.938931503432626E-3</v>
      </c>
      <c r="Q805" s="5" t="s">
        <v>4</v>
      </c>
      <c r="R805" s="83" t="s">
        <v>4</v>
      </c>
    </row>
    <row r="806" spans="1:18" x14ac:dyDescent="0.25">
      <c r="A806" s="88">
        <v>792</v>
      </c>
      <c r="B806" s="82"/>
      <c r="C806" s="97">
        <f ca="1">_xll.meDateFromTenor(C805,"1D","FOLLOWING","TGT")</f>
        <v>43650</v>
      </c>
      <c r="D806" s="95">
        <f ca="1"/>
        <v>-2.8478720422921988E-3</v>
      </c>
      <c r="E806" s="92"/>
      <c r="F806" s="97">
        <f ca="1">_xll.meDateFromTenor(F805,"1D","FOLLOWING","TGT")</f>
        <v>43650</v>
      </c>
      <c r="G806" s="95">
        <f ca="1"/>
        <v>-2.1257006768852301E-3</v>
      </c>
      <c r="H806" s="92" t="s">
        <v>4</v>
      </c>
      <c r="I806" s="97">
        <f ca="1">_xll.meDateFromTenor(I805,"1D","FOLLOWING","TGT")</f>
        <v>43650</v>
      </c>
      <c r="J806" s="95">
        <f ca="1"/>
        <v>-7.1499925136559567E-4</v>
      </c>
      <c r="K806" s="5" t="s">
        <v>4</v>
      </c>
      <c r="L806" s="97">
        <f ca="1">_xll.meDateFromTenor(L805,"1D","FOLLOWING","TGT")</f>
        <v>43650</v>
      </c>
      <c r="M806" s="95">
        <f ca="1"/>
        <v>8.9119470748031955E-4</v>
      </c>
      <c r="N806" s="5" t="s">
        <v>4</v>
      </c>
      <c r="O806" s="97">
        <f ca="1">_xll.meDateFromTenor(O805,"1D","FOLLOWING","TGT")</f>
        <v>43650</v>
      </c>
      <c r="P806" s="95">
        <f ca="1"/>
        <v>2.9444211877120395E-3</v>
      </c>
      <c r="Q806" s="5" t="s">
        <v>4</v>
      </c>
      <c r="R806" s="83" t="s">
        <v>4</v>
      </c>
    </row>
    <row r="807" spans="1:18" x14ac:dyDescent="0.25">
      <c r="A807" s="88">
        <v>793</v>
      </c>
      <c r="B807" s="82"/>
      <c r="C807" s="97">
        <f ca="1">_xll.meDateFromTenor(C806,"1D","FOLLOWING","TGT")</f>
        <v>43651</v>
      </c>
      <c r="D807" s="95">
        <f ca="1"/>
        <v>-2.8429377824668034E-3</v>
      </c>
      <c r="E807" s="92"/>
      <c r="F807" s="97">
        <f ca="1">_xll.meDateFromTenor(F806,"1D","FOLLOWING","TGT")</f>
        <v>43651</v>
      </c>
      <c r="G807" s="95">
        <f ca="1"/>
        <v>-2.1209097408390119E-3</v>
      </c>
      <c r="H807" s="92" t="s">
        <v>4</v>
      </c>
      <c r="I807" s="97">
        <f ca="1">_xll.meDateFromTenor(I806,"1D","FOLLOWING","TGT")</f>
        <v>43651</v>
      </c>
      <c r="J807" s="95">
        <f ca="1"/>
        <v>-7.117377716311374E-4</v>
      </c>
      <c r="K807" s="5" t="s">
        <v>4</v>
      </c>
      <c r="L807" s="97">
        <f ca="1">_xll.meDateFromTenor(L806,"1D","FOLLOWING","TGT")</f>
        <v>43651</v>
      </c>
      <c r="M807" s="95">
        <f ca="1"/>
        <v>8.9686941854356418E-4</v>
      </c>
      <c r="N807" s="5" t="s">
        <v>4</v>
      </c>
      <c r="O807" s="97">
        <f ca="1">_xll.meDateFromTenor(O806,"1D","FOLLOWING","TGT")</f>
        <v>43651</v>
      </c>
      <c r="P807" s="95">
        <f ca="1"/>
        <v>2.9499109694411186E-3</v>
      </c>
      <c r="Q807" s="5" t="s">
        <v>4</v>
      </c>
      <c r="R807" s="83" t="s">
        <v>4</v>
      </c>
    </row>
    <row r="808" spans="1:18" x14ac:dyDescent="0.25">
      <c r="A808" s="88">
        <v>794</v>
      </c>
      <c r="B808" s="82"/>
      <c r="C808" s="97">
        <f ca="1">_xll.meDateFromTenor(C807,"1D","FOLLOWING","TGT")</f>
        <v>43654</v>
      </c>
      <c r="D808" s="95">
        <f ca="1"/>
        <v>-2.8281472798771246E-3</v>
      </c>
      <c r="E808" s="92"/>
      <c r="F808" s="97">
        <f ca="1">_xll.meDateFromTenor(F807,"1D","FOLLOWING","TGT")</f>
        <v>43654</v>
      </c>
      <c r="G808" s="95">
        <f ca="1"/>
        <v>-2.1065663380586785E-3</v>
      </c>
      <c r="H808" s="92" t="s">
        <v>4</v>
      </c>
      <c r="I808" s="97">
        <f ca="1">_xll.meDateFromTenor(I807,"1D","FOLLOWING","TGT")</f>
        <v>43654</v>
      </c>
      <c r="J808" s="95">
        <f ca="1"/>
        <v>-7.0188550404382747E-4</v>
      </c>
      <c r="K808" s="5" t="s">
        <v>4</v>
      </c>
      <c r="L808" s="97">
        <f ca="1">_xll.meDateFromTenor(L807,"1D","FOLLOWING","TGT")</f>
        <v>43654</v>
      </c>
      <c r="M808" s="95">
        <f ca="1"/>
        <v>9.1390691156433761E-4</v>
      </c>
      <c r="N808" s="5" t="s">
        <v>4</v>
      </c>
      <c r="O808" s="97">
        <f ca="1">_xll.meDateFromTenor(O807,"1D","FOLLOWING","TGT")</f>
        <v>43654</v>
      </c>
      <c r="P808" s="95">
        <f ca="1"/>
        <v>2.9663810609561444E-3</v>
      </c>
      <c r="Q808" s="5" t="s">
        <v>4</v>
      </c>
      <c r="R808" s="83" t="s">
        <v>4</v>
      </c>
    </row>
    <row r="809" spans="1:18" x14ac:dyDescent="0.25">
      <c r="A809" s="88">
        <v>795</v>
      </c>
      <c r="B809" s="82"/>
      <c r="C809" s="97">
        <f ca="1">_xll.meDateFromTenor(C808,"1D","FOLLOWING","TGT")</f>
        <v>43655</v>
      </c>
      <c r="D809" s="95">
        <f ca="1"/>
        <v>-2.8232212036551907E-3</v>
      </c>
      <c r="E809" s="92"/>
      <c r="F809" s="97">
        <f ca="1">_xll.meDateFromTenor(F808,"1D","FOLLOWING","TGT")</f>
        <v>43655</v>
      </c>
      <c r="G809" s="95">
        <f ca="1"/>
        <v>-2.1017946748709175E-3</v>
      </c>
      <c r="H809" s="92" t="s">
        <v>4</v>
      </c>
      <c r="I809" s="97">
        <f ca="1">_xll.meDateFromTenor(I808,"1D","FOLLOWING","TGT")</f>
        <v>43655</v>
      </c>
      <c r="J809" s="95">
        <f ca="1"/>
        <v>-6.9857883296026591E-4</v>
      </c>
      <c r="K809" s="5" t="s">
        <v>4</v>
      </c>
      <c r="L809" s="97">
        <f ca="1">_xll.meDateFromTenor(L808,"1D","FOLLOWING","TGT")</f>
        <v>43655</v>
      </c>
      <c r="M809" s="95">
        <f ca="1"/>
        <v>9.1959051615063121E-4</v>
      </c>
      <c r="N809" s="5" t="s">
        <v>4</v>
      </c>
      <c r="O809" s="97">
        <f ca="1">_xll.meDateFromTenor(O808,"1D","FOLLOWING","TGT")</f>
        <v>43655</v>
      </c>
      <c r="P809" s="95">
        <f ca="1"/>
        <v>2.971871394113684E-3</v>
      </c>
      <c r="Q809" s="5" t="s">
        <v>4</v>
      </c>
      <c r="R809" s="83" t="s">
        <v>4</v>
      </c>
    </row>
    <row r="810" spans="1:18" x14ac:dyDescent="0.25">
      <c r="A810" s="88">
        <v>796</v>
      </c>
      <c r="B810" s="82"/>
      <c r="C810" s="97">
        <f ca="1">_xll.meDateFromTenor(C809,"1D","FOLLOWING","TGT")</f>
        <v>43656</v>
      </c>
      <c r="D810" s="95">
        <f ca="1"/>
        <v>-2.8182971729519002E-3</v>
      </c>
      <c r="E810" s="92"/>
      <c r="F810" s="97">
        <f ca="1">_xll.meDateFromTenor(F809,"1D","FOLLOWING","TGT")</f>
        <v>43656</v>
      </c>
      <c r="G810" s="95">
        <f ca="1"/>
        <v>-2.0970275818624536E-3</v>
      </c>
      <c r="H810" s="92" t="s">
        <v>4</v>
      </c>
      <c r="I810" s="97">
        <f ca="1">_xll.meDateFromTenor(I809,"1D","FOLLOWING","TGT")</f>
        <v>43656</v>
      </c>
      <c r="J810" s="95">
        <f ca="1"/>
        <v>-6.9526088471956893E-4</v>
      </c>
      <c r="K810" s="5" t="s">
        <v>4</v>
      </c>
      <c r="L810" s="97">
        <f ca="1">_xll.meDateFromTenor(L809,"1D","FOLLOWING","TGT")</f>
        <v>43656</v>
      </c>
      <c r="M810" s="95">
        <f ca="1"/>
        <v>9.2527633434445278E-4</v>
      </c>
      <c r="N810" s="5" t="s">
        <v>4</v>
      </c>
      <c r="O810" s="97">
        <f ca="1">_xll.meDateFromTenor(O809,"1D","FOLLOWING","TGT")</f>
        <v>43656</v>
      </c>
      <c r="P810" s="95">
        <f ca="1"/>
        <v>2.9773619055357891E-3</v>
      </c>
      <c r="Q810" s="5" t="s">
        <v>4</v>
      </c>
      <c r="R810" s="83" t="s">
        <v>4</v>
      </c>
    </row>
    <row r="811" spans="1:18" x14ac:dyDescent="0.25">
      <c r="A811" s="88">
        <v>797</v>
      </c>
      <c r="B811" s="82"/>
      <c r="C811" s="97">
        <f ca="1">_xll.meDateFromTenor(C810,"1D","FOLLOWING","TGT")</f>
        <v>43657</v>
      </c>
      <c r="D811" s="95">
        <f ca="1"/>
        <v>-2.8133751873195001E-3</v>
      </c>
      <c r="E811" s="92"/>
      <c r="F811" s="97">
        <f ca="1">_xll.meDateFromTenor(F810,"1D","FOLLOWING","TGT")</f>
        <v>43657</v>
      </c>
      <c r="G811" s="95">
        <f ca="1"/>
        <v>-2.0922649598191594E-3</v>
      </c>
      <c r="H811" s="92" t="s">
        <v>4</v>
      </c>
      <c r="I811" s="97">
        <f ca="1">_xll.meDateFromTenor(I810,"1D","FOLLOWING","TGT")</f>
        <v>43657</v>
      </c>
      <c r="J811" s="95">
        <f ca="1"/>
        <v>-6.9193166759379287E-4</v>
      </c>
      <c r="K811" s="5" t="s">
        <v>4</v>
      </c>
      <c r="L811" s="97">
        <f ca="1">_xll.meDateFromTenor(L810,"1D","FOLLOWING","TGT")</f>
        <v>43657</v>
      </c>
      <c r="M811" s="95">
        <f ca="1"/>
        <v>9.3096436223650896E-4</v>
      </c>
      <c r="N811" s="5" t="s">
        <v>4</v>
      </c>
      <c r="O811" s="97">
        <f ca="1">_xll.meDateFromTenor(O810,"1D","FOLLOWING","TGT")</f>
        <v>43657</v>
      </c>
      <c r="P811" s="95">
        <f ca="1"/>
        <v>2.9828526113854404E-3</v>
      </c>
      <c r="Q811" s="5" t="s">
        <v>4</v>
      </c>
      <c r="R811" s="83" t="s">
        <v>4</v>
      </c>
    </row>
    <row r="812" spans="1:18" x14ac:dyDescent="0.25">
      <c r="A812" s="88">
        <v>798</v>
      </c>
      <c r="B812" s="82"/>
      <c r="C812" s="97">
        <f ca="1">_xll.meDateFromTenor(C811,"1D","FOLLOWING","TGT")</f>
        <v>43658</v>
      </c>
      <c r="D812" s="95">
        <f ca="1"/>
        <v>-2.8084552466290935E-3</v>
      </c>
      <c r="E812" s="92"/>
      <c r="F812" s="97">
        <f ca="1">_xll.meDateFromTenor(F811,"1D","FOLLOWING","TGT")</f>
        <v>43658</v>
      </c>
      <c r="G812" s="95">
        <f ca="1"/>
        <v>-2.0875067095269084E-3</v>
      </c>
      <c r="H812" s="92" t="s">
        <v>4</v>
      </c>
      <c r="I812" s="97">
        <f ca="1">_xll.meDateFromTenor(I811,"1D","FOLLOWING","TGT")</f>
        <v>43658</v>
      </c>
      <c r="J812" s="95">
        <f ca="1"/>
        <v>-6.8859118985499371E-4</v>
      </c>
      <c r="K812" s="5" t="s">
        <v>4</v>
      </c>
      <c r="L812" s="97">
        <f ca="1">_xll.meDateFromTenor(L811,"1D","FOLLOWING","TGT")</f>
        <v>43658</v>
      </c>
      <c r="M812" s="95">
        <f ca="1"/>
        <v>9.3665459591750619E-4</v>
      </c>
      <c r="N812" s="5" t="s">
        <v>4</v>
      </c>
      <c r="O812" s="97">
        <f ca="1">_xll.meDateFromTenor(O811,"1D","FOLLOWING","TGT")</f>
        <v>43658</v>
      </c>
      <c r="P812" s="95">
        <f ca="1"/>
        <v>2.9883435278256166E-3</v>
      </c>
      <c r="Q812" s="5" t="s">
        <v>4</v>
      </c>
      <c r="R812" s="83" t="s">
        <v>4</v>
      </c>
    </row>
    <row r="813" spans="1:18" x14ac:dyDescent="0.25">
      <c r="A813" s="88">
        <v>799</v>
      </c>
      <c r="B813" s="82"/>
      <c r="C813" s="97">
        <f ca="1">_xll.meDateFromTenor(C812,"1D","FOLLOWING","TGT")</f>
        <v>43661</v>
      </c>
      <c r="D813" s="95">
        <f ca="1"/>
        <v>-2.7937076909265723E-3</v>
      </c>
      <c r="E813" s="92"/>
      <c r="F813" s="97">
        <f ca="1">_xll.meDateFromTenor(F812,"1D","FOLLOWING","TGT")</f>
        <v>43661</v>
      </c>
      <c r="G813" s="95">
        <f ca="1"/>
        <v>-2.0732571970151475E-3</v>
      </c>
      <c r="H813" s="92" t="s">
        <v>4</v>
      </c>
      <c r="I813" s="97">
        <f ca="1">_xll.meDateFromTenor(I812,"1D","FOLLOWING","TGT")</f>
        <v>43661</v>
      </c>
      <c r="J813" s="95">
        <f ca="1"/>
        <v>-6.7850227568102184E-4</v>
      </c>
      <c r="K813" s="5" t="s">
        <v>4</v>
      </c>
      <c r="L813" s="97">
        <f ca="1">_xll.meDateFromTenor(L812,"1D","FOLLOWING","TGT")</f>
        <v>43661</v>
      </c>
      <c r="M813" s="95">
        <f ca="1"/>
        <v>9.5373849260120655E-4</v>
      </c>
      <c r="N813" s="5" t="s">
        <v>4</v>
      </c>
      <c r="O813" s="97">
        <f ca="1">_xll.meDateFromTenor(O812,"1D","FOLLOWING","TGT")</f>
        <v>43661</v>
      </c>
      <c r="P813" s="95">
        <f ca="1"/>
        <v>3.0048177023191012E-3</v>
      </c>
      <c r="Q813" s="5" t="s">
        <v>4</v>
      </c>
      <c r="R813" s="83" t="s">
        <v>4</v>
      </c>
    </row>
    <row r="814" spans="1:18" x14ac:dyDescent="0.25">
      <c r="A814" s="88">
        <v>800</v>
      </c>
      <c r="B814" s="82"/>
      <c r="C814" s="97">
        <f ca="1">_xll.meDateFromTenor(C813,"1D","FOLLOWING","TGT")</f>
        <v>43662</v>
      </c>
      <c r="D814" s="95">
        <f ca="1"/>
        <v>-2.7887959273585894E-3</v>
      </c>
      <c r="E814" s="92"/>
      <c r="F814" s="97">
        <f ca="1">_xll.meDateFromTenor(F813,"1D","FOLLOWING","TGT")</f>
        <v>43662</v>
      </c>
      <c r="G814" s="95">
        <f ca="1"/>
        <v>-2.0685154415858008E-3</v>
      </c>
      <c r="H814" s="92" t="s">
        <v>4</v>
      </c>
      <c r="I814" s="97">
        <f ca="1">_xll.meDateFromTenor(I813,"1D","FOLLOWING","TGT")</f>
        <v>43662</v>
      </c>
      <c r="J814" s="95">
        <f ca="1"/>
        <v>-6.7511683821069315E-4</v>
      </c>
      <c r="K814" s="5" t="s">
        <v>4</v>
      </c>
      <c r="L814" s="97">
        <f ca="1">_xll.meDateFromTenor(L813,"1D","FOLLOWING","TGT")</f>
        <v>43662</v>
      </c>
      <c r="M814" s="95">
        <f ca="1"/>
        <v>9.5943751034503148E-4</v>
      </c>
      <c r="N814" s="5" t="s">
        <v>4</v>
      </c>
      <c r="O814" s="97">
        <f ca="1">_xll.meDateFromTenor(O813,"1D","FOLLOWING","TGT")</f>
        <v>43662</v>
      </c>
      <c r="P814" s="95">
        <f ca="1"/>
        <v>3.0103096227511823E-3</v>
      </c>
      <c r="Q814" s="5" t="s">
        <v>4</v>
      </c>
      <c r="R814" s="83" t="s">
        <v>4</v>
      </c>
    </row>
    <row r="815" spans="1:18" x14ac:dyDescent="0.25">
      <c r="A815" s="88">
        <v>801</v>
      </c>
      <c r="B815" s="82"/>
      <c r="C815" s="97">
        <f ca="1">_xll.meDateFromTenor(C814,"1D","FOLLOWING","TGT")</f>
        <v>43663</v>
      </c>
      <c r="D815" s="95">
        <f ca="1"/>
        <v>-2.7838862072903092E-3</v>
      </c>
      <c r="E815" s="92"/>
      <c r="F815" s="97">
        <f ca="1">_xll.meDateFromTenor(F814,"1D","FOLLOWING","TGT")</f>
        <v>43663</v>
      </c>
      <c r="G815" s="95">
        <f ca="1"/>
        <v>-2.0637775618368636E-3</v>
      </c>
      <c r="H815" s="92" t="s">
        <v>4</v>
      </c>
      <c r="I815" s="97">
        <f ca="1">_xll.meDateFromTenor(I814,"1D","FOLLOWING","TGT")</f>
        <v>43663</v>
      </c>
      <c r="J815" s="95">
        <f ca="1"/>
        <v>-6.7172018148762321E-4</v>
      </c>
      <c r="K815" s="5" t="s">
        <v>4</v>
      </c>
      <c r="L815" s="97">
        <f ca="1">_xll.meDateFromTenor(L814,"1D","FOLLOWING","TGT")</f>
        <v>43663</v>
      </c>
      <c r="M815" s="95">
        <f ca="1"/>
        <v>9.6513871433132829E-4</v>
      </c>
      <c r="N815" s="5" t="s">
        <v>4</v>
      </c>
      <c r="O815" s="97">
        <f ca="1">_xll.meDateFromTenor(O814,"1D","FOLLOWING","TGT")</f>
        <v>43663</v>
      </c>
      <c r="P815" s="95">
        <f ca="1"/>
        <v>3.0158018345886892E-3</v>
      </c>
      <c r="Q815" s="5" t="s">
        <v>4</v>
      </c>
      <c r="R815" s="83" t="s">
        <v>4</v>
      </c>
    </row>
    <row r="816" spans="1:18" x14ac:dyDescent="0.25">
      <c r="A816" s="88">
        <v>802</v>
      </c>
      <c r="B816" s="82"/>
      <c r="C816" s="97">
        <f ca="1">_xll.meDateFromTenor(C815,"1D","FOLLOWING","TGT")</f>
        <v>43664</v>
      </c>
      <c r="D816" s="95">
        <f ca="1"/>
        <v>-2.7789785307916759E-3</v>
      </c>
      <c r="E816" s="92"/>
      <c r="F816" s="97">
        <f ca="1">_xll.meDateFromTenor(F815,"1D","FOLLOWING","TGT")</f>
        <v>43664</v>
      </c>
      <c r="G816" s="95">
        <f ca="1"/>
        <v>-2.059043458554208E-3</v>
      </c>
      <c r="H816" s="92" t="s">
        <v>4</v>
      </c>
      <c r="I816" s="97">
        <f ca="1">_xll.meDateFromTenor(I815,"1D","FOLLOWING","TGT")</f>
        <v>43664</v>
      </c>
      <c r="J816" s="95">
        <f ca="1"/>
        <v>-6.6831231378386684E-4</v>
      </c>
      <c r="K816" s="5" t="s">
        <v>4</v>
      </c>
      <c r="L816" s="97">
        <f ca="1">_xll.meDateFromTenor(L815,"1D","FOLLOWING","TGT")</f>
        <v>43664</v>
      </c>
      <c r="M816" s="95">
        <f ca="1"/>
        <v>9.7084210065080548E-4</v>
      </c>
      <c r="N816" s="5" t="s">
        <v>4</v>
      </c>
      <c r="O816" s="97">
        <f ca="1">_xll.meDateFromTenor(O815,"1D","FOLLOWING","TGT")</f>
        <v>43664</v>
      </c>
      <c r="P816" s="95">
        <f ca="1"/>
        <v>3.0212943539946026E-3</v>
      </c>
      <c r="Q816" s="5" t="s">
        <v>4</v>
      </c>
      <c r="R816" s="83" t="s">
        <v>4</v>
      </c>
    </row>
    <row r="817" spans="1:18" x14ac:dyDescent="0.25">
      <c r="A817" s="88">
        <v>803</v>
      </c>
      <c r="B817" s="82"/>
      <c r="C817" s="97">
        <f ca="1">_xll.meDateFromTenor(C816,"1D","FOLLOWING","TGT")</f>
        <v>43665</v>
      </c>
      <c r="D817" s="95">
        <f ca="1"/>
        <v>-2.7740728974947615E-3</v>
      </c>
      <c r="E817" s="92"/>
      <c r="F817" s="97">
        <f ca="1">_xll.meDateFromTenor(F816,"1D","FOLLOWING","TGT")</f>
        <v>43665</v>
      </c>
      <c r="G817" s="95">
        <f ca="1"/>
        <v>-2.0543130325237063E-3</v>
      </c>
      <c r="H817" s="92" t="s">
        <v>4</v>
      </c>
      <c r="I817" s="97">
        <f ca="1">_xll.meDateFromTenor(I816,"1D","FOLLOWING","TGT")</f>
        <v>43665</v>
      </c>
      <c r="J817" s="95">
        <f ca="1"/>
        <v>-6.6489324337148134E-4</v>
      </c>
      <c r="K817" s="5" t="s">
        <v>4</v>
      </c>
      <c r="L817" s="97">
        <f ca="1">_xll.meDateFromTenor(L816,"1D","FOLLOWING","TGT")</f>
        <v>43665</v>
      </c>
      <c r="M817" s="95">
        <f ca="1"/>
        <v>9.7654766539416861E-4</v>
      </c>
      <c r="N817" s="5" t="s">
        <v>4</v>
      </c>
      <c r="O817" s="97">
        <f ca="1">_xll.meDateFromTenor(O816,"1D","FOLLOWING","TGT")</f>
        <v>43665</v>
      </c>
      <c r="P817" s="95">
        <f ca="1"/>
        <v>3.0267871971319041E-3</v>
      </c>
      <c r="Q817" s="5" t="s">
        <v>4</v>
      </c>
      <c r="R817" s="83" t="s">
        <v>4</v>
      </c>
    </row>
    <row r="818" spans="1:18" x14ac:dyDescent="0.25">
      <c r="A818" s="88">
        <v>804</v>
      </c>
      <c r="B818" s="82"/>
      <c r="C818" s="97">
        <f ca="1">_xll.meDateFromTenor(C817,"1D","FOLLOWING","TGT")</f>
        <v>43668</v>
      </c>
      <c r="D818" s="95">
        <f ca="1"/>
        <v>-2.759368254644512E-3</v>
      </c>
      <c r="E818" s="92"/>
      <c r="F818" s="97">
        <f ca="1">_xll.meDateFromTenor(F817,"1D","FOLLOWING","TGT")</f>
        <v>43668</v>
      </c>
      <c r="G818" s="95">
        <f ca="1"/>
        <v>-2.0401428258038645E-3</v>
      </c>
      <c r="H818" s="92" t="s">
        <v>4</v>
      </c>
      <c r="I818" s="97">
        <f ca="1">_xll.meDateFromTenor(I817,"1D","FOLLOWING","TGT")</f>
        <v>43668</v>
      </c>
      <c r="J818" s="95">
        <f ca="1"/>
        <v>-6.5456889860310969E-4</v>
      </c>
      <c r="K818" s="5" t="s">
        <v>4</v>
      </c>
      <c r="L818" s="97">
        <f ca="1">_xll.meDateFromTenor(L817,"1D","FOLLOWING","TGT")</f>
        <v>43668</v>
      </c>
      <c r="M818" s="95">
        <f ca="1"/>
        <v>9.9367739107463545E-4</v>
      </c>
      <c r="N818" s="5" t="s">
        <v>4</v>
      </c>
      <c r="O818" s="97">
        <f ca="1">_xll.meDateFromTenor(O817,"1D","FOLLOWING","TGT")</f>
        <v>43668</v>
      </c>
      <c r="P818" s="95">
        <f ca="1"/>
        <v>3.0432678305619266E-3</v>
      </c>
      <c r="Q818" s="5" t="s">
        <v>4</v>
      </c>
      <c r="R818" s="83" t="s">
        <v>4</v>
      </c>
    </row>
    <row r="819" spans="1:18" x14ac:dyDescent="0.25">
      <c r="A819" s="88">
        <v>805</v>
      </c>
      <c r="B819" s="82"/>
      <c r="C819" s="97">
        <f ca="1">_xll.meDateFromTenor(C818,"1D","FOLLOWING","TGT")</f>
        <v>43669</v>
      </c>
      <c r="D819" s="95">
        <f ca="1"/>
        <v>-2.7544707919061606E-3</v>
      </c>
      <c r="E819" s="92"/>
      <c r="F819" s="97">
        <f ca="1">_xll.meDateFromTenor(F818,"1D","FOLLOWING","TGT")</f>
        <v>43669</v>
      </c>
      <c r="G819" s="95">
        <f ca="1"/>
        <v>-2.0354261166407148E-3</v>
      </c>
      <c r="H819" s="92" t="s">
        <v>4</v>
      </c>
      <c r="I819" s="97">
        <f ca="1">_xll.meDateFromTenor(I818,"1D","FOLLOWING","TGT")</f>
        <v>43669</v>
      </c>
      <c r="J819" s="95">
        <f ca="1"/>
        <v>-6.5110510007676883E-4</v>
      </c>
      <c r="K819" s="5" t="s">
        <v>4</v>
      </c>
      <c r="L819" s="97">
        <f ca="1">_xll.meDateFromTenor(L818,"1D","FOLLOWING","TGT")</f>
        <v>43669</v>
      </c>
      <c r="M819" s="95">
        <f ca="1"/>
        <v>9.9939163042060426E-4</v>
      </c>
      <c r="N819" s="5" t="s">
        <v>4</v>
      </c>
      <c r="O819" s="97">
        <f ca="1">_xll.meDateFromTenor(O818,"1D","FOLLOWING","TGT")</f>
        <v>43669</v>
      </c>
      <c r="P819" s="95">
        <f ca="1"/>
        <v>3.0487621302545749E-3</v>
      </c>
      <c r="Q819" s="5" t="s">
        <v>4</v>
      </c>
      <c r="R819" s="83" t="s">
        <v>4</v>
      </c>
    </row>
    <row r="820" spans="1:18" x14ac:dyDescent="0.25">
      <c r="A820" s="88">
        <v>806</v>
      </c>
      <c r="B820" s="82"/>
      <c r="C820" s="97">
        <f ca="1">_xll.meDateFromTenor(C819,"1D","FOLLOWING","TGT")</f>
        <v>43670</v>
      </c>
      <c r="D820" s="95">
        <f ca="1"/>
        <v>-2.7495753713245863E-3</v>
      </c>
      <c r="E820" s="92"/>
      <c r="F820" s="97">
        <f ca="1">_xll.meDateFromTenor(F819,"1D","FOLLOWING","TGT")</f>
        <v>43670</v>
      </c>
      <c r="G820" s="95">
        <f ca="1"/>
        <v>-2.0307125886590855E-3</v>
      </c>
      <c r="H820" s="92" t="s">
        <v>4</v>
      </c>
      <c r="I820" s="97">
        <f ca="1">_xll.meDateFromTenor(I819,"1D","FOLLOWING","TGT")</f>
        <v>43670</v>
      </c>
      <c r="J820" s="95">
        <f ca="1"/>
        <v>-6.4763014020207906E-4</v>
      </c>
      <c r="K820" s="5" t="s">
        <v>4</v>
      </c>
      <c r="L820" s="97">
        <f ca="1">_xll.meDateFromTenor(L819,"1D","FOLLOWING","TGT")</f>
        <v>43670</v>
      </c>
      <c r="M820" s="95">
        <f ca="1"/>
        <v>1.0051080286439917E-3</v>
      </c>
      <c r="N820" s="5" t="s">
        <v>4</v>
      </c>
      <c r="O820" s="97">
        <f ca="1">_xll.meDateFromTenor(O819,"1D","FOLLOWING","TGT")</f>
        <v>43670</v>
      </c>
      <c r="P820" s="95">
        <f ca="1"/>
        <v>3.0542568344935107E-3</v>
      </c>
      <c r="Q820" s="5" t="s">
        <v>4</v>
      </c>
      <c r="R820" s="83" t="s">
        <v>4</v>
      </c>
    </row>
    <row r="821" spans="1:18" x14ac:dyDescent="0.25">
      <c r="A821" s="88">
        <v>807</v>
      </c>
      <c r="B821" s="82"/>
      <c r="C821" s="97">
        <f ca="1">_xll.meDateFromTenor(C820,"1D","FOLLOWING","TGT")</f>
        <v>43671</v>
      </c>
      <c r="D821" s="95">
        <f ca="1"/>
        <v>-2.7446819924521471E-3</v>
      </c>
      <c r="E821" s="92"/>
      <c r="F821" s="97">
        <f ca="1">_xll.meDateFromTenor(F820,"1D","FOLLOWING","TGT")</f>
        <v>43671</v>
      </c>
      <c r="G821" s="95">
        <f ca="1"/>
        <v>-2.0260021426448493E-3</v>
      </c>
      <c r="H821" s="92" t="s">
        <v>4</v>
      </c>
      <c r="I821" s="97">
        <f ca="1">_xll.meDateFromTenor(I820,"1D","FOLLOWING","TGT")</f>
        <v>43671</v>
      </c>
      <c r="J821" s="95">
        <f ca="1"/>
        <v>-6.4414402725109714E-4</v>
      </c>
      <c r="K821" s="5" t="s">
        <v>4</v>
      </c>
      <c r="L821" s="97">
        <f ca="1">_xll.meDateFromTenor(L820,"1D","FOLLOWING","TGT")</f>
        <v>43671</v>
      </c>
      <c r="M821" s="95">
        <f ca="1"/>
        <v>1.0108265818355032E-3</v>
      </c>
      <c r="N821" s="5" t="s">
        <v>4</v>
      </c>
      <c r="O821" s="97">
        <f ca="1">_xll.meDateFromTenor(O820,"1D","FOLLOWING","TGT")</f>
        <v>43671</v>
      </c>
      <c r="P821" s="95">
        <f ca="1"/>
        <v>3.0597519594417148E-3</v>
      </c>
      <c r="Q821" s="5" t="s">
        <v>4</v>
      </c>
      <c r="R821" s="83" t="s">
        <v>4</v>
      </c>
    </row>
    <row r="822" spans="1:18" x14ac:dyDescent="0.25">
      <c r="A822" s="88">
        <v>808</v>
      </c>
      <c r="B822" s="82"/>
      <c r="C822" s="97">
        <f ca="1">_xll.meDateFromTenor(C821,"1D","FOLLOWING","TGT")</f>
        <v>43672</v>
      </c>
      <c r="D822" s="95">
        <f ca="1"/>
        <v>-2.739790655358787E-3</v>
      </c>
      <c r="E822" s="92"/>
      <c r="F822" s="97">
        <f ca="1">_xll.meDateFromTenor(F821,"1D","FOLLOWING","TGT")</f>
        <v>43672</v>
      </c>
      <c r="G822" s="95">
        <f ca="1"/>
        <v>-2.0212946793838811E-3</v>
      </c>
      <c r="H822" s="92" t="s">
        <v>4</v>
      </c>
      <c r="I822" s="97">
        <f ca="1">_xll.meDateFromTenor(I821,"1D","FOLLOWING","TGT")</f>
        <v>43672</v>
      </c>
      <c r="J822" s="95">
        <f ca="1"/>
        <v>-6.4064676949587959E-4</v>
      </c>
      <c r="K822" s="5" t="s">
        <v>4</v>
      </c>
      <c r="L822" s="97">
        <f ca="1">_xll.meDateFromTenor(L821,"1D","FOLLOWING","TGT")</f>
        <v>43672</v>
      </c>
      <c r="M822" s="95">
        <f ca="1"/>
        <v>1.0165472860858443E-3</v>
      </c>
      <c r="N822" s="5" t="s">
        <v>4</v>
      </c>
      <c r="O822" s="97">
        <f ca="1">_xll.meDateFromTenor(O821,"1D","FOLLOWING","TGT")</f>
        <v>43672</v>
      </c>
      <c r="P822" s="95">
        <f ca="1"/>
        <v>3.0652475212621651E-3</v>
      </c>
      <c r="Q822" s="5" t="s">
        <v>4</v>
      </c>
      <c r="R822" s="83" t="s">
        <v>4</v>
      </c>
    </row>
    <row r="823" spans="1:18" x14ac:dyDescent="0.25">
      <c r="A823" s="88">
        <v>809</v>
      </c>
      <c r="B823" s="82"/>
      <c r="C823" s="97">
        <f ca="1">_xll.meDateFromTenor(C822,"1D","FOLLOWING","TGT")</f>
        <v>43675</v>
      </c>
      <c r="D823" s="95">
        <f ca="1"/>
        <v>-2.7251288910300486E-3</v>
      </c>
      <c r="E823" s="92"/>
      <c r="F823" s="97">
        <f ca="1">_xll.meDateFromTenor(F822,"1D","FOLLOWING","TGT")</f>
        <v>43675</v>
      </c>
      <c r="G823" s="95">
        <f ca="1"/>
        <v>-2.0071891939793048E-3</v>
      </c>
      <c r="H823" s="92" t="s">
        <v>4</v>
      </c>
      <c r="I823" s="97">
        <f ca="1">_xll.meDateFromTenor(I822,"1D","FOLLOWING","TGT")</f>
        <v>43675</v>
      </c>
      <c r="J823" s="95">
        <f ca="1"/>
        <v>-6.3008821012537164E-4</v>
      </c>
      <c r="K823" s="5" t="s">
        <v>4</v>
      </c>
      <c r="L823" s="97">
        <f ca="1">_xll.meDateFromTenor(L822,"1D","FOLLOWING","TGT")</f>
        <v>43675</v>
      </c>
      <c r="M823" s="95">
        <f ca="1"/>
        <v>1.033722266096917E-3</v>
      </c>
      <c r="N823" s="5" t="s">
        <v>4</v>
      </c>
      <c r="O823" s="97">
        <f ca="1">_xll.meDateFromTenor(O822,"1D","FOLLOWING","TGT")</f>
        <v>43675</v>
      </c>
      <c r="P823" s="95">
        <f ca="1"/>
        <v>3.0817369895868056E-3</v>
      </c>
      <c r="Q823" s="5" t="s">
        <v>4</v>
      </c>
      <c r="R823" s="83" t="s">
        <v>4</v>
      </c>
    </row>
    <row r="824" spans="1:18" x14ac:dyDescent="0.25">
      <c r="A824" s="88">
        <v>810</v>
      </c>
      <c r="B824" s="82"/>
      <c r="C824" s="97">
        <f ca="1">_xll.meDateFromTenor(C823,"1D","FOLLOWING","TGT")</f>
        <v>43676</v>
      </c>
      <c r="D824" s="95">
        <f ca="1"/>
        <v>-2.7202457177281092E-3</v>
      </c>
      <c r="E824" s="92"/>
      <c r="F824" s="97">
        <f ca="1">_xll.meDateFromTenor(F823,"1D","FOLLOWING","TGT")</f>
        <v>43676</v>
      </c>
      <c r="G824" s="95">
        <f ca="1"/>
        <v>-2.0024926695901332E-3</v>
      </c>
      <c r="H824" s="92" t="s">
        <v>4</v>
      </c>
      <c r="I824" s="97">
        <f ca="1">_xll.meDateFromTenor(I823,"1D","FOLLOWING","TGT")</f>
        <v>43676</v>
      </c>
      <c r="J824" s="95">
        <f ca="1"/>
        <v>-6.2654645587377164E-4</v>
      </c>
      <c r="K824" s="5" t="s">
        <v>4</v>
      </c>
      <c r="L824" s="97">
        <f ca="1">_xll.meDateFromTenor(L823,"1D","FOLLOWING","TGT")</f>
        <v>43676</v>
      </c>
      <c r="M824" s="95">
        <f ca="1"/>
        <v>1.0394515354896449E-3</v>
      </c>
      <c r="N824" s="5" t="s">
        <v>4</v>
      </c>
      <c r="O824" s="97">
        <f ca="1">_xll.meDateFromTenor(O823,"1D","FOLLOWING","TGT")</f>
        <v>43676</v>
      </c>
      <c r="P824" s="95">
        <f ca="1"/>
        <v>3.0872344605260482E-3</v>
      </c>
      <c r="Q824" s="5" t="s">
        <v>4</v>
      </c>
      <c r="R824" s="83" t="s">
        <v>4</v>
      </c>
    </row>
    <row r="825" spans="1:18" x14ac:dyDescent="0.25">
      <c r="A825" s="88">
        <v>811</v>
      </c>
      <c r="B825" s="82"/>
      <c r="C825" s="97">
        <f ca="1">_xll.meDateFromTenor(C824,"1D","FOLLOWING","TGT")</f>
        <v>43677</v>
      </c>
      <c r="D825" s="95">
        <f ca="1"/>
        <v>-2.715364585319735E-3</v>
      </c>
      <c r="E825" s="92"/>
      <c r="F825" s="97">
        <f ca="1">_xll.meDateFromTenor(F824,"1D","FOLLOWING","TGT")</f>
        <v>43677</v>
      </c>
      <c r="G825" s="95">
        <f ca="1"/>
        <v>-1.9977986318835939E-3</v>
      </c>
      <c r="H825" s="92" t="s">
        <v>4</v>
      </c>
      <c r="I825" s="97">
        <f ca="1">_xll.meDateFromTenor(I824,"1D","FOLLOWING","TGT")</f>
        <v>43677</v>
      </c>
      <c r="J825" s="95">
        <f ca="1"/>
        <v>-6.2299359817821677E-4</v>
      </c>
      <c r="K825" s="5" t="s">
        <v>4</v>
      </c>
      <c r="L825" s="97">
        <f ca="1">_xll.meDateFromTenor(L824,"1D","FOLLOWING","TGT")</f>
        <v>43677</v>
      </c>
      <c r="M825" s="95">
        <f ca="1"/>
        <v>1.0451829363947349E-3</v>
      </c>
      <c r="N825" s="5" t="s">
        <v>4</v>
      </c>
      <c r="O825" s="97">
        <f ca="1">_xll.meDateFromTenor(O824,"1D","FOLLOWING","TGT")</f>
        <v>43677</v>
      </c>
      <c r="P825" s="95">
        <f ca="1"/>
        <v>3.09273244915244E-3</v>
      </c>
      <c r="Q825" s="5" t="s">
        <v>4</v>
      </c>
      <c r="R825" s="83" t="s">
        <v>4</v>
      </c>
    </row>
    <row r="826" spans="1:18" x14ac:dyDescent="0.25">
      <c r="A826" s="88">
        <v>812</v>
      </c>
      <c r="B826" s="82"/>
      <c r="C826" s="97">
        <f ca="1">_xll.meDateFromTenor(C825,"1D","FOLLOWING","TGT")</f>
        <v>43678</v>
      </c>
      <c r="D826" s="95">
        <f ca="1"/>
        <v>-2.710485492838588E-3</v>
      </c>
      <c r="E826" s="92"/>
      <c r="F826" s="97">
        <f ca="1">_xll.meDateFromTenor(F825,"1D","FOLLOWING","TGT")</f>
        <v>43678</v>
      </c>
      <c r="G826" s="95">
        <f ca="1"/>
        <v>-1.9931069816455614E-3</v>
      </c>
      <c r="H826" s="92" t="s">
        <v>4</v>
      </c>
      <c r="I826" s="97">
        <f ca="1">_xll.meDateFromTenor(I825,"1D","FOLLOWING","TGT")</f>
        <v>43678</v>
      </c>
      <c r="J826" s="95">
        <f ca="1"/>
        <v>-6.1942964531076371E-4</v>
      </c>
      <c r="K826" s="5" t="s">
        <v>4</v>
      </c>
      <c r="L826" s="97">
        <f ca="1">_xll.meDateFromTenor(L825,"1D","FOLLOWING","TGT")</f>
        <v>43678</v>
      </c>
      <c r="M826" s="95">
        <f ca="1"/>
        <v>1.0509164649028931E-3</v>
      </c>
      <c r="N826" s="5" t="s">
        <v>4</v>
      </c>
      <c r="O826" s="97">
        <f ca="1">_xll.meDateFromTenor(O825,"1D","FOLLOWING","TGT")</f>
        <v>43678</v>
      </c>
      <c r="P826" s="95">
        <f ca="1"/>
        <v>3.0982309716289587E-3</v>
      </c>
      <c r="Q826" s="5" t="s">
        <v>4</v>
      </c>
      <c r="R826" s="83" t="s">
        <v>4</v>
      </c>
    </row>
    <row r="827" spans="1:18" x14ac:dyDescent="0.25">
      <c r="A827" s="88">
        <v>813</v>
      </c>
      <c r="B827" s="82"/>
      <c r="C827" s="97">
        <f ca="1">_xll.meDateFromTenor(C826,"1D","FOLLOWING","TGT")</f>
        <v>43679</v>
      </c>
      <c r="D827" s="95">
        <f ca="1"/>
        <v>-2.7056084403546121E-3</v>
      </c>
      <c r="E827" s="92"/>
      <c r="F827" s="97">
        <f ca="1">_xll.meDateFromTenor(F826,"1D","FOLLOWING","TGT")</f>
        <v>43679</v>
      </c>
      <c r="G827" s="95">
        <f ca="1"/>
        <v>-1.9884176196619061E-3</v>
      </c>
      <c r="H827" s="92" t="s">
        <v>4</v>
      </c>
      <c r="I827" s="97">
        <f ca="1">_xll.meDateFromTenor(I826,"1D","FOLLOWING","TGT")</f>
        <v>43679</v>
      </c>
      <c r="J827" s="95">
        <f ca="1"/>
        <v>-6.1585460554346746E-4</v>
      </c>
      <c r="K827" s="5" t="s">
        <v>4</v>
      </c>
      <c r="L827" s="97">
        <f ca="1">_xll.meDateFromTenor(L826,"1D","FOLLOWING","TGT")</f>
        <v>43679</v>
      </c>
      <c r="M827" s="95">
        <f ca="1"/>
        <v>1.0566521171048275E-3</v>
      </c>
      <c r="N827" s="5" t="s">
        <v>4</v>
      </c>
      <c r="O827" s="97">
        <f ca="1">_xll.meDateFromTenor(O826,"1D","FOLLOWING","TGT")</f>
        <v>43679</v>
      </c>
      <c r="P827" s="95">
        <f ca="1"/>
        <v>3.1037300441185871E-3</v>
      </c>
      <c r="Q827" s="5" t="s">
        <v>4</v>
      </c>
      <c r="R827" s="83" t="s">
        <v>4</v>
      </c>
    </row>
    <row r="828" spans="1:18" x14ac:dyDescent="0.25">
      <c r="A828" s="88">
        <v>814</v>
      </c>
      <c r="B828" s="82"/>
      <c r="C828" s="97">
        <f ca="1">_xll.meDateFromTenor(C827,"1D","FOLLOWING","TGT")</f>
        <v>43682</v>
      </c>
      <c r="D828" s="95">
        <f ca="1"/>
        <v>-2.6909895207951617E-3</v>
      </c>
      <c r="E828" s="92"/>
      <c r="F828" s="97">
        <f ca="1">_xll.meDateFromTenor(F827,"1D","FOLLOWING","TGT")</f>
        <v>43682</v>
      </c>
      <c r="G828" s="95">
        <f ca="1"/>
        <v>-1.9743567139213769E-3</v>
      </c>
      <c r="H828" s="92" t="s">
        <v>4</v>
      </c>
      <c r="I828" s="97">
        <f ca="1">_xll.meDateFromTenor(I827,"1D","FOLLOWING","TGT")</f>
        <v>43682</v>
      </c>
      <c r="J828" s="95">
        <f ca="1"/>
        <v>-6.0506304756308637E-4</v>
      </c>
      <c r="K828" s="5" t="s">
        <v>4</v>
      </c>
      <c r="L828" s="97">
        <f ca="1">_xll.meDateFromTenor(L827,"1D","FOLLOWING","TGT")</f>
        <v>43682</v>
      </c>
      <c r="M828" s="95">
        <f ca="1"/>
        <v>1.0738717767803448E-3</v>
      </c>
      <c r="N828" s="5" t="s">
        <v>4</v>
      </c>
      <c r="O828" s="97">
        <f ca="1">_xll.meDateFromTenor(O827,"1D","FOLLOWING","TGT")</f>
        <v>43682</v>
      </c>
      <c r="P828" s="95">
        <f ca="1"/>
        <v>3.1202307232959235E-3</v>
      </c>
      <c r="Q828" s="5" t="s">
        <v>4</v>
      </c>
      <c r="R828" s="83" t="s">
        <v>4</v>
      </c>
    </row>
    <row r="829" spans="1:18" x14ac:dyDescent="0.25">
      <c r="A829" s="88">
        <v>815</v>
      </c>
      <c r="B829" s="82"/>
      <c r="C829" s="97">
        <f ca="1">_xll.meDateFromTenor(C828,"1D","FOLLOWING","TGT")</f>
        <v>43683</v>
      </c>
      <c r="D829" s="95">
        <f ca="1"/>
        <v>-2.6861206258901316E-3</v>
      </c>
      <c r="E829" s="92"/>
      <c r="F829" s="97">
        <f ca="1">_xll.meDateFromTenor(F828,"1D","FOLLOWING","TGT")</f>
        <v>43683</v>
      </c>
      <c r="G829" s="95">
        <f ca="1"/>
        <v>-1.9696678974265983E-3</v>
      </c>
      <c r="H829" s="92" t="s">
        <v>4</v>
      </c>
      <c r="I829" s="97">
        <f ca="1">_xll.meDateFromTenor(I828,"1D","FOLLOWING","TGT")</f>
        <v>43683</v>
      </c>
      <c r="J829" s="95">
        <f ca="1"/>
        <v>-6.0144374291698206E-4</v>
      </c>
      <c r="K829" s="5" t="s">
        <v>4</v>
      </c>
      <c r="L829" s="97">
        <f ca="1">_xll.meDateFromTenor(L828,"1D","FOLLOWING","TGT")</f>
        <v>43683</v>
      </c>
      <c r="M829" s="95">
        <f ca="1"/>
        <v>1.0796158846644438E-3</v>
      </c>
      <c r="N829" s="5" t="s">
        <v>4</v>
      </c>
      <c r="O829" s="97">
        <f ca="1">_xll.meDateFromTenor(O828,"1D","FOLLOWING","TGT")</f>
        <v>43683</v>
      </c>
      <c r="P829" s="95">
        <f ca="1"/>
        <v>3.1257321574677875E-3</v>
      </c>
      <c r="Q829" s="5" t="s">
        <v>4</v>
      </c>
      <c r="R829" s="83" t="s">
        <v>4</v>
      </c>
    </row>
    <row r="830" spans="1:18" x14ac:dyDescent="0.25">
      <c r="A830" s="88">
        <v>816</v>
      </c>
      <c r="B830" s="82"/>
      <c r="C830" s="97">
        <f ca="1">_xll.meDateFromTenor(C829,"1D","FOLLOWING","TGT")</f>
        <v>43684</v>
      </c>
      <c r="D830" s="95">
        <f ca="1"/>
        <v>-2.6812537700562356E-3</v>
      </c>
      <c r="E830" s="92"/>
      <c r="F830" s="97">
        <f ca="1">_xll.meDateFromTenor(F829,"1D","FOLLOWING","TGT")</f>
        <v>43684</v>
      </c>
      <c r="G830" s="95">
        <f ca="1"/>
        <v>-1.9649759334048381E-3</v>
      </c>
      <c r="H830" s="92" t="s">
        <v>4</v>
      </c>
      <c r="I830" s="97">
        <f ca="1">_xll.meDateFromTenor(I829,"1D","FOLLOWING","TGT")</f>
        <v>43684</v>
      </c>
      <c r="J830" s="95">
        <f ca="1"/>
        <v>-5.9781339273131642E-4</v>
      </c>
      <c r="K830" s="5" t="s">
        <v>4</v>
      </c>
      <c r="L830" s="97">
        <f ca="1">_xll.meDateFromTenor(L829,"1D","FOLLOWING","TGT")</f>
        <v>43684</v>
      </c>
      <c r="M830" s="95">
        <f ca="1"/>
        <v>1.0853620966958502E-3</v>
      </c>
      <c r="N830" s="5" t="s">
        <v>4</v>
      </c>
      <c r="O830" s="97">
        <f ca="1">_xll.meDateFromTenor(O829,"1D","FOLLOWING","TGT")</f>
        <v>43684</v>
      </c>
      <c r="P830" s="95">
        <f ca="1"/>
        <v>3.1312342224676603E-3</v>
      </c>
      <c r="Q830" s="5" t="s">
        <v>4</v>
      </c>
      <c r="R830" s="83" t="s">
        <v>4</v>
      </c>
    </row>
    <row r="831" spans="1:18" x14ac:dyDescent="0.25">
      <c r="A831" s="88">
        <v>817</v>
      </c>
      <c r="B831" s="82"/>
      <c r="C831" s="97">
        <f ca="1">_xll.meDateFromTenor(C830,"1D","FOLLOWING","TGT")</f>
        <v>43685</v>
      </c>
      <c r="D831" s="95">
        <f ca="1"/>
        <v>-2.6763889527257056E-3</v>
      </c>
      <c r="E831" s="92"/>
      <c r="F831" s="97">
        <f ca="1">_xll.meDateFromTenor(F830,"1D","FOLLOWING","TGT")</f>
        <v>43685</v>
      </c>
      <c r="G831" s="95">
        <f ca="1"/>
        <v>-1.9602794877142888E-3</v>
      </c>
      <c r="H831" s="92" t="s">
        <v>4</v>
      </c>
      <c r="I831" s="97">
        <f ca="1">_xll.meDateFromTenor(I830,"1D","FOLLOWING","TGT")</f>
        <v>43685</v>
      </c>
      <c r="J831" s="95">
        <f ca="1"/>
        <v>-5.9417200527814523E-4</v>
      </c>
      <c r="K831" s="5" t="s">
        <v>4</v>
      </c>
      <c r="L831" s="97">
        <f ca="1">_xll.meDateFromTenor(L830,"1D","FOLLOWING","TGT")</f>
        <v>43685</v>
      </c>
      <c r="M831" s="95">
        <f ca="1"/>
        <v>1.0911104089652702E-3</v>
      </c>
      <c r="N831" s="5" t="s">
        <v>4</v>
      </c>
      <c r="O831" s="97">
        <f ca="1">_xll.meDateFromTenor(O830,"1D","FOLLOWING","TGT")</f>
        <v>43685</v>
      </c>
      <c r="P831" s="95">
        <f ca="1"/>
        <v>3.1367369344585229E-3</v>
      </c>
      <c r="Q831" s="5" t="s">
        <v>4</v>
      </c>
      <c r="R831" s="83" t="s">
        <v>4</v>
      </c>
    </row>
    <row r="832" spans="1:18" x14ac:dyDescent="0.25">
      <c r="A832" s="88">
        <v>818</v>
      </c>
      <c r="B832" s="82"/>
      <c r="C832" s="97">
        <f ca="1">_xll.meDateFromTenor(C831,"1D","FOLLOWING","TGT")</f>
        <v>43686</v>
      </c>
      <c r="D832" s="95">
        <f ca="1"/>
        <v>-2.6715261739282958E-3</v>
      </c>
      <c r="E832" s="92"/>
      <c r="F832" s="97">
        <f ca="1">_xll.meDateFromTenor(F831,"1D","FOLLOWING","TGT")</f>
        <v>43686</v>
      </c>
      <c r="G832" s="95">
        <f ca="1"/>
        <v>-1.9555772262131411E-3</v>
      </c>
      <c r="H832" s="92" t="s">
        <v>4</v>
      </c>
      <c r="I832" s="97">
        <f ca="1">_xll.meDateFromTenor(I831,"1D","FOLLOWING","TGT")</f>
        <v>43686</v>
      </c>
      <c r="J832" s="95">
        <f ca="1"/>
        <v>-5.9051958882952514E-4</v>
      </c>
      <c r="K832" s="5" t="s">
        <v>4</v>
      </c>
      <c r="L832" s="97">
        <f ca="1">_xll.meDateFromTenor(L831,"1D","FOLLOWING","TGT")</f>
        <v>43686</v>
      </c>
      <c r="M832" s="95">
        <f ca="1"/>
        <v>1.09686081756341E-3</v>
      </c>
      <c r="N832" s="5" t="s">
        <v>4</v>
      </c>
      <c r="O832" s="97">
        <f ca="1">_xll.meDateFromTenor(O831,"1D","FOLLOWING","TGT")</f>
        <v>43686</v>
      </c>
      <c r="P832" s="95">
        <f ca="1"/>
        <v>3.1422403096033544E-3</v>
      </c>
      <c r="Q832" s="5" t="s">
        <v>4</v>
      </c>
      <c r="R832" s="83" t="s">
        <v>4</v>
      </c>
    </row>
    <row r="833" spans="1:18" x14ac:dyDescent="0.25">
      <c r="A833" s="88">
        <v>819</v>
      </c>
      <c r="B833" s="82"/>
      <c r="C833" s="97">
        <f ca="1">_xll.meDateFromTenor(C832,"1D","FOLLOWING","TGT")</f>
        <v>43689</v>
      </c>
      <c r="D833" s="95">
        <f ca="1"/>
        <v>-2.6569500652883216E-3</v>
      </c>
      <c r="E833" s="92"/>
      <c r="F833" s="97">
        <f ca="1">_xll.meDateFromTenor(F832,"1D","FOLLOWING","TGT")</f>
        <v>43689</v>
      </c>
      <c r="G833" s="95">
        <f ca="1"/>
        <v>-1.9414222054280315E-3</v>
      </c>
      <c r="H833" s="92" t="s">
        <v>4</v>
      </c>
      <c r="I833" s="97">
        <f ca="1">_xll.meDateFromTenor(I832,"1D","FOLLOWING","TGT")</f>
        <v>43689</v>
      </c>
      <c r="J833" s="95">
        <f ca="1"/>
        <v>-5.7949624823153351E-4</v>
      </c>
      <c r="K833" s="5" t="s">
        <v>4</v>
      </c>
      <c r="L833" s="97">
        <f ca="1">_xll.meDateFromTenor(L832,"1D","FOLLOWING","TGT")</f>
        <v>43689</v>
      </c>
      <c r="M833" s="95">
        <f ca="1"/>
        <v>1.114124582237212E-3</v>
      </c>
      <c r="N833" s="5" t="s">
        <v>4</v>
      </c>
      <c r="O833" s="97">
        <f ca="1">_xll.meDateFromTenor(O832,"1D","FOLLOWING","TGT")</f>
        <v>43689</v>
      </c>
      <c r="P833" s="95">
        <f ca="1"/>
        <v>3.158754575591467E-3</v>
      </c>
      <c r="Q833" s="5" t="s">
        <v>4</v>
      </c>
      <c r="R833" s="83" t="s">
        <v>4</v>
      </c>
    </row>
    <row r="834" spans="1:18" x14ac:dyDescent="0.25">
      <c r="A834" s="88">
        <v>820</v>
      </c>
      <c r="B834" s="82"/>
      <c r="C834" s="97">
        <f ca="1">_xll.meDateFromTenor(C833,"1D","FOLLOWING","TGT")</f>
        <v>43690</v>
      </c>
      <c r="D834" s="95">
        <f ca="1"/>
        <v>-2.6520954377344808E-3</v>
      </c>
      <c r="E834" s="92"/>
      <c r="F834" s="97">
        <f ca="1">_xll.meDateFromTenor(F833,"1D","FOLLOWING","TGT")</f>
        <v>43690</v>
      </c>
      <c r="G834" s="95">
        <f ca="1"/>
        <v>-1.9366833392664103E-3</v>
      </c>
      <c r="H834" s="92" t="s">
        <v>4</v>
      </c>
      <c r="I834" s="97">
        <f ca="1">_xll.meDateFromTenor(I833,"1D","FOLLOWING","TGT")</f>
        <v>43690</v>
      </c>
      <c r="J834" s="95">
        <f ca="1"/>
        <v>-5.7579979852167922E-4</v>
      </c>
      <c r="K834" s="5" t="s">
        <v>4</v>
      </c>
      <c r="L834" s="97">
        <f ca="1">_xll.meDateFromTenor(L833,"1D","FOLLOWING","TGT")</f>
        <v>43690</v>
      </c>
      <c r="M834" s="95">
        <f ca="1"/>
        <v>1.1198833370572958E-3</v>
      </c>
      <c r="N834" s="5" t="s">
        <v>4</v>
      </c>
      <c r="O834" s="97">
        <f ca="1">_xll.meDateFromTenor(O833,"1D","FOLLOWING","TGT")</f>
        <v>43690</v>
      </c>
      <c r="P834" s="95">
        <f ca="1"/>
        <v>3.1642607649819774E-3</v>
      </c>
      <c r="Q834" s="5" t="s">
        <v>4</v>
      </c>
      <c r="R834" s="83" t="s">
        <v>4</v>
      </c>
    </row>
    <row r="835" spans="1:18" x14ac:dyDescent="0.25">
      <c r="A835" s="88">
        <v>821</v>
      </c>
      <c r="B835" s="82"/>
      <c r="C835" s="97">
        <f ca="1">_xll.meDateFromTenor(C834,"1D","FOLLOWING","TGT")</f>
        <v>43691</v>
      </c>
      <c r="D835" s="95">
        <f ca="1"/>
        <v>-2.6472428473488518E-3</v>
      </c>
      <c r="E835" s="92"/>
      <c r="F835" s="97">
        <f ca="1">_xll.meDateFromTenor(F834,"1D","FOLLOWING","TGT")</f>
        <v>43691</v>
      </c>
      <c r="G835" s="95">
        <f ca="1"/>
        <v>-1.9319319865851504E-3</v>
      </c>
      <c r="H835" s="92" t="s">
        <v>4</v>
      </c>
      <c r="I835" s="97">
        <f ca="1">_xll.meDateFromTenor(I834,"1D","FOLLOWING","TGT")</f>
        <v>43691</v>
      </c>
      <c r="J835" s="95">
        <f ca="1"/>
        <v>-5.7209236117665657E-4</v>
      </c>
      <c r="K835" s="5" t="s">
        <v>4</v>
      </c>
      <c r="L835" s="97">
        <f ca="1">_xll.meDateFromTenor(L834,"1D","FOLLOWING","TGT")</f>
        <v>43691</v>
      </c>
      <c r="M835" s="95">
        <f ca="1"/>
        <v>1.1256441686596317E-3</v>
      </c>
      <c r="N835" s="5" t="s">
        <v>4</v>
      </c>
      <c r="O835" s="97">
        <f ca="1">_xll.meDateFromTenor(O834,"1D","FOLLOWING","TGT")</f>
        <v>43691</v>
      </c>
      <c r="P835" s="95">
        <f ca="1"/>
        <v>3.1697676983413591E-3</v>
      </c>
      <c r="Q835" s="5" t="s">
        <v>4</v>
      </c>
      <c r="R835" s="83" t="s">
        <v>4</v>
      </c>
    </row>
    <row r="836" spans="1:18" x14ac:dyDescent="0.25">
      <c r="A836" s="88">
        <v>822</v>
      </c>
      <c r="B836" s="82"/>
      <c r="C836" s="97">
        <f ca="1">_xll.meDateFromTenor(C835,"1D","FOLLOWING","TGT")</f>
        <v>43692</v>
      </c>
      <c r="D836" s="95">
        <f ca="1"/>
        <v>-2.6423922941611888E-3</v>
      </c>
      <c r="E836" s="92"/>
      <c r="F836" s="97">
        <f ca="1">_xll.meDateFromTenor(F835,"1D","FOLLOWING","TGT")</f>
        <v>43692</v>
      </c>
      <c r="G836" s="95">
        <f ca="1"/>
        <v>-1.9271668132424433E-3</v>
      </c>
      <c r="H836" s="92" t="s">
        <v>4</v>
      </c>
      <c r="I836" s="97">
        <f ca="1">_xll.meDateFromTenor(I835,"1D","FOLLOWING","TGT")</f>
        <v>43692</v>
      </c>
      <c r="J836" s="95">
        <f ca="1"/>
        <v>-5.6837394446852243E-4</v>
      </c>
      <c r="K836" s="5" t="s">
        <v>4</v>
      </c>
      <c r="L836" s="97">
        <f ca="1">_xll.meDateFromTenor(L835,"1D","FOLLOWING","TGT")</f>
        <v>43692</v>
      </c>
      <c r="M836" s="95">
        <f ca="1"/>
        <v>1.1314070731349259E-3</v>
      </c>
      <c r="N836" s="5" t="s">
        <v>4</v>
      </c>
      <c r="O836" s="97">
        <f ca="1">_xll.meDateFromTenor(O835,"1D","FOLLOWING","TGT")</f>
        <v>43692</v>
      </c>
      <c r="P836" s="95">
        <f ca="1"/>
        <v>3.1752753918325902E-3</v>
      </c>
      <c r="Q836" s="5" t="s">
        <v>4</v>
      </c>
      <c r="R836" s="83" t="s">
        <v>4</v>
      </c>
    </row>
    <row r="837" spans="1:18" x14ac:dyDescent="0.25">
      <c r="A837" s="88">
        <v>823</v>
      </c>
      <c r="B837" s="82"/>
      <c r="C837" s="97">
        <f ca="1">_xll.meDateFromTenor(C836,"1D","FOLLOWING","TGT")</f>
        <v>43693</v>
      </c>
      <c r="D837" s="95">
        <f ca="1"/>
        <v>-2.6375437776035016E-3</v>
      </c>
      <c r="E837" s="92"/>
      <c r="F837" s="97">
        <f ca="1">_xll.meDateFromTenor(F836,"1D","FOLLOWING","TGT")</f>
        <v>43693</v>
      </c>
      <c r="G837" s="95">
        <f ca="1"/>
        <v>-1.9223864850964811E-3</v>
      </c>
      <c r="H837" s="92" t="s">
        <v>4</v>
      </c>
      <c r="I837" s="97">
        <f ca="1">_xll.meDateFromTenor(I836,"1D","FOLLOWING","TGT")</f>
        <v>43693</v>
      </c>
      <c r="J837" s="95">
        <f ca="1"/>
        <v>-5.6464455666933248E-4</v>
      </c>
      <c r="K837" s="5" t="s">
        <v>4</v>
      </c>
      <c r="L837" s="97">
        <f ca="1">_xll.meDateFromTenor(L836,"1D","FOLLOWING","TGT")</f>
        <v>43693</v>
      </c>
      <c r="M837" s="95">
        <f ca="1"/>
        <v>1.1371720465738848E-3</v>
      </c>
      <c r="N837" s="5" t="s">
        <v>4</v>
      </c>
      <c r="O837" s="97">
        <f ca="1">_xll.meDateFromTenor(O836,"1D","FOLLOWING","TGT")</f>
        <v>43693</v>
      </c>
      <c r="P837" s="95">
        <f ca="1"/>
        <v>3.1807838616186523E-3</v>
      </c>
      <c r="Q837" s="5" t="s">
        <v>4</v>
      </c>
      <c r="R837" s="83" t="s">
        <v>4</v>
      </c>
    </row>
    <row r="838" spans="1:18" x14ac:dyDescent="0.25">
      <c r="A838" s="88">
        <v>824</v>
      </c>
      <c r="B838" s="82"/>
      <c r="C838" s="97">
        <f ca="1">_xll.meDateFromTenor(C837,"1D","FOLLOWING","TGT")</f>
        <v>43696</v>
      </c>
      <c r="D838" s="95">
        <f ca="1"/>
        <v>-2.6230104467727111E-3</v>
      </c>
      <c r="E838" s="92"/>
      <c r="F838" s="97">
        <f ca="1">_xll.meDateFromTenor(F837,"1D","FOLLOWING","TGT")</f>
        <v>43696</v>
      </c>
      <c r="G838" s="95">
        <f ca="1"/>
        <v>-1.9079412304209796E-3</v>
      </c>
      <c r="H838" s="92" t="s">
        <v>4</v>
      </c>
      <c r="I838" s="97">
        <f ca="1">_xll.meDateFromTenor(I837,"1D","FOLLOWING","TGT")</f>
        <v>43696</v>
      </c>
      <c r="J838" s="95">
        <f ca="1"/>
        <v>-5.5339064944599184E-4</v>
      </c>
      <c r="K838" s="5" t="s">
        <v>4</v>
      </c>
      <c r="L838" s="97">
        <f ca="1">_xll.meDateFromTenor(L837,"1D","FOLLOWING","TGT")</f>
        <v>43696</v>
      </c>
      <c r="M838" s="95">
        <f ca="1"/>
        <v>1.154479341579813E-3</v>
      </c>
      <c r="N838" s="5" t="s">
        <v>4</v>
      </c>
      <c r="O838" s="97">
        <f ca="1">_xll.meDateFromTenor(O837,"1D","FOLLOWING","TGT")</f>
        <v>43696</v>
      </c>
      <c r="P838" s="95">
        <f ca="1"/>
        <v>3.1973140903756203E-3</v>
      </c>
      <c r="Q838" s="5" t="s">
        <v>4</v>
      </c>
      <c r="R838" s="83" t="s">
        <v>4</v>
      </c>
    </row>
    <row r="839" spans="1:18" x14ac:dyDescent="0.25">
      <c r="A839" s="88">
        <v>825</v>
      </c>
      <c r="B839" s="82"/>
      <c r="C839" s="97">
        <f ca="1">_xll.meDateFromTenor(C838,"1D","FOLLOWING","TGT")</f>
        <v>43697</v>
      </c>
      <c r="D839" s="95">
        <f ca="1"/>
        <v>-2.6181700753987736E-3</v>
      </c>
      <c r="E839" s="92"/>
      <c r="F839" s="97">
        <f ca="1">_xll.meDateFromTenor(F838,"1D","FOLLOWING","TGT")</f>
        <v>43697</v>
      </c>
      <c r="G839" s="95">
        <f ca="1"/>
        <v>-1.9030869416439128E-3</v>
      </c>
      <c r="H839" s="92" t="s">
        <v>4</v>
      </c>
      <c r="I839" s="97">
        <f ca="1">_xll.meDateFromTenor(I838,"1D","FOLLOWING","TGT")</f>
        <v>43697</v>
      </c>
      <c r="J839" s="95">
        <f ca="1"/>
        <v>-5.4961746000314166E-4</v>
      </c>
      <c r="K839" s="5" t="s">
        <v>4</v>
      </c>
      <c r="L839" s="97">
        <f ca="1">_xll.meDateFromTenor(L838,"1D","FOLLOWING","TGT")</f>
        <v>43697</v>
      </c>
      <c r="M839" s="95">
        <f ca="1"/>
        <v>1.1602525517804948E-3</v>
      </c>
      <c r="N839" s="5" t="s">
        <v>4</v>
      </c>
      <c r="O839" s="97">
        <f ca="1">_xll.meDateFromTenor(O838,"1D","FOLLOWING","TGT")</f>
        <v>43697</v>
      </c>
      <c r="P839" s="95">
        <f ca="1"/>
        <v>3.2028258269708059E-3</v>
      </c>
      <c r="Q839" s="5" t="s">
        <v>4</v>
      </c>
      <c r="R839" s="83" t="s">
        <v>4</v>
      </c>
    </row>
    <row r="840" spans="1:18" x14ac:dyDescent="0.25">
      <c r="A840" s="88">
        <v>826</v>
      </c>
      <c r="B840" s="82"/>
      <c r="C840" s="97">
        <f ca="1">_xll.meDateFromTenor(C839,"1D","FOLLOWING","TGT")</f>
        <v>43698</v>
      </c>
      <c r="D840" s="95">
        <f ca="1"/>
        <v>-2.6133317394485545E-3</v>
      </c>
      <c r="E840" s="92"/>
      <c r="F840" s="97">
        <f ca="1">_xll.meDateFromTenor(F839,"1D","FOLLOWING","TGT")</f>
        <v>43698</v>
      </c>
      <c r="G840" s="95">
        <f ca="1"/>
        <v>-1.8982108273545505E-3</v>
      </c>
      <c r="H840" s="92" t="s">
        <v>4</v>
      </c>
      <c r="I840" s="97">
        <f ca="1">_xll.meDateFromTenor(I839,"1D","FOLLOWING","TGT")</f>
        <v>43698</v>
      </c>
      <c r="J840" s="95">
        <f ca="1"/>
        <v>-5.458333408295174E-4</v>
      </c>
      <c r="K840" s="5" t="s">
        <v>4</v>
      </c>
      <c r="L840" s="97">
        <f ca="1">_xll.meDateFromTenor(L839,"1D","FOLLOWING","TGT")</f>
        <v>43698</v>
      </c>
      <c r="M840" s="95">
        <f ca="1"/>
        <v>1.1660278113983726E-3</v>
      </c>
      <c r="N840" s="5" t="s">
        <v>4</v>
      </c>
      <c r="O840" s="97">
        <f ca="1">_xll.meDateFromTenor(O839,"1D","FOLLOWING","TGT")</f>
        <v>43698</v>
      </c>
      <c r="P840" s="95">
        <f ca="1"/>
        <v>3.2083384206757206E-3</v>
      </c>
      <c r="Q840" s="5" t="s">
        <v>4</v>
      </c>
      <c r="R840" s="83" t="s">
        <v>4</v>
      </c>
    </row>
    <row r="841" spans="1:18" x14ac:dyDescent="0.25">
      <c r="A841" s="88">
        <v>827</v>
      </c>
      <c r="B841" s="82"/>
      <c r="C841" s="97">
        <f ca="1">_xll.meDateFromTenor(C840,"1D","FOLLOWING","TGT")</f>
        <v>43699</v>
      </c>
      <c r="D841" s="95">
        <f ca="1"/>
        <v>-2.6084954390712678E-3</v>
      </c>
      <c r="E841" s="92"/>
      <c r="F841" s="97">
        <f ca="1">_xll.meDateFromTenor(F840,"1D","FOLLOWING","TGT")</f>
        <v>43699</v>
      </c>
      <c r="G841" s="95">
        <f ca="1"/>
        <v>-1.893311553411083E-3</v>
      </c>
      <c r="H841" s="92" t="s">
        <v>4</v>
      </c>
      <c r="I841" s="97">
        <f ca="1">_xll.meDateFromTenor(I840,"1D","FOLLOWING","TGT")</f>
        <v>43699</v>
      </c>
      <c r="J841" s="95">
        <f ca="1"/>
        <v>-5.4203830019717409E-4</v>
      </c>
      <c r="K841" s="5" t="s">
        <v>4</v>
      </c>
      <c r="L841" s="97">
        <f ca="1">_xll.meDateFromTenor(L840,"1D","FOLLOWING","TGT")</f>
        <v>43699</v>
      </c>
      <c r="M841" s="95">
        <f ca="1"/>
        <v>1.1718051165241542E-3</v>
      </c>
      <c r="N841" s="5" t="s">
        <v>4</v>
      </c>
      <c r="O841" s="97">
        <f ca="1">_xll.meDateFromTenor(O840,"1D","FOLLOWING","TGT")</f>
        <v>43699</v>
      </c>
      <c r="P841" s="95">
        <f ca="1"/>
        <v>3.2138518876533477E-3</v>
      </c>
      <c r="Q841" s="5" t="s">
        <v>4</v>
      </c>
      <c r="R841" s="83" t="s">
        <v>4</v>
      </c>
    </row>
    <row r="842" spans="1:18" x14ac:dyDescent="0.25">
      <c r="A842" s="88">
        <v>828</v>
      </c>
      <c r="B842" s="82"/>
      <c r="C842" s="97">
        <f ca="1">_xll.meDateFromTenor(C841,"1D","FOLLOWING","TGT")</f>
        <v>43700</v>
      </c>
      <c r="D842" s="95">
        <f ca="1"/>
        <v>-2.6036611740177795E-3</v>
      </c>
      <c r="E842" s="92"/>
      <c r="F842" s="97">
        <f ca="1">_xll.meDateFromTenor(F841,"1D","FOLLOWING","TGT")</f>
        <v>43700</v>
      </c>
      <c r="G842" s="95">
        <f ca="1"/>
        <v>-1.8883877856717018E-3</v>
      </c>
      <c r="H842" s="92" t="s">
        <v>4</v>
      </c>
      <c r="I842" s="97">
        <f ca="1">_xll.meDateFromTenor(I841,"1D","FOLLOWING","TGT")</f>
        <v>43700</v>
      </c>
      <c r="J842" s="95">
        <f ca="1"/>
        <v>-5.382323463781688E-4</v>
      </c>
      <c r="K842" s="5" t="s">
        <v>4</v>
      </c>
      <c r="L842" s="97">
        <f ca="1">_xll.meDateFromTenor(L841,"1D","FOLLOWING","TGT")</f>
        <v>43700</v>
      </c>
      <c r="M842" s="95">
        <f ca="1"/>
        <v>1.1775844632485454E-3</v>
      </c>
      <c r="N842" s="5" t="s">
        <v>4</v>
      </c>
      <c r="O842" s="97">
        <f ca="1">_xll.meDateFromTenor(O841,"1D","FOLLOWING","TGT")</f>
        <v>43700</v>
      </c>
      <c r="P842" s="95">
        <f ca="1"/>
        <v>3.2193662440666662E-3</v>
      </c>
      <c r="Q842" s="5" t="s">
        <v>4</v>
      </c>
      <c r="R842" s="83" t="s">
        <v>4</v>
      </c>
    </row>
    <row r="843" spans="1:18" x14ac:dyDescent="0.25">
      <c r="A843" s="88">
        <v>829</v>
      </c>
      <c r="B843" s="82"/>
      <c r="C843" s="97">
        <f ca="1">_xll.meDateFromTenor(C842,"1D","FOLLOWING","TGT")</f>
        <v>43703</v>
      </c>
      <c r="D843" s="95">
        <f ca="1"/>
        <v>-2.589170587748546E-3</v>
      </c>
      <c r="E843" s="92"/>
      <c r="F843" s="97">
        <f ca="1">_xll.meDateFromTenor(F842,"1D","FOLLOWING","TGT")</f>
        <v>43703</v>
      </c>
      <c r="G843" s="95">
        <f ca="1"/>
        <v>-1.8734561782599987E-3</v>
      </c>
      <c r="H843" s="92" t="s">
        <v>4</v>
      </c>
      <c r="I843" s="97">
        <f ca="1">_xll.meDateFromTenor(I842,"1D","FOLLOWING","TGT")</f>
        <v>43703</v>
      </c>
      <c r="J843" s="95">
        <f ca="1"/>
        <v>-5.2674908852174166E-4</v>
      </c>
      <c r="K843" s="5" t="s">
        <v>4</v>
      </c>
      <c r="L843" s="97">
        <f ca="1">_xll.meDateFromTenor(L842,"1D","FOLLOWING","TGT")</f>
        <v>43703</v>
      </c>
      <c r="M843" s="95">
        <f ca="1"/>
        <v>1.1949347139204398E-3</v>
      </c>
      <c r="N843" s="5" t="s">
        <v>4</v>
      </c>
      <c r="O843" s="97">
        <f ca="1">_xll.meDateFromTenor(O842,"1D","FOLLOWING","TGT")</f>
        <v>43703</v>
      </c>
      <c r="P843" s="95">
        <f ca="1"/>
        <v>3.2359148115505706E-3</v>
      </c>
      <c r="Q843" s="5" t="s">
        <v>4</v>
      </c>
      <c r="R843" s="83" t="s">
        <v>4</v>
      </c>
    </row>
    <row r="844" spans="1:18" x14ac:dyDescent="0.25">
      <c r="A844" s="88">
        <v>830</v>
      </c>
      <c r="B844" s="82"/>
      <c r="C844" s="97">
        <f ca="1">_xll.meDateFromTenor(C843,"1D","FOLLOWING","TGT")</f>
        <v>43704</v>
      </c>
      <c r="D844" s="95">
        <f ca="1"/>
        <v>-2.5843444614966904E-3</v>
      </c>
      <c r="E844" s="92"/>
      <c r="F844" s="97">
        <f ca="1">_xll.meDateFromTenor(F843,"1D","FOLLOWING","TGT")</f>
        <v>43704</v>
      </c>
      <c r="G844" s="95">
        <f ca="1"/>
        <v>-1.8684210939188832E-3</v>
      </c>
      <c r="H844" s="92" t="s">
        <v>4</v>
      </c>
      <c r="I844" s="97">
        <f ca="1">_xll.meDateFromTenor(I843,"1D","FOLLOWING","TGT")</f>
        <v>43704</v>
      </c>
      <c r="J844" s="95">
        <f ca="1"/>
        <v>-5.2289956467664969E-4</v>
      </c>
      <c r="K844" s="5" t="s">
        <v>4</v>
      </c>
      <c r="L844" s="97">
        <f ca="1">_xll.meDateFromTenor(L843,"1D","FOLLOWING","TGT")</f>
        <v>43704</v>
      </c>
      <c r="M844" s="95">
        <f ca="1"/>
        <v>1.200722187946333E-3</v>
      </c>
      <c r="N844" s="5" t="s">
        <v>4</v>
      </c>
      <c r="O844" s="97">
        <f ca="1">_xll.meDateFromTenor(O843,"1D","FOLLOWING","TGT")</f>
        <v>43704</v>
      </c>
      <c r="P844" s="95">
        <f ca="1"/>
        <v>3.2414328873364554E-3</v>
      </c>
      <c r="Q844" s="5" t="s">
        <v>4</v>
      </c>
      <c r="R844" s="83" t="s">
        <v>4</v>
      </c>
    </row>
    <row r="845" spans="1:18" x14ac:dyDescent="0.25">
      <c r="A845" s="88">
        <v>831</v>
      </c>
      <c r="B845" s="82"/>
      <c r="C845" s="97">
        <f ca="1">_xll.meDateFromTenor(C844,"1D","FOLLOWING","TGT")</f>
        <v>43705</v>
      </c>
      <c r="D845" s="95">
        <f ca="1"/>
        <v>-2.5795203691225677E-3</v>
      </c>
      <c r="E845" s="92"/>
      <c r="F845" s="97">
        <f ca="1">_xll.meDateFromTenor(F844,"1D","FOLLOWING","TGT")</f>
        <v>43705</v>
      </c>
      <c r="G845" s="95">
        <f ca="1"/>
        <v>-1.8633548450728147E-3</v>
      </c>
      <c r="H845" s="92" t="s">
        <v>4</v>
      </c>
      <c r="I845" s="97">
        <f ca="1">_xll.meDateFromTenor(I844,"1D","FOLLOWING","TGT")</f>
        <v>43705</v>
      </c>
      <c r="J845" s="95">
        <f ca="1"/>
        <v>-5.1903916900517726E-4</v>
      </c>
      <c r="K845" s="5" t="s">
        <v>4</v>
      </c>
      <c r="L845" s="97">
        <f ca="1">_xll.meDateFromTenor(L844,"1D","FOLLOWING","TGT")</f>
        <v>43705</v>
      </c>
      <c r="M845" s="95">
        <f ca="1"/>
        <v>1.2065116840243666E-3</v>
      </c>
      <c r="N845" s="5" t="s">
        <v>4</v>
      </c>
      <c r="O845" s="97">
        <f ca="1">_xll.meDateFromTenor(O844,"1D","FOLLOWING","TGT")</f>
        <v>43705</v>
      </c>
      <c r="P845" s="95">
        <f ca="1"/>
        <v>3.246951933372932E-3</v>
      </c>
      <c r="Q845" s="5" t="s">
        <v>4</v>
      </c>
      <c r="R845" s="83" t="s">
        <v>4</v>
      </c>
    </row>
    <row r="846" spans="1:18" x14ac:dyDescent="0.25">
      <c r="A846" s="88">
        <v>832</v>
      </c>
      <c r="B846" s="82"/>
      <c r="C846" s="97">
        <f ca="1">_xll.meDateFromTenor(C845,"1D","FOLLOWING","TGT")</f>
        <v>43706</v>
      </c>
      <c r="D846" s="95">
        <f ca="1"/>
        <v>-2.5746983107355348E-3</v>
      </c>
      <c r="E846" s="92"/>
      <c r="F846" s="97">
        <f ca="1">_xll.meDateFromTenor(F845,"1D","FOLLOWING","TGT")</f>
        <v>43706</v>
      </c>
      <c r="G846" s="95">
        <f ca="1"/>
        <v>-1.8582560975799825E-3</v>
      </c>
      <c r="H846" s="92" t="s">
        <v>4</v>
      </c>
      <c r="I846" s="97">
        <f ca="1">_xll.meDateFromTenor(I845,"1D","FOLLOWING","TGT")</f>
        <v>43706</v>
      </c>
      <c r="J846" s="95">
        <f ca="1"/>
        <v>-5.1516790977937919E-4</v>
      </c>
      <c r="K846" s="5" t="s">
        <v>4</v>
      </c>
      <c r="L846" s="97">
        <f ca="1">_xll.meDateFromTenor(L845,"1D","FOLLOWING","TGT")</f>
        <v>43706</v>
      </c>
      <c r="M846" s="95">
        <f ca="1"/>
        <v>1.2123031982452491E-3</v>
      </c>
      <c r="N846" s="5" t="s">
        <v>4</v>
      </c>
      <c r="O846" s="97">
        <f ca="1">_xll.meDateFromTenor(O845,"1D","FOLLOWING","TGT")</f>
        <v>43706</v>
      </c>
      <c r="P846" s="95">
        <f ca="1"/>
        <v>3.2524719658229809E-3</v>
      </c>
      <c r="Q846" s="5" t="s">
        <v>4</v>
      </c>
      <c r="R846" s="83" t="s">
        <v>4</v>
      </c>
    </row>
    <row r="847" spans="1:18" x14ac:dyDescent="0.25">
      <c r="A847" s="88">
        <v>833</v>
      </c>
      <c r="B847" s="82"/>
      <c r="C847" s="97">
        <f ca="1">_xll.meDateFromTenor(C846,"1D","FOLLOWING","TGT")</f>
        <v>43707</v>
      </c>
      <c r="D847" s="95">
        <f ca="1"/>
        <v>-2.5698782860861247E-3</v>
      </c>
      <c r="E847" s="92"/>
      <c r="F847" s="97">
        <f ca="1">_xll.meDateFromTenor(F846,"1D","FOLLOWING","TGT")</f>
        <v>43707</v>
      </c>
      <c r="G847" s="95">
        <f ca="1"/>
        <v>-1.8531235172985811E-3</v>
      </c>
      <c r="H847" s="92" t="s">
        <v>4</v>
      </c>
      <c r="I847" s="97">
        <f ca="1">_xll.meDateFromTenor(I846,"1D","FOLLOWING","TGT")</f>
        <v>43707</v>
      </c>
      <c r="J847" s="95">
        <f ca="1"/>
        <v>-5.1128579527131321E-4</v>
      </c>
      <c r="K847" s="5" t="s">
        <v>4</v>
      </c>
      <c r="L847" s="97">
        <f ca="1">_xll.meDateFromTenor(L846,"1D","FOLLOWING","TGT")</f>
        <v>43707</v>
      </c>
      <c r="M847" s="95">
        <f ca="1"/>
        <v>1.2180967266996849E-3</v>
      </c>
      <c r="N847" s="5" t="s">
        <v>4</v>
      </c>
      <c r="O847" s="97">
        <f ca="1">_xll.meDateFromTenor(O846,"1D","FOLLOWING","TGT")</f>
        <v>43707</v>
      </c>
      <c r="P847" s="95">
        <f ca="1"/>
        <v>3.257993000849582E-3</v>
      </c>
      <c r="Q847" s="5" t="s">
        <v>4</v>
      </c>
      <c r="R847" s="83" t="s">
        <v>4</v>
      </c>
    </row>
    <row r="848" spans="1:18" x14ac:dyDescent="0.25">
      <c r="A848" s="88">
        <v>834</v>
      </c>
      <c r="B848" s="82"/>
      <c r="C848" s="97">
        <f ca="1">_xll.meDateFromTenor(C847,"1D","FOLLOWING","TGT")</f>
        <v>43710</v>
      </c>
      <c r="D848" s="95">
        <f ca="1"/>
        <v>-2.5554299265790892E-3</v>
      </c>
      <c r="E848" s="92"/>
      <c r="F848" s="97">
        <f ca="1">_xll.meDateFromTenor(F847,"1D","FOLLOWING","TGT")</f>
        <v>43710</v>
      </c>
      <c r="G848" s="95">
        <f ca="1"/>
        <v>-1.8375094383048674E-3</v>
      </c>
      <c r="H848" s="92" t="s">
        <v>4</v>
      </c>
      <c r="I848" s="97">
        <f ca="1">_xll.meDateFromTenor(I847,"1D","FOLLOWING","TGT")</f>
        <v>43710</v>
      </c>
      <c r="J848" s="95">
        <f ca="1"/>
        <v>-4.9957440277406293E-4</v>
      </c>
      <c r="K848" s="5" t="s">
        <v>4</v>
      </c>
      <c r="L848" s="97">
        <f ca="1">_xll.meDateFromTenor(L847,"1D","FOLLOWING","TGT")</f>
        <v>43710</v>
      </c>
      <c r="M848" s="95">
        <f ca="1"/>
        <v>1.2354893583713846E-3</v>
      </c>
      <c r="N848" s="5" t="s">
        <v>4</v>
      </c>
      <c r="O848" s="97">
        <f ca="1">_xll.meDateFromTenor(O847,"1D","FOLLOWING","TGT")</f>
        <v>43710</v>
      </c>
      <c r="P848" s="95">
        <f ca="1"/>
        <v>3.2745622830185005E-3</v>
      </c>
      <c r="Q848" s="5" t="s">
        <v>4</v>
      </c>
      <c r="R848" s="83" t="s">
        <v>4</v>
      </c>
    </row>
    <row r="849" spans="1:18" x14ac:dyDescent="0.25">
      <c r="A849" s="88">
        <v>835</v>
      </c>
      <c r="B849" s="82"/>
      <c r="C849" s="97">
        <f ca="1">_xll.meDateFromTenor(C848,"1D","FOLLOWING","TGT")</f>
        <v>43711</v>
      </c>
      <c r="D849" s="95">
        <f ca="1"/>
        <v>-2.5506151227432383E-3</v>
      </c>
      <c r="E849" s="92"/>
      <c r="F849" s="97">
        <f ca="1">_xll.meDateFromTenor(F848,"1D","FOLLOWING","TGT")</f>
        <v>43711</v>
      </c>
      <c r="G849" s="95">
        <f ca="1"/>
        <v>-1.8322288833905694E-3</v>
      </c>
      <c r="H849" s="92" t="s">
        <v>4</v>
      </c>
      <c r="I849" s="97">
        <f ca="1">_xll.meDateFromTenor(I848,"1D","FOLLOWING","TGT")</f>
        <v>43711</v>
      </c>
      <c r="J849" s="95">
        <f ca="1"/>
        <v>-4.9564894704810054E-4</v>
      </c>
      <c r="K849" s="5" t="s">
        <v>4</v>
      </c>
      <c r="L849" s="97">
        <f ca="1">_xll.meDateFromTenor(L848,"1D","FOLLOWING","TGT")</f>
        <v>43711</v>
      </c>
      <c r="M849" s="95">
        <f ca="1"/>
        <v>1.2412909046671022E-3</v>
      </c>
      <c r="N849" s="5" t="s">
        <v>4</v>
      </c>
      <c r="O849" s="97">
        <f ca="1">_xll.meDateFromTenor(O848,"1D","FOLLOWING","TGT")</f>
        <v>43711</v>
      </c>
      <c r="P849" s="95">
        <f ca="1"/>
        <v>3.2800874899811122E-3</v>
      </c>
      <c r="Q849" s="5" t="s">
        <v>4</v>
      </c>
      <c r="R849" s="83" t="s">
        <v>4</v>
      </c>
    </row>
    <row r="850" spans="1:18" x14ac:dyDescent="0.25">
      <c r="A850" s="88">
        <v>836</v>
      </c>
      <c r="B850" s="82"/>
      <c r="C850" s="97">
        <f ca="1">_xll.meDateFromTenor(C849,"1D","FOLLOWING","TGT")</f>
        <v>43712</v>
      </c>
      <c r="D850" s="95">
        <f ca="1"/>
        <v>-2.5457994401539841E-3</v>
      </c>
      <c r="E850" s="92"/>
      <c r="F850" s="97">
        <f ca="1">_xll.meDateFromTenor(F849,"1D","FOLLOWING","TGT")</f>
        <v>43712</v>
      </c>
      <c r="G850" s="95">
        <f ca="1"/>
        <v>-1.8269120126154746E-3</v>
      </c>
      <c r="H850" s="92" t="s">
        <v>4</v>
      </c>
      <c r="I850" s="97">
        <f ca="1">_xll.meDateFromTenor(I849,"1D","FOLLOWING","TGT")</f>
        <v>43712</v>
      </c>
      <c r="J850" s="95">
        <f ca="1"/>
        <v>-4.9171266054385263E-4</v>
      </c>
      <c r="K850" s="5" t="s">
        <v>4</v>
      </c>
      <c r="L850" s="97">
        <f ca="1">_xll.meDateFromTenor(L849,"1D","FOLLOWING","TGT")</f>
        <v>43712</v>
      </c>
      <c r="M850" s="95">
        <f ca="1"/>
        <v>1.2470944456499061E-3</v>
      </c>
      <c r="N850" s="5" t="s">
        <v>4</v>
      </c>
      <c r="O850" s="97">
        <f ca="1">_xll.meDateFromTenor(O849,"1D","FOLLOWING","TGT")</f>
        <v>43712</v>
      </c>
      <c r="P850" s="95">
        <f ca="1"/>
        <v>3.2856137803351773E-3</v>
      </c>
      <c r="Q850" s="5" t="s">
        <v>4</v>
      </c>
      <c r="R850" s="83" t="s">
        <v>4</v>
      </c>
    </row>
    <row r="851" spans="1:18" x14ac:dyDescent="0.25">
      <c r="A851" s="88">
        <v>837</v>
      </c>
      <c r="B851" s="82"/>
      <c r="C851" s="97">
        <f ca="1">_xll.meDateFromTenor(C850,"1D","FOLLOWING","TGT")</f>
        <v>43713</v>
      </c>
      <c r="D851" s="95">
        <f ca="1"/>
        <v>-2.5409828785192268E-3</v>
      </c>
      <c r="E851" s="92"/>
      <c r="F851" s="97">
        <f ca="1">_xll.meDateFromTenor(F850,"1D","FOLLOWING","TGT")</f>
        <v>43713</v>
      </c>
      <c r="G851" s="95">
        <f ca="1"/>
        <v>-1.8215616794745914E-3</v>
      </c>
      <c r="H851" s="92" t="s">
        <v>4</v>
      </c>
      <c r="I851" s="97">
        <f ca="1">_xll.meDateFromTenor(I850,"1D","FOLLOWING","TGT")</f>
        <v>43713</v>
      </c>
      <c r="J851" s="95">
        <f ca="1"/>
        <v>-4.877655346770776E-4</v>
      </c>
      <c r="K851" s="5" t="s">
        <v>4</v>
      </c>
      <c r="L851" s="97">
        <f ca="1">_xll.meDateFromTenor(L850,"1D","FOLLOWING","TGT")</f>
        <v>43713</v>
      </c>
      <c r="M851" s="95">
        <f ca="1"/>
        <v>1.2528999774105026E-3</v>
      </c>
      <c r="N851" s="5" t="s">
        <v>4</v>
      </c>
      <c r="O851" s="97">
        <f ca="1">_xll.meDateFromTenor(O850,"1D","FOLLOWING","TGT")</f>
        <v>43713</v>
      </c>
      <c r="P851" s="95">
        <f ca="1"/>
        <v>3.2911411702436751E-3</v>
      </c>
      <c r="Q851" s="5" t="s">
        <v>4</v>
      </c>
      <c r="R851" s="83" t="s">
        <v>4</v>
      </c>
    </row>
    <row r="852" spans="1:18" x14ac:dyDescent="0.25">
      <c r="A852" s="88">
        <v>838</v>
      </c>
      <c r="B852" s="82"/>
      <c r="C852" s="97">
        <f ca="1">_xll.meDateFromTenor(C851,"1D","FOLLOWING","TGT")</f>
        <v>43714</v>
      </c>
      <c r="D852" s="95">
        <f ca="1"/>
        <v>-2.5361654374292941E-3</v>
      </c>
      <c r="E852" s="92"/>
      <c r="F852" s="97">
        <f ca="1">_xll.meDateFromTenor(F851,"1D","FOLLOWING","TGT")</f>
        <v>43714</v>
      </c>
      <c r="G852" s="95">
        <f ca="1"/>
        <v>-1.8161807374629262E-3</v>
      </c>
      <c r="H852" s="92" t="s">
        <v>4</v>
      </c>
      <c r="I852" s="97">
        <f ca="1">_xll.meDateFromTenor(I851,"1D","FOLLOWING","TGT")</f>
        <v>43714</v>
      </c>
      <c r="J852" s="95">
        <f ca="1"/>
        <v>-4.8380756086353443E-4</v>
      </c>
      <c r="K852" s="5" t="s">
        <v>4</v>
      </c>
      <c r="L852" s="97">
        <f ca="1">_xll.meDateFromTenor(L851,"1D","FOLLOWING","TGT")</f>
        <v>43714</v>
      </c>
      <c r="M852" s="95">
        <f ca="1"/>
        <v>1.2587074960395974E-3</v>
      </c>
      <c r="N852" s="5" t="s">
        <v>4</v>
      </c>
      <c r="O852" s="97">
        <f ca="1">_xll.meDateFromTenor(O851,"1D","FOLLOWING","TGT")</f>
        <v>43714</v>
      </c>
      <c r="P852" s="95">
        <f ca="1"/>
        <v>3.2966696758695855E-3</v>
      </c>
      <c r="Q852" s="5" t="s">
        <v>4</v>
      </c>
      <c r="R852" s="83" t="s">
        <v>4</v>
      </c>
    </row>
    <row r="853" spans="1:18" x14ac:dyDescent="0.25">
      <c r="A853" s="88">
        <v>839</v>
      </c>
      <c r="B853" s="82"/>
      <c r="C853" s="97">
        <f ca="1">_xll.meDateFromTenor(C852,"1D","FOLLOWING","TGT")</f>
        <v>43717</v>
      </c>
      <c r="D853" s="95">
        <f ca="1"/>
        <v>-2.5217078372966606E-3</v>
      </c>
      <c r="E853" s="92"/>
      <c r="F853" s="97">
        <f ca="1">_xll.meDateFromTenor(F852,"1D","FOLLOWING","TGT")</f>
        <v>43717</v>
      </c>
      <c r="G853" s="95">
        <f ca="1"/>
        <v>-1.79988279315331E-3</v>
      </c>
      <c r="H853" s="92" t="s">
        <v>4</v>
      </c>
      <c r="I853" s="97">
        <f ca="1">_xll.meDateFromTenor(I852,"1D","FOLLOWING","TGT")</f>
        <v>43717</v>
      </c>
      <c r="J853" s="95">
        <f ca="1"/>
        <v>-4.7186846589987463E-4</v>
      </c>
      <c r="K853" s="5" t="s">
        <v>4</v>
      </c>
      <c r="L853" s="97">
        <f ca="1">_xll.meDateFromTenor(L852,"1D","FOLLOWING","TGT")</f>
        <v>43717</v>
      </c>
      <c r="M853" s="95">
        <f ca="1"/>
        <v>1.2761419340449412E-3</v>
      </c>
      <c r="N853" s="5" t="s">
        <v>4</v>
      </c>
      <c r="O853" s="97">
        <f ca="1">_xll.meDateFromTenor(O852,"1D","FOLLOWING","TGT")</f>
        <v>43717</v>
      </c>
      <c r="P853" s="95">
        <f ca="1"/>
        <v>3.3132620486815978E-3</v>
      </c>
      <c r="Q853" s="5" t="s">
        <v>4</v>
      </c>
      <c r="R853" s="83" t="s">
        <v>4</v>
      </c>
    </row>
    <row r="854" spans="1:18" x14ac:dyDescent="0.25">
      <c r="A854" s="88">
        <v>840</v>
      </c>
      <c r="B854" s="82"/>
      <c r="C854" s="97">
        <f ca="1">_xll.meDateFromTenor(C853,"1D","FOLLOWING","TGT")</f>
        <v>43718</v>
      </c>
      <c r="D854" s="95">
        <f ca="1"/>
        <v>-2.5168868774596564E-3</v>
      </c>
      <c r="E854" s="92"/>
      <c r="F854" s="97">
        <f ca="1">_xll.meDateFromTenor(F853,"1D","FOLLOWING","TGT")</f>
        <v>43718</v>
      </c>
      <c r="G854" s="95">
        <f ca="1"/>
        <v>-1.7944079506085878E-3</v>
      </c>
      <c r="H854" s="92" t="s">
        <v>4</v>
      </c>
      <c r="I854" s="97">
        <f ca="1">_xll.meDateFromTenor(I853,"1D","FOLLOWING","TGT")</f>
        <v>43718</v>
      </c>
      <c r="J854" s="95">
        <f ca="1"/>
        <v>-4.6786701445683938E-4</v>
      </c>
      <c r="K854" s="5" t="s">
        <v>4</v>
      </c>
      <c r="L854" s="97">
        <f ca="1">_xll.meDateFromTenor(L853,"1D","FOLLOWING","TGT")</f>
        <v>43718</v>
      </c>
      <c r="M854" s="95">
        <f ca="1"/>
        <v>1.2819573610550969E-3</v>
      </c>
      <c r="N854" s="5" t="s">
        <v>4</v>
      </c>
      <c r="O854" s="97">
        <f ca="1">_xll.meDateFromTenor(O853,"1D","FOLLOWING","TGT")</f>
        <v>43718</v>
      </c>
      <c r="P854" s="95">
        <f ca="1"/>
        <v>3.3187951788069625E-3</v>
      </c>
      <c r="Q854" s="5" t="s">
        <v>4</v>
      </c>
      <c r="R854" s="83" t="s">
        <v>4</v>
      </c>
    </row>
    <row r="855" spans="1:18" x14ac:dyDescent="0.25">
      <c r="A855" s="88">
        <v>841</v>
      </c>
      <c r="B855" s="82"/>
      <c r="C855" s="97">
        <f ca="1">_xll.meDateFromTenor(C854,"1D","FOLLOWING","TGT")</f>
        <v>43719</v>
      </c>
      <c r="D855" s="95">
        <f ca="1"/>
        <v>-2.5120650375858311E-3</v>
      </c>
      <c r="E855" s="92"/>
      <c r="F855" s="97">
        <f ca="1">_xll.meDateFromTenor(F854,"1D","FOLLOWING","TGT")</f>
        <v>43719</v>
      </c>
      <c r="G855" s="95">
        <f ca="1"/>
        <v>-1.78891676666812E-3</v>
      </c>
      <c r="H855" s="92" t="s">
        <v>4</v>
      </c>
      <c r="I855" s="97">
        <f ca="1">_xll.meDateFromTenor(I854,"1D","FOLLOWING","TGT")</f>
        <v>43719</v>
      </c>
      <c r="J855" s="95">
        <f ca="1"/>
        <v>-4.638546721458272E-4</v>
      </c>
      <c r="K855" s="5" t="s">
        <v>4</v>
      </c>
      <c r="L855" s="97">
        <f ca="1">_xll.meDateFromTenor(L854,"1D","FOLLOWING","TGT")</f>
        <v>43719</v>
      </c>
      <c r="M855" s="95">
        <f ca="1"/>
        <v>1.2877747553872835E-3</v>
      </c>
      <c r="N855" s="5" t="s">
        <v>4</v>
      </c>
      <c r="O855" s="97">
        <f ca="1">_xll.meDateFromTenor(O854,"1D","FOLLOWING","TGT")</f>
        <v>43719</v>
      </c>
      <c r="P855" s="95">
        <f ca="1"/>
        <v>3.3243295054646415E-3</v>
      </c>
      <c r="Q855" s="5" t="s">
        <v>4</v>
      </c>
      <c r="R855" s="83" t="s">
        <v>4</v>
      </c>
    </row>
    <row r="856" spans="1:18" x14ac:dyDescent="0.25">
      <c r="A856" s="88">
        <v>842</v>
      </c>
      <c r="B856" s="82"/>
      <c r="C856" s="97">
        <f ca="1">_xll.meDateFromTenor(C855,"1D","FOLLOWING","TGT")</f>
        <v>43720</v>
      </c>
      <c r="D856" s="95">
        <f ca="1"/>
        <v>-2.5072423171045299E-3</v>
      </c>
      <c r="E856" s="92"/>
      <c r="F856" s="97">
        <f ca="1">_xll.meDateFromTenor(F855,"1D","FOLLOWING","TGT")</f>
        <v>43720</v>
      </c>
      <c r="G856" s="95">
        <f ca="1"/>
        <v>-1.7834120948269129E-3</v>
      </c>
      <c r="H856" s="92" t="s">
        <v>4</v>
      </c>
      <c r="I856" s="97">
        <f ca="1">_xll.meDateFromTenor(I855,"1D","FOLLOWING","TGT")</f>
        <v>43720</v>
      </c>
      <c r="J856" s="95">
        <f ca="1"/>
        <v>-4.5983143038259649E-4</v>
      </c>
      <c r="K856" s="5" t="s">
        <v>4</v>
      </c>
      <c r="L856" s="97">
        <f ca="1">_xll.meDateFromTenor(L855,"1D","FOLLOWING","TGT")</f>
        <v>43720</v>
      </c>
      <c r="M856" s="95">
        <f ca="1"/>
        <v>1.2935941131322075E-3</v>
      </c>
      <c r="N856" s="5" t="s">
        <v>4</v>
      </c>
      <c r="O856" s="97">
        <f ca="1">_xll.meDateFromTenor(O855,"1D","FOLLOWING","TGT")</f>
        <v>43720</v>
      </c>
      <c r="P856" s="95">
        <f ca="1"/>
        <v>3.3298650448176145E-3</v>
      </c>
      <c r="Q856" s="5" t="s">
        <v>4</v>
      </c>
      <c r="R856" s="83" t="s">
        <v>4</v>
      </c>
    </row>
    <row r="857" spans="1:18" x14ac:dyDescent="0.25">
      <c r="A857" s="88">
        <v>843</v>
      </c>
      <c r="B857" s="82"/>
      <c r="C857" s="97">
        <f ca="1">_xll.meDateFromTenor(C856,"1D","FOLLOWING","TGT")</f>
        <v>43721</v>
      </c>
      <c r="D857" s="95">
        <f ca="1"/>
        <v>-2.5024187164417455E-3</v>
      </c>
      <c r="E857" s="92"/>
      <c r="F857" s="97">
        <f ca="1">_xll.meDateFromTenor(F856,"1D","FOLLOWING","TGT")</f>
        <v>43721</v>
      </c>
      <c r="G857" s="95">
        <f ca="1"/>
        <v>-1.7778967885799741E-3</v>
      </c>
      <c r="H857" s="92" t="s">
        <v>4</v>
      </c>
      <c r="I857" s="97">
        <f ca="1">_xll.meDateFromTenor(I856,"1D","FOLLOWING","TGT")</f>
        <v>43721</v>
      </c>
      <c r="J857" s="95">
        <f ca="1"/>
        <v>-4.5579728058290546E-4</v>
      </c>
      <c r="K857" s="5" t="s">
        <v>4</v>
      </c>
      <c r="L857" s="97">
        <f ca="1">_xll.meDateFromTenor(L856,"1D","FOLLOWING","TGT")</f>
        <v>43721</v>
      </c>
      <c r="M857" s="95">
        <f ca="1"/>
        <v>1.2994154303805753E-3</v>
      </c>
      <c r="N857" s="5" t="s">
        <v>4</v>
      </c>
      <c r="O857" s="97">
        <f ca="1">_xll.meDateFromTenor(O856,"1D","FOLLOWING","TGT")</f>
        <v>43721</v>
      </c>
      <c r="P857" s="95">
        <f ca="1"/>
        <v>3.3354018130288612E-3</v>
      </c>
      <c r="Q857" s="5" t="s">
        <v>4</v>
      </c>
      <c r="R857" s="83" t="s">
        <v>4</v>
      </c>
    </row>
    <row r="858" spans="1:18" x14ac:dyDescent="0.25">
      <c r="A858" s="88">
        <v>844</v>
      </c>
      <c r="B858" s="82"/>
      <c r="C858" s="97">
        <f ca="1">_xll.meDateFromTenor(C857,"1D","FOLLOWING","TGT")</f>
        <v>43724</v>
      </c>
      <c r="D858" s="95">
        <f ca="1"/>
        <v>-2.4879426287742756E-3</v>
      </c>
      <c r="E858" s="92"/>
      <c r="F858" s="97">
        <f ca="1">_xll.meDateFromTenor(F857,"1D","FOLLOWING","TGT")</f>
        <v>43724</v>
      </c>
      <c r="G858" s="95">
        <f ca="1"/>
        <v>-1.7613155983548401E-3</v>
      </c>
      <c r="H858" s="92" t="s">
        <v>4</v>
      </c>
      <c r="I858" s="97">
        <f ca="1">_xll.meDateFromTenor(I857,"1D","FOLLOWING","TGT")</f>
        <v>43724</v>
      </c>
      <c r="J858" s="95">
        <f ca="1"/>
        <v>-4.4362929712265565E-4</v>
      </c>
      <c r="K858" s="5" t="s">
        <v>4</v>
      </c>
      <c r="L858" s="97">
        <f ca="1">_xll.meDateFromTenor(L857,"1D","FOLLOWING","TGT")</f>
        <v>43724</v>
      </c>
      <c r="M858" s="95">
        <f ca="1"/>
        <v>1.3168911000534043E-3</v>
      </c>
      <c r="N858" s="5" t="s">
        <v>4</v>
      </c>
      <c r="O858" s="97">
        <f ca="1">_xll.meDateFromTenor(O857,"1D","FOLLOWING","TGT")</f>
        <v>43724</v>
      </c>
      <c r="P858" s="95">
        <f ca="1"/>
        <v>3.3520196524420478E-3</v>
      </c>
      <c r="Q858" s="5" t="s">
        <v>4</v>
      </c>
      <c r="R858" s="83" t="s">
        <v>4</v>
      </c>
    </row>
    <row r="859" spans="1:18" x14ac:dyDescent="0.25">
      <c r="A859" s="88">
        <v>845</v>
      </c>
      <c r="B859" s="82"/>
      <c r="C859" s="97">
        <f ca="1">_xll.meDateFromTenor(C858,"1D","FOLLOWING","TGT")</f>
        <v>43725</v>
      </c>
      <c r="D859" s="95">
        <f ca="1"/>
        <v>-2.4831155041905584E-3</v>
      </c>
      <c r="E859" s="92"/>
      <c r="F859" s="97">
        <f ca="1">_xll.meDateFromTenor(F858,"1D","FOLLOWING","TGT")</f>
        <v>43725</v>
      </c>
      <c r="G859" s="95">
        <f ca="1"/>
        <v>-1.7557862894350474E-3</v>
      </c>
      <c r="H859" s="92" t="s">
        <v>4</v>
      </c>
      <c r="I859" s="97">
        <f ca="1">_xll.meDateFromTenor(I858,"1D","FOLLOWING","TGT")</f>
        <v>43725</v>
      </c>
      <c r="J859" s="95">
        <f ca="1"/>
        <v>-4.3955142933470808E-4</v>
      </c>
      <c r="K859" s="5" t="s">
        <v>4</v>
      </c>
      <c r="L859" s="97">
        <f ca="1">_xll.meDateFromTenor(L858,"1D","FOLLOWING","TGT")</f>
        <v>43725</v>
      </c>
      <c r="M859" s="95">
        <f ca="1"/>
        <v>1.32272021622261E-3</v>
      </c>
      <c r="N859" s="5" t="s">
        <v>4</v>
      </c>
      <c r="O859" s="97">
        <f ca="1">_xll.meDateFromTenor(O858,"1D","FOLLOWING","TGT")</f>
        <v>43725</v>
      </c>
      <c r="P859" s="95">
        <f ca="1"/>
        <v>3.3575614977161914E-3</v>
      </c>
      <c r="Q859" s="5" t="s">
        <v>4</v>
      </c>
      <c r="R859" s="83" t="s">
        <v>4</v>
      </c>
    </row>
    <row r="860" spans="1:18" x14ac:dyDescent="0.25">
      <c r="A860" s="88">
        <v>846</v>
      </c>
      <c r="B860" s="82"/>
      <c r="C860" s="97">
        <f ca="1">_xll.meDateFromTenor(C859,"1D","FOLLOWING","TGT")</f>
        <v>43726</v>
      </c>
      <c r="D860" s="95">
        <f ca="1"/>
        <v>-2.478287497847842E-3</v>
      </c>
      <c r="E860" s="92"/>
      <c r="F860" s="97">
        <f ca="1">_xll.meDateFromTenor(F859,"1D","FOLLOWING","TGT")</f>
        <v>43726</v>
      </c>
      <c r="G860" s="95">
        <f ca="1"/>
        <v>-1.7502606135845575E-3</v>
      </c>
      <c r="H860" s="92" t="s">
        <v>4</v>
      </c>
      <c r="I860" s="97">
        <f ca="1">_xll.meDateFromTenor(I859,"1D","FOLLOWING","TGT")</f>
        <v>43726</v>
      </c>
      <c r="J860" s="95">
        <f ca="1"/>
        <v>-4.3546261058909162E-4</v>
      </c>
      <c r="K860" s="5" t="s">
        <v>4</v>
      </c>
      <c r="L860" s="97">
        <f ca="1">_xll.meDateFromTenor(L859,"1D","FOLLOWING","TGT")</f>
        <v>43726</v>
      </c>
      <c r="M860" s="95">
        <f ca="1"/>
        <v>1.3285512723487925E-3</v>
      </c>
      <c r="N860" s="5" t="s">
        <v>4</v>
      </c>
      <c r="O860" s="97">
        <f ca="1">_xll.meDateFromTenor(O859,"1D","FOLLOWING","TGT")</f>
        <v>43726</v>
      </c>
      <c r="P860" s="95">
        <f ca="1"/>
        <v>3.3631046526635105E-3</v>
      </c>
      <c r="Q860" s="5" t="s">
        <v>4</v>
      </c>
      <c r="R860" s="83" t="s">
        <v>4</v>
      </c>
    </row>
    <row r="861" spans="1:18" x14ac:dyDescent="0.25">
      <c r="A861" s="88">
        <v>847</v>
      </c>
      <c r="B861" s="82"/>
      <c r="C861" s="97">
        <f ca="1">_xll.meDateFromTenor(C860,"1D","FOLLOWING","TGT")</f>
        <v>43727</v>
      </c>
      <c r="D861" s="95">
        <f ca="1"/>
        <v>-2.473458610132151E-3</v>
      </c>
      <c r="E861" s="92"/>
      <c r="F861" s="97">
        <f ca="1">_xll.meDateFromTenor(F860,"1D","FOLLOWING","TGT")</f>
        <v>43727</v>
      </c>
      <c r="G861" s="95">
        <f ca="1"/>
        <v>-1.7447414242983792E-3</v>
      </c>
      <c r="H861" s="92" t="s">
        <v>4</v>
      </c>
      <c r="I861" s="97">
        <f ca="1">_xll.meDateFromTenor(I860,"1D","FOLLOWING","TGT")</f>
        <v>43727</v>
      </c>
      <c r="J861" s="95">
        <f ca="1"/>
        <v>-4.3136283230156504E-4</v>
      </c>
      <c r="K861" s="5" t="s">
        <v>4</v>
      </c>
      <c r="L861" s="97">
        <f ca="1">_xll.meDateFromTenor(L860,"1D","FOLLOWING","TGT")</f>
        <v>43727</v>
      </c>
      <c r="M861" s="95">
        <f ca="1"/>
        <v>1.3343842645226573E-3</v>
      </c>
      <c r="N861" s="5" t="s">
        <v>4</v>
      </c>
      <c r="O861" s="97">
        <f ca="1">_xll.meDateFromTenor(O860,"1D","FOLLOWING","TGT")</f>
        <v>43727</v>
      </c>
      <c r="P861" s="95">
        <f ca="1"/>
        <v>3.3686491334469853E-3</v>
      </c>
      <c r="Q861" s="5" t="s">
        <v>4</v>
      </c>
      <c r="R861" s="83" t="s">
        <v>4</v>
      </c>
    </row>
    <row r="862" spans="1:18" x14ac:dyDescent="0.25">
      <c r="A862" s="88">
        <v>848</v>
      </c>
      <c r="B862" s="82"/>
      <c r="C862" s="97">
        <f ca="1">_xll.meDateFromTenor(C861,"1D","FOLLOWING","TGT")</f>
        <v>43728</v>
      </c>
      <c r="D862" s="95">
        <f ca="1"/>
        <v>-2.4686288405526557E-3</v>
      </c>
      <c r="E862" s="92"/>
      <c r="F862" s="97">
        <f ca="1">_xll.meDateFromTenor(F861,"1D","FOLLOWING","TGT")</f>
        <v>43728</v>
      </c>
      <c r="G862" s="95">
        <f ca="1"/>
        <v>-1.7392315750715196E-3</v>
      </c>
      <c r="H862" s="92" t="s">
        <v>4</v>
      </c>
      <c r="I862" s="97">
        <f ca="1">_xll.meDateFromTenor(I861,"1D","FOLLOWING","TGT")</f>
        <v>43728</v>
      </c>
      <c r="J862" s="95">
        <f ca="1"/>
        <v>-4.2725208588788684E-4</v>
      </c>
      <c r="K862" s="5" t="s">
        <v>4</v>
      </c>
      <c r="L862" s="97">
        <f ca="1">_xll.meDateFromTenor(L861,"1D","FOLLOWING","TGT")</f>
        <v>43728</v>
      </c>
      <c r="M862" s="95">
        <f ca="1"/>
        <v>1.3402191888349105E-3</v>
      </c>
      <c r="N862" s="5" t="s">
        <v>4</v>
      </c>
      <c r="O862" s="97">
        <f ca="1">_xll.meDateFromTenor(O861,"1D","FOLLOWING","TGT")</f>
        <v>43728</v>
      </c>
      <c r="P862" s="95">
        <f ca="1"/>
        <v>3.3741949562295947E-3</v>
      </c>
      <c r="Q862" s="5" t="s">
        <v>4</v>
      </c>
      <c r="R862" s="83" t="s">
        <v>4</v>
      </c>
    </row>
    <row r="863" spans="1:18" x14ac:dyDescent="0.25">
      <c r="A863" s="88">
        <v>849</v>
      </c>
      <c r="B863" s="82"/>
      <c r="C863" s="97">
        <f ca="1">_xll.meDateFromTenor(C862,"1D","FOLLOWING","TGT")</f>
        <v>43731</v>
      </c>
      <c r="D863" s="95">
        <f ca="1"/>
        <v>-2.4541342390297372E-3</v>
      </c>
      <c r="E863" s="92"/>
      <c r="F863" s="97">
        <f ca="1">_xll.meDateFromTenor(F862,"1D","FOLLOWING","TGT")</f>
        <v>43731</v>
      </c>
      <c r="G863" s="95">
        <f ca="1"/>
        <v>-1.7227866026969228E-3</v>
      </c>
      <c r="H863" s="92" t="s">
        <v>4</v>
      </c>
      <c r="I863" s="97">
        <f ca="1">_xll.meDateFromTenor(I862,"1D","FOLLOWING","TGT")</f>
        <v>43731</v>
      </c>
      <c r="J863" s="95">
        <f ca="1"/>
        <v>-4.1485395204752601E-4</v>
      </c>
      <c r="K863" s="5" t="s">
        <v>4</v>
      </c>
      <c r="L863" s="97">
        <f ca="1">_xll.meDateFromTenor(L862,"1D","FOLLOWING","TGT")</f>
        <v>43731</v>
      </c>
      <c r="M863" s="95">
        <f ca="1"/>
        <v>1.3577355155090652E-3</v>
      </c>
      <c r="N863" s="5" t="s">
        <v>4</v>
      </c>
      <c r="O863" s="97">
        <f ca="1">_xll.meDateFromTenor(O862,"1D","FOLLOWING","TGT")</f>
        <v>43731</v>
      </c>
      <c r="P863" s="95">
        <f ca="1"/>
        <v>3.3908406382020346E-3</v>
      </c>
      <c r="Q863" s="5" t="s">
        <v>4</v>
      </c>
      <c r="R863" s="83" t="s">
        <v>4</v>
      </c>
    </row>
    <row r="864" spans="1:18" x14ac:dyDescent="0.25">
      <c r="A864" s="88">
        <v>850</v>
      </c>
      <c r="B864" s="82"/>
      <c r="C864" s="97">
        <f ca="1">_xll.meDateFromTenor(C863,"1D","FOLLOWING","TGT")</f>
        <v>43732</v>
      </c>
      <c r="D864" s="95">
        <f ca="1"/>
        <v>-2.4493009403540045E-3</v>
      </c>
      <c r="E864" s="92"/>
      <c r="F864" s="97">
        <f ca="1">_xll.meDateFromTenor(F863,"1D","FOLLOWING","TGT")</f>
        <v>43732</v>
      </c>
      <c r="G864" s="95">
        <f ca="1"/>
        <v>-1.7173426486574094E-3</v>
      </c>
      <c r="H864" s="92" t="s">
        <v>4</v>
      </c>
      <c r="I864" s="97">
        <f ca="1">_xll.meDateFromTenor(I863,"1D","FOLLOWING","TGT")</f>
        <v>43732</v>
      </c>
      <c r="J864" s="95">
        <f ca="1"/>
        <v>-4.1069924728682556E-4</v>
      </c>
      <c r="K864" s="5" t="s">
        <v>4</v>
      </c>
      <c r="L864" s="97">
        <f ca="1">_xll.meDateFromTenor(L863,"1D","FOLLOWING","TGT")</f>
        <v>43732</v>
      </c>
      <c r="M864" s="95">
        <f ca="1"/>
        <v>1.3635781292819357E-3</v>
      </c>
      <c r="N864" s="5" t="s">
        <v>4</v>
      </c>
      <c r="O864" s="97">
        <f ca="1">_xll.meDateFromTenor(O863,"1D","FOLLOWING","TGT")</f>
        <v>43732</v>
      </c>
      <c r="P864" s="95">
        <f ca="1"/>
        <v>3.3963919906109846E-3</v>
      </c>
      <c r="Q864" s="5" t="s">
        <v>4</v>
      </c>
      <c r="R864" s="83" t="s">
        <v>4</v>
      </c>
    </row>
    <row r="865" spans="1:18" x14ac:dyDescent="0.25">
      <c r="A865" s="88">
        <v>851</v>
      </c>
      <c r="B865" s="82"/>
      <c r="C865" s="97">
        <f ca="1">_xll.meDateFromTenor(C864,"1D","FOLLOWING","TGT")</f>
        <v>43733</v>
      </c>
      <c r="D865" s="95">
        <f ca="1"/>
        <v>-2.4444667589940128E-3</v>
      </c>
      <c r="E865" s="92"/>
      <c r="F865" s="97">
        <f ca="1">_xll.meDateFromTenor(F864,"1D","FOLLOWING","TGT")</f>
        <v>43733</v>
      </c>
      <c r="G865" s="95">
        <f ca="1"/>
        <v>-1.7119223021522499E-3</v>
      </c>
      <c r="H865" s="92" t="s">
        <v>4</v>
      </c>
      <c r="I865" s="97">
        <f ca="1">_xll.meDateFromTenor(I864,"1D","FOLLOWING","TGT")</f>
        <v>43733</v>
      </c>
      <c r="J865" s="95">
        <f ca="1"/>
        <v>-4.0653353147876458E-4</v>
      </c>
      <c r="K865" s="5" t="s">
        <v>4</v>
      </c>
      <c r="L865" s="97">
        <f ca="1">_xll.meDateFromTenor(L864,"1D","FOLLOWING","TGT")</f>
        <v>43733</v>
      </c>
      <c r="M865" s="95">
        <f ca="1"/>
        <v>1.3694226556467276E-3</v>
      </c>
      <c r="N865" s="5" t="s">
        <v>4</v>
      </c>
      <c r="O865" s="97">
        <f ca="1">_xll.meDateFromTenor(O864,"1D","FOLLOWING","TGT")</f>
        <v>43733</v>
      </c>
      <c r="P865" s="95">
        <f ca="1"/>
        <v>3.4019447658339714E-3</v>
      </c>
      <c r="Q865" s="5" t="s">
        <v>4</v>
      </c>
      <c r="R865" s="83" t="s">
        <v>4</v>
      </c>
    </row>
    <row r="866" spans="1:18" x14ac:dyDescent="0.25">
      <c r="A866" s="88">
        <v>852</v>
      </c>
      <c r="B866" s="82"/>
      <c r="C866" s="97">
        <f ca="1">_xll.meDateFromTenor(C865,"1D","FOLLOWING","TGT")</f>
        <v>43734</v>
      </c>
      <c r="D866" s="95">
        <f ca="1"/>
        <v>-2.4396316947378205E-3</v>
      </c>
      <c r="E866" s="92"/>
      <c r="F866" s="97">
        <f ca="1">_xll.meDateFromTenor(F865,"1D","FOLLOWING","TGT")</f>
        <v>43734</v>
      </c>
      <c r="G866" s="95">
        <f ca="1"/>
        <v>-1.706528416676453E-3</v>
      </c>
      <c r="H866" s="92" t="s">
        <v>4</v>
      </c>
      <c r="I866" s="97">
        <f ca="1">_xll.meDateFromTenor(I865,"1D","FOLLOWING","TGT")</f>
        <v>43734</v>
      </c>
      <c r="J866" s="95">
        <f ca="1"/>
        <v>-4.0235679603910283E-4</v>
      </c>
      <c r="K866" s="5" t="s">
        <v>4</v>
      </c>
      <c r="L866" s="97">
        <f ca="1">_xll.meDateFromTenor(L865,"1D","FOLLOWING","TGT")</f>
        <v>43734</v>
      </c>
      <c r="M866" s="95">
        <f ca="1"/>
        <v>1.3752690906941453E-3</v>
      </c>
      <c r="N866" s="5" t="s">
        <v>4</v>
      </c>
      <c r="O866" s="97">
        <f ca="1">_xll.meDateFromTenor(O865,"1D","FOLLOWING","TGT")</f>
        <v>43734</v>
      </c>
      <c r="P866" s="95">
        <f ca="1"/>
        <v>3.4074989800339729E-3</v>
      </c>
      <c r="Q866" s="5" t="s">
        <v>4</v>
      </c>
      <c r="R866" s="83" t="s">
        <v>4</v>
      </c>
    </row>
    <row r="867" spans="1:18" x14ac:dyDescent="0.25">
      <c r="A867" s="88">
        <v>853</v>
      </c>
      <c r="B867" s="82"/>
      <c r="C867" s="97">
        <f ca="1">_xll.meDateFromTenor(C866,"1D","FOLLOWING","TGT")</f>
        <v>43735</v>
      </c>
      <c r="D867" s="95">
        <f ca="1"/>
        <v>-2.4347957474533111E-3</v>
      </c>
      <c r="E867" s="92"/>
      <c r="F867" s="97">
        <f ca="1">_xll.meDateFromTenor(F866,"1D","FOLLOWING","TGT")</f>
        <v>43735</v>
      </c>
      <c r="G867" s="95">
        <f ca="1"/>
        <v>-1.7011638457250238E-3</v>
      </c>
      <c r="H867" s="92" t="s">
        <v>4</v>
      </c>
      <c r="I867" s="97">
        <f ca="1">_xll.meDateFromTenor(I866,"1D","FOLLOWING","TGT")</f>
        <v>43735</v>
      </c>
      <c r="J867" s="95">
        <f ca="1"/>
        <v>-3.981690323835973E-4</v>
      </c>
      <c r="K867" s="5" t="s">
        <v>4</v>
      </c>
      <c r="L867" s="97">
        <f ca="1">_xll.meDateFromTenor(L866,"1D","FOLLOWING","TGT")</f>
        <v>43735</v>
      </c>
      <c r="M867" s="95">
        <f ca="1"/>
        <v>1.3811174305148972E-3</v>
      </c>
      <c r="N867" s="5" t="s">
        <v>4</v>
      </c>
      <c r="O867" s="97">
        <f ca="1">_xll.meDateFromTenor(O866,"1D","FOLLOWING","TGT")</f>
        <v>43735</v>
      </c>
      <c r="P867" s="95">
        <f ca="1"/>
        <v>3.4130546493739717E-3</v>
      </c>
      <c r="Q867" s="5" t="s">
        <v>4</v>
      </c>
      <c r="R867" s="83" t="s">
        <v>4</v>
      </c>
    </row>
    <row r="868" spans="1:18" x14ac:dyDescent="0.25">
      <c r="A868" s="88">
        <v>854</v>
      </c>
      <c r="B868" s="82"/>
      <c r="C868" s="97">
        <f ca="1">_xll.meDateFromTenor(C867,"1D","FOLLOWING","TGT")</f>
        <v>43738</v>
      </c>
      <c r="D868" s="95">
        <f ca="1"/>
        <v>-2.4202826051509252E-3</v>
      </c>
      <c r="E868" s="92"/>
      <c r="F868" s="97">
        <f ca="1">_xll.meDateFromTenor(F867,"1D","FOLLOWING","TGT")</f>
        <v>43738</v>
      </c>
      <c r="G868" s="95">
        <f ca="1"/>
        <v>-1.6852745549670207E-3</v>
      </c>
      <c r="H868" s="92" t="s">
        <v>4</v>
      </c>
      <c r="I868" s="97">
        <f ca="1">_xll.meDateFromTenor(I867,"1D","FOLLOWING","TGT")</f>
        <v>43738</v>
      </c>
      <c r="J868" s="95">
        <f ca="1"/>
        <v>-3.85539486279606E-4</v>
      </c>
      <c r="K868" s="5" t="s">
        <v>4</v>
      </c>
      <c r="L868" s="97">
        <f ca="1">_xll.meDateFromTenor(L867,"1D","FOLLOWING","TGT")</f>
        <v>43738</v>
      </c>
      <c r="M868" s="95">
        <f ca="1"/>
        <v>1.3986738395242169E-3</v>
      </c>
      <c r="N868" s="5" t="s">
        <v>4</v>
      </c>
      <c r="O868" s="97">
        <f ca="1">_xll.meDateFromTenor(O867,"1D","FOLLOWING","TGT")</f>
        <v>43738</v>
      </c>
      <c r="P868" s="95">
        <f ca="1"/>
        <v>3.4297305498637446E-3</v>
      </c>
      <c r="Q868" s="5" t="s">
        <v>4</v>
      </c>
      <c r="R868" s="83" t="s">
        <v>4</v>
      </c>
    </row>
    <row r="869" spans="1:18" x14ac:dyDescent="0.25">
      <c r="A869" s="88">
        <v>855</v>
      </c>
      <c r="B869" s="82"/>
      <c r="C869" s="97">
        <f ca="1">_xll.meDateFromTenor(C868,"1D","FOLLOWING","TGT")</f>
        <v>43739</v>
      </c>
      <c r="D869" s="95">
        <f ca="1"/>
        <v>-2.4154431235937635E-3</v>
      </c>
      <c r="E869" s="92"/>
      <c r="F869" s="97">
        <f ca="1">_xll.meDateFromTenor(F868,"1D","FOLLOWING","TGT")</f>
        <v>43739</v>
      </c>
      <c r="G869" s="95">
        <f ca="1"/>
        <v>-1.6800557770631384E-3</v>
      </c>
      <c r="H869" s="92" t="s">
        <v>4</v>
      </c>
      <c r="I869" s="97">
        <f ca="1">_xll.meDateFromTenor(I868,"1D","FOLLOWING","TGT")</f>
        <v>43739</v>
      </c>
      <c r="J869" s="95">
        <f ca="1"/>
        <v>-3.8130752391831178E-4</v>
      </c>
      <c r="K869" s="5" t="s">
        <v>4</v>
      </c>
      <c r="L869" s="97">
        <f ca="1">_xll.meDateFromTenor(L868,"1D","FOLLOWING","TGT")</f>
        <v>43739</v>
      </c>
      <c r="M869" s="95">
        <f ca="1"/>
        <v>1.4045297593453659E-3</v>
      </c>
      <c r="N869" s="5" t="s">
        <v>4</v>
      </c>
      <c r="O869" s="97">
        <f ca="1">_xll.meDateFromTenor(O868,"1D","FOLLOWING","TGT")</f>
        <v>43739</v>
      </c>
      <c r="P869" s="95">
        <f ca="1"/>
        <v>3.4352922013935272E-3</v>
      </c>
      <c r="Q869" s="5" t="s">
        <v>4</v>
      </c>
      <c r="R869" s="83" t="s">
        <v>4</v>
      </c>
    </row>
    <row r="870" spans="1:18" x14ac:dyDescent="0.25">
      <c r="A870" s="88">
        <v>856</v>
      </c>
      <c r="B870" s="82"/>
      <c r="C870" s="97">
        <f ca="1">_xll.meDateFromTenor(C869,"1D","FOLLOWING","TGT")</f>
        <v>43740</v>
      </c>
      <c r="D870" s="95">
        <f ca="1"/>
        <v>-2.4106027581478617E-3</v>
      </c>
      <c r="E870" s="92"/>
      <c r="F870" s="97">
        <f ca="1">_xll.meDateFromTenor(F869,"1D","FOLLOWING","TGT")</f>
        <v>43740</v>
      </c>
      <c r="G870" s="95">
        <f ca="1"/>
        <v>-1.674880581158661E-3</v>
      </c>
      <c r="H870" s="92" t="s">
        <v>4</v>
      </c>
      <c r="I870" s="97">
        <f ca="1">_xll.meDateFromTenor(I869,"1D","FOLLOWING","TGT")</f>
        <v>43740</v>
      </c>
      <c r="J870" s="95">
        <f ca="1"/>
        <v>-3.7706449041996634E-4</v>
      </c>
      <c r="K870" s="5" t="s">
        <v>4</v>
      </c>
      <c r="L870" s="97">
        <f ca="1">_xll.meDateFromTenor(L869,"1D","FOLLOWING","TGT")</f>
        <v>43740</v>
      </c>
      <c r="M870" s="95">
        <f ca="1"/>
        <v>1.4103875643933803E-3</v>
      </c>
      <c r="N870" s="5" t="s">
        <v>4</v>
      </c>
      <c r="O870" s="97">
        <f ca="1">_xll.meDateFromTenor(O869,"1D","FOLLOWING","TGT")</f>
        <v>43740</v>
      </c>
      <c r="P870" s="95">
        <f ca="1"/>
        <v>3.4408553888782083E-3</v>
      </c>
      <c r="Q870" s="5" t="s">
        <v>4</v>
      </c>
      <c r="R870" s="83" t="s">
        <v>4</v>
      </c>
    </row>
    <row r="871" spans="1:18" x14ac:dyDescent="0.25">
      <c r="A871" s="88">
        <v>857</v>
      </c>
      <c r="B871" s="82"/>
      <c r="C871" s="97">
        <f ca="1">_xll.meDateFromTenor(C870,"1D","FOLLOWING","TGT")</f>
        <v>43741</v>
      </c>
      <c r="D871" s="95">
        <f ca="1"/>
        <v>-2.4057615084817074E-3</v>
      </c>
      <c r="E871" s="92"/>
      <c r="F871" s="97">
        <f ca="1">_xll.meDateFromTenor(F870,"1D","FOLLOWING","TGT")</f>
        <v>43741</v>
      </c>
      <c r="G871" s="95">
        <f ca="1"/>
        <v>-1.6697508158384745E-3</v>
      </c>
      <c r="H871" s="92" t="s">
        <v>4</v>
      </c>
      <c r="I871" s="97">
        <f ca="1">_xll.meDateFromTenor(I870,"1D","FOLLOWING","TGT")</f>
        <v>43741</v>
      </c>
      <c r="J871" s="95">
        <f ca="1"/>
        <v>-3.7281037720032859E-4</v>
      </c>
      <c r="K871" s="5" t="s">
        <v>4</v>
      </c>
      <c r="L871" s="97">
        <f ca="1">_xll.meDateFromTenor(L870,"1D","FOLLOWING","TGT")</f>
        <v>43741</v>
      </c>
      <c r="M871" s="95">
        <f ca="1"/>
        <v>1.4162472507589653E-3</v>
      </c>
      <c r="N871" s="5" t="s">
        <v>4</v>
      </c>
      <c r="O871" s="97">
        <f ca="1">_xll.meDateFromTenor(O870,"1D","FOLLOWING","TGT")</f>
        <v>43741</v>
      </c>
      <c r="P871" s="95">
        <f ca="1"/>
        <v>3.4464201284807642E-3</v>
      </c>
      <c r="Q871" s="5" t="s">
        <v>4</v>
      </c>
      <c r="R871" s="83" t="s">
        <v>4</v>
      </c>
    </row>
    <row r="872" spans="1:18" x14ac:dyDescent="0.25">
      <c r="A872" s="88">
        <v>858</v>
      </c>
      <c r="B872" s="82"/>
      <c r="C872" s="97">
        <f ca="1">_xll.meDateFromTenor(C871,"1D","FOLLOWING","TGT")</f>
        <v>43742</v>
      </c>
      <c r="D872" s="95">
        <f ca="1"/>
        <v>-2.400919374343391E-3</v>
      </c>
      <c r="E872" s="92"/>
      <c r="F872" s="97">
        <f ca="1">_xll.meDateFromTenor(F871,"1D","FOLLOWING","TGT")</f>
        <v>43742</v>
      </c>
      <c r="G872" s="95">
        <f ca="1"/>
        <v>-1.6646643100469759E-3</v>
      </c>
      <c r="H872" s="92" t="s">
        <v>4</v>
      </c>
      <c r="I872" s="97">
        <f ca="1">_xll.meDateFromTenor(I871,"1D","FOLLOWING","TGT")</f>
        <v>43742</v>
      </c>
      <c r="J872" s="95">
        <f ca="1"/>
        <v>-3.6854517567515581E-4</v>
      </c>
      <c r="K872" s="5" t="s">
        <v>4</v>
      </c>
      <c r="L872" s="97">
        <f ca="1">_xll.meDateFromTenor(L871,"1D","FOLLOWING","TGT")</f>
        <v>43742</v>
      </c>
      <c r="M872" s="95">
        <f ca="1"/>
        <v>1.4221088145328293E-3</v>
      </c>
      <c r="N872" s="5" t="s">
        <v>4</v>
      </c>
      <c r="O872" s="97">
        <f ca="1">_xll.meDateFromTenor(O871,"1D","FOLLOWING","TGT")</f>
        <v>43742</v>
      </c>
      <c r="P872" s="95">
        <f ca="1"/>
        <v>3.4519864363641781E-3</v>
      </c>
      <c r="Q872" s="5" t="s">
        <v>4</v>
      </c>
      <c r="R872" s="83" t="s">
        <v>4</v>
      </c>
    </row>
    <row r="873" spans="1:18" x14ac:dyDescent="0.25">
      <c r="A873" s="88">
        <v>859</v>
      </c>
      <c r="B873" s="82"/>
      <c r="C873" s="97">
        <f ca="1">_xll.meDateFromTenor(C872,"1D","FOLLOWING","TGT")</f>
        <v>43745</v>
      </c>
      <c r="D873" s="95">
        <f ca="1"/>
        <v>-2.386387664251699E-3</v>
      </c>
      <c r="E873" s="92"/>
      <c r="F873" s="97">
        <f ca="1">_xll.meDateFromTenor(F872,"1D","FOLLOWING","TGT")</f>
        <v>43745</v>
      </c>
      <c r="G873" s="95">
        <f ca="1"/>
        <v>-1.6496325901873847E-3</v>
      </c>
      <c r="H873" s="92" t="s">
        <v>4</v>
      </c>
      <c r="I873" s="97">
        <f ca="1">_xll.meDateFromTenor(I872,"1D","FOLLOWING","TGT")</f>
        <v>43745</v>
      </c>
      <c r="J873" s="95">
        <f ca="1"/>
        <v>-3.5568295542401433E-4</v>
      </c>
      <c r="K873" s="5" t="s">
        <v>4</v>
      </c>
      <c r="L873" s="97">
        <f ca="1">_xll.meDateFromTenor(L872,"1D","FOLLOWING","TGT")</f>
        <v>43745</v>
      </c>
      <c r="M873" s="95">
        <f ca="1"/>
        <v>1.439704731211153E-3</v>
      </c>
      <c r="N873" s="5" t="s">
        <v>4</v>
      </c>
      <c r="O873" s="97">
        <f ca="1">_xll.meDateFromTenor(O872,"1D","FOLLOWING","TGT")</f>
        <v>43745</v>
      </c>
      <c r="P873" s="95">
        <f ca="1"/>
        <v>3.4686949313293622E-3</v>
      </c>
      <c r="Q873" s="5" t="s">
        <v>4</v>
      </c>
      <c r="R873" s="83" t="s">
        <v>4</v>
      </c>
    </row>
    <row r="874" spans="1:18" x14ac:dyDescent="0.25">
      <c r="A874" s="88">
        <v>860</v>
      </c>
      <c r="B874" s="82"/>
      <c r="C874" s="97">
        <f ca="1">_xll.meDateFromTenor(C873,"1D","FOLLOWING","TGT")</f>
        <v>43746</v>
      </c>
      <c r="D874" s="95">
        <f ca="1"/>
        <v>-2.3815419909422042E-3</v>
      </c>
      <c r="E874" s="92"/>
      <c r="F874" s="97">
        <f ca="1">_xll.meDateFromTenor(F873,"1D","FOLLOWING","TGT")</f>
        <v>43746</v>
      </c>
      <c r="G874" s="95">
        <f ca="1"/>
        <v>-1.6446873628534113E-3</v>
      </c>
      <c r="H874" s="92" t="s">
        <v>4</v>
      </c>
      <c r="I874" s="97">
        <f ca="1">_xll.meDateFromTenor(I873,"1D","FOLLOWING","TGT")</f>
        <v>43746</v>
      </c>
      <c r="J874" s="95">
        <f ca="1"/>
        <v>-3.5137331483428699E-4</v>
      </c>
      <c r="K874" s="5" t="s">
        <v>4</v>
      </c>
      <c r="L874" s="97">
        <f ca="1">_xll.meDateFromTenor(L873,"1D","FOLLOWING","TGT")</f>
        <v>43746</v>
      </c>
      <c r="M874" s="95">
        <f ca="1"/>
        <v>1.4455737655251931E-3</v>
      </c>
      <c r="N874" s="5" t="s">
        <v>4</v>
      </c>
      <c r="O874" s="97">
        <f ca="1">_xll.meDateFromTenor(O873,"1D","FOLLOWING","TGT")</f>
        <v>43746</v>
      </c>
      <c r="P874" s="95">
        <f ca="1"/>
        <v>3.474267673966005E-3</v>
      </c>
      <c r="Q874" s="5" t="s">
        <v>4</v>
      </c>
      <c r="R874" s="83" t="s">
        <v>4</v>
      </c>
    </row>
    <row r="875" spans="1:18" x14ac:dyDescent="0.25">
      <c r="A875" s="88">
        <v>861</v>
      </c>
      <c r="B875" s="82"/>
      <c r="C875" s="97">
        <f ca="1">_xll.meDateFromTenor(C874,"1D","FOLLOWING","TGT")</f>
        <v>43747</v>
      </c>
      <c r="D875" s="95">
        <f ca="1"/>
        <v>-2.3766954323001244E-3</v>
      </c>
      <c r="E875" s="92"/>
      <c r="F875" s="97">
        <f ca="1">_xll.meDateFromTenor(F874,"1D","FOLLOWING","TGT")</f>
        <v>43747</v>
      </c>
      <c r="G875" s="95">
        <f ca="1"/>
        <v>-1.6397695152195124E-3</v>
      </c>
      <c r="H875" s="92" t="s">
        <v>4</v>
      </c>
      <c r="I875" s="97">
        <f ca="1">_xll.meDateFromTenor(I874,"1D","FOLLOWING","TGT")</f>
        <v>43747</v>
      </c>
      <c r="J875" s="95">
        <f ca="1"/>
        <v>-3.4705254301781695E-4</v>
      </c>
      <c r="K875" s="5" t="s">
        <v>4</v>
      </c>
      <c r="L875" s="97">
        <f ca="1">_xll.meDateFromTenor(L874,"1D","FOLLOWING","TGT")</f>
        <v>43747</v>
      </c>
      <c r="M875" s="95">
        <f ca="1"/>
        <v>1.4514446577010432E-3</v>
      </c>
      <c r="N875" s="5" t="s">
        <v>4</v>
      </c>
      <c r="O875" s="97">
        <f ca="1">_xll.meDateFromTenor(O874,"1D","FOLLOWING","TGT")</f>
        <v>43747</v>
      </c>
      <c r="P875" s="95">
        <f ca="1"/>
        <v>3.479842065698405E-3</v>
      </c>
      <c r="Q875" s="5" t="s">
        <v>4</v>
      </c>
      <c r="R875" s="83" t="s">
        <v>4</v>
      </c>
    </row>
    <row r="876" spans="1:18" x14ac:dyDescent="0.25">
      <c r="A876" s="88">
        <v>862</v>
      </c>
      <c r="B876" s="82"/>
      <c r="C876" s="97">
        <f ca="1">_xll.meDateFromTenor(C875,"1D","FOLLOWING","TGT")</f>
        <v>43748</v>
      </c>
      <c r="D876" s="95">
        <f ca="1"/>
        <v>-2.3718479881131849E-3</v>
      </c>
      <c r="E876" s="92"/>
      <c r="F876" s="97">
        <f ca="1">_xll.meDateFromTenor(F875,"1D","FOLLOWING","TGT")</f>
        <v>43748</v>
      </c>
      <c r="G876" s="95">
        <f ca="1"/>
        <v>-1.6348758713199641E-3</v>
      </c>
      <c r="H876" s="92" t="s">
        <v>4</v>
      </c>
      <c r="I876" s="97">
        <f ca="1">_xll.meDateFromTenor(I875,"1D","FOLLOWING","TGT")</f>
        <v>43748</v>
      </c>
      <c r="J876" s="95">
        <f ca="1"/>
        <v>-3.427206313903626E-4</v>
      </c>
      <c r="K876" s="5" t="s">
        <v>4</v>
      </c>
      <c r="L876" s="97">
        <f ca="1">_xll.meDateFromTenor(L875,"1D","FOLLOWING","TGT")</f>
        <v>43748</v>
      </c>
      <c r="M876" s="95">
        <f ca="1"/>
        <v>1.4573174038294099E-3</v>
      </c>
      <c r="N876" s="5" t="s">
        <v>4</v>
      </c>
      <c r="O876" s="97">
        <f ca="1">_xll.meDateFromTenor(O875,"1D","FOLLOWING","TGT")</f>
        <v>43748</v>
      </c>
      <c r="P876" s="95">
        <f ca="1"/>
        <v>3.4854181226895435E-3</v>
      </c>
      <c r="Q876" s="5" t="s">
        <v>4</v>
      </c>
      <c r="R876" s="83" t="s">
        <v>4</v>
      </c>
    </row>
    <row r="877" spans="1:18" x14ac:dyDescent="0.25">
      <c r="A877" s="88">
        <v>863</v>
      </c>
      <c r="B877" s="82"/>
      <c r="C877" s="97">
        <f ca="1">_xll.meDateFromTenor(C876,"1D","FOLLOWING","TGT")</f>
        <v>43749</v>
      </c>
      <c r="D877" s="95">
        <f ca="1"/>
        <v>-2.3669996584486652E-3</v>
      </c>
      <c r="E877" s="92"/>
      <c r="F877" s="97">
        <f ca="1">_xll.meDateFromTenor(F876,"1D","FOLLOWING","TGT")</f>
        <v>43749</v>
      </c>
      <c r="G877" s="95">
        <f ca="1"/>
        <v>-1.6300032551890443E-3</v>
      </c>
      <c r="H877" s="92" t="s">
        <v>4</v>
      </c>
      <c r="I877" s="97">
        <f ca="1">_xll.meDateFromTenor(I876,"1D","FOLLOWING","TGT")</f>
        <v>43749</v>
      </c>
      <c r="J877" s="95">
        <f ca="1"/>
        <v>-3.3837757136768299E-4</v>
      </c>
      <c r="K877" s="5" t="s">
        <v>4</v>
      </c>
      <c r="L877" s="97">
        <f ca="1">_xll.meDateFromTenor(L876,"1D","FOLLOWING","TGT")</f>
        <v>43749</v>
      </c>
      <c r="M877" s="95">
        <f ca="1"/>
        <v>1.4631920000009984E-3</v>
      </c>
      <c r="N877" s="5" t="s">
        <v>4</v>
      </c>
      <c r="O877" s="97">
        <f ca="1">_xll.meDateFromTenor(O876,"1D","FOLLOWING","TGT")</f>
        <v>43749</v>
      </c>
      <c r="P877" s="95">
        <f ca="1"/>
        <v>3.4909958611023984E-3</v>
      </c>
      <c r="Q877" s="5" t="s">
        <v>4</v>
      </c>
      <c r="R877" s="83" t="s">
        <v>4</v>
      </c>
    </row>
    <row r="878" spans="1:18" x14ac:dyDescent="0.25">
      <c r="A878" s="88">
        <v>864</v>
      </c>
      <c r="B878" s="82"/>
      <c r="C878" s="97">
        <f ca="1">_xll.meDateFromTenor(C877,"1D","FOLLOWING","TGT")</f>
        <v>43752</v>
      </c>
      <c r="D878" s="95">
        <f ca="1"/>
        <v>-2.3524493533128021E-3</v>
      </c>
      <c r="E878" s="92"/>
      <c r="F878" s="97">
        <f ca="1">_xll.meDateFromTenor(F877,"1D","FOLLOWING","TGT")</f>
        <v>43752</v>
      </c>
      <c r="G878" s="95">
        <f ca="1"/>
        <v>-1.6154798137508208E-3</v>
      </c>
      <c r="H878" s="92" t="s">
        <v>4</v>
      </c>
      <c r="I878" s="97">
        <f ca="1">_xll.meDateFromTenor(I877,"1D","FOLLOWING","TGT")</f>
        <v>43752</v>
      </c>
      <c r="J878" s="95">
        <f ca="1"/>
        <v>-3.2528141508587064E-4</v>
      </c>
      <c r="K878" s="5" t="s">
        <v>4</v>
      </c>
      <c r="L878" s="97">
        <f ca="1">_xll.meDateFromTenor(L877,"1D","FOLLOWING","TGT")</f>
        <v>43752</v>
      </c>
      <c r="M878" s="95">
        <f ca="1"/>
        <v>1.4808268496821666E-3</v>
      </c>
      <c r="N878" s="5" t="s">
        <v>4</v>
      </c>
      <c r="O878" s="97">
        <f ca="1">_xll.meDateFromTenor(O877,"1D","FOLLOWING","TGT")</f>
        <v>43752</v>
      </c>
      <c r="P878" s="95">
        <f ca="1"/>
        <v>3.5077393265010742E-3</v>
      </c>
      <c r="Q878" s="5" t="s">
        <v>4</v>
      </c>
      <c r="R878" s="83" t="s">
        <v>4</v>
      </c>
    </row>
    <row r="879" spans="1:18" x14ac:dyDescent="0.25">
      <c r="A879" s="88">
        <v>865</v>
      </c>
      <c r="B879" s="82"/>
      <c r="C879" s="97">
        <f ca="1">_xll.meDateFromTenor(C878,"1D","FOLLOWING","TGT")</f>
        <v>43753</v>
      </c>
      <c r="D879" s="95">
        <f ca="1"/>
        <v>-2.3475974790193588E-3</v>
      </c>
      <c r="E879" s="92"/>
      <c r="F879" s="97">
        <f ca="1">_xll.meDateFromTenor(F878,"1D","FOLLOWING","TGT")</f>
        <v>43753</v>
      </c>
      <c r="G879" s="95">
        <f ca="1"/>
        <v>-1.6106595490371816E-3</v>
      </c>
      <c r="H879" s="92" t="s">
        <v>4</v>
      </c>
      <c r="I879" s="97">
        <f ca="1">_xll.meDateFromTenor(I878,"1D","FOLLOWING","TGT")</f>
        <v>43753</v>
      </c>
      <c r="J879" s="95">
        <f ca="1"/>
        <v>-3.2089367563987011E-4</v>
      </c>
      <c r="K879" s="5" t="s">
        <v>4</v>
      </c>
      <c r="L879" s="97">
        <f ca="1">_xll.meDateFromTenor(L878,"1D","FOLLOWING","TGT")</f>
        <v>43753</v>
      </c>
      <c r="M879" s="95">
        <f ca="1"/>
        <v>1.4867088069337113E-3</v>
      </c>
      <c r="N879" s="5" t="s">
        <v>4</v>
      </c>
      <c r="O879" s="97">
        <f ca="1">_xll.meDateFromTenor(O878,"1D","FOLLOWING","TGT")</f>
        <v>43753</v>
      </c>
      <c r="P879" s="95">
        <f ca="1"/>
        <v>3.5133239522306026E-3</v>
      </c>
      <c r="Q879" s="5" t="s">
        <v>4</v>
      </c>
      <c r="R879" s="83" t="s">
        <v>4</v>
      </c>
    </row>
    <row r="880" spans="1:18" x14ac:dyDescent="0.25">
      <c r="A880" s="88">
        <v>866</v>
      </c>
      <c r="B880" s="82"/>
      <c r="C880" s="97">
        <f ca="1">_xll.meDateFromTenor(C879,"1D","FOLLOWING","TGT")</f>
        <v>43754</v>
      </c>
      <c r="D880" s="95">
        <f ca="1"/>
        <v>-2.3427447181881833E-3</v>
      </c>
      <c r="E880" s="92"/>
      <c r="F880" s="97">
        <f ca="1">_xll.meDateFromTenor(F879,"1D","FOLLOWING","TGT")</f>
        <v>43754</v>
      </c>
      <c r="G880" s="95">
        <f ca="1"/>
        <v>-1.6058444322635552E-3</v>
      </c>
      <c r="H880" s="92" t="s">
        <v>4</v>
      </c>
      <c r="I880" s="97">
        <f ca="1">_xll.meDateFromTenor(I879,"1D","FOLLOWING","TGT")</f>
        <v>43754</v>
      </c>
      <c r="J880" s="95">
        <f ca="1"/>
        <v>-3.1649474487743546E-4</v>
      </c>
      <c r="K880" s="5" t="s">
        <v>4</v>
      </c>
      <c r="L880" s="97">
        <f ca="1">_xll.meDateFromTenor(L879,"1D","FOLLOWING","TGT")</f>
        <v>43754</v>
      </c>
      <c r="M880" s="95">
        <f ca="1"/>
        <v>1.4925925946820107E-3</v>
      </c>
      <c r="N880" s="5" t="s">
        <v>4</v>
      </c>
      <c r="O880" s="97">
        <f ca="1">_xll.meDateFromTenor(O879,"1D","FOLLOWING","TGT")</f>
        <v>43754</v>
      </c>
      <c r="P880" s="95">
        <f ca="1"/>
        <v>3.5189103401967498E-3</v>
      </c>
      <c r="Q880" s="5" t="s">
        <v>4</v>
      </c>
      <c r="R880" s="83" t="s">
        <v>4</v>
      </c>
    </row>
    <row r="881" spans="1:18" x14ac:dyDescent="0.25">
      <c r="A881" s="88">
        <v>867</v>
      </c>
      <c r="B881" s="82"/>
      <c r="C881" s="97">
        <f ca="1">_xll.meDateFromTenor(C880,"1D","FOLLOWING","TGT")</f>
        <v>43755</v>
      </c>
      <c r="D881" s="95">
        <f ca="1"/>
        <v>-2.3378910706072231E-3</v>
      </c>
      <c r="E881" s="92"/>
      <c r="F881" s="97">
        <f ca="1">_xll.meDateFromTenor(F880,"1D","FOLLOWING","TGT")</f>
        <v>43755</v>
      </c>
      <c r="G881" s="95">
        <f ca="1"/>
        <v>-1.6010312874642188E-3</v>
      </c>
      <c r="H881" s="92" t="s">
        <v>4</v>
      </c>
      <c r="I881" s="97">
        <f ca="1">_xll.meDateFromTenor(I880,"1D","FOLLOWING","TGT")</f>
        <v>43755</v>
      </c>
      <c r="J881" s="95">
        <f ca="1"/>
        <v>-3.1208461421432503E-4</v>
      </c>
      <c r="K881" s="5" t="s">
        <v>4</v>
      </c>
      <c r="L881" s="97">
        <f ca="1">_xll.meDateFromTenor(L880,"1D","FOLLOWING","TGT")</f>
        <v>43755</v>
      </c>
      <c r="M881" s="95">
        <f ca="1"/>
        <v>1.4984782090177711E-3</v>
      </c>
      <c r="N881" s="5" t="s">
        <v>4</v>
      </c>
      <c r="O881" s="97">
        <f ca="1">_xll.meDateFromTenor(O880,"1D","FOLLOWING","TGT")</f>
        <v>43755</v>
      </c>
      <c r="P881" s="95">
        <f ca="1"/>
        <v>3.5244985065624951E-3</v>
      </c>
      <c r="Q881" s="5" t="s">
        <v>4</v>
      </c>
      <c r="R881" s="83" t="s">
        <v>4</v>
      </c>
    </row>
    <row r="882" spans="1:18" x14ac:dyDescent="0.25">
      <c r="A882" s="88">
        <v>868</v>
      </c>
      <c r="B882" s="82"/>
      <c r="C882" s="97">
        <f ca="1">_xll.meDateFromTenor(C881,"1D","FOLLOWING","TGT")</f>
        <v>43756</v>
      </c>
      <c r="D882" s="95">
        <f ca="1"/>
        <v>-2.3330365360643146E-3</v>
      </c>
      <c r="E882" s="92"/>
      <c r="F882" s="97">
        <f ca="1">_xll.meDateFromTenor(F881,"1D","FOLLOWING","TGT")</f>
        <v>43756</v>
      </c>
      <c r="G882" s="95">
        <f ca="1"/>
        <v>-1.5962169386734494E-3</v>
      </c>
      <c r="H882" s="92" t="s">
        <v>4</v>
      </c>
      <c r="I882" s="97">
        <f ca="1">_xll.meDateFromTenor(I881,"1D","FOLLOWING","TGT")</f>
        <v>43756</v>
      </c>
      <c r="J882" s="95">
        <f ca="1"/>
        <v>-3.0766327506629712E-4</v>
      </c>
      <c r="K882" s="5" t="s">
        <v>4</v>
      </c>
      <c r="L882" s="97">
        <f ca="1">_xll.meDateFromTenor(L881,"1D","FOLLOWING","TGT")</f>
        <v>43756</v>
      </c>
      <c r="M882" s="95">
        <f ca="1"/>
        <v>1.5043656460316992E-3</v>
      </c>
      <c r="N882" s="5" t="s">
        <v>4</v>
      </c>
      <c r="O882" s="97">
        <f ca="1">_xll.meDateFromTenor(O881,"1D","FOLLOWING","TGT")</f>
        <v>43756</v>
      </c>
      <c r="P882" s="95">
        <f ca="1"/>
        <v>3.5300884674908202E-3</v>
      </c>
      <c r="Q882" s="5" t="s">
        <v>4</v>
      </c>
      <c r="R882" s="83" t="s">
        <v>4</v>
      </c>
    </row>
    <row r="883" spans="1:18" x14ac:dyDescent="0.25">
      <c r="A883" s="88">
        <v>869</v>
      </c>
      <c r="B883" s="82"/>
      <c r="C883" s="97">
        <f ca="1">_xll.meDateFromTenor(C882,"1D","FOLLOWING","TGT")</f>
        <v>43759</v>
      </c>
      <c r="D883" s="95">
        <f ca="1"/>
        <v>-2.3184676087431022E-3</v>
      </c>
      <c r="E883" s="92"/>
      <c r="F883" s="97">
        <f ca="1">_xll.meDateFromTenor(F882,"1D","FOLLOWING","TGT")</f>
        <v>43759</v>
      </c>
      <c r="G883" s="95">
        <f ca="1"/>
        <v>-1.5817349086953126E-3</v>
      </c>
      <c r="H883" s="92" t="s">
        <v>4</v>
      </c>
      <c r="I883" s="97">
        <f ca="1">_xll.meDateFromTenor(I882,"1D","FOLLOWING","TGT")</f>
        <v>43759</v>
      </c>
      <c r="J883" s="95">
        <f ca="1"/>
        <v>-2.9433192087029359E-4</v>
      </c>
      <c r="K883" s="5" t="s">
        <v>4</v>
      </c>
      <c r="L883" s="97">
        <f ca="1">_xll.meDateFromTenor(L882,"1D","FOLLOWING","TGT")</f>
        <v>43759</v>
      </c>
      <c r="M883" s="95">
        <f ca="1"/>
        <v>1.5220388540495519E-3</v>
      </c>
      <c r="N883" s="5" t="s">
        <v>4</v>
      </c>
      <c r="O883" s="97">
        <f ca="1">_xll.meDateFromTenor(O882,"1D","FOLLOWING","TGT")</f>
        <v>43759</v>
      </c>
      <c r="P883" s="95">
        <f ca="1"/>
        <v>3.546869279281066E-3</v>
      </c>
      <c r="Q883" s="5" t="s">
        <v>4</v>
      </c>
      <c r="R883" s="83" t="s">
        <v>4</v>
      </c>
    </row>
    <row r="884" spans="1:18" x14ac:dyDescent="0.25">
      <c r="A884" s="88">
        <v>870</v>
      </c>
      <c r="B884" s="82"/>
      <c r="C884" s="97">
        <f ca="1">_xll.meDateFromTenor(C883,"1D","FOLLOWING","TGT")</f>
        <v>43760</v>
      </c>
      <c r="D884" s="95">
        <f ca="1"/>
        <v>-2.3136095244713495E-3</v>
      </c>
      <c r="E884" s="92"/>
      <c r="F884" s="97">
        <f ca="1">_xll.meDateFromTenor(F883,"1D","FOLLOWING","TGT")</f>
        <v>43760</v>
      </c>
      <c r="G884" s="95">
        <f ca="1"/>
        <v>-1.5768839842815803E-3</v>
      </c>
      <c r="H884" s="92" t="s">
        <v>4</v>
      </c>
      <c r="I884" s="97">
        <f ca="1">_xll.meDateFromTenor(I883,"1D","FOLLOWING","TGT")</f>
        <v>43760</v>
      </c>
      <c r="J884" s="95">
        <f ca="1"/>
        <v>-2.898656619401798E-4</v>
      </c>
      <c r="K884" s="5" t="s">
        <v>4</v>
      </c>
      <c r="L884" s="97">
        <f ca="1">_xll.meDateFromTenor(L883,"1D","FOLLOWING","TGT")</f>
        <v>43760</v>
      </c>
      <c r="M884" s="95">
        <f ca="1"/>
        <v>1.5279335426832143E-3</v>
      </c>
      <c r="N884" s="5" t="s">
        <v>4</v>
      </c>
      <c r="O884" s="97">
        <f ca="1">_xll.meDateFromTenor(O883,"1D","FOLLOWING","TGT")</f>
        <v>43760</v>
      </c>
      <c r="P884" s="95">
        <f ca="1"/>
        <v>3.552466580089507E-3</v>
      </c>
      <c r="Q884" s="5" t="s">
        <v>4</v>
      </c>
      <c r="R884" s="83" t="s">
        <v>4</v>
      </c>
    </row>
    <row r="885" spans="1:18" x14ac:dyDescent="0.25">
      <c r="A885" s="88">
        <v>871</v>
      </c>
      <c r="B885" s="82"/>
      <c r="C885" s="97">
        <f ca="1">_xll.meDateFromTenor(C884,"1D","FOLLOWING","TGT")</f>
        <v>43761</v>
      </c>
      <c r="D885" s="95">
        <f ca="1"/>
        <v>-2.3087505524563845E-3</v>
      </c>
      <c r="E885" s="92"/>
      <c r="F885" s="97">
        <f ca="1">_xll.meDateFromTenor(F884,"1D","FOLLOWING","TGT")</f>
        <v>43761</v>
      </c>
      <c r="G885" s="95">
        <f ca="1"/>
        <v>-1.5720159760478005E-3</v>
      </c>
      <c r="H885" s="92" t="s">
        <v>4</v>
      </c>
      <c r="I885" s="97">
        <f ca="1">_xll.meDateFromTenor(I884,"1D","FOLLOWING","TGT")</f>
        <v>43761</v>
      </c>
      <c r="J885" s="95">
        <f ca="1"/>
        <v>-2.8538815160394112E-4</v>
      </c>
      <c r="K885" s="5" t="s">
        <v>4</v>
      </c>
      <c r="L885" s="97">
        <f ca="1">_xll.meDateFromTenor(L884,"1D","FOLLOWING","TGT")</f>
        <v>43761</v>
      </c>
      <c r="M885" s="95">
        <f ca="1"/>
        <v>1.5338300344485752E-3</v>
      </c>
      <c r="N885" s="5" t="s">
        <v>4</v>
      </c>
      <c r="O885" s="97">
        <f ca="1">_xll.meDateFromTenor(O884,"1D","FOLLOWING","TGT")</f>
        <v>43761</v>
      </c>
      <c r="P885" s="95">
        <f ca="1"/>
        <v>3.5580657562754264E-3</v>
      </c>
      <c r="Q885" s="5" t="s">
        <v>4</v>
      </c>
      <c r="R885" s="83" t="s">
        <v>4</v>
      </c>
    </row>
    <row r="886" spans="1:18" x14ac:dyDescent="0.25">
      <c r="A886" s="88">
        <v>872</v>
      </c>
      <c r="B886" s="82"/>
      <c r="C886" s="97">
        <f ca="1">_xll.meDateFromTenor(C885,"1D","FOLLOWING","TGT")</f>
        <v>43762</v>
      </c>
      <c r="D886" s="95">
        <f ca="1"/>
        <v>-2.3038906921274416E-3</v>
      </c>
      <c r="E886" s="92"/>
      <c r="F886" s="97">
        <f ca="1">_xll.meDateFromTenor(F885,"1D","FOLLOWING","TGT")</f>
        <v>43762</v>
      </c>
      <c r="G886" s="95">
        <f ca="1"/>
        <v>-1.5671277080282491E-3</v>
      </c>
      <c r="H886" s="92" t="s">
        <v>4</v>
      </c>
      <c r="I886" s="97">
        <f ca="1">_xll.meDateFromTenor(I885,"1D","FOLLOWING","TGT")</f>
        <v>43762</v>
      </c>
      <c r="J886" s="95">
        <f ca="1"/>
        <v>-2.8089938127733456E-4</v>
      </c>
      <c r="K886" s="5" t="s">
        <v>4</v>
      </c>
      <c r="L886" s="97">
        <f ca="1">_xll.meDateFromTenor(L885,"1D","FOLLOWING","TGT")</f>
        <v>43762</v>
      </c>
      <c r="M886" s="95">
        <f ca="1"/>
        <v>1.5397283254363428E-3</v>
      </c>
      <c r="N886" s="5" t="s">
        <v>4</v>
      </c>
      <c r="O886" s="97">
        <f ca="1">_xll.meDateFromTenor(O885,"1D","FOLLOWING","TGT")</f>
        <v>43762</v>
      </c>
      <c r="P886" s="95">
        <f ca="1"/>
        <v>3.5636668240018061E-3</v>
      </c>
      <c r="Q886" s="5" t="s">
        <v>4</v>
      </c>
      <c r="R886" s="83" t="s">
        <v>4</v>
      </c>
    </row>
    <row r="887" spans="1:18" x14ac:dyDescent="0.25">
      <c r="A887" s="88">
        <v>873</v>
      </c>
      <c r="B887" s="82"/>
      <c r="C887" s="97">
        <f ca="1">_xll.meDateFromTenor(C886,"1D","FOLLOWING","TGT")</f>
        <v>43763</v>
      </c>
      <c r="D887" s="95">
        <f ca="1"/>
        <v>-2.2990299435913242E-3</v>
      </c>
      <c r="E887" s="92"/>
      <c r="F887" s="97">
        <f ca="1">_xll.meDateFromTenor(F886,"1D","FOLLOWING","TGT")</f>
        <v>43763</v>
      </c>
      <c r="G887" s="95">
        <f ca="1"/>
        <v>-1.5622160042572033E-3</v>
      </c>
      <c r="H887" s="92" t="s">
        <v>4</v>
      </c>
      <c r="I887" s="97">
        <f ca="1">_xll.meDateFromTenor(I886,"1D","FOLLOWING","TGT")</f>
        <v>43763</v>
      </c>
      <c r="J887" s="95">
        <f ca="1"/>
        <v>-2.7639934237611914E-4</v>
      </c>
      <c r="K887" s="5" t="s">
        <v>4</v>
      </c>
      <c r="L887" s="97">
        <f ca="1">_xll.meDateFromTenor(L886,"1D","FOLLOWING","TGT")</f>
        <v>43763</v>
      </c>
      <c r="M887" s="95">
        <f ca="1"/>
        <v>1.5456284117372229E-3</v>
      </c>
      <c r="N887" s="5" t="s">
        <v>4</v>
      </c>
      <c r="O887" s="97">
        <f ca="1">_xll.meDateFromTenor(O886,"1D","FOLLOWING","TGT")</f>
        <v>43763</v>
      </c>
      <c r="P887" s="95">
        <f ca="1"/>
        <v>3.569269799431625E-3</v>
      </c>
      <c r="Q887" s="5" t="s">
        <v>4</v>
      </c>
      <c r="R887" s="83" t="s">
        <v>4</v>
      </c>
    </row>
    <row r="888" spans="1:18" x14ac:dyDescent="0.25">
      <c r="A888" s="88">
        <v>874</v>
      </c>
      <c r="B888" s="82"/>
      <c r="C888" s="97">
        <f ca="1">_xll.meDateFromTenor(C887,"1D","FOLLOWING","TGT")</f>
        <v>43766</v>
      </c>
      <c r="D888" s="95">
        <f ca="1"/>
        <v>-2.2844423668582081E-3</v>
      </c>
      <c r="E888" s="92"/>
      <c r="F888" s="97">
        <f ca="1">_xll.meDateFromTenor(F887,"1D","FOLLOWING","TGT")</f>
        <v>43766</v>
      </c>
      <c r="G888" s="95">
        <f ca="1"/>
        <v>-1.5473085187778712E-3</v>
      </c>
      <c r="H888" s="92" t="s">
        <v>4</v>
      </c>
      <c r="I888" s="97">
        <f ca="1">_xll.meDateFromTenor(I887,"1D","FOLLOWING","TGT")</f>
        <v>43766</v>
      </c>
      <c r="J888" s="95">
        <f ca="1"/>
        <v>-2.6283152838240341E-4</v>
      </c>
      <c r="K888" s="5" t="s">
        <v>4</v>
      </c>
      <c r="L888" s="97">
        <f ca="1">_xll.meDateFromTenor(L887,"1D","FOLLOWING","TGT")</f>
        <v>43766</v>
      </c>
      <c r="M888" s="95">
        <f ca="1"/>
        <v>1.563339403425601E-3</v>
      </c>
      <c r="N888" s="5" t="s">
        <v>4</v>
      </c>
      <c r="O888" s="97">
        <f ca="1">_xll.meDateFromTenor(O887,"1D","FOLLOWING","TGT")</f>
        <v>43766</v>
      </c>
      <c r="P888" s="95">
        <f ca="1"/>
        <v>3.5860903335715229E-3</v>
      </c>
      <c r="Q888" s="5" t="s">
        <v>4</v>
      </c>
      <c r="R888" s="83" t="s">
        <v>4</v>
      </c>
    </row>
    <row r="889" spans="1:18" x14ac:dyDescent="0.25">
      <c r="A889" s="88">
        <v>875</v>
      </c>
      <c r="B889" s="82"/>
      <c r="C889" s="97">
        <f ca="1">_xll.meDateFromTenor(C888,"1D","FOLLOWING","TGT")</f>
        <v>43767</v>
      </c>
      <c r="D889" s="95">
        <f ca="1"/>
        <v>-2.2795780634919938E-3</v>
      </c>
      <c r="E889" s="92"/>
      <c r="F889" s="97">
        <f ca="1">_xll.meDateFromTenor(F888,"1D","FOLLOWING","TGT")</f>
        <v>43767</v>
      </c>
      <c r="G889" s="95">
        <f ca="1"/>
        <v>-1.5422713123436191E-3</v>
      </c>
      <c r="H889" s="92" t="s">
        <v>4</v>
      </c>
      <c r="I889" s="97">
        <f ca="1">_xll.meDateFromTenor(I888,"1D","FOLLOWING","TGT")</f>
        <v>43767</v>
      </c>
      <c r="J889" s="95">
        <f ca="1"/>
        <v>-2.58286329340337E-4</v>
      </c>
      <c r="K889" s="5" t="s">
        <v>4</v>
      </c>
      <c r="L889" s="97">
        <f ca="1">_xll.meDateFromTenor(L888,"1D","FOLLOWING","TGT")</f>
        <v>43767</v>
      </c>
      <c r="M889" s="95">
        <f ca="1"/>
        <v>1.5692466318859935E-3</v>
      </c>
      <c r="N889" s="5" t="s">
        <v>4</v>
      </c>
      <c r="O889" s="97">
        <f ca="1">_xll.meDateFromTenor(O888,"1D","FOLLOWING","TGT")</f>
        <v>43767</v>
      </c>
      <c r="P889" s="95">
        <f ca="1"/>
        <v>3.5917011014449012E-3</v>
      </c>
      <c r="Q889" s="5" t="s">
        <v>4</v>
      </c>
      <c r="R889" s="83" t="s">
        <v>4</v>
      </c>
    </row>
    <row r="890" spans="1:18" x14ac:dyDescent="0.25">
      <c r="A890" s="88">
        <v>876</v>
      </c>
      <c r="B890" s="82"/>
      <c r="C890" s="97">
        <f ca="1">_xll.meDateFromTenor(C889,"1D","FOLLOWING","TGT")</f>
        <v>43768</v>
      </c>
      <c r="D890" s="95">
        <f ca="1"/>
        <v>-2.2747128709379449E-3</v>
      </c>
      <c r="E890" s="92"/>
      <c r="F890" s="97">
        <f ca="1">_xll.meDateFromTenor(F889,"1D","FOLLOWING","TGT")</f>
        <v>43768</v>
      </c>
      <c r="G890" s="95">
        <f ca="1"/>
        <v>-1.5371947903292573E-3</v>
      </c>
      <c r="H890" s="92" t="s">
        <v>4</v>
      </c>
      <c r="I890" s="97">
        <f ca="1">_xll.meDateFromTenor(I889,"1D","FOLLOWING","TGT")</f>
        <v>43768</v>
      </c>
      <c r="J890" s="95">
        <f ca="1"/>
        <v>-2.5372981880245288E-4</v>
      </c>
      <c r="K890" s="5" t="s">
        <v>4</v>
      </c>
      <c r="L890" s="97">
        <f ca="1">_xll.meDateFromTenor(L889,"1D","FOLLOWING","TGT")</f>
        <v>43768</v>
      </c>
      <c r="M890" s="95">
        <f ca="1"/>
        <v>1.5751556361130309E-3</v>
      </c>
      <c r="N890" s="5" t="s">
        <v>4</v>
      </c>
      <c r="O890" s="97">
        <f ca="1">_xll.meDateFromTenor(O889,"1D","FOLLOWING","TGT")</f>
        <v>43768</v>
      </c>
      <c r="P890" s="95">
        <f ca="1"/>
        <v>3.5973138578366212E-3</v>
      </c>
      <c r="Q890" s="5" t="s">
        <v>4</v>
      </c>
      <c r="R890" s="83" t="s">
        <v>4</v>
      </c>
    </row>
    <row r="891" spans="1:18" x14ac:dyDescent="0.25">
      <c r="A891" s="88">
        <v>877</v>
      </c>
      <c r="B891" s="82"/>
      <c r="C891" s="97">
        <f ca="1">_xll.meDateFromTenor(C890,"1D","FOLLOWING","TGT")</f>
        <v>43769</v>
      </c>
      <c r="D891" s="95">
        <f ca="1"/>
        <v>-2.2698467889038509E-3</v>
      </c>
      <c r="E891" s="92"/>
      <c r="F891" s="97">
        <f ca="1">_xll.meDateFromTenor(F890,"1D","FOLLOWING","TGT")</f>
        <v>43769</v>
      </c>
      <c r="G891" s="95">
        <f ca="1"/>
        <v>-1.5320757767690646E-3</v>
      </c>
      <c r="H891" s="92" t="s">
        <v>4</v>
      </c>
      <c r="I891" s="97">
        <f ca="1">_xll.meDateFromTenor(I890,"1D","FOLLOWING","TGT")</f>
        <v>43769</v>
      </c>
      <c r="J891" s="95">
        <f ca="1"/>
        <v>-2.4916198818451086E-4</v>
      </c>
      <c r="K891" s="5" t="s">
        <v>4</v>
      </c>
      <c r="L891" s="97">
        <f ca="1">_xll.meDateFromTenor(L890,"1D","FOLLOWING","TGT")</f>
        <v>43769</v>
      </c>
      <c r="M891" s="95">
        <f ca="1"/>
        <v>1.5810664121974182E-3</v>
      </c>
      <c r="N891" s="5" t="s">
        <v>4</v>
      </c>
      <c r="O891" s="97">
        <f ca="1">_xll.meDateFromTenor(O890,"1D","FOLLOWING","TGT")</f>
        <v>43769</v>
      </c>
      <c r="P891" s="95">
        <f ca="1"/>
        <v>3.602928618909661E-3</v>
      </c>
      <c r="Q891" s="5" t="s">
        <v>4</v>
      </c>
      <c r="R891" s="83" t="s">
        <v>4</v>
      </c>
    </row>
    <row r="892" spans="1:18" x14ac:dyDescent="0.25">
      <c r="A892" s="88">
        <v>878</v>
      </c>
      <c r="B892" s="82"/>
      <c r="C892" s="97">
        <f ca="1">_xll.meDateFromTenor(C891,"1D","FOLLOWING","TGT")</f>
        <v>43770</v>
      </c>
      <c r="D892" s="95">
        <f ca="1"/>
        <v>-2.2649798174171343E-3</v>
      </c>
      <c r="E892" s="92"/>
      <c r="F892" s="97">
        <f ca="1">_xll.meDateFromTenor(F891,"1D","FOLLOWING","TGT")</f>
        <v>43770</v>
      </c>
      <c r="G892" s="95">
        <f ca="1"/>
        <v>-1.5269110956973152E-3</v>
      </c>
      <c r="H892" s="92" t="s">
        <v>4</v>
      </c>
      <c r="I892" s="97">
        <f ca="1">_xll.meDateFromTenor(I891,"1D","FOLLOWING","TGT")</f>
        <v>43770</v>
      </c>
      <c r="J892" s="95">
        <f ca="1"/>
        <v>-2.4458282890226776E-4</v>
      </c>
      <c r="K892" s="5" t="s">
        <v>4</v>
      </c>
      <c r="L892" s="97">
        <f ca="1">_xll.meDateFromTenor(L891,"1D","FOLLOWING","TGT")</f>
        <v>43770</v>
      </c>
      <c r="M892" s="95">
        <f ca="1"/>
        <v>1.5869789562298637E-3</v>
      </c>
      <c r="N892" s="5" t="s">
        <v>4</v>
      </c>
      <c r="O892" s="97">
        <f ca="1">_xll.meDateFromTenor(O891,"1D","FOLLOWING","TGT")</f>
        <v>43770</v>
      </c>
      <c r="P892" s="95">
        <f ca="1"/>
        <v>3.6085454008270013E-3</v>
      </c>
      <c r="Q892" s="5" t="s">
        <v>4</v>
      </c>
      <c r="R892" s="83" t="s">
        <v>4</v>
      </c>
    </row>
    <row r="893" spans="1:18" x14ac:dyDescent="0.25">
      <c r="A893" s="88">
        <v>879</v>
      </c>
      <c r="B893" s="82"/>
      <c r="C893" s="97">
        <f ca="1">_xll.meDateFromTenor(C892,"1D","FOLLOWING","TGT")</f>
        <v>43773</v>
      </c>
      <c r="D893" s="95">
        <f ca="1"/>
        <v>-2.2503735636009159E-3</v>
      </c>
      <c r="E893" s="92"/>
      <c r="F893" s="97">
        <f ca="1">_xll.meDateFromTenor(F892,"1D","FOLLOWING","TGT")</f>
        <v>43773</v>
      </c>
      <c r="G893" s="95">
        <f ca="1"/>
        <v>-1.5111112877555068E-3</v>
      </c>
      <c r="H893" s="92" t="s">
        <v>4</v>
      </c>
      <c r="I893" s="97">
        <f ca="1">_xll.meDateFromTenor(I892,"1D","FOLLOWING","TGT")</f>
        <v>43773</v>
      </c>
      <c r="J893" s="95">
        <f ca="1"/>
        <v>-2.3077729322732043E-4</v>
      </c>
      <c r="K893" s="5" t="s">
        <v>4</v>
      </c>
      <c r="L893" s="97">
        <f ca="1">_xll.meDateFromTenor(L892,"1D","FOLLOWING","TGT")</f>
        <v>43773</v>
      </c>
      <c r="M893" s="95">
        <f ca="1"/>
        <v>1.6047271569226064E-3</v>
      </c>
      <c r="N893" s="5" t="s">
        <v>4</v>
      </c>
      <c r="O893" s="97">
        <f ca="1">_xll.meDateFromTenor(O892,"1D","FOLLOWING","TGT")</f>
        <v>43773</v>
      </c>
      <c r="P893" s="95">
        <f ca="1"/>
        <v>3.6254080332746288E-3</v>
      </c>
      <c r="Q893" s="5" t="s">
        <v>4</v>
      </c>
      <c r="R893" s="83" t="s">
        <v>4</v>
      </c>
    </row>
    <row r="894" spans="1:18" x14ac:dyDescent="0.25">
      <c r="A894" s="88">
        <v>880</v>
      </c>
      <c r="B894" s="82"/>
      <c r="C894" s="97">
        <f ca="1">_xll.meDateFromTenor(C893,"1D","FOLLOWING","TGT")</f>
        <v>43774</v>
      </c>
      <c r="D894" s="95">
        <f ca="1"/>
        <v>-2.2455030317830582E-3</v>
      </c>
      <c r="E894" s="92"/>
      <c r="F894" s="97">
        <f ca="1">_xll.meDateFromTenor(F893,"1D","FOLLOWING","TGT")</f>
        <v>43774</v>
      </c>
      <c r="G894" s="95">
        <f ca="1"/>
        <v>-1.5057330627390492E-3</v>
      </c>
      <c r="H894" s="92" t="s">
        <v>4</v>
      </c>
      <c r="I894" s="97">
        <f ca="1">_xll.meDateFromTenor(I893,"1D","FOLLOWING","TGT")</f>
        <v>43774</v>
      </c>
      <c r="J894" s="95">
        <f ca="1"/>
        <v>-2.2615273344545988E-4</v>
      </c>
      <c r="K894" s="5" t="s">
        <v>4</v>
      </c>
      <c r="L894" s="97">
        <f ca="1">_xll.meDateFromTenor(L893,"1D","FOLLOWING","TGT")</f>
        <v>43774</v>
      </c>
      <c r="M894" s="95">
        <f ca="1"/>
        <v>1.610646733654344E-3</v>
      </c>
      <c r="N894" s="5" t="s">
        <v>4</v>
      </c>
      <c r="O894" s="97">
        <f ca="1">_xll.meDateFromTenor(O893,"1D","FOLLOWING","TGT")</f>
        <v>43774</v>
      </c>
      <c r="P894" s="95">
        <f ca="1"/>
        <v>3.6310330601989739E-3</v>
      </c>
      <c r="Q894" s="5" t="s">
        <v>4</v>
      </c>
      <c r="R894" s="83" t="s">
        <v>4</v>
      </c>
    </row>
    <row r="895" spans="1:18" x14ac:dyDescent="0.25">
      <c r="A895" s="88">
        <v>881</v>
      </c>
      <c r="B895" s="82"/>
      <c r="C895" s="97">
        <f ca="1">_xll.meDateFromTenor(C894,"1D","FOLLOWING","TGT")</f>
        <v>43775</v>
      </c>
      <c r="D895" s="95">
        <f ca="1"/>
        <v>-2.2406316096511558E-3</v>
      </c>
      <c r="E895" s="92"/>
      <c r="F895" s="97">
        <f ca="1">_xll.meDateFromTenor(F894,"1D","FOLLOWING","TGT")</f>
        <v>43775</v>
      </c>
      <c r="G895" s="95">
        <f ca="1"/>
        <v>-1.5002986049348738E-3</v>
      </c>
      <c r="H895" s="92" t="s">
        <v>4</v>
      </c>
      <c r="I895" s="97">
        <f ca="1">_xll.meDateFromTenor(I894,"1D","FOLLOWING","TGT")</f>
        <v>43775</v>
      </c>
      <c r="J895" s="95">
        <f ca="1"/>
        <v>-2.2151680207809085E-4</v>
      </c>
      <c r="K895" s="5" t="s">
        <v>4</v>
      </c>
      <c r="L895" s="97">
        <f ca="1">_xll.meDateFromTenor(L894,"1D","FOLLOWING","TGT")</f>
        <v>43775</v>
      </c>
      <c r="M895" s="95">
        <f ca="1"/>
        <v>1.6165680587876708E-3</v>
      </c>
      <c r="N895" s="5" t="s">
        <v>4</v>
      </c>
      <c r="O895" s="97">
        <f ca="1">_xll.meDateFromTenor(O894,"1D","FOLLOWING","TGT")</f>
        <v>43775</v>
      </c>
      <c r="P895" s="95">
        <f ca="1"/>
        <v>3.6366601887825195E-3</v>
      </c>
      <c r="Q895" s="5" t="s">
        <v>4</v>
      </c>
      <c r="R895" s="83" t="s">
        <v>4</v>
      </c>
    </row>
    <row r="896" spans="1:18" x14ac:dyDescent="0.25">
      <c r="A896" s="88">
        <v>882</v>
      </c>
      <c r="B896" s="82"/>
      <c r="C896" s="97">
        <f ca="1">_xll.meDateFromTenor(C895,"1D","FOLLOWING","TGT")</f>
        <v>43776</v>
      </c>
      <c r="D896" s="95">
        <f ca="1"/>
        <v>-2.235759296753792E-3</v>
      </c>
      <c r="E896" s="92"/>
      <c r="F896" s="97">
        <f ca="1">_xll.meDateFromTenor(F895,"1D","FOLLOWING","TGT")</f>
        <v>43776</v>
      </c>
      <c r="G896" s="95">
        <f ca="1"/>
        <v>-1.4948100529297123E-3</v>
      </c>
      <c r="H896" s="92" t="s">
        <v>4</v>
      </c>
      <c r="I896" s="97">
        <f ca="1">_xll.meDateFromTenor(I895,"1D","FOLLOWING","TGT")</f>
        <v>43776</v>
      </c>
      <c r="J896" s="95">
        <f ca="1"/>
        <v>-2.1686949054097249E-4</v>
      </c>
      <c r="K896" s="5" t="s">
        <v>4</v>
      </c>
      <c r="L896" s="97">
        <f ca="1">_xll.meDateFromTenor(L895,"1D","FOLLOWING","TGT")</f>
        <v>43776</v>
      </c>
      <c r="M896" s="95">
        <f ca="1"/>
        <v>1.6224911284132917E-3</v>
      </c>
      <c r="N896" s="5" t="s">
        <v>4</v>
      </c>
      <c r="O896" s="97">
        <f ca="1">_xll.meDateFromTenor(O895,"1D","FOLLOWING","TGT")</f>
        <v>43776</v>
      </c>
      <c r="P896" s="95">
        <f ca="1"/>
        <v>3.6422894351882461E-3</v>
      </c>
      <c r="Q896" s="5" t="s">
        <v>4</v>
      </c>
      <c r="R896" s="83" t="s">
        <v>4</v>
      </c>
    </row>
    <row r="897" spans="1:18" x14ac:dyDescent="0.25">
      <c r="A897" s="88">
        <v>883</v>
      </c>
      <c r="B897" s="82"/>
      <c r="C897" s="97">
        <f ca="1">_xll.meDateFromTenor(C896,"1D","FOLLOWING","TGT")</f>
        <v>43777</v>
      </c>
      <c r="D897" s="95">
        <f ca="1"/>
        <v>-2.2308860929584062E-3</v>
      </c>
      <c r="E897" s="92"/>
      <c r="F897" s="97">
        <f ca="1">_xll.meDateFromTenor(F896,"1D","FOLLOWING","TGT")</f>
        <v>43777</v>
      </c>
      <c r="G897" s="95">
        <f ca="1"/>
        <v>-1.489269545310292E-3</v>
      </c>
      <c r="H897" s="92" t="s">
        <v>4</v>
      </c>
      <c r="I897" s="97">
        <f ca="1">_xll.meDateFromTenor(I896,"1D","FOLLOWING","TGT")</f>
        <v>43777</v>
      </c>
      <c r="J897" s="95">
        <f ca="1"/>
        <v>-2.122107902498617E-4</v>
      </c>
      <c r="K897" s="5" t="s">
        <v>4</v>
      </c>
      <c r="L897" s="97">
        <f ca="1">_xll.meDateFromTenor(L896,"1D","FOLLOWING","TGT")</f>
        <v>43777</v>
      </c>
      <c r="M897" s="95">
        <f ca="1"/>
        <v>1.6284159386219159E-3</v>
      </c>
      <c r="N897" s="5" t="s">
        <v>4</v>
      </c>
      <c r="O897" s="97">
        <f ca="1">_xll.meDateFromTenor(O896,"1D","FOLLOWING","TGT")</f>
        <v>43777</v>
      </c>
      <c r="P897" s="95">
        <f ca="1"/>
        <v>3.6479208155791349E-3</v>
      </c>
      <c r="Q897" s="5" t="s">
        <v>4</v>
      </c>
      <c r="R897" s="83" t="s">
        <v>4</v>
      </c>
    </row>
    <row r="898" spans="1:18" x14ac:dyDescent="0.25">
      <c r="A898" s="88">
        <v>884</v>
      </c>
      <c r="B898" s="82"/>
      <c r="C898" s="97">
        <f ca="1">_xll.meDateFromTenor(C897,"1D","FOLLOWING","TGT")</f>
        <v>43780</v>
      </c>
      <c r="D898" s="95">
        <f ca="1"/>
        <v>-2.2162611344614946E-3</v>
      </c>
      <c r="E898" s="92"/>
      <c r="F898" s="97">
        <f ca="1">_xll.meDateFromTenor(F897,"1D","FOLLOWING","TGT")</f>
        <v>43780</v>
      </c>
      <c r="G898" s="95">
        <f ca="1"/>
        <v>-1.472357674633786E-3</v>
      </c>
      <c r="H898" s="92" t="s">
        <v>4</v>
      </c>
      <c r="I898" s="97">
        <f ca="1">_xll.meDateFromTenor(I897,"1D","FOLLOWING","TGT")</f>
        <v>43780</v>
      </c>
      <c r="J898" s="95">
        <f ca="1"/>
        <v>-1.9816627101016329E-4</v>
      </c>
      <c r="K898" s="5" t="s">
        <v>4</v>
      </c>
      <c r="L898" s="97">
        <f ca="1">_xll.meDateFromTenor(L897,"1D","FOLLOWING","TGT")</f>
        <v>43780</v>
      </c>
      <c r="M898" s="95">
        <f ca="1"/>
        <v>1.6462007736528618E-3</v>
      </c>
      <c r="N898" s="5" t="s">
        <v>4</v>
      </c>
      <c r="O898" s="97">
        <f ca="1">_xll.meDateFromTenor(O897,"1D","FOLLOWING","TGT")</f>
        <v>43780</v>
      </c>
      <c r="P898" s="95">
        <f ca="1"/>
        <v>3.6648279222925707E-3</v>
      </c>
      <c r="Q898" s="5" t="s">
        <v>4</v>
      </c>
      <c r="R898" s="83" t="s">
        <v>4</v>
      </c>
    </row>
    <row r="899" spans="1:18" x14ac:dyDescent="0.25">
      <c r="A899" s="88">
        <v>885</v>
      </c>
      <c r="B899" s="82"/>
      <c r="C899" s="97">
        <f ca="1">_xll.meDateFromTenor(C898,"1D","FOLLOWING","TGT")</f>
        <v>43781</v>
      </c>
      <c r="D899" s="95">
        <f ca="1"/>
        <v>-2.2113843651518916E-3</v>
      </c>
      <c r="E899" s="92"/>
      <c r="F899" s="97">
        <f ca="1">_xll.meDateFromTenor(F898,"1D","FOLLOWING","TGT")</f>
        <v>43781</v>
      </c>
      <c r="G899" s="95">
        <f ca="1"/>
        <v>-1.4666307304246344E-3</v>
      </c>
      <c r="H899" s="92" t="s">
        <v>4</v>
      </c>
      <c r="I899" s="97">
        <f ca="1">_xll.meDateFromTenor(I898,"1D","FOLLOWING","TGT")</f>
        <v>43781</v>
      </c>
      <c r="J899" s="95">
        <f ca="1"/>
        <v>-1.9346192986066925E-4</v>
      </c>
      <c r="K899" s="5" t="s">
        <v>4</v>
      </c>
      <c r="L899" s="97">
        <f ca="1">_xll.meDateFromTenor(L898,"1D","FOLLOWING","TGT")</f>
        <v>43781</v>
      </c>
      <c r="M899" s="95">
        <f ca="1"/>
        <v>1.652132507100557E-3</v>
      </c>
      <c r="N899" s="5" t="s">
        <v>4</v>
      </c>
      <c r="O899" s="97">
        <f ca="1">_xll.meDateFromTenor(O898,"1D","FOLLOWING","TGT")</f>
        <v>43781</v>
      </c>
      <c r="P899" s="95">
        <f ca="1"/>
        <v>3.6704680002539068E-3</v>
      </c>
      <c r="Q899" s="5" t="s">
        <v>4</v>
      </c>
      <c r="R899" s="83" t="s">
        <v>4</v>
      </c>
    </row>
    <row r="900" spans="1:18" x14ac:dyDescent="0.25">
      <c r="A900" s="88">
        <v>886</v>
      </c>
      <c r="B900" s="82"/>
      <c r="C900" s="97">
        <f ca="1">_xll.meDateFromTenor(C899,"1D","FOLLOWING","TGT")</f>
        <v>43782</v>
      </c>
      <c r="D900" s="95">
        <f ca="1"/>
        <v>-2.2065067041624475E-3</v>
      </c>
      <c r="E900" s="92"/>
      <c r="F900" s="97">
        <f ca="1">_xll.meDateFromTenor(F899,"1D","FOLLOWING","TGT")</f>
        <v>43782</v>
      </c>
      <c r="G900" s="95">
        <f ca="1"/>
        <v>-1.4608625235348744E-3</v>
      </c>
      <c r="H900" s="92" t="s">
        <v>4</v>
      </c>
      <c r="I900" s="97">
        <f ca="1">_xll.meDateFromTenor(I899,"1D","FOLLOWING","TGT")</f>
        <v>43782</v>
      </c>
      <c r="J900" s="95">
        <f ca="1"/>
        <v>-1.8874615703597531E-4</v>
      </c>
      <c r="K900" s="5" t="s">
        <v>4</v>
      </c>
      <c r="L900" s="97">
        <f ca="1">_xll.meDateFromTenor(L899,"1D","FOLLOWING","TGT")</f>
        <v>43782</v>
      </c>
      <c r="M900" s="95">
        <f ca="1"/>
        <v>1.658065961584786E-3</v>
      </c>
      <c r="N900" s="5" t="s">
        <v>4</v>
      </c>
      <c r="O900" s="97">
        <f ca="1">_xll.meDateFromTenor(O899,"1D","FOLLOWING","TGT")</f>
        <v>43782</v>
      </c>
      <c r="P900" s="95">
        <f ca="1"/>
        <v>3.6761102930153054E-3</v>
      </c>
      <c r="Q900" s="5" t="s">
        <v>4</v>
      </c>
      <c r="R900" s="83" t="s">
        <v>4</v>
      </c>
    </row>
    <row r="901" spans="1:18" x14ac:dyDescent="0.25">
      <c r="A901" s="88">
        <v>887</v>
      </c>
      <c r="B901" s="82"/>
      <c r="C901" s="97">
        <f ca="1">_xll.meDateFromTenor(C900,"1D","FOLLOWING","TGT")</f>
        <v>43783</v>
      </c>
      <c r="D901" s="95">
        <f ca="1"/>
        <v>-2.2016281511215707E-3</v>
      </c>
      <c r="E901" s="92"/>
      <c r="F901" s="97">
        <f ca="1">_xll.meDateFromTenor(F900,"1D","FOLLOWING","TGT")</f>
        <v>43783</v>
      </c>
      <c r="G901" s="95">
        <f ca="1"/>
        <v>-1.4550551925512363E-3</v>
      </c>
      <c r="H901" s="92" t="s">
        <v>4</v>
      </c>
      <c r="I901" s="97">
        <f ca="1">_xll.meDateFromTenor(I900,"1D","FOLLOWING","TGT")</f>
        <v>43783</v>
      </c>
      <c r="J901" s="95">
        <f ca="1"/>
        <v>-1.8401894395183983E-4</v>
      </c>
      <c r="K901" s="5" t="s">
        <v>4</v>
      </c>
      <c r="L901" s="97">
        <f ca="1">_xll.meDateFromTenor(L900,"1D","FOLLOWING","TGT")</f>
        <v>43783</v>
      </c>
      <c r="M901" s="95">
        <f ca="1"/>
        <v>1.6640011331962553E-3</v>
      </c>
      <c r="N901" s="5" t="s">
        <v>4</v>
      </c>
      <c r="O901" s="97">
        <f ca="1">_xll.meDateFromTenor(O900,"1D","FOLLOWING","TGT")</f>
        <v>43783</v>
      </c>
      <c r="P901" s="95">
        <f ca="1"/>
        <v>3.6817548167397463E-3</v>
      </c>
      <c r="Q901" s="5" t="s">
        <v>4</v>
      </c>
      <c r="R901" s="83" t="s">
        <v>4</v>
      </c>
    </row>
    <row r="902" spans="1:18" x14ac:dyDescent="0.25">
      <c r="A902" s="88">
        <v>888</v>
      </c>
      <c r="B902" s="82"/>
      <c r="C902" s="97">
        <f ca="1">_xll.meDateFromTenor(C901,"1D","FOLLOWING","TGT")</f>
        <v>43784</v>
      </c>
      <c r="D902" s="95">
        <f ca="1"/>
        <v>-2.1967487059365576E-3</v>
      </c>
      <c r="E902" s="92"/>
      <c r="F902" s="97">
        <f ca="1">_xll.meDateFromTenor(F901,"1D","FOLLOWING","TGT")</f>
        <v>43784</v>
      </c>
      <c r="G902" s="95">
        <f ca="1"/>
        <v>-1.4492108760604495E-3</v>
      </c>
      <c r="H902" s="92" t="s">
        <v>4</v>
      </c>
      <c r="I902" s="97">
        <f ca="1">_xll.meDateFromTenor(I901,"1D","FOLLOWING","TGT")</f>
        <v>43784</v>
      </c>
      <c r="J902" s="95">
        <f ca="1"/>
        <v>-1.7928028202402119E-4</v>
      </c>
      <c r="K902" s="5" t="s">
        <v>4</v>
      </c>
      <c r="L902" s="97">
        <f ca="1">_xll.meDateFromTenor(L901,"1D","FOLLOWING","TGT")</f>
        <v>43784</v>
      </c>
      <c r="M902" s="95">
        <f ca="1"/>
        <v>1.669938018025671E-3</v>
      </c>
      <c r="N902" s="5" t="s">
        <v>4</v>
      </c>
      <c r="O902" s="97">
        <f ca="1">_xll.meDateFromTenor(O901,"1D","FOLLOWING","TGT")</f>
        <v>43784</v>
      </c>
      <c r="P902" s="95">
        <f ca="1"/>
        <v>3.6874015875902099E-3</v>
      </c>
      <c r="Q902" s="5" t="s">
        <v>4</v>
      </c>
      <c r="R902" s="83" t="s">
        <v>4</v>
      </c>
    </row>
    <row r="903" spans="1:18" x14ac:dyDescent="0.25">
      <c r="A903" s="88">
        <v>889</v>
      </c>
      <c r="B903" s="82"/>
      <c r="C903" s="97">
        <f ca="1">_xll.meDateFromTenor(C902,"1D","FOLLOWING","TGT")</f>
        <v>43787</v>
      </c>
      <c r="D903" s="95">
        <f ca="1"/>
        <v>-2.1821050149164467E-3</v>
      </c>
      <c r="E903" s="92"/>
      <c r="F903" s="97">
        <f ca="1">_xll.meDateFromTenor(F902,"1D","FOLLOWING","TGT")</f>
        <v>43787</v>
      </c>
      <c r="G903" s="95">
        <f ca="1"/>
        <v>-1.4314773994124994E-3</v>
      </c>
      <c r="H903" s="92" t="s">
        <v>4</v>
      </c>
      <c r="I903" s="97">
        <f ca="1">_xll.meDateFromTenor(I902,"1D","FOLLOWING","TGT")</f>
        <v>43787</v>
      </c>
      <c r="J903" s="95">
        <f ca="1"/>
        <v>-1.6499551733605158E-4</v>
      </c>
      <c r="K903" s="5" t="s">
        <v>4</v>
      </c>
      <c r="L903" s="97">
        <f ca="1">_xll.meDateFromTenor(L902,"1D","FOLLOWING","TGT")</f>
        <v>43787</v>
      </c>
      <c r="M903" s="95">
        <f ca="1"/>
        <v>1.6877589127286602E-3</v>
      </c>
      <c r="N903" s="5" t="s">
        <v>4</v>
      </c>
      <c r="O903" s="97">
        <f ca="1">_xll.meDateFromTenor(O902,"1D","FOLLOWING","TGT")</f>
        <v>43787</v>
      </c>
      <c r="P903" s="95">
        <f ca="1"/>
        <v>3.7043555445275332E-3</v>
      </c>
      <c r="Q903" s="5" t="s">
        <v>4</v>
      </c>
      <c r="R903" s="83" t="s">
        <v>4</v>
      </c>
    </row>
    <row r="904" spans="1:18" x14ac:dyDescent="0.25">
      <c r="A904" s="88">
        <v>890</v>
      </c>
      <c r="B904" s="82"/>
      <c r="C904" s="97">
        <f ca="1">_xll.meDateFromTenor(C903,"1D","FOLLOWING","TGT")</f>
        <v>43788</v>
      </c>
      <c r="D904" s="95">
        <f ca="1"/>
        <v>-2.1772219988335229E-3</v>
      </c>
      <c r="E904" s="92"/>
      <c r="F904" s="97">
        <f ca="1">_xll.meDateFromTenor(F903,"1D","FOLLOWING","TGT")</f>
        <v>43788</v>
      </c>
      <c r="G904" s="95">
        <f ca="1"/>
        <v>-1.4255065267604176E-3</v>
      </c>
      <c r="H904" s="92" t="s">
        <v>4</v>
      </c>
      <c r="I904" s="97">
        <f ca="1">_xll.meDateFromTenor(I903,"1D","FOLLOWING","TGT")</f>
        <v>43788</v>
      </c>
      <c r="J904" s="95">
        <f ca="1"/>
        <v>-1.6021097419108393E-4</v>
      </c>
      <c r="K904" s="5" t="s">
        <v>4</v>
      </c>
      <c r="L904" s="97">
        <f ca="1">_xll.meDateFromTenor(L903,"1D","FOLLOWING","TGT")</f>
        <v>43788</v>
      </c>
      <c r="M904" s="95">
        <f ca="1"/>
        <v>1.6937026113369262E-3</v>
      </c>
      <c r="N904" s="5" t="s">
        <v>4</v>
      </c>
      <c r="O904" s="97">
        <f ca="1">_xll.meDateFromTenor(O903,"1D","FOLLOWING","TGT")</f>
        <v>43788</v>
      </c>
      <c r="P904" s="95">
        <f ca="1"/>
        <v>3.7100114655118878E-3</v>
      </c>
      <c r="Q904" s="5" t="s">
        <v>4</v>
      </c>
      <c r="R904" s="83" t="s">
        <v>4</v>
      </c>
    </row>
    <row r="905" spans="1:18" x14ac:dyDescent="0.25">
      <c r="A905" s="88">
        <v>891</v>
      </c>
      <c r="B905" s="82"/>
      <c r="C905" s="97">
        <f ca="1">_xll.meDateFromTenor(C904,"1D","FOLLOWING","TGT")</f>
        <v>43789</v>
      </c>
      <c r="D905" s="95">
        <f ca="1"/>
        <v>-2.1723380897845646E-3</v>
      </c>
      <c r="E905" s="92"/>
      <c r="F905" s="97">
        <f ca="1">_xll.meDateFromTenor(F904,"1D","FOLLOWING","TGT")</f>
        <v>43789</v>
      </c>
      <c r="G905" s="95">
        <f ca="1"/>
        <v>-1.4195093615348368E-3</v>
      </c>
      <c r="H905" s="92" t="s">
        <v>4</v>
      </c>
      <c r="I905" s="97">
        <f ca="1">_xll.meDateFromTenor(I904,"1D","FOLLOWING","TGT")</f>
        <v>43789</v>
      </c>
      <c r="J905" s="95">
        <f ca="1"/>
        <v>-1.55414939281225E-4</v>
      </c>
      <c r="K905" s="5" t="s">
        <v>4</v>
      </c>
      <c r="L905" s="97">
        <f ca="1">_xll.meDateFromTenor(L904,"1D","FOLLOWING","TGT")</f>
        <v>43789</v>
      </c>
      <c r="M905" s="95">
        <f ca="1"/>
        <v>1.699648003616671E-3</v>
      </c>
      <c r="N905" s="5" t="s">
        <v>4</v>
      </c>
      <c r="O905" s="97">
        <f ca="1">_xll.meDateFromTenor(O904,"1D","FOLLOWING","TGT")</f>
        <v>43789</v>
      </c>
      <c r="P905" s="95">
        <f ca="1"/>
        <v>3.7156697144371652E-3</v>
      </c>
      <c r="Q905" s="5" t="s">
        <v>4</v>
      </c>
      <c r="R905" s="83" t="s">
        <v>4</v>
      </c>
    </row>
    <row r="906" spans="1:18" x14ac:dyDescent="0.25">
      <c r="A906" s="88">
        <v>892</v>
      </c>
      <c r="B906" s="82"/>
      <c r="C906" s="97">
        <f ca="1">_xll.meDateFromTenor(C905,"1D","FOLLOWING","TGT")</f>
        <v>43790</v>
      </c>
      <c r="D906" s="95">
        <f ca="1"/>
        <v>-2.1674532872384411E-3</v>
      </c>
      <c r="E906" s="92"/>
      <c r="F906" s="97">
        <f ca="1">_xll.meDateFromTenor(F905,"1D","FOLLOWING","TGT")</f>
        <v>43790</v>
      </c>
      <c r="G906" s="95">
        <f ca="1"/>
        <v>-1.4134880423224867E-3</v>
      </c>
      <c r="H906" s="92" t="s">
        <v>4</v>
      </c>
      <c r="I906" s="97">
        <f ca="1">_xll.meDateFromTenor(I905,"1D","FOLLOWING","TGT")</f>
        <v>43790</v>
      </c>
      <c r="J906" s="95">
        <f ca="1"/>
        <v>-1.506074040222331E-4</v>
      </c>
      <c r="K906" s="5" t="s">
        <v>4</v>
      </c>
      <c r="L906" s="97">
        <f ca="1">_xll.meDateFromTenor(L905,"1D","FOLLOWING","TGT")</f>
        <v>43790</v>
      </c>
      <c r="M906" s="95">
        <f ca="1"/>
        <v>1.7055950856586007E-3</v>
      </c>
      <c r="N906" s="5" t="s">
        <v>4</v>
      </c>
      <c r="O906" s="97">
        <f ca="1">_xll.meDateFromTenor(O905,"1D","FOLLOWING","TGT")</f>
        <v>43790</v>
      </c>
      <c r="P906" s="95">
        <f ca="1"/>
        <v>3.7213303074663463E-3</v>
      </c>
      <c r="Q906" s="5" t="s">
        <v>4</v>
      </c>
      <c r="R906" s="83" t="s">
        <v>4</v>
      </c>
    </row>
    <row r="907" spans="1:18" x14ac:dyDescent="0.25">
      <c r="A907" s="88">
        <v>893</v>
      </c>
      <c r="B907" s="82"/>
      <c r="C907" s="97">
        <f ca="1">_xll.meDateFromTenor(C906,"1D","FOLLOWING","TGT")</f>
        <v>43791</v>
      </c>
      <c r="D907" s="95">
        <f ca="1"/>
        <v>-2.162567591341702E-3</v>
      </c>
      <c r="E907" s="92"/>
      <c r="F907" s="97">
        <f ca="1">_xll.meDateFromTenor(F906,"1D","FOLLOWING","TGT")</f>
        <v>43791</v>
      </c>
      <c r="G907" s="95">
        <f ca="1"/>
        <v>-1.4074447077100974E-3</v>
      </c>
      <c r="H907" s="92" t="s">
        <v>4</v>
      </c>
      <c r="I907" s="97">
        <f ca="1">_xll.meDateFromTenor(I906,"1D","FOLLOWING","TGT")</f>
        <v>43791</v>
      </c>
      <c r="J907" s="95">
        <f ca="1"/>
        <v>-1.4578835982986661E-4</v>
      </c>
      <c r="K907" s="5" t="s">
        <v>4</v>
      </c>
      <c r="L907" s="97">
        <f ca="1">_xll.meDateFromTenor(L906,"1D","FOLLOWING","TGT")</f>
        <v>43791</v>
      </c>
      <c r="M907" s="95">
        <f ca="1"/>
        <v>1.7115438535534218E-3</v>
      </c>
      <c r="N907" s="5" t="s">
        <v>4</v>
      </c>
      <c r="O907" s="97">
        <f ca="1">_xll.meDateFromTenor(O906,"1D","FOLLOWING","TGT")</f>
        <v>43791</v>
      </c>
      <c r="P907" s="95">
        <f ca="1"/>
        <v>3.7269932607624109E-3</v>
      </c>
      <c r="Q907" s="5" t="s">
        <v>4</v>
      </c>
      <c r="R907" s="83" t="s">
        <v>4</v>
      </c>
    </row>
    <row r="908" spans="1:18" x14ac:dyDescent="0.25">
      <c r="A908" s="88">
        <v>894</v>
      </c>
      <c r="B908" s="82"/>
      <c r="C908" s="97">
        <f ca="1">_xll.meDateFromTenor(C907,"1D","FOLLOWING","TGT")</f>
        <v>43794</v>
      </c>
      <c r="D908" s="95">
        <f ca="1"/>
        <v>-2.1479051400692395E-3</v>
      </c>
      <c r="E908" s="92"/>
      <c r="F908" s="97">
        <f ca="1">_xll.meDateFromTenor(F907,"1D","FOLLOWING","TGT")</f>
        <v>43794</v>
      </c>
      <c r="G908" s="95">
        <f ca="1"/>
        <v>-1.389203997339993E-3</v>
      </c>
      <c r="H908" s="92" t="s">
        <v>4</v>
      </c>
      <c r="I908" s="97">
        <f ca="1">_xll.meDateFromTenor(I907,"1D","FOLLOWING","TGT")</f>
        <v>43794</v>
      </c>
      <c r="J908" s="95">
        <f ca="1"/>
        <v>-1.3126208781010396E-4</v>
      </c>
      <c r="K908" s="5" t="s">
        <v>4</v>
      </c>
      <c r="L908" s="97">
        <f ca="1">_xll.meDateFromTenor(L907,"1D","FOLLOWING","TGT")</f>
        <v>43794</v>
      </c>
      <c r="M908" s="95">
        <f ca="1"/>
        <v>1.7294002332622961E-3</v>
      </c>
      <c r="N908" s="5" t="s">
        <v>4</v>
      </c>
      <c r="O908" s="97">
        <f ca="1">_xll.meDateFromTenor(O907,"1D","FOLLOWING","TGT")</f>
        <v>43794</v>
      </c>
      <c r="P908" s="95">
        <f ca="1"/>
        <v>3.7439964438817043E-3</v>
      </c>
      <c r="Q908" s="5" t="s">
        <v>4</v>
      </c>
      <c r="R908" s="83" t="s">
        <v>4</v>
      </c>
    </row>
    <row r="909" spans="1:18" x14ac:dyDescent="0.25">
      <c r="A909" s="88">
        <v>895</v>
      </c>
      <c r="B909" s="82"/>
      <c r="C909" s="97">
        <f ca="1">_xll.meDateFromTenor(C908,"1D","FOLLOWING","TGT")</f>
        <v>43795</v>
      </c>
      <c r="D909" s="95">
        <f ca="1"/>
        <v>-2.1430158678498179E-3</v>
      </c>
      <c r="E909" s="92"/>
      <c r="F909" s="97">
        <f ca="1">_xll.meDateFromTenor(F908,"1D","FOLLOWING","TGT")</f>
        <v>43795</v>
      </c>
      <c r="G909" s="95">
        <f ca="1"/>
        <v>-1.3830939869947452E-3</v>
      </c>
      <c r="H909" s="92" t="s">
        <v>4</v>
      </c>
      <c r="I909" s="97">
        <f ca="1">_xll.meDateFromTenor(I908,"1D","FOLLOWING","TGT")</f>
        <v>43795</v>
      </c>
      <c r="J909" s="95">
        <f ca="1"/>
        <v>-1.2639692204182272E-4</v>
      </c>
      <c r="K909" s="5" t="s">
        <v>4</v>
      </c>
      <c r="L909" s="97">
        <f ca="1">_xll.meDateFromTenor(L908,"1D","FOLLOWING","TGT")</f>
        <v>43795</v>
      </c>
      <c r="M909" s="95">
        <f ca="1"/>
        <v>1.7353557054757465E-3</v>
      </c>
      <c r="N909" s="5" t="s">
        <v>4</v>
      </c>
      <c r="O909" s="97">
        <f ca="1">_xll.meDateFromTenor(O908,"1D","FOLLOWING","TGT")</f>
        <v>43795</v>
      </c>
      <c r="P909" s="95">
        <f ca="1"/>
        <v>3.7496689998751027E-3</v>
      </c>
      <c r="Q909" s="5" t="s">
        <v>4</v>
      </c>
      <c r="R909" s="83" t="s">
        <v>4</v>
      </c>
    </row>
    <row r="910" spans="1:18" x14ac:dyDescent="0.25">
      <c r="A910" s="88">
        <v>896</v>
      </c>
      <c r="B910" s="82"/>
      <c r="C910" s="97">
        <f ca="1">_xll.meDateFromTenor(C909,"1D","FOLLOWING","TGT")</f>
        <v>43796</v>
      </c>
      <c r="D910" s="95">
        <f ca="1"/>
        <v>-2.1381257014576605E-3</v>
      </c>
      <c r="E910" s="92"/>
      <c r="F910" s="97">
        <f ca="1">_xll.meDateFromTenor(F909,"1D","FOLLOWING","TGT")</f>
        <v>43796</v>
      </c>
      <c r="G910" s="95">
        <f ca="1"/>
        <v>-1.376972654183108E-3</v>
      </c>
      <c r="H910" s="92" t="s">
        <v>4</v>
      </c>
      <c r="I910" s="97">
        <f ca="1">_xll.meDateFromTenor(I909,"1D","FOLLOWING","TGT")</f>
        <v>43796</v>
      </c>
      <c r="J910" s="95">
        <f ca="1"/>
        <v>-1.2152020441895949E-4</v>
      </c>
      <c r="K910" s="5" t="s">
        <v>4</v>
      </c>
      <c r="L910" s="97">
        <f ca="1">_xll.meDateFromTenor(L909,"1D","FOLLOWING","TGT")</f>
        <v>43796</v>
      </c>
      <c r="M910" s="95">
        <f ca="1"/>
        <v>1.7413128439956189E-3</v>
      </c>
      <c r="N910" s="5" t="s">
        <v>4</v>
      </c>
      <c r="O910" s="97">
        <f ca="1">_xll.meDateFromTenor(O909,"1D","FOLLOWING","TGT")</f>
        <v>43796</v>
      </c>
      <c r="P910" s="95">
        <f ca="1"/>
        <v>3.7553439969502849E-3</v>
      </c>
      <c r="Q910" s="5" t="s">
        <v>4</v>
      </c>
      <c r="R910" s="83" t="s">
        <v>4</v>
      </c>
    </row>
    <row r="911" spans="1:18" x14ac:dyDescent="0.25">
      <c r="A911" s="88">
        <v>897</v>
      </c>
      <c r="B911" s="82"/>
      <c r="C911" s="97">
        <f ca="1">_xll.meDateFromTenor(C910,"1D","FOLLOWING","TGT")</f>
        <v>43797</v>
      </c>
      <c r="D911" s="95">
        <f ca="1"/>
        <v>-2.1332346400025903E-3</v>
      </c>
      <c r="E911" s="92"/>
      <c r="F911" s="97">
        <f ca="1">_xll.meDateFromTenor(F910,"1D","FOLLOWING","TGT")</f>
        <v>43797</v>
      </c>
      <c r="G911" s="95">
        <f ca="1"/>
        <v>-1.3708421374918102E-3</v>
      </c>
      <c r="H911" s="92" t="s">
        <v>4</v>
      </c>
      <c r="I911" s="97">
        <f ca="1">_xll.meDateFromTenor(I910,"1D","FOLLOWING","TGT")</f>
        <v>43797</v>
      </c>
      <c r="J911" s="95">
        <f ca="1"/>
        <v>-1.1663192635727107E-4</v>
      </c>
      <c r="K911" s="5" t="s">
        <v>4</v>
      </c>
      <c r="L911" s="97">
        <f ca="1">_xll.meDateFromTenor(L910,"1D","FOLLOWING","TGT")</f>
        <v>43797</v>
      </c>
      <c r="M911" s="95">
        <f ca="1"/>
        <v>1.7472716449126225E-3</v>
      </c>
      <c r="N911" s="5" t="s">
        <v>4</v>
      </c>
      <c r="O911" s="97">
        <f ca="1">_xll.meDateFromTenor(O910,"1D","FOLLOWING","TGT")</f>
        <v>43797</v>
      </c>
      <c r="P911" s="95">
        <f ca="1"/>
        <v>3.7610214512702324E-3</v>
      </c>
      <c r="Q911" s="5" t="s">
        <v>4</v>
      </c>
      <c r="R911" s="83" t="s">
        <v>4</v>
      </c>
    </row>
    <row r="912" spans="1:18" x14ac:dyDescent="0.25">
      <c r="A912" s="88">
        <v>898</v>
      </c>
      <c r="B912" s="82"/>
      <c r="C912" s="97">
        <f ca="1">_xll.meDateFromTenor(C911,"1D","FOLLOWING","TGT")</f>
        <v>43798</v>
      </c>
      <c r="D912" s="95">
        <f ca="1"/>
        <v>-2.1283426840299491E-3</v>
      </c>
      <c r="E912" s="92"/>
      <c r="F912" s="97">
        <f ca="1">_xll.meDateFromTenor(F911,"1D","FOLLOWING","TGT")</f>
        <v>43798</v>
      </c>
      <c r="G912" s="95">
        <f ca="1"/>
        <v>-1.3647045755075817E-3</v>
      </c>
      <c r="H912" s="92" t="s">
        <v>4</v>
      </c>
      <c r="I912" s="97">
        <f ca="1">_xll.meDateFromTenor(I911,"1D","FOLLOWING","TGT")</f>
        <v>43798</v>
      </c>
      <c r="J912" s="95">
        <f ca="1"/>
        <v>-1.1173207927251662E-4</v>
      </c>
      <c r="K912" s="5" t="s">
        <v>4</v>
      </c>
      <c r="L912" s="97">
        <f ca="1">_xll.meDateFromTenor(L911,"1D","FOLLOWING","TGT")</f>
        <v>43798</v>
      </c>
      <c r="M912" s="95">
        <f ca="1"/>
        <v>1.7532321043174622E-3</v>
      </c>
      <c r="N912" s="5" t="s">
        <v>4</v>
      </c>
      <c r="O912" s="97">
        <f ca="1">_xll.meDateFromTenor(O911,"1D","FOLLOWING","TGT")</f>
        <v>43798</v>
      </c>
      <c r="P912" s="95">
        <f ca="1"/>
        <v>3.7667013789979237E-3</v>
      </c>
      <c r="Q912" s="5" t="s">
        <v>4</v>
      </c>
      <c r="R912" s="83" t="s">
        <v>4</v>
      </c>
    </row>
    <row r="913" spans="1:18" x14ac:dyDescent="0.25">
      <c r="A913" s="88">
        <v>899</v>
      </c>
      <c r="B913" s="82"/>
      <c r="C913" s="97">
        <f ca="1">_xll.meDateFromTenor(C912,"1D","FOLLOWING","TGT")</f>
        <v>43801</v>
      </c>
      <c r="D913" s="95">
        <f ca="1"/>
        <v>-2.113666610438214E-3</v>
      </c>
      <c r="E913" s="92"/>
      <c r="F913" s="97">
        <f ca="1">_xll.meDateFromTenor(F912,"1D","FOLLOWING","TGT")</f>
        <v>43801</v>
      </c>
      <c r="G913" s="95">
        <f ca="1"/>
        <v>-1.3462710036646148E-3</v>
      </c>
      <c r="H913" s="92" t="s">
        <v>4</v>
      </c>
      <c r="I913" s="97">
        <f ca="1">_xll.meDateFromTenor(I912,"1D","FOLLOWING","TGT")</f>
        <v>43801</v>
      </c>
      <c r="J913" s="95">
        <f ca="1"/>
        <v>-9.6963038037440696E-5</v>
      </c>
      <c r="K913" s="5" t="s">
        <v>4</v>
      </c>
      <c r="L913" s="97">
        <f ca="1">_xll.meDateFromTenor(L912,"1D","FOLLOWING","TGT")</f>
        <v>43801</v>
      </c>
      <c r="M913" s="95">
        <f ca="1"/>
        <v>1.7711233943660612E-3</v>
      </c>
      <c r="N913" s="5" t="s">
        <v>4</v>
      </c>
      <c r="O913" s="97">
        <f ca="1">_xll.meDateFromTenor(O912,"1D","FOLLOWING","TGT")</f>
        <v>43801</v>
      </c>
      <c r="P913" s="95">
        <f ca="1"/>
        <v>3.7837561642572659E-3</v>
      </c>
      <c r="Q913" s="5" t="s">
        <v>4</v>
      </c>
      <c r="R913" s="83" t="s">
        <v>4</v>
      </c>
    </row>
    <row r="914" spans="1:18" x14ac:dyDescent="0.25">
      <c r="A914" s="88">
        <v>900</v>
      </c>
      <c r="B914" s="82"/>
      <c r="C914" s="97">
        <f ca="1">_xll.meDateFromTenor(C913,"1D","FOLLOWING","TGT")</f>
        <v>43802</v>
      </c>
      <c r="D914" s="95">
        <f ca="1"/>
        <v>-2.1088020687359821E-3</v>
      </c>
      <c r="E914" s="92"/>
      <c r="F914" s="97">
        <f ca="1">_xll.meDateFromTenor(F913,"1D","FOLLOWING","TGT")</f>
        <v>43802</v>
      </c>
      <c r="G914" s="95">
        <f ca="1"/>
        <v>-1.3401264501848708E-3</v>
      </c>
      <c r="H914" s="92" t="s">
        <v>4</v>
      </c>
      <c r="I914" s="97">
        <f ca="1">_xll.meDateFromTenor(I913,"1D","FOLLOWING","TGT")</f>
        <v>43802</v>
      </c>
      <c r="J914" s="95">
        <f ca="1"/>
        <v>-9.2016832164932457E-5</v>
      </c>
      <c r="K914" s="5" t="s">
        <v>4</v>
      </c>
      <c r="L914" s="97">
        <f ca="1">_xll.meDateFromTenor(L913,"1D","FOLLOWING","TGT")</f>
        <v>43802</v>
      </c>
      <c r="M914" s="95">
        <f ca="1"/>
        <v>1.777090024151314E-3</v>
      </c>
      <c r="N914" s="5" t="s">
        <v>4</v>
      </c>
      <c r="O914" s="97">
        <f ca="1">_xll.meDateFromTenor(O913,"1D","FOLLOWING","TGT")</f>
        <v>43802</v>
      </c>
      <c r="P914" s="95">
        <f ca="1"/>
        <v>3.7894461472457366E-3</v>
      </c>
      <c r="Q914" s="5" t="s">
        <v>4</v>
      </c>
      <c r="R914" s="83" t="s">
        <v>4</v>
      </c>
    </row>
    <row r="915" spans="1:18" x14ac:dyDescent="0.25">
      <c r="A915" s="88">
        <v>901</v>
      </c>
      <c r="B915" s="82"/>
      <c r="C915" s="97">
        <f ca="1">_xll.meDateFromTenor(C914,"1D","FOLLOWING","TGT")</f>
        <v>43803</v>
      </c>
      <c r="D915" s="95">
        <f ca="1"/>
        <v>-2.1039676265837137E-3</v>
      </c>
      <c r="E915" s="92"/>
      <c r="F915" s="97">
        <f ca="1">_xll.meDateFromTenor(F914,"1D","FOLLOWING","TGT")</f>
        <v>43803</v>
      </c>
      <c r="G915" s="95">
        <f ca="1"/>
        <v>-1.3339843671992828E-3</v>
      </c>
      <c r="H915" s="92" t="s">
        <v>4</v>
      </c>
      <c r="I915" s="97">
        <f ca="1">_xll.meDateFromTenor(I914,"1D","FOLLOWING","TGT")</f>
        <v>43803</v>
      </c>
      <c r="J915" s="95">
        <f ca="1"/>
        <v>-8.7059033229711078E-5</v>
      </c>
      <c r="K915" s="5" t="s">
        <v>4</v>
      </c>
      <c r="L915" s="97">
        <f ca="1">_xll.meDateFromTenor(L914,"1D","FOLLOWING","TGT")</f>
        <v>43803</v>
      </c>
      <c r="M915" s="95">
        <f ca="1"/>
        <v>1.7830574585055317E-3</v>
      </c>
      <c r="N915" s="5" t="s">
        <v>4</v>
      </c>
      <c r="O915" s="97">
        <f ca="1">_xll.meDateFromTenor(O914,"1D","FOLLOWING","TGT")</f>
        <v>43803</v>
      </c>
      <c r="P915" s="95">
        <f ca="1"/>
        <v>3.7951386844568506E-3</v>
      </c>
      <c r="Q915" s="5" t="s">
        <v>4</v>
      </c>
      <c r="R915" s="83" t="s">
        <v>4</v>
      </c>
    </row>
    <row r="916" spans="1:18" x14ac:dyDescent="0.25">
      <c r="A916" s="88">
        <v>902</v>
      </c>
      <c r="B916" s="82"/>
      <c r="C916" s="97">
        <f ca="1">_xll.meDateFromTenor(C915,"1D","FOLLOWING","TGT")</f>
        <v>43804</v>
      </c>
      <c r="D916" s="95">
        <f ca="1"/>
        <v>-2.0991632837411567E-3</v>
      </c>
      <c r="E916" s="92"/>
      <c r="F916" s="97">
        <f ca="1">_xll.meDateFromTenor(F915,"1D","FOLLOWING","TGT")</f>
        <v>43804</v>
      </c>
      <c r="G916" s="95">
        <f ca="1"/>
        <v>-1.3278457161480155E-3</v>
      </c>
      <c r="H916" s="92" t="s">
        <v>4</v>
      </c>
      <c r="I916" s="97">
        <f ca="1">_xll.meDateFromTenor(I915,"1D","FOLLOWING","TGT")</f>
        <v>43804</v>
      </c>
      <c r="J916" s="95">
        <f ca="1"/>
        <v>-8.2089651529093568E-5</v>
      </c>
      <c r="K916" s="5" t="s">
        <v>4</v>
      </c>
      <c r="L916" s="97">
        <f ca="1">_xll.meDateFromTenor(L915,"1D","FOLLOWING","TGT")</f>
        <v>43804</v>
      </c>
      <c r="M916" s="95">
        <f ca="1"/>
        <v>1.789025715394806E-3</v>
      </c>
      <c r="N916" s="5" t="s">
        <v>4</v>
      </c>
      <c r="O916" s="97">
        <f ca="1">_xll.meDateFromTenor(O915,"1D","FOLLOWING","TGT")</f>
        <v>43804</v>
      </c>
      <c r="P916" s="95">
        <f ca="1"/>
        <v>3.8008337920535915E-3</v>
      </c>
      <c r="Q916" s="5" t="s">
        <v>4</v>
      </c>
      <c r="R916" s="83" t="s">
        <v>4</v>
      </c>
    </row>
    <row r="917" spans="1:18" x14ac:dyDescent="0.25">
      <c r="A917" s="88">
        <v>903</v>
      </c>
      <c r="B917" s="82"/>
      <c r="C917" s="97">
        <f ca="1">_xll.meDateFromTenor(C916,"1D","FOLLOWING","TGT")</f>
        <v>43805</v>
      </c>
      <c r="D917" s="95">
        <f ca="1"/>
        <v>-2.0943890395240805E-3</v>
      </c>
      <c r="E917" s="92"/>
      <c r="F917" s="97">
        <f ca="1">_xll.meDateFromTenor(F916,"1D","FOLLOWING","TGT")</f>
        <v>43805</v>
      </c>
      <c r="G917" s="95">
        <f ca="1"/>
        <v>-1.3217114584712373E-3</v>
      </c>
      <c r="H917" s="92" t="s">
        <v>4</v>
      </c>
      <c r="I917" s="97">
        <f ca="1">_xll.meDateFromTenor(I916,"1D","FOLLOWING","TGT")</f>
        <v>43805</v>
      </c>
      <c r="J917" s="95">
        <f ca="1"/>
        <v>-7.7108697360400174E-5</v>
      </c>
      <c r="K917" s="5" t="s">
        <v>4</v>
      </c>
      <c r="L917" s="97">
        <f ca="1">_xll.meDateFromTenor(L916,"1D","FOLLOWING","TGT")</f>
        <v>43805</v>
      </c>
      <c r="M917" s="95">
        <f ca="1"/>
        <v>1.7949948127852235E-3</v>
      </c>
      <c r="N917" s="5" t="s">
        <v>4</v>
      </c>
      <c r="O917" s="97">
        <f ca="1">_xll.meDateFromTenor(O916,"1D","FOLLOWING","TGT")</f>
        <v>43805</v>
      </c>
      <c r="P917" s="95">
        <f ca="1"/>
        <v>3.8065314861989354E-3</v>
      </c>
      <c r="Q917" s="5" t="s">
        <v>4</v>
      </c>
      <c r="R917" s="83" t="s">
        <v>4</v>
      </c>
    </row>
    <row r="918" spans="1:18" x14ac:dyDescent="0.25">
      <c r="A918" s="88">
        <v>904</v>
      </c>
      <c r="B918" s="82"/>
      <c r="C918" s="97">
        <f ca="1">_xll.meDateFromTenor(C917,"1D","FOLLOWING","TGT")</f>
        <v>43808</v>
      </c>
      <c r="D918" s="95">
        <f ca="1"/>
        <v>-2.0802468952270114E-3</v>
      </c>
      <c r="E918" s="92"/>
      <c r="F918" s="97">
        <f ca="1">_xll.meDateFromTenor(F917,"1D","FOLLOWING","TGT")</f>
        <v>43808</v>
      </c>
      <c r="G918" s="95">
        <f ca="1"/>
        <v>-1.3033446600894862E-3</v>
      </c>
      <c r="H918" s="92" t="s">
        <v>4</v>
      </c>
      <c r="I918" s="97">
        <f ca="1">_xll.meDateFromTenor(I917,"1D","FOLLOWING","TGT")</f>
        <v>43808</v>
      </c>
      <c r="J918" s="95">
        <f ca="1"/>
        <v>-6.2096503019043597E-5</v>
      </c>
      <c r="K918" s="5" t="s">
        <v>4</v>
      </c>
      <c r="L918" s="97">
        <f ca="1">_xll.meDateFromTenor(L917,"1D","FOLLOWING","TGT")</f>
        <v>43808</v>
      </c>
      <c r="M918" s="95">
        <f ca="1"/>
        <v>1.8129073276242343E-3</v>
      </c>
      <c r="N918" s="5" t="s">
        <v>4</v>
      </c>
      <c r="O918" s="97">
        <f ca="1">_xll.meDateFromTenor(O917,"1D","FOLLOWING","TGT")</f>
        <v>43808</v>
      </c>
      <c r="P918" s="95">
        <f ca="1"/>
        <v>3.8236402495564056E-3</v>
      </c>
      <c r="Q918" s="5" t="s">
        <v>4</v>
      </c>
      <c r="R918" s="83" t="s">
        <v>4</v>
      </c>
    </row>
    <row r="919" spans="1:18" x14ac:dyDescent="0.25">
      <c r="A919" s="88">
        <v>905</v>
      </c>
      <c r="B919" s="82"/>
      <c r="C919" s="97">
        <f ca="1">_xll.meDateFromTenor(C918,"1D","FOLLOWING","TGT")</f>
        <v>43809</v>
      </c>
      <c r="D919" s="95">
        <f ca="1"/>
        <v>-2.0755930415801149E-3</v>
      </c>
      <c r="E919" s="92"/>
      <c r="F919" s="97">
        <f ca="1">_xll.meDateFromTenor(F918,"1D","FOLLOWING","TGT")</f>
        <v>43809</v>
      </c>
      <c r="G919" s="95">
        <f ca="1"/>
        <v>-1.2972375903123191E-3</v>
      </c>
      <c r="H919" s="92" t="s">
        <v>4</v>
      </c>
      <c r="I919" s="97">
        <f ca="1">_xll.meDateFromTenor(I918,"1D","FOLLOWING","TGT")</f>
        <v>43809</v>
      </c>
      <c r="J919" s="95">
        <f ca="1"/>
        <v>-5.7069361951228821E-5</v>
      </c>
      <c r="K919" s="5" t="s">
        <v>4</v>
      </c>
      <c r="L919" s="97">
        <f ca="1">_xll.meDateFromTenor(L918,"1D","FOLLOWING","TGT")</f>
        <v>43809</v>
      </c>
      <c r="M919" s="95">
        <f ca="1"/>
        <v>1.8188799666801197E-3</v>
      </c>
      <c r="N919" s="5" t="s">
        <v>4</v>
      </c>
      <c r="O919" s="97">
        <f ca="1">_xll.meDateFromTenor(O918,"1D","FOLLOWING","TGT")</f>
        <v>43809</v>
      </c>
      <c r="P919" s="95">
        <f ca="1"/>
        <v>3.8293484515259726E-3</v>
      </c>
      <c r="Q919" s="5" t="s">
        <v>4</v>
      </c>
      <c r="R919" s="83" t="s">
        <v>4</v>
      </c>
    </row>
    <row r="920" spans="1:18" x14ac:dyDescent="0.25">
      <c r="A920" s="88">
        <v>906</v>
      </c>
      <c r="B920" s="82"/>
      <c r="C920" s="97">
        <f ca="1">_xll.meDateFromTenor(C919,"1D","FOLLOWING","TGT")</f>
        <v>43810</v>
      </c>
      <c r="D920" s="95">
        <f ca="1"/>
        <v>-2.0709692841799354E-3</v>
      </c>
      <c r="E920" s="92"/>
      <c r="F920" s="97">
        <f ca="1">_xll.meDateFromTenor(F919,"1D","FOLLOWING","TGT")</f>
        <v>43810</v>
      </c>
      <c r="G920" s="95">
        <f ca="1"/>
        <v>-1.2911397211104706E-3</v>
      </c>
      <c r="H920" s="92" t="s">
        <v>4</v>
      </c>
      <c r="I920" s="97">
        <f ca="1">_xll.meDateFromTenor(I919,"1D","FOLLOWING","TGT")</f>
        <v>43810</v>
      </c>
      <c r="J920" s="95">
        <f ca="1"/>
        <v>-5.2030699901930481E-5</v>
      </c>
      <c r="K920" s="5" t="s">
        <v>4</v>
      </c>
      <c r="L920" s="97">
        <f ca="1">_xll.meDateFromTenor(L919,"1D","FOLLOWING","TGT")</f>
        <v>43810</v>
      </c>
      <c r="M920" s="95">
        <f ca="1"/>
        <v>1.8248535360675946E-3</v>
      </c>
      <c r="N920" s="5" t="s">
        <v>4</v>
      </c>
      <c r="O920" s="97">
        <f ca="1">_xll.meDateFromTenor(O919,"1D","FOLLOWING","TGT")</f>
        <v>43810</v>
      </c>
      <c r="P920" s="95">
        <f ca="1"/>
        <v>3.8350593208590468E-3</v>
      </c>
      <c r="Q920" s="5" t="s">
        <v>4</v>
      </c>
      <c r="R920" s="83" t="s">
        <v>4</v>
      </c>
    </row>
    <row r="921" spans="1:18" x14ac:dyDescent="0.25">
      <c r="A921" s="88">
        <v>907</v>
      </c>
      <c r="B921" s="82"/>
      <c r="C921" s="97">
        <f ca="1">_xll.meDateFromTenor(C920,"1D","FOLLOWING","TGT")</f>
        <v>43811</v>
      </c>
      <c r="D921" s="95">
        <f ca="1"/>
        <v>-2.0663756231247277E-3</v>
      </c>
      <c r="E921" s="92"/>
      <c r="F921" s="97">
        <f ca="1">_xll.meDateFromTenor(F920,"1D","FOLLOWING","TGT")</f>
        <v>43811</v>
      </c>
      <c r="G921" s="95">
        <f ca="1"/>
        <v>-1.2850520139241067E-3</v>
      </c>
      <c r="H921" s="92" t="s">
        <v>4</v>
      </c>
      <c r="I921" s="97">
        <f ca="1">_xll.meDateFromTenor(I920,"1D","FOLLOWING","TGT")</f>
        <v>43811</v>
      </c>
      <c r="J921" s="95">
        <f ca="1"/>
        <v>-4.6980527168467198E-5</v>
      </c>
      <c r="K921" s="5" t="s">
        <v>4</v>
      </c>
      <c r="L921" s="97">
        <f ca="1">_xll.meDateFromTenor(L920,"1D","FOLLOWING","TGT")</f>
        <v>43811</v>
      </c>
      <c r="M921" s="95">
        <f ca="1"/>
        <v>1.830828053752748E-3</v>
      </c>
      <c r="N921" s="5" t="s">
        <v>4</v>
      </c>
      <c r="O921" s="97">
        <f ca="1">_xll.meDateFromTenor(O920,"1D","FOLLOWING","TGT")</f>
        <v>43811</v>
      </c>
      <c r="P921" s="95">
        <f ca="1"/>
        <v>3.8407728737186063E-3</v>
      </c>
      <c r="Q921" s="5" t="s">
        <v>4</v>
      </c>
      <c r="R921" s="83" t="s">
        <v>4</v>
      </c>
    </row>
    <row r="922" spans="1:18" x14ac:dyDescent="0.25">
      <c r="A922" s="88">
        <v>908</v>
      </c>
      <c r="B922" s="82"/>
      <c r="C922" s="97">
        <f ca="1">_xll.meDateFromTenor(C921,"1D","FOLLOWING","TGT")</f>
        <v>43812</v>
      </c>
      <c r="D922" s="95">
        <f ca="1"/>
        <v>-2.0618120574730225E-3</v>
      </c>
      <c r="E922" s="92"/>
      <c r="F922" s="97">
        <f ca="1">_xll.meDateFromTenor(F921,"1D","FOLLOWING","TGT")</f>
        <v>43812</v>
      </c>
      <c r="G922" s="95">
        <f ca="1"/>
        <v>-1.2789754301933943E-3</v>
      </c>
      <c r="H922" s="92" t="s">
        <v>4</v>
      </c>
      <c r="I922" s="97">
        <f ca="1">_xll.meDateFromTenor(I921,"1D","FOLLOWING","TGT")</f>
        <v>43812</v>
      </c>
      <c r="J922" s="95">
        <f ca="1"/>
        <v>-4.1918854048158401E-5</v>
      </c>
      <c r="K922" s="5" t="s">
        <v>4</v>
      </c>
      <c r="L922" s="97">
        <f ca="1">_xll.meDateFromTenor(L921,"1D","FOLLOWING","TGT")</f>
        <v>43812</v>
      </c>
      <c r="M922" s="95">
        <f ca="1"/>
        <v>1.8368035377016678E-3</v>
      </c>
      <c r="N922" s="5" t="s">
        <v>4</v>
      </c>
      <c r="O922" s="97">
        <f ca="1">_xll.meDateFromTenor(O921,"1D","FOLLOWING","TGT")</f>
        <v>43812</v>
      </c>
      <c r="P922" s="95">
        <f ca="1"/>
        <v>3.846489126267632E-3</v>
      </c>
      <c r="Q922" s="5" t="s">
        <v>4</v>
      </c>
      <c r="R922" s="83" t="s">
        <v>4</v>
      </c>
    </row>
    <row r="923" spans="1:18" x14ac:dyDescent="0.25">
      <c r="A923" s="88">
        <v>909</v>
      </c>
      <c r="B923" s="82"/>
      <c r="C923" s="97">
        <f ca="1">_xll.meDateFromTenor(C922,"1D","FOLLOWING","TGT")</f>
        <v>43815</v>
      </c>
      <c r="D923" s="95">
        <f ca="1"/>
        <v>-2.0483019293867644E-3</v>
      </c>
      <c r="E923" s="92"/>
      <c r="F923" s="97">
        <f ca="1">_xll.meDateFromTenor(F922,"1D","FOLLOWING","TGT")</f>
        <v>43815</v>
      </c>
      <c r="G923" s="95">
        <f ca="1"/>
        <v>-1.2608220341368212E-3</v>
      </c>
      <c r="H923" s="92" t="s">
        <v>4</v>
      </c>
      <c r="I923" s="97">
        <f ca="1">_xll.meDateFromTenor(I922,"1D","FOLLOWING","TGT")</f>
        <v>43815</v>
      </c>
      <c r="J923" s="95">
        <f ca="1"/>
        <v>-2.666493533933865E-5</v>
      </c>
      <c r="K923" s="5" t="s">
        <v>4</v>
      </c>
      <c r="L923" s="97">
        <f ca="1">_xll.meDateFromTenor(L922,"1D","FOLLOWING","TGT")</f>
        <v>43815</v>
      </c>
      <c r="M923" s="95">
        <f ca="1"/>
        <v>1.8547359667919238E-3</v>
      </c>
      <c r="N923" s="5" t="s">
        <v>4</v>
      </c>
      <c r="O923" s="97">
        <f ca="1">_xll.meDateFromTenor(O922,"1D","FOLLOWING","TGT")</f>
        <v>43815</v>
      </c>
      <c r="P923" s="95">
        <f ca="1"/>
        <v>3.8636542436813071E-3</v>
      </c>
      <c r="Q923" s="5" t="s">
        <v>4</v>
      </c>
      <c r="R923" s="83" t="s">
        <v>4</v>
      </c>
    </row>
    <row r="924" spans="1:18" x14ac:dyDescent="0.25">
      <c r="A924" s="88">
        <v>910</v>
      </c>
      <c r="B924" s="82"/>
      <c r="C924" s="97">
        <f ca="1">_xll.meDateFromTenor(C923,"1D","FOLLOWING","TGT")</f>
        <v>43816</v>
      </c>
      <c r="D924" s="95">
        <f ca="1"/>
        <v>-2.0438587416234943E-3</v>
      </c>
      <c r="E924" s="92"/>
      <c r="F924" s="97">
        <f ca="1">_xll.meDateFromTenor(F923,"1D","FOLLOWING","TGT")</f>
        <v>43816</v>
      </c>
      <c r="G924" s="95">
        <f ca="1"/>
        <v>-1.2547995586303724E-3</v>
      </c>
      <c r="H924" s="92" t="s">
        <v>4</v>
      </c>
      <c r="I924" s="97">
        <f ca="1">_xll.meDateFromTenor(I923,"1D","FOLLOWING","TGT")</f>
        <v>43816</v>
      </c>
      <c r="J924" s="95">
        <f ca="1"/>
        <v>-2.1557363644829981E-5</v>
      </c>
      <c r="K924" s="5" t="s">
        <v>4</v>
      </c>
      <c r="L924" s="97">
        <f ca="1">_xll.meDateFromTenor(L923,"1D","FOLLOWING","TGT")</f>
        <v>43816</v>
      </c>
      <c r="M924" s="95">
        <f ca="1"/>
        <v>1.8607154954568045E-3</v>
      </c>
      <c r="N924" s="5" t="s">
        <v>4</v>
      </c>
      <c r="O924" s="97">
        <f ca="1">_xll.meDateFromTenor(O923,"1D","FOLLOWING","TGT")</f>
        <v>43816</v>
      </c>
      <c r="P924" s="95">
        <f ca="1"/>
        <v>3.8693814566179993E-3</v>
      </c>
      <c r="Q924" s="5" t="s">
        <v>4</v>
      </c>
      <c r="R924" s="83" t="s">
        <v>4</v>
      </c>
    </row>
    <row r="925" spans="1:18" x14ac:dyDescent="0.25">
      <c r="A925" s="88">
        <v>911</v>
      </c>
      <c r="B925" s="82"/>
      <c r="C925" s="97">
        <f ca="1">_xll.meDateFromTenor(C924,"1D","FOLLOWING","TGT")</f>
        <v>43817</v>
      </c>
      <c r="D925" s="95">
        <f ca="1"/>
        <v>-2.0394456469884359E-3</v>
      </c>
      <c r="E925" s="92"/>
      <c r="F925" s="97">
        <f ca="1">_xll.meDateFromTenor(F924,"1D","FOLLOWING","TGT")</f>
        <v>43817</v>
      </c>
      <c r="G925" s="95">
        <f ca="1"/>
        <v>-1.248793013780405E-3</v>
      </c>
      <c r="H925" s="92" t="s">
        <v>4</v>
      </c>
      <c r="I925" s="97">
        <f ca="1">_xll.meDateFromTenor(I924,"1D","FOLLOWING","TGT")</f>
        <v>43817</v>
      </c>
      <c r="J925" s="95">
        <f ca="1"/>
        <v>-1.6438343050068086E-5</v>
      </c>
      <c r="K925" s="5" t="s">
        <v>4</v>
      </c>
      <c r="L925" s="97">
        <f ca="1">_xll.meDateFromTenor(L924,"1D","FOLLOWING","TGT")</f>
        <v>43817</v>
      </c>
      <c r="M925" s="95">
        <f ca="1"/>
        <v>1.8666960802158979E-3</v>
      </c>
      <c r="N925" s="5" t="s">
        <v>4</v>
      </c>
      <c r="O925" s="97">
        <f ca="1">_xll.meDateFromTenor(O924,"1D","FOLLOWING","TGT")</f>
        <v>43817</v>
      </c>
      <c r="P925" s="95">
        <f ca="1"/>
        <v>3.8751114500590574E-3</v>
      </c>
      <c r="Q925" s="5" t="s">
        <v>4</v>
      </c>
      <c r="R925" s="83" t="s">
        <v>4</v>
      </c>
    </row>
    <row r="926" spans="1:18" x14ac:dyDescent="0.25">
      <c r="A926" s="88">
        <v>912</v>
      </c>
      <c r="B926" s="82"/>
      <c r="C926" s="97">
        <f ca="1">_xll.meDateFromTenor(C925,"1D","FOLLOWING","TGT")</f>
        <v>43818</v>
      </c>
      <c r="D926" s="95">
        <f ca="1"/>
        <v>-2.0350626454410659E-3</v>
      </c>
      <c r="E926" s="92"/>
      <c r="F926" s="97">
        <f ca="1">_xll.meDateFromTenor(F925,"1D","FOLLOWING","TGT")</f>
        <v>43818</v>
      </c>
      <c r="G926" s="95">
        <f ca="1"/>
        <v>-1.2428033610270852E-3</v>
      </c>
      <c r="H926" s="92" t="s">
        <v>4</v>
      </c>
      <c r="I926" s="97">
        <f ca="1">_xll.meDateFromTenor(I925,"1D","FOLLOWING","TGT")</f>
        <v>43818</v>
      </c>
      <c r="J926" s="95">
        <f ca="1"/>
        <v>-1.1307883852371621E-5</v>
      </c>
      <c r="K926" s="5" t="s">
        <v>4</v>
      </c>
      <c r="L926" s="97">
        <f ca="1">_xll.meDateFromTenor(L925,"1D","FOLLOWING","TGT")</f>
        <v>43818</v>
      </c>
      <c r="M926" s="95">
        <f ca="1"/>
        <v>1.8726777390352927E-3</v>
      </c>
      <c r="N926" s="5" t="s">
        <v>4</v>
      </c>
      <c r="O926" s="97">
        <f ca="1">_xll.meDateFromTenor(O925,"1D","FOLLOWING","TGT")</f>
        <v>43818</v>
      </c>
      <c r="P926" s="95">
        <f ca="1"/>
        <v>3.8808442401674632E-3</v>
      </c>
      <c r="Q926" s="5" t="s">
        <v>4</v>
      </c>
      <c r="R926" s="83" t="s">
        <v>4</v>
      </c>
    </row>
    <row r="927" spans="1:18" x14ac:dyDescent="0.25">
      <c r="A927" s="88">
        <v>913</v>
      </c>
      <c r="B927" s="82"/>
      <c r="C927" s="97">
        <f ca="1">_xll.meDateFromTenor(C926,"1D","FOLLOWING","TGT")</f>
        <v>43819</v>
      </c>
      <c r="D927" s="95">
        <f ca="1"/>
        <v>-2.0307097360606763E-3</v>
      </c>
      <c r="E927" s="92"/>
      <c r="F927" s="97">
        <f ca="1">_xll.meDateFromTenor(F926,"1D","FOLLOWING","TGT")</f>
        <v>43819</v>
      </c>
      <c r="G927" s="95">
        <f ca="1"/>
        <v>-1.236831561810579E-3</v>
      </c>
      <c r="H927" s="92" t="s">
        <v>4</v>
      </c>
      <c r="I927" s="97">
        <f ca="1">_xll.meDateFromTenor(I926,"1D","FOLLOWING","TGT")</f>
        <v>43819</v>
      </c>
      <c r="J927" s="95">
        <f ca="1"/>
        <v>-6.1659963490592179E-6</v>
      </c>
      <c r="K927" s="5" t="s">
        <v>4</v>
      </c>
      <c r="L927" s="97">
        <f ca="1">_xll.meDateFromTenor(L926,"1D","FOLLOWING","TGT")</f>
        <v>43819</v>
      </c>
      <c r="M927" s="95">
        <f ca="1"/>
        <v>1.8786604898810781E-3</v>
      </c>
      <c r="N927" s="5" t="s">
        <v>4</v>
      </c>
      <c r="O927" s="97">
        <f ca="1">_xll.meDateFromTenor(O926,"1D","FOLLOWING","TGT")</f>
        <v>43819</v>
      </c>
      <c r="P927" s="95">
        <f ca="1"/>
        <v>3.8865798431061962E-3</v>
      </c>
      <c r="Q927" s="5" t="s">
        <v>4</v>
      </c>
      <c r="R927" s="83" t="s">
        <v>4</v>
      </c>
    </row>
    <row r="928" spans="1:18" x14ac:dyDescent="0.25">
      <c r="A928" s="88">
        <v>914</v>
      </c>
      <c r="B928" s="82"/>
      <c r="C928" s="97">
        <f ca="1">_xll.meDateFromTenor(C927,"1D","FOLLOWING","TGT")</f>
        <v>43822</v>
      </c>
      <c r="D928" s="95">
        <f ca="1"/>
        <v>-2.0178315582947137E-3</v>
      </c>
      <c r="E928" s="92"/>
      <c r="F928" s="97">
        <f ca="1">_xll.meDateFromTenor(F927,"1D","FOLLOWING","TGT")</f>
        <v>43822</v>
      </c>
      <c r="G928" s="95">
        <f ca="1"/>
        <v>-1.2190328997836062E-3</v>
      </c>
      <c r="H928" s="92" t="s">
        <v>4</v>
      </c>
      <c r="I928" s="97">
        <f ca="1">_xll.meDateFromTenor(I927,"1D","FOLLOWING","TGT")</f>
        <v>43822</v>
      </c>
      <c r="J928" s="95">
        <f ca="1"/>
        <v>9.328133021386662E-6</v>
      </c>
      <c r="K928" s="5" t="s">
        <v>4</v>
      </c>
      <c r="L928" s="97">
        <f ca="1">_xll.meDateFromTenor(L927,"1D","FOLLOWING","TGT")</f>
        <v>43822</v>
      </c>
      <c r="M928" s="95">
        <f ca="1"/>
        <v>1.8966154742376673E-3</v>
      </c>
      <c r="N928" s="5" t="s">
        <v>4</v>
      </c>
      <c r="O928" s="97">
        <f ca="1">_xll.meDateFromTenor(O927,"1D","FOLLOWING","TGT")</f>
        <v>43822</v>
      </c>
      <c r="P928" s="95">
        <f ca="1"/>
        <v>3.903803690534158E-3</v>
      </c>
      <c r="Q928" s="5" t="s">
        <v>4</v>
      </c>
      <c r="R928" s="83" t="s">
        <v>4</v>
      </c>
    </row>
    <row r="929" spans="1:18" x14ac:dyDescent="0.25">
      <c r="A929" s="88">
        <v>915</v>
      </c>
      <c r="B929" s="82"/>
      <c r="C929" s="97">
        <f ca="1">_xll.meDateFromTenor(C928,"1D","FOLLOWING","TGT")</f>
        <v>43823</v>
      </c>
      <c r="D929" s="95">
        <f ca="1"/>
        <v>-2.0135990145431215E-3</v>
      </c>
      <c r="E929" s="92"/>
      <c r="F929" s="97">
        <f ca="1">_xll.meDateFromTenor(F928,"1D","FOLLOWING","TGT")</f>
        <v>43823</v>
      </c>
      <c r="G929" s="95">
        <f ca="1"/>
        <v>-1.2131421291160177E-3</v>
      </c>
      <c r="H929" s="92" t="s">
        <v>4</v>
      </c>
      <c r="I929" s="97">
        <f ca="1">_xll.meDateFromTenor(I928,"1D","FOLLOWING","TGT")</f>
        <v>43823</v>
      </c>
      <c r="J929" s="95">
        <f ca="1"/>
        <v>1.4515630773975806E-5</v>
      </c>
      <c r="K929" s="5" t="s">
        <v>4</v>
      </c>
      <c r="L929" s="97">
        <f ca="1">_xll.meDateFromTenor(L928,"1D","FOLLOWING","TGT")</f>
        <v>43823</v>
      </c>
      <c r="M929" s="95">
        <f ca="1"/>
        <v>1.9026027728499043E-3</v>
      </c>
      <c r="N929" s="5" t="s">
        <v>4</v>
      </c>
      <c r="O929" s="97">
        <f ca="1">_xll.meDateFromTenor(O928,"1D","FOLLOWING","TGT")</f>
        <v>43823</v>
      </c>
      <c r="P929" s="95">
        <f ca="1"/>
        <v>3.9095507064239995E-3</v>
      </c>
      <c r="Q929" s="5" t="s">
        <v>4</v>
      </c>
      <c r="R929" s="83" t="s">
        <v>4</v>
      </c>
    </row>
    <row r="930" spans="1:18" x14ac:dyDescent="0.25">
      <c r="A930" s="88">
        <v>916</v>
      </c>
      <c r="B930" s="82"/>
      <c r="C930" s="97">
        <f ca="1">_xll.meDateFromTenor(C929,"1D","FOLLOWING","TGT")</f>
        <v>43826</v>
      </c>
      <c r="D930" s="95">
        <f ca="1"/>
        <v>-2.0010819219833387E-3</v>
      </c>
      <c r="E930" s="92"/>
      <c r="F930" s="97">
        <f ca="1">_xll.meDateFromTenor(F929,"1D","FOLLOWING","TGT")</f>
        <v>43826</v>
      </c>
      <c r="G930" s="95">
        <f ca="1"/>
        <v>-1.195609627299781E-3</v>
      </c>
      <c r="H930" s="92" t="s">
        <v>4</v>
      </c>
      <c r="I930" s="97">
        <f ca="1">_xll.meDateFromTenor(I929,"1D","FOLLOWING","TGT")</f>
        <v>43826</v>
      </c>
      <c r="J930" s="95">
        <f ca="1"/>
        <v>3.014634375660824E-5</v>
      </c>
      <c r="K930" s="5" t="s">
        <v>4</v>
      </c>
      <c r="L930" s="97">
        <f ca="1">_xll.meDateFromTenor(L929,"1D","FOLLOWING","TGT")</f>
        <v>43826</v>
      </c>
      <c r="M930" s="95">
        <f ca="1"/>
        <v>1.9205718316919892E-3</v>
      </c>
      <c r="N930" s="5" t="s">
        <v>4</v>
      </c>
      <c r="O930" s="97">
        <f ca="1">_xll.meDateFromTenor(O929,"1D","FOLLOWING","TGT")</f>
        <v>43826</v>
      </c>
      <c r="P930" s="95">
        <f ca="1"/>
        <v>3.9268091806168139E-3</v>
      </c>
      <c r="Q930" s="5" t="s">
        <v>4</v>
      </c>
      <c r="R930" s="83" t="s">
        <v>4</v>
      </c>
    </row>
    <row r="931" spans="1:18" x14ac:dyDescent="0.25">
      <c r="A931" s="88">
        <v>917</v>
      </c>
      <c r="B931" s="82"/>
      <c r="C931" s="97">
        <f ca="1">_xll.meDateFromTenor(C930,"1D","FOLLOWING","TGT")</f>
        <v>43829</v>
      </c>
      <c r="D931" s="95">
        <f ca="1"/>
        <v>-1.9888356296680065E-3</v>
      </c>
      <c r="E931" s="92"/>
      <c r="F931" s="97">
        <f ca="1">_xll.meDateFromTenor(F930,"1D","FOLLOWING","TGT")</f>
        <v>43829</v>
      </c>
      <c r="G931" s="95">
        <f ca="1"/>
        <v>-1.1783070310068305E-3</v>
      </c>
      <c r="H931" s="92" t="s">
        <v>4</v>
      </c>
      <c r="I931" s="97">
        <f ca="1">_xll.meDateFromTenor(I930,"1D","FOLLOWING","TGT")</f>
        <v>43829</v>
      </c>
      <c r="J931" s="95">
        <f ca="1"/>
        <v>4.5879170082843262E-5</v>
      </c>
      <c r="K931" s="5" t="s">
        <v>4</v>
      </c>
      <c r="L931" s="97">
        <f ca="1">_xll.meDateFromTenor(L930,"1D","FOLLOWING","TGT")</f>
        <v>43829</v>
      </c>
      <c r="M931" s="95">
        <f ca="1"/>
        <v>1.9385520123299993E-3</v>
      </c>
      <c r="N931" s="5" t="s">
        <v>4</v>
      </c>
      <c r="O931" s="97">
        <f ca="1">_xll.meDateFromTenor(O930,"1D","FOLLOWING","TGT")</f>
        <v>43829</v>
      </c>
      <c r="P931" s="95">
        <f ca="1"/>
        <v>3.9440941340171433E-3</v>
      </c>
      <c r="Q931" s="5" t="s">
        <v>4</v>
      </c>
      <c r="R931" s="83" t="s">
        <v>4</v>
      </c>
    </row>
    <row r="932" spans="1:18" x14ac:dyDescent="0.25">
      <c r="A932" s="88">
        <v>918</v>
      </c>
      <c r="B932" s="82"/>
      <c r="C932" s="97">
        <f ca="1">_xll.meDateFromTenor(C931,"1D","FOLLOWING","TGT")</f>
        <v>43830</v>
      </c>
      <c r="D932" s="95">
        <f ca="1"/>
        <v>-1.9794015425282918E-3</v>
      </c>
      <c r="E932" s="92"/>
      <c r="F932" s="97">
        <f ca="1">_xll.meDateFromTenor(F931,"1D","FOLLOWING","TGT")</f>
        <v>43830</v>
      </c>
      <c r="G932" s="95">
        <f ca="1"/>
        <v>-1.1725950757462426E-3</v>
      </c>
      <c r="H932" s="92" t="s">
        <v>4</v>
      </c>
      <c r="I932" s="97">
        <f ca="1">_xll.meDateFromTenor(I931,"1D","FOLLOWING","TGT")</f>
        <v>43830</v>
      </c>
      <c r="J932" s="95">
        <f ca="1"/>
        <v>5.1146089324901074E-5</v>
      </c>
      <c r="K932" s="5" t="s">
        <v>4</v>
      </c>
      <c r="L932" s="97">
        <f ca="1">_xll.meDateFromTenor(L931,"1D","FOLLOWING","TGT")</f>
        <v>43830</v>
      </c>
      <c r="M932" s="95">
        <f ca="1"/>
        <v>1.9445479612279564E-3</v>
      </c>
      <c r="N932" s="5" t="s">
        <v>4</v>
      </c>
      <c r="O932" s="97">
        <f ca="1">_xll.meDateFromTenor(O931,"1D","FOLLOWING","TGT")</f>
        <v>43830</v>
      </c>
      <c r="P932" s="95">
        <f ca="1"/>
        <v>3.949861744846162E-3</v>
      </c>
      <c r="Q932" s="5" t="s">
        <v>4</v>
      </c>
      <c r="R932" s="83" t="s">
        <v>4</v>
      </c>
    </row>
    <row r="933" spans="1:18" x14ac:dyDescent="0.25">
      <c r="A933" s="88">
        <v>919</v>
      </c>
      <c r="B933" s="82"/>
      <c r="C933" s="97">
        <f ca="1">_xll.meDateFromTenor(C932,"1D","FOLLOWING","TGT")</f>
        <v>43832</v>
      </c>
      <c r="D933" s="95">
        <f ca="1"/>
        <v>-1.9714910749158987E-3</v>
      </c>
      <c r="E933" s="92"/>
      <c r="F933" s="97">
        <f ca="1">_xll.meDateFromTenor(F932,"1D","FOLLOWING","TGT")</f>
        <v>43832</v>
      </c>
      <c r="G933" s="95">
        <f ca="1"/>
        <v>-1.1612911013135943E-3</v>
      </c>
      <c r="H933" s="92" t="s">
        <v>4</v>
      </c>
      <c r="I933" s="97">
        <f ca="1">_xll.meDateFromTenor(I932,"1D","FOLLOWING","TGT")</f>
        <v>43832</v>
      </c>
      <c r="J933" s="95">
        <f ca="1"/>
        <v>6.1684896580939334E-5</v>
      </c>
      <c r="K933" s="5" t="s">
        <v>4</v>
      </c>
      <c r="L933" s="97">
        <f ca="1">_xll.meDateFromTenor(L932,"1D","FOLLOWING","TGT")</f>
        <v>43832</v>
      </c>
      <c r="M933" s="95">
        <f ca="1"/>
        <v>1.9565110170766779E-3</v>
      </c>
      <c r="N933" s="5" t="s">
        <v>4</v>
      </c>
      <c r="O933" s="97">
        <f ca="1">_xll.meDateFromTenor(O932,"1D","FOLLOWING","TGT")</f>
        <v>43832</v>
      </c>
      <c r="P933" s="95">
        <f ca="1"/>
        <v>3.9613744448335183E-3</v>
      </c>
      <c r="Q933" s="5" t="s">
        <v>4</v>
      </c>
      <c r="R933" s="83" t="s">
        <v>4</v>
      </c>
    </row>
    <row r="934" spans="1:18" x14ac:dyDescent="0.25">
      <c r="A934" s="88">
        <v>920</v>
      </c>
      <c r="B934" s="82"/>
      <c r="C934" s="97">
        <f ca="1">_xll.meDateFromTenor(C933,"1D","FOLLOWING","TGT")</f>
        <v>43833</v>
      </c>
      <c r="D934" s="95">
        <f ca="1"/>
        <v>-1.9675806020842401E-3</v>
      </c>
      <c r="E934" s="92"/>
      <c r="F934" s="97">
        <f ca="1">_xll.meDateFromTenor(F933,"1D","FOLLOWING","TGT")</f>
        <v>43833</v>
      </c>
      <c r="G934" s="95">
        <f ca="1"/>
        <v>-1.1556847298319914E-3</v>
      </c>
      <c r="H934" s="92" t="s">
        <v>4</v>
      </c>
      <c r="I934" s="97">
        <f ca="1">_xll.meDateFromTenor(I933,"1D","FOLLOWING","TGT")</f>
        <v>43833</v>
      </c>
      <c r="J934" s="95">
        <f ca="1"/>
        <v>6.6971139247587588E-5</v>
      </c>
      <c r="K934" s="5" t="s">
        <v>4</v>
      </c>
      <c r="L934" s="97">
        <f ca="1">_xll.meDateFromTenor(L933,"1D","FOLLOWING","TGT")</f>
        <v>43833</v>
      </c>
      <c r="M934" s="95">
        <f ca="1"/>
        <v>1.9624945402747472E-3</v>
      </c>
      <c r="N934" s="5" t="s">
        <v>4</v>
      </c>
      <c r="O934" s="97">
        <f ca="1">_xll.meDateFromTenor(O933,"1D","FOLLOWING","TGT")</f>
        <v>43833</v>
      </c>
      <c r="P934" s="95">
        <f ca="1"/>
        <v>3.9671353204713579E-3</v>
      </c>
      <c r="Q934" s="5" t="s">
        <v>4</v>
      </c>
      <c r="R934" s="83" t="s">
        <v>4</v>
      </c>
    </row>
    <row r="935" spans="1:18" x14ac:dyDescent="0.25">
      <c r="A935" s="88">
        <v>921</v>
      </c>
      <c r="B935" s="82"/>
      <c r="C935" s="97">
        <f ca="1">_xll.meDateFromTenor(C934,"1D","FOLLOWING","TGT")</f>
        <v>43836</v>
      </c>
      <c r="D935" s="95">
        <f ca="1"/>
        <v>-1.9560282226234182E-3</v>
      </c>
      <c r="E935" s="92"/>
      <c r="F935" s="97">
        <f ca="1">_xll.meDateFromTenor(F934,"1D","FOLLOWING","TGT")</f>
        <v>43836</v>
      </c>
      <c r="G935" s="95">
        <f ca="1"/>
        <v>-1.139025144757426E-3</v>
      </c>
      <c r="H935" s="92" t="s">
        <v>4</v>
      </c>
      <c r="I935" s="97">
        <f ca="1">_xll.meDateFromTenor(I934,"1D","FOLLOWING","TGT")</f>
        <v>43836</v>
      </c>
      <c r="J935" s="95">
        <f ca="1"/>
        <v>8.2897100844309821E-5</v>
      </c>
      <c r="K935" s="5" t="s">
        <v>4</v>
      </c>
      <c r="L935" s="97">
        <f ca="1">_xll.meDateFromTenor(L934,"1D","FOLLOWING","TGT")</f>
        <v>43836</v>
      </c>
      <c r="M935" s="95">
        <f ca="1"/>
        <v>1.9804533047945256E-3</v>
      </c>
      <c r="N935" s="5" t="s">
        <v>4</v>
      </c>
      <c r="O935" s="97">
        <f ca="1">_xll.meDateFromTenor(O934,"1D","FOLLOWING","TGT")</f>
        <v>43836</v>
      </c>
      <c r="P935" s="95">
        <f ca="1"/>
        <v>3.9844362423318161E-3</v>
      </c>
      <c r="Q935" s="5" t="s">
        <v>4</v>
      </c>
      <c r="R935" s="83" t="s">
        <v>4</v>
      </c>
    </row>
    <row r="936" spans="1:18" x14ac:dyDescent="0.25">
      <c r="A936" s="88">
        <v>922</v>
      </c>
      <c r="B936" s="82"/>
      <c r="C936" s="97">
        <f ca="1">_xll.meDateFromTenor(C935,"1D","FOLLOWING","TGT")</f>
        <v>43837</v>
      </c>
      <c r="D936" s="95">
        <f ca="1"/>
        <v>-1.9522371078098955E-3</v>
      </c>
      <c r="E936" s="92"/>
      <c r="F936" s="97">
        <f ca="1">_xll.meDateFromTenor(F935,"1D","FOLLOWING","TGT")</f>
        <v>43837</v>
      </c>
      <c r="G936" s="95">
        <f ca="1"/>
        <v>-1.1335160274566888E-3</v>
      </c>
      <c r="H936" s="92" t="s">
        <v>4</v>
      </c>
      <c r="I936" s="97">
        <f ca="1">_xll.meDateFromTenor(I935,"1D","FOLLOWING","TGT")</f>
        <v>43837</v>
      </c>
      <c r="J936" s="95">
        <f ca="1"/>
        <v>8.8228131864992934E-5</v>
      </c>
      <c r="K936" s="5" t="s">
        <v>4</v>
      </c>
      <c r="L936" s="97">
        <f ca="1">_xll.meDateFromTenor(L935,"1D","FOLLOWING","TGT")</f>
        <v>43837</v>
      </c>
      <c r="M936" s="95">
        <f ca="1"/>
        <v>1.9864423506737341E-3</v>
      </c>
      <c r="N936" s="5" t="s">
        <v>4</v>
      </c>
      <c r="O936" s="97">
        <f ca="1">_xll.meDateFromTenor(O935,"1D","FOLLOWING","TGT")</f>
        <v>43837</v>
      </c>
      <c r="P936" s="95">
        <f ca="1"/>
        <v>3.9902093680371422E-3</v>
      </c>
      <c r="Q936" s="5" t="s">
        <v>4</v>
      </c>
      <c r="R936" s="83" t="s">
        <v>4</v>
      </c>
    </row>
    <row r="937" spans="1:18" x14ac:dyDescent="0.25">
      <c r="A937" s="88">
        <v>923</v>
      </c>
      <c r="B937" s="82"/>
      <c r="C937" s="97">
        <f ca="1">_xll.meDateFromTenor(C936,"1D","FOLLOWING","TGT")</f>
        <v>43838</v>
      </c>
      <c r="D937" s="95">
        <f ca="1"/>
        <v>-1.9484758313511596E-3</v>
      </c>
      <c r="E937" s="92"/>
      <c r="F937" s="97">
        <f ca="1">_xll.meDateFromTenor(F936,"1D","FOLLOWING","TGT")</f>
        <v>43838</v>
      </c>
      <c r="G937" s="95">
        <f ca="1"/>
        <v>-1.1280243996516935E-3</v>
      </c>
      <c r="H937" s="92" t="s">
        <v>4</v>
      </c>
      <c r="I937" s="97">
        <f ca="1">_xll.meDateFromTenor(I936,"1D","FOLLOWING","TGT")</f>
        <v>43838</v>
      </c>
      <c r="J937" s="95">
        <f ca="1"/>
        <v>9.3570334441323892E-5</v>
      </c>
      <c r="K937" s="5" t="s">
        <v>4</v>
      </c>
      <c r="L937" s="97">
        <f ca="1">_xll.meDateFromTenor(L936,"1D","FOLLOWING","TGT")</f>
        <v>43838</v>
      </c>
      <c r="M937" s="95">
        <f ca="1"/>
        <v>1.9924328217712983E-3</v>
      </c>
      <c r="N937" s="5" t="s">
        <v>4</v>
      </c>
      <c r="O937" s="97">
        <f ca="1">_xll.meDateFromTenor(O936,"1D","FOLLOWING","TGT")</f>
        <v>43838</v>
      </c>
      <c r="P937" s="95">
        <f ca="1"/>
        <v>3.9959855963364885E-3</v>
      </c>
      <c r="Q937" s="5" t="s">
        <v>4</v>
      </c>
      <c r="R937" s="83" t="s">
        <v>4</v>
      </c>
    </row>
    <row r="938" spans="1:18" x14ac:dyDescent="0.25">
      <c r="A938" s="88">
        <v>924</v>
      </c>
      <c r="B938" s="82"/>
      <c r="C938" s="97">
        <f ca="1">_xll.meDateFromTenor(C937,"1D","FOLLOWING","TGT")</f>
        <v>43839</v>
      </c>
      <c r="D938" s="95">
        <f ca="1"/>
        <v>-1.9447443927059771E-3</v>
      </c>
      <c r="E938" s="92"/>
      <c r="F938" s="97">
        <f ca="1">_xll.meDateFromTenor(F937,"1D","FOLLOWING","TGT")</f>
        <v>43839</v>
      </c>
      <c r="G938" s="95">
        <f ca="1"/>
        <v>-1.1225475317226522E-3</v>
      </c>
      <c r="H938" s="92" t="s">
        <v>4</v>
      </c>
      <c r="I938" s="97">
        <f ca="1">_xll.meDateFromTenor(I937,"1D","FOLLOWING","TGT")</f>
        <v>43839</v>
      </c>
      <c r="J938" s="95">
        <f ca="1"/>
        <v>9.8923698360157099E-5</v>
      </c>
      <c r="K938" s="5" t="s">
        <v>4</v>
      </c>
      <c r="L938" s="97">
        <f ca="1">_xll.meDateFromTenor(L937,"1D","FOLLOWING","TGT")</f>
        <v>43839</v>
      </c>
      <c r="M938" s="95">
        <f ca="1"/>
        <v>1.9984247359064451E-3</v>
      </c>
      <c r="N938" s="5" t="s">
        <v>4</v>
      </c>
      <c r="O938" s="97">
        <f ca="1">_xll.meDateFromTenor(O937,"1D","FOLLOWING","TGT")</f>
        <v>43839</v>
      </c>
      <c r="P938" s="95">
        <f ca="1"/>
        <v>4.0017649432607105E-3</v>
      </c>
      <c r="Q938" s="5" t="s">
        <v>4</v>
      </c>
      <c r="R938" s="83" t="s">
        <v>4</v>
      </c>
    </row>
    <row r="939" spans="1:18" x14ac:dyDescent="0.25">
      <c r="A939" s="88">
        <v>925</v>
      </c>
      <c r="B939" s="82"/>
      <c r="C939" s="97">
        <f ca="1">_xll.meDateFromTenor(C938,"1D","FOLLOWING","TGT")</f>
        <v>43840</v>
      </c>
      <c r="D939" s="95">
        <f ca="1"/>
        <v>-1.9410427918892248E-3</v>
      </c>
      <c r="E939" s="92"/>
      <c r="F939" s="97">
        <f ca="1">_xll.meDateFromTenor(F938,"1D","FOLLOWING","TGT")</f>
        <v>43840</v>
      </c>
      <c r="G939" s="95">
        <f ca="1"/>
        <v>-1.1170826940497761E-3</v>
      </c>
      <c r="H939" s="92" t="s">
        <v>4</v>
      </c>
      <c r="I939" s="97">
        <f ca="1">_xll.meDateFromTenor(I938,"1D","FOLLOWING","TGT")</f>
        <v>43840</v>
      </c>
      <c r="J939" s="95">
        <f ca="1"/>
        <v>1.0428821340834685E-4</v>
      </c>
      <c r="K939" s="5" t="s">
        <v>4</v>
      </c>
      <c r="L939" s="97">
        <f ca="1">_xll.meDateFromTenor(L938,"1D","FOLLOWING","TGT")</f>
        <v>43840</v>
      </c>
      <c r="M939" s="95">
        <f ca="1"/>
        <v>2.004418110898402E-3</v>
      </c>
      <c r="N939" s="5" t="s">
        <v>4</v>
      </c>
      <c r="O939" s="97">
        <f ca="1">_xll.meDateFromTenor(O938,"1D","FOLLOWING","TGT")</f>
        <v>43840</v>
      </c>
      <c r="P939" s="95">
        <f ca="1"/>
        <v>4.0075474248406663E-3</v>
      </c>
      <c r="Q939" s="5" t="s">
        <v>4</v>
      </c>
      <c r="R939" s="83" t="s">
        <v>4</v>
      </c>
    </row>
    <row r="940" spans="1:18" x14ac:dyDescent="0.25">
      <c r="A940" s="88">
        <v>926</v>
      </c>
      <c r="B940" s="82"/>
      <c r="C940" s="97">
        <f ca="1">_xll.meDateFromTenor(C939,"1D","FOLLOWING","TGT")</f>
        <v>43843</v>
      </c>
      <c r="D940" s="95">
        <f ca="1"/>
        <v>-1.9301170100139986E-3</v>
      </c>
      <c r="E940" s="92"/>
      <c r="F940" s="97">
        <f ca="1">_xll.meDateFromTenor(F939,"1D","FOLLOWING","TGT")</f>
        <v>43843</v>
      </c>
      <c r="G940" s="95">
        <f ca="1"/>
        <v>-1.10073306637024E-3</v>
      </c>
      <c r="H940" s="92" t="s">
        <v>4</v>
      </c>
      <c r="I940" s="97">
        <f ca="1">_xll.meDateFromTenor(I939,"1D","FOLLOWING","TGT")</f>
        <v>43843</v>
      </c>
      <c r="J940" s="95">
        <f ca="1"/>
        <v>1.2044856319761562E-4</v>
      </c>
      <c r="K940" s="5" t="s">
        <v>4</v>
      </c>
      <c r="L940" s="97">
        <f ca="1">_xll.meDateFromTenor(L939,"1D","FOLLOWING","TGT")</f>
        <v>43843</v>
      </c>
      <c r="M940" s="95">
        <f ca="1"/>
        <v>2.0224071792074218E-3</v>
      </c>
      <c r="N940" s="5" t="s">
        <v>4</v>
      </c>
      <c r="O940" s="97">
        <f ca="1">_xll.meDateFromTenor(O939,"1D","FOLLOWING","TGT")</f>
        <v>43843</v>
      </c>
      <c r="P940" s="95">
        <f ca="1"/>
        <v>4.0249138378235291E-3</v>
      </c>
      <c r="Q940" s="5" t="s">
        <v>4</v>
      </c>
      <c r="R940" s="83" t="s">
        <v>4</v>
      </c>
    </row>
    <row r="941" spans="1:18" x14ac:dyDescent="0.25">
      <c r="A941" s="88">
        <v>927</v>
      </c>
      <c r="B941" s="82"/>
      <c r="C941" s="97">
        <f ca="1">_xll.meDateFromTenor(C940,"1D","FOLLOWING","TGT")</f>
        <v>43844</v>
      </c>
      <c r="D941" s="95">
        <f ca="1"/>
        <v>-1.9265347549398681E-3</v>
      </c>
      <c r="E941" s="92"/>
      <c r="F941" s="97">
        <f ca="1">_xll.meDateFromTenor(F940,"1D","FOLLOWING","TGT")</f>
        <v>43844</v>
      </c>
      <c r="G941" s="95">
        <f ca="1"/>
        <v>-1.0952890535241282E-3</v>
      </c>
      <c r="H941" s="92" t="s">
        <v>4</v>
      </c>
      <c r="I941" s="97">
        <f ca="1">_xll.meDateFromTenor(I940,"1D","FOLLOWING","TGT")</f>
        <v>43844</v>
      </c>
      <c r="J941" s="95">
        <f ca="1"/>
        <v>1.258575806317882E-4</v>
      </c>
      <c r="K941" s="5" t="s">
        <v>4</v>
      </c>
      <c r="L941" s="97">
        <f ca="1">_xll.meDateFromTenor(L940,"1D","FOLLOWING","TGT")</f>
        <v>43844</v>
      </c>
      <c r="M941" s="95">
        <f ca="1"/>
        <v>2.0284065758189034E-3</v>
      </c>
      <c r="N941" s="5" t="s">
        <v>4</v>
      </c>
      <c r="O941" s="97">
        <f ca="1">_xll.meDateFromTenor(O940,"1D","FOLLOWING","TGT")</f>
        <v>43844</v>
      </c>
      <c r="P941" s="95">
        <f ca="1"/>
        <v>4.0307090183350084E-3</v>
      </c>
      <c r="Q941" s="5" t="s">
        <v>4</v>
      </c>
      <c r="R941" s="83" t="s">
        <v>4</v>
      </c>
    </row>
    <row r="942" spans="1:18" x14ac:dyDescent="0.25">
      <c r="A942" s="88">
        <v>928</v>
      </c>
      <c r="B942" s="82"/>
      <c r="C942" s="97">
        <f ca="1">_xll.meDateFromTenor(C941,"1D","FOLLOWING","TGT")</f>
        <v>43845</v>
      </c>
      <c r="D942" s="95">
        <f ca="1"/>
        <v>-1.9229823354537379E-3</v>
      </c>
      <c r="E942" s="92"/>
      <c r="F942" s="97">
        <f ca="1">_xll.meDateFromTenor(F941,"1D","FOLLOWING","TGT")</f>
        <v>43845</v>
      </c>
      <c r="G942" s="95">
        <f ca="1"/>
        <v>-1.0898434228352361E-3</v>
      </c>
      <c r="H942" s="92" t="s">
        <v>4</v>
      </c>
      <c r="I942" s="97">
        <f ca="1">_xll.meDateFromTenor(I941,"1D","FOLLOWING","TGT")</f>
        <v>43845</v>
      </c>
      <c r="J942" s="95">
        <f ca="1"/>
        <v>1.3127769812959351E-4</v>
      </c>
      <c r="K942" s="5" t="s">
        <v>4</v>
      </c>
      <c r="L942" s="97">
        <f ca="1">_xll.meDateFromTenor(L941,"1D","FOLLOWING","TGT")</f>
        <v>43845</v>
      </c>
      <c r="M942" s="95">
        <f ca="1"/>
        <v>2.0344075223833347E-3</v>
      </c>
      <c r="N942" s="5" t="s">
        <v>4</v>
      </c>
      <c r="O942" s="97">
        <f ca="1">_xll.meDateFromTenor(O941,"1D","FOLLOWING","TGT")</f>
        <v>43845</v>
      </c>
      <c r="P942" s="95">
        <f ca="1"/>
        <v>4.0365074136565135E-3</v>
      </c>
      <c r="Q942" s="5" t="s">
        <v>4</v>
      </c>
      <c r="R942" s="83" t="s">
        <v>4</v>
      </c>
    </row>
    <row r="943" spans="1:18" x14ac:dyDescent="0.25">
      <c r="A943" s="88">
        <v>929</v>
      </c>
      <c r="B943" s="82"/>
      <c r="C943" s="97">
        <f ca="1">_xll.meDateFromTenor(C942,"1D","FOLLOWING","TGT")</f>
        <v>43846</v>
      </c>
      <c r="D943" s="95">
        <f ca="1"/>
        <v>-1.9194597507564692E-3</v>
      </c>
      <c r="E943" s="92"/>
      <c r="F943" s="97">
        <f ca="1">_xll.meDateFromTenor(F942,"1D","FOLLOWING","TGT")</f>
        <v>43846</v>
      </c>
      <c r="G943" s="95">
        <f ca="1"/>
        <v>-1.0843934446837715E-3</v>
      </c>
      <c r="H943" s="92" t="s">
        <v>4</v>
      </c>
      <c r="I943" s="97">
        <f ca="1">_xll.meDateFromTenor(I942,"1D","FOLLOWING","TGT")</f>
        <v>43846</v>
      </c>
      <c r="J943" s="95">
        <f ca="1"/>
        <v>1.3670890547788845E-4</v>
      </c>
      <c r="K943" s="5" t="s">
        <v>4</v>
      </c>
      <c r="L943" s="97">
        <f ca="1">_xll.meDateFromTenor(L942,"1D","FOLLOWING","TGT")</f>
        <v>43846</v>
      </c>
      <c r="M943" s="95">
        <f ca="1"/>
        <v>2.0404100367199455E-3</v>
      </c>
      <c r="N943" s="5" t="s">
        <v>4</v>
      </c>
      <c r="O943" s="97">
        <f ca="1">_xll.meDateFromTenor(O942,"1D","FOLLOWING","TGT")</f>
        <v>43846</v>
      </c>
      <c r="P943" s="95">
        <f ca="1"/>
        <v>4.0423090398189034E-3</v>
      </c>
      <c r="Q943" s="5" t="s">
        <v>4</v>
      </c>
      <c r="R943" s="83" t="s">
        <v>4</v>
      </c>
    </row>
    <row r="944" spans="1:18" x14ac:dyDescent="0.25">
      <c r="A944" s="88">
        <v>930</v>
      </c>
      <c r="B944" s="82"/>
      <c r="C944" s="97">
        <f ca="1">_xll.meDateFromTenor(C943,"1D","FOLLOWING","TGT")</f>
        <v>43847</v>
      </c>
      <c r="D944" s="95">
        <f ca="1"/>
        <v>-1.9159670008839225E-3</v>
      </c>
      <c r="E944" s="92"/>
      <c r="F944" s="97">
        <f ca="1">_xll.meDateFromTenor(F943,"1D","FOLLOWING","TGT")</f>
        <v>43847</v>
      </c>
      <c r="G944" s="95">
        <f ca="1"/>
        <v>-1.0789363894499466E-3</v>
      </c>
      <c r="H944" s="92" t="s">
        <v>4</v>
      </c>
      <c r="I944" s="97">
        <f ca="1">_xll.meDateFromTenor(I943,"1D","FOLLOWING","TGT")</f>
        <v>43847</v>
      </c>
      <c r="J944" s="95">
        <f ca="1"/>
        <v>1.421511924635274E-4</v>
      </c>
      <c r="K944" s="5" t="s">
        <v>4</v>
      </c>
      <c r="L944" s="97">
        <f ca="1">_xll.meDateFromTenor(L943,"1D","FOLLOWING","TGT")</f>
        <v>43847</v>
      </c>
      <c r="M944" s="95">
        <f ca="1"/>
        <v>2.0464141366479641E-3</v>
      </c>
      <c r="N944" s="5" t="s">
        <v>4</v>
      </c>
      <c r="O944" s="97">
        <f ca="1">_xll.meDateFromTenor(O943,"1D","FOLLOWING","TGT")</f>
        <v>43847</v>
      </c>
      <c r="P944" s="95">
        <f ca="1"/>
        <v>4.048113912853037E-3</v>
      </c>
      <c r="Q944" s="5" t="s">
        <v>4</v>
      </c>
      <c r="R944" s="83" t="s">
        <v>4</v>
      </c>
    </row>
    <row r="945" spans="1:18" x14ac:dyDescent="0.25">
      <c r="A945" s="88">
        <v>931</v>
      </c>
      <c r="B945" s="82"/>
      <c r="C945" s="97">
        <f ca="1">_xll.meDateFromTenor(C944,"1D","FOLLOWING","TGT")</f>
        <v>43850</v>
      </c>
      <c r="D945" s="95">
        <f ca="1"/>
        <v>-1.905667754030449E-3</v>
      </c>
      <c r="E945" s="92"/>
      <c r="F945" s="97">
        <f ca="1">_xll.meDateFromTenor(F944,"1D","FOLLOWING","TGT")</f>
        <v>43850</v>
      </c>
      <c r="G945" s="95">
        <f ca="1"/>
        <v>-1.0624954650564184E-3</v>
      </c>
      <c r="H945" s="92" t="s">
        <v>4</v>
      </c>
      <c r="I945" s="97">
        <f ca="1">_xll.meDateFromTenor(I944,"1D","FOLLOWING","TGT")</f>
        <v>43850</v>
      </c>
      <c r="J945" s="95">
        <f ca="1"/>
        <v>1.5854442911305972E-4</v>
      </c>
      <c r="K945" s="5" t="s">
        <v>4</v>
      </c>
      <c r="L945" s="97">
        <f ca="1">_xll.meDateFromTenor(L944,"1D","FOLLOWING","TGT")</f>
        <v>43850</v>
      </c>
      <c r="M945" s="95">
        <f ca="1"/>
        <v>2.0644361281727383E-3</v>
      </c>
      <c r="N945" s="5" t="s">
        <v>4</v>
      </c>
      <c r="O945" s="97">
        <f ca="1">_xll.meDateFromTenor(O944,"1D","FOLLOWING","TGT")</f>
        <v>43850</v>
      </c>
      <c r="P945" s="95">
        <f ca="1"/>
        <v>4.0655481734944779E-3</v>
      </c>
      <c r="Q945" s="5" t="s">
        <v>4</v>
      </c>
      <c r="R945" s="83" t="s">
        <v>4</v>
      </c>
    </row>
    <row r="946" spans="1:18" x14ac:dyDescent="0.25">
      <c r="A946" s="88">
        <v>932</v>
      </c>
      <c r="B946" s="82"/>
      <c r="C946" s="97">
        <f ca="1">_xll.meDateFromTenor(C945,"1D","FOLLOWING","TGT")</f>
        <v>43851</v>
      </c>
      <c r="D946" s="95">
        <f ca="1"/>
        <v>-1.9022943378578239E-3</v>
      </c>
      <c r="E946" s="92"/>
      <c r="F946" s="97">
        <f ca="1">_xll.meDateFromTenor(F945,"1D","FOLLOWING","TGT")</f>
        <v>43851</v>
      </c>
      <c r="G946" s="95">
        <f ca="1"/>
        <v>-1.0569828052952592E-3</v>
      </c>
      <c r="H946" s="92" t="s">
        <v>4</v>
      </c>
      <c r="I946" s="97">
        <f ca="1">_xll.meDateFromTenor(I945,"1D","FOLLOWING","TGT")</f>
        <v>43851</v>
      </c>
      <c r="J946" s="95">
        <f ca="1"/>
        <v>1.6403093251662692E-4</v>
      </c>
      <c r="K946" s="5" t="s">
        <v>4</v>
      </c>
      <c r="L946" s="97">
        <f ca="1">_xll.meDateFromTenor(L945,"1D","FOLLOWING","TGT")</f>
        <v>43851</v>
      </c>
      <c r="M946" s="95">
        <f ca="1"/>
        <v>2.0704467486586638E-3</v>
      </c>
      <c r="N946" s="5" t="s">
        <v>4</v>
      </c>
      <c r="O946" s="97">
        <f ca="1">_xll.meDateFromTenor(O945,"1D","FOLLOWING","TGT")</f>
        <v>43851</v>
      </c>
      <c r="P946" s="95">
        <f ca="1"/>
        <v>4.071366194324166E-3</v>
      </c>
      <c r="Q946" s="5" t="s">
        <v>4</v>
      </c>
      <c r="R946" s="83" t="s">
        <v>4</v>
      </c>
    </row>
    <row r="947" spans="1:18" x14ac:dyDescent="0.25">
      <c r="A947" s="88">
        <v>933</v>
      </c>
      <c r="B947" s="82"/>
      <c r="C947" s="97">
        <f ca="1">_xll.meDateFromTenor(C946,"1D","FOLLOWING","TGT")</f>
        <v>43852</v>
      </c>
      <c r="D947" s="95">
        <f ca="1"/>
        <v>-1.8989507543750728E-3</v>
      </c>
      <c r="E947" s="92"/>
      <c r="F947" s="97">
        <f ca="1">_xll.meDateFromTenor(F946,"1D","FOLLOWING","TGT")</f>
        <v>43852</v>
      </c>
      <c r="G947" s="95">
        <f ca="1"/>
        <v>-1.0514494203527939E-3</v>
      </c>
      <c r="H947" s="92" t="s">
        <v>4</v>
      </c>
      <c r="I947" s="97">
        <f ca="1">_xll.meDateFromTenor(I946,"1D","FOLLOWING","TGT")</f>
        <v>43852</v>
      </c>
      <c r="J947" s="95">
        <f ca="1"/>
        <v>1.6952846449181424E-4</v>
      </c>
      <c r="K947" s="5" t="s">
        <v>4</v>
      </c>
      <c r="L947" s="97">
        <f ca="1">_xll.meDateFromTenor(L946,"1D","FOLLOWING","TGT")</f>
        <v>43852</v>
      </c>
      <c r="M947" s="95">
        <f ca="1"/>
        <v>2.0764590438321355E-3</v>
      </c>
      <c r="N947" s="5" t="s">
        <v>4</v>
      </c>
      <c r="O947" s="97">
        <f ca="1">_xll.meDateFromTenor(O946,"1D","FOLLOWING","TGT")</f>
        <v>43852</v>
      </c>
      <c r="P947" s="95">
        <f ca="1"/>
        <v>4.0771875421798899E-3</v>
      </c>
      <c r="Q947" s="5" t="s">
        <v>4</v>
      </c>
      <c r="R947" s="83" t="s">
        <v>4</v>
      </c>
    </row>
    <row r="948" spans="1:18" x14ac:dyDescent="0.25">
      <c r="A948" s="88">
        <v>934</v>
      </c>
      <c r="B948" s="82"/>
      <c r="C948" s="97">
        <f ca="1">_xll.meDateFromTenor(C947,"1D","FOLLOWING","TGT")</f>
        <v>43853</v>
      </c>
      <c r="D948" s="95">
        <f ca="1"/>
        <v>-1.8956370029640235E-3</v>
      </c>
      <c r="E948" s="92"/>
      <c r="F948" s="97">
        <f ca="1">_xll.meDateFromTenor(F947,"1D","FOLLOWING","TGT")</f>
        <v>43853</v>
      </c>
      <c r="G948" s="95">
        <f ca="1"/>
        <v>-1.0458925806092331E-3</v>
      </c>
      <c r="H948" s="92" t="s">
        <v>4</v>
      </c>
      <c r="I948" s="97">
        <f ca="1">_xll.meDateFromTenor(I947,"1D","FOLLOWING","TGT")</f>
        <v>43853</v>
      </c>
      <c r="J948" s="95">
        <f ca="1"/>
        <v>1.7503701482547604E-4</v>
      </c>
      <c r="K948" s="5" t="s">
        <v>4</v>
      </c>
      <c r="L948" s="97">
        <f ca="1">_xll.meDateFromTenor(L947,"1D","FOLLOWING","TGT")</f>
        <v>43853</v>
      </c>
      <c r="M948" s="95">
        <f ca="1"/>
        <v>2.0824730315123822E-3</v>
      </c>
      <c r="N948" s="5" t="s">
        <v>4</v>
      </c>
      <c r="O948" s="97">
        <f ca="1">_xll.meDateFromTenor(O947,"1D","FOLLOWING","TGT")</f>
        <v>43853</v>
      </c>
      <c r="P948" s="95">
        <f ca="1"/>
        <v>4.0830122330925067E-3</v>
      </c>
      <c r="Q948" s="5" t="s">
        <v>4</v>
      </c>
      <c r="R948" s="83" t="s">
        <v>4</v>
      </c>
    </row>
    <row r="949" spans="1:18" x14ac:dyDescent="0.25">
      <c r="A949" s="88">
        <v>935</v>
      </c>
      <c r="B949" s="82"/>
      <c r="C949" s="97">
        <f ca="1">_xll.meDateFromTenor(C948,"1D","FOLLOWING","TGT")</f>
        <v>43854</v>
      </c>
      <c r="D949" s="95">
        <f ca="1"/>
        <v>-1.8923530830033952E-3</v>
      </c>
      <c r="E949" s="92"/>
      <c r="F949" s="97">
        <f ca="1">_xll.meDateFromTenor(F948,"1D","FOLLOWING","TGT")</f>
        <v>43854</v>
      </c>
      <c r="G949" s="95">
        <f ca="1"/>
        <v>-1.0403095564447864E-3</v>
      </c>
      <c r="H949" s="92" t="s">
        <v>4</v>
      </c>
      <c r="I949" s="97">
        <f ca="1">_xll.meDateFromTenor(I948,"1D","FOLLOWING","TGT")</f>
        <v>43854</v>
      </c>
      <c r="J949" s="95">
        <f ca="1"/>
        <v>1.8055657330446928E-4</v>
      </c>
      <c r="K949" s="5" t="s">
        <v>4</v>
      </c>
      <c r="L949" s="97">
        <f ca="1">_xll.meDateFromTenor(L948,"1D","FOLLOWING","TGT")</f>
        <v>43854</v>
      </c>
      <c r="M949" s="95">
        <f ca="1"/>
        <v>2.0884887295186316E-3</v>
      </c>
      <c r="N949" s="5" t="s">
        <v>4</v>
      </c>
      <c r="O949" s="97">
        <f ca="1">_xll.meDateFromTenor(O948,"1D","FOLLOWING","TGT")</f>
        <v>43854</v>
      </c>
      <c r="P949" s="95">
        <f ca="1"/>
        <v>4.0888402830928736E-3</v>
      </c>
      <c r="Q949" s="5" t="s">
        <v>4</v>
      </c>
      <c r="R949" s="83" t="s">
        <v>4</v>
      </c>
    </row>
    <row r="950" spans="1:18" x14ac:dyDescent="0.25">
      <c r="A950" s="88">
        <v>936</v>
      </c>
      <c r="B950" s="82"/>
      <c r="C950" s="97">
        <f ca="1">_xll.meDateFromTenor(C949,"1D","FOLLOWING","TGT")</f>
        <v>43857</v>
      </c>
      <c r="D950" s="95">
        <f ca="1"/>
        <v>-1.8826803086837707E-3</v>
      </c>
      <c r="E950" s="92"/>
      <c r="F950" s="97">
        <f ca="1">_xll.meDateFromTenor(F949,"1D","FOLLOWING","TGT")</f>
        <v>43857</v>
      </c>
      <c r="G950" s="95">
        <f ca="1"/>
        <v>-1.0233760812282434E-3</v>
      </c>
      <c r="H950" s="92" t="s">
        <v>4</v>
      </c>
      <c r="I950" s="97">
        <f ca="1">_xll.meDateFromTenor(I949,"1D","FOLLOWING","TGT")</f>
        <v>43857</v>
      </c>
      <c r="J950" s="95">
        <f ca="1"/>
        <v>1.9718119548198378E-4</v>
      </c>
      <c r="K950" s="5" t="s">
        <v>4</v>
      </c>
      <c r="L950" s="97">
        <f ca="1">_xll.meDateFromTenor(L949,"1D","FOLLOWING","TGT")</f>
        <v>43857</v>
      </c>
      <c r="M950" s="95">
        <f ca="1"/>
        <v>2.106546263685677E-3</v>
      </c>
      <c r="N950" s="5" t="s">
        <v>4</v>
      </c>
      <c r="O950" s="97">
        <f ca="1">_xll.meDateFromTenor(O949,"1D","FOLLOWING","TGT")</f>
        <v>43857</v>
      </c>
      <c r="P950" s="95">
        <f ca="1"/>
        <v>4.1063447479290699E-3</v>
      </c>
      <c r="Q950" s="5" t="s">
        <v>4</v>
      </c>
      <c r="R950" s="83" t="s">
        <v>4</v>
      </c>
    </row>
    <row r="951" spans="1:18" x14ac:dyDescent="0.25">
      <c r="A951" s="88">
        <v>937</v>
      </c>
      <c r="B951" s="82"/>
      <c r="C951" s="97">
        <f ca="1">_xll.meDateFromTenor(C950,"1D","FOLLOWING","TGT")</f>
        <v>43858</v>
      </c>
      <c r="D951" s="95">
        <f ca="1"/>
        <v>-1.8795157109325888E-3</v>
      </c>
      <c r="E951" s="92"/>
      <c r="F951" s="97">
        <f ca="1">_xll.meDateFromTenor(F950,"1D","FOLLOWING","TGT")</f>
        <v>43858</v>
      </c>
      <c r="G951" s="95">
        <f ca="1"/>
        <v>-1.0176610231823634E-3</v>
      </c>
      <c r="H951" s="92" t="s">
        <v>4</v>
      </c>
      <c r="I951" s="97">
        <f ca="1">_xll.meDateFromTenor(I950,"1D","FOLLOWING","TGT")</f>
        <v>43858</v>
      </c>
      <c r="J951" s="95">
        <f ca="1"/>
        <v>2.0274468441085157E-4</v>
      </c>
      <c r="K951" s="5" t="s">
        <v>4</v>
      </c>
      <c r="L951" s="97">
        <f ca="1">_xll.meDateFromTenor(L950,"1D","FOLLOWING","TGT")</f>
        <v>43858</v>
      </c>
      <c r="M951" s="95">
        <f ca="1"/>
        <v>2.1125689811882179E-3</v>
      </c>
      <c r="N951" s="5" t="s">
        <v>4</v>
      </c>
      <c r="O951" s="97">
        <f ca="1">_xll.meDateFromTenor(O950,"1D","FOLLOWING","TGT")</f>
        <v>43858</v>
      </c>
      <c r="P951" s="95">
        <f ca="1"/>
        <v>4.1121863945890267E-3</v>
      </c>
      <c r="Q951" s="5" t="s">
        <v>4</v>
      </c>
      <c r="R951" s="83" t="s">
        <v>4</v>
      </c>
    </row>
    <row r="952" spans="1:18" x14ac:dyDescent="0.25">
      <c r="A952" s="88">
        <v>938</v>
      </c>
      <c r="B952" s="82"/>
      <c r="C952" s="97">
        <f ca="1">_xll.meDateFromTenor(C951,"1D","FOLLOWING","TGT")</f>
        <v>43859</v>
      </c>
      <c r="D952" s="95">
        <f ca="1"/>
        <v>-1.8763809426826095E-3</v>
      </c>
      <c r="E952" s="92"/>
      <c r="F952" s="97">
        <f ca="1">_xll.meDateFromTenor(F951,"1D","FOLLOWING","TGT")</f>
        <v>43859</v>
      </c>
      <c r="G952" s="95">
        <f ca="1"/>
        <v>-1.0119061326166524E-3</v>
      </c>
      <c r="H952" s="92" t="s">
        <v>4</v>
      </c>
      <c r="I952" s="97">
        <f ca="1">_xll.meDateFromTenor(I951,"1D","FOLLOWING","TGT")</f>
        <v>43859</v>
      </c>
      <c r="J952" s="95">
        <f ca="1"/>
        <v>2.0831913041932507E-4</v>
      </c>
      <c r="K952" s="5" t="s">
        <v>4</v>
      </c>
      <c r="L952" s="97">
        <f ca="1">_xll.meDateFromTenor(L951,"1D","FOLLOWING","TGT")</f>
        <v>43859</v>
      </c>
      <c r="M952" s="95">
        <f ca="1"/>
        <v>2.1185934981129005E-3</v>
      </c>
      <c r="N952" s="5" t="s">
        <v>4</v>
      </c>
      <c r="O952" s="97">
        <f ca="1">_xll.meDateFromTenor(O951,"1D","FOLLOWING","TGT")</f>
        <v>43859</v>
      </c>
      <c r="P952" s="95">
        <f ca="1"/>
        <v>4.1180314804910266E-3</v>
      </c>
      <c r="Q952" s="5" t="s">
        <v>4</v>
      </c>
      <c r="R952" s="83" t="s">
        <v>4</v>
      </c>
    </row>
    <row r="953" spans="1:18" x14ac:dyDescent="0.25">
      <c r="A953" s="88">
        <v>939</v>
      </c>
      <c r="B953" s="82"/>
      <c r="C953" s="97">
        <f ca="1">_xll.meDateFromTenor(C952,"1D","FOLLOWING","TGT")</f>
        <v>43860</v>
      </c>
      <c r="D953" s="95">
        <f ca="1"/>
        <v>-1.8732760035361506E-3</v>
      </c>
      <c r="E953" s="92"/>
      <c r="F953" s="97">
        <f ca="1">_xll.meDateFromTenor(F952,"1D","FOLLOWING","TGT")</f>
        <v>43860</v>
      </c>
      <c r="G953" s="95">
        <f ca="1"/>
        <v>-1.0061086799113199E-3</v>
      </c>
      <c r="H953" s="92" t="s">
        <v>4</v>
      </c>
      <c r="I953" s="97">
        <f ca="1">_xll.meDateFromTenor(I952,"1D","FOLLOWING","TGT")</f>
        <v>43860</v>
      </c>
      <c r="J953" s="95">
        <f ca="1"/>
        <v>2.1390452329426147E-4</v>
      </c>
      <c r="K953" s="5" t="s">
        <v>4</v>
      </c>
      <c r="L953" s="97">
        <f ca="1">_xll.meDateFromTenor(L952,"1D","FOLLOWING","TGT")</f>
        <v>43860</v>
      </c>
      <c r="M953" s="95">
        <f ca="1"/>
        <v>2.1246198322789549E-3</v>
      </c>
      <c r="N953" s="5" t="s">
        <v>4</v>
      </c>
      <c r="O953" s="97">
        <f ca="1">_xll.meDateFromTenor(O952,"1D","FOLLOWING","TGT")</f>
        <v>43860</v>
      </c>
      <c r="P953" s="95">
        <f ca="1"/>
        <v>4.1238800216659268E-3</v>
      </c>
      <c r="Q953" s="5" t="s">
        <v>4</v>
      </c>
      <c r="R953" s="83" t="s">
        <v>4</v>
      </c>
    </row>
    <row r="954" spans="1:18" x14ac:dyDescent="0.25">
      <c r="A954" s="88">
        <v>940</v>
      </c>
      <c r="B954" s="82"/>
      <c r="C954" s="97">
        <f ca="1">_xll.meDateFromTenor(C953,"1D","FOLLOWING","TGT")</f>
        <v>43861</v>
      </c>
      <c r="D954" s="95">
        <f ca="1"/>
        <v>-1.8702008930526759E-3</v>
      </c>
      <c r="E954" s="92"/>
      <c r="F954" s="97">
        <f ca="1">_xll.meDateFromTenor(F953,"1D","FOLLOWING","TGT")</f>
        <v>43861</v>
      </c>
      <c r="G954" s="95">
        <f ca="1"/>
        <v>-1.0002659354465774E-3</v>
      </c>
      <c r="H954" s="92" t="s">
        <v>4</v>
      </c>
      <c r="I954" s="97">
        <f ca="1">_xll.meDateFromTenor(I953,"1D","FOLLOWING","TGT")</f>
        <v>43861</v>
      </c>
      <c r="J954" s="95">
        <f ca="1"/>
        <v>2.1950085282251494E-4</v>
      </c>
      <c r="K954" s="5" t="s">
        <v>4</v>
      </c>
      <c r="L954" s="97">
        <f ca="1">_xll.meDateFromTenor(L953,"1D","FOLLOWING","TGT")</f>
        <v>43861</v>
      </c>
      <c r="M954" s="95">
        <f ca="1"/>
        <v>2.1306480015056083E-3</v>
      </c>
      <c r="N954" s="5" t="s">
        <v>4</v>
      </c>
      <c r="O954" s="97">
        <f ca="1">_xll.meDateFromTenor(O953,"1D","FOLLOWING","TGT")</f>
        <v>43861</v>
      </c>
      <c r="P954" s="95">
        <f ca="1"/>
        <v>4.1297320341445887E-3</v>
      </c>
      <c r="Q954" s="5" t="s">
        <v>4</v>
      </c>
      <c r="R954" s="83" t="s">
        <v>4</v>
      </c>
    </row>
    <row r="955" spans="1:18" x14ac:dyDescent="0.25">
      <c r="A955" s="88">
        <v>941</v>
      </c>
      <c r="B955" s="82"/>
      <c r="C955" s="97">
        <f ca="1">_xll.meDateFromTenor(C954,"1D","FOLLOWING","TGT")</f>
        <v>43864</v>
      </c>
      <c r="D955" s="95">
        <f ca="1"/>
        <v>-1.8611545289763942E-3</v>
      </c>
      <c r="E955" s="92"/>
      <c r="F955" s="97">
        <f ca="1">_xll.meDateFromTenor(F954,"1D","FOLLOWING","TGT")</f>
        <v>43864</v>
      </c>
      <c r="G955" s="95">
        <f ca="1"/>
        <v>-9.8243865529799748E-4</v>
      </c>
      <c r="H955" s="92" t="s">
        <v>4</v>
      </c>
      <c r="I955" s="97">
        <f ca="1">_xll.meDateFromTenor(I954,"1D","FOLLOWING","TGT")</f>
        <v>43864</v>
      </c>
      <c r="J955" s="95">
        <f ca="1"/>
        <v>2.3635535919572955E-4</v>
      </c>
      <c r="K955" s="5" t="s">
        <v>4</v>
      </c>
      <c r="L955" s="97">
        <f ca="1">_xll.meDateFromTenor(L954,"1D","FOLLOWING","TGT")</f>
        <v>43864</v>
      </c>
      <c r="M955" s="95">
        <f ca="1"/>
        <v>2.1487436977414395E-3</v>
      </c>
      <c r="N955" s="5" t="s">
        <v>4</v>
      </c>
      <c r="O955" s="97">
        <f ca="1">_xll.meDateFromTenor(O954,"1D","FOLLOWING","TGT")</f>
        <v>43864</v>
      </c>
      <c r="P955" s="95">
        <f ca="1"/>
        <v>4.1473090597117139E-3</v>
      </c>
      <c r="Q955" s="5" t="s">
        <v>4</v>
      </c>
      <c r="R955" s="83" t="s">
        <v>4</v>
      </c>
    </row>
    <row r="956" spans="1:18" x14ac:dyDescent="0.25">
      <c r="A956" s="88">
        <v>942</v>
      </c>
      <c r="B956" s="82"/>
      <c r="C956" s="97">
        <f ca="1">_xll.meDateFromTenor(C955,"1D","FOLLOWING","TGT")</f>
        <v>43865</v>
      </c>
      <c r="D956" s="95">
        <f ca="1"/>
        <v>-1.8581987287271673E-3</v>
      </c>
      <c r="E956" s="92"/>
      <c r="F956" s="97">
        <f ca="1">_xll.meDateFromTenor(F955,"1D","FOLLOWING","TGT")</f>
        <v>43865</v>
      </c>
      <c r="G956" s="95">
        <f ca="1"/>
        <v>-9.7638829936499407E-4</v>
      </c>
      <c r="H956" s="92" t="s">
        <v>4</v>
      </c>
      <c r="I956" s="97">
        <f ca="1">_xll.meDateFromTenor(I955,"1D","FOLLOWING","TGT")</f>
        <v>43865</v>
      </c>
      <c r="J956" s="95">
        <f ca="1"/>
        <v>2.4199533320580383E-4</v>
      </c>
      <c r="K956" s="5" t="s">
        <v>4</v>
      </c>
      <c r="L956" s="97">
        <f ca="1">_xll.meDateFromTenor(L955,"1D","FOLLOWING","TGT")</f>
        <v>43865</v>
      </c>
      <c r="M956" s="95">
        <f ca="1"/>
        <v>2.1547793854027673E-3</v>
      </c>
      <c r="N956" s="5" t="s">
        <v>4</v>
      </c>
      <c r="O956" s="97">
        <f ca="1">_xll.meDateFromTenor(O955,"1D","FOLLOWING","TGT")</f>
        <v>43865</v>
      </c>
      <c r="P956" s="95">
        <f ca="1"/>
        <v>4.1531751177139977E-3</v>
      </c>
      <c r="Q956" s="5" t="s">
        <v>4</v>
      </c>
      <c r="R956" s="83" t="s">
        <v>4</v>
      </c>
    </row>
    <row r="957" spans="1:18" x14ac:dyDescent="0.25">
      <c r="A957" s="88">
        <v>943</v>
      </c>
      <c r="B957" s="82"/>
      <c r="C957" s="97">
        <f ca="1">_xll.meDateFromTenor(C956,"1D","FOLLOWING","TGT")</f>
        <v>43866</v>
      </c>
      <c r="D957" s="95">
        <f ca="1"/>
        <v>-1.8552727551381931E-3</v>
      </c>
      <c r="E957" s="92"/>
      <c r="F957" s="97">
        <f ca="1">_xll.meDateFromTenor(F956,"1D","FOLLOWING","TGT")</f>
        <v>43866</v>
      </c>
      <c r="G957" s="95">
        <f ca="1"/>
        <v>-9.7028411417726581E-4</v>
      </c>
      <c r="H957" s="92" t="s">
        <v>4</v>
      </c>
      <c r="I957" s="97">
        <f ca="1">_xll.meDateFromTenor(I956,"1D","FOLLOWING","TGT")</f>
        <v>43866</v>
      </c>
      <c r="J957" s="95">
        <f ca="1"/>
        <v>2.4764619280347145E-4</v>
      </c>
      <c r="K957" s="5" t="s">
        <v>4</v>
      </c>
      <c r="L957" s="97">
        <f ca="1">_xll.meDateFromTenor(L956,"1D","FOLLOWING","TGT")</f>
        <v>43866</v>
      </c>
      <c r="M957" s="95">
        <f ca="1"/>
        <v>2.1608169972208344E-3</v>
      </c>
      <c r="N957" s="5" t="s">
        <v>4</v>
      </c>
      <c r="O957" s="97">
        <f ca="1">_xll.meDateFromTenor(O956,"1D","FOLLOWING","TGT")</f>
        <v>43866</v>
      </c>
      <c r="P957" s="95">
        <f ca="1"/>
        <v>4.1590447271743327E-3</v>
      </c>
      <c r="Q957" s="5" t="s">
        <v>4</v>
      </c>
      <c r="R957" s="83" t="s">
        <v>4</v>
      </c>
    </row>
    <row r="958" spans="1:18" x14ac:dyDescent="0.25">
      <c r="A958" s="88">
        <v>944</v>
      </c>
      <c r="B958" s="82"/>
      <c r="C958" s="97">
        <f ca="1">_xll.meDateFromTenor(C957,"1D","FOLLOWING","TGT")</f>
        <v>43867</v>
      </c>
      <c r="D958" s="95">
        <f ca="1"/>
        <v>-1.8523766073936798E-3</v>
      </c>
      <c r="E958" s="92"/>
      <c r="F958" s="97">
        <f ca="1">_xll.meDateFromTenor(F957,"1D","FOLLOWING","TGT")</f>
        <v>43867</v>
      </c>
      <c r="G958" s="95">
        <f ca="1"/>
        <v>-9.6412848071865669E-4</v>
      </c>
      <c r="H958" s="92" t="s">
        <v>4</v>
      </c>
      <c r="I958" s="97">
        <f ca="1">_xll.meDateFromTenor(I957,"1D","FOLLOWING","TGT")</f>
        <v>43867</v>
      </c>
      <c r="J958" s="95">
        <f ca="1"/>
        <v>2.5330792777558648E-4</v>
      </c>
      <c r="K958" s="5" t="s">
        <v>4</v>
      </c>
      <c r="L958" s="97">
        <f ca="1">_xll.meDateFromTenor(L957,"1D","FOLLOWING","TGT")</f>
        <v>43867</v>
      </c>
      <c r="M958" s="95">
        <f ca="1"/>
        <v>2.166856551014867E-3</v>
      </c>
      <c r="N958" s="5" t="s">
        <v>4</v>
      </c>
      <c r="O958" s="97">
        <f ca="1">_xll.meDateFromTenor(O957,"1D","FOLLOWING","TGT")</f>
        <v>43867</v>
      </c>
      <c r="P958" s="95">
        <f ca="1"/>
        <v>4.164917904123577E-3</v>
      </c>
      <c r="Q958" s="5" t="s">
        <v>4</v>
      </c>
      <c r="R958" s="83" t="s">
        <v>4</v>
      </c>
    </row>
    <row r="959" spans="1:18" x14ac:dyDescent="0.25">
      <c r="A959" s="88">
        <v>945</v>
      </c>
      <c r="B959" s="82"/>
      <c r="C959" s="97">
        <f ca="1">_xll.meDateFromTenor(C958,"1D","FOLLOWING","TGT")</f>
        <v>43868</v>
      </c>
      <c r="D959" s="95">
        <f ca="1"/>
        <v>-1.8495102854736434E-3</v>
      </c>
      <c r="E959" s="92"/>
      <c r="F959" s="97">
        <f ca="1">_xll.meDateFromTenor(F958,"1D","FOLLOWING","TGT")</f>
        <v>43868</v>
      </c>
      <c r="G959" s="95">
        <f ca="1"/>
        <v>-9.5792377997300704E-4</v>
      </c>
      <c r="H959" s="92" t="s">
        <v>4</v>
      </c>
      <c r="I959" s="97">
        <f ca="1">_xll.meDateFromTenor(I958,"1D","FOLLOWING","TGT")</f>
        <v>43868</v>
      </c>
      <c r="J959" s="95">
        <f ca="1"/>
        <v>2.5898052790900613E-4</v>
      </c>
      <c r="K959" s="5" t="s">
        <v>4</v>
      </c>
      <c r="L959" s="97">
        <f ca="1">_xll.meDateFromTenor(L958,"1D","FOLLOWING","TGT")</f>
        <v>43868</v>
      </c>
      <c r="M959" s="95">
        <f ca="1"/>
        <v>2.1728980646040954E-3</v>
      </c>
      <c r="N959" s="5" t="s">
        <v>4</v>
      </c>
      <c r="O959" s="97">
        <f ca="1">_xll.meDateFromTenor(O958,"1D","FOLLOWING","TGT")</f>
        <v>43868</v>
      </c>
      <c r="P959" s="95">
        <f ca="1"/>
        <v>4.1707946645925904E-3</v>
      </c>
      <c r="Q959" s="5" t="s">
        <v>4</v>
      </c>
      <c r="R959" s="83" t="s">
        <v>4</v>
      </c>
    </row>
    <row r="960" spans="1:18" x14ac:dyDescent="0.25">
      <c r="A960" s="88">
        <v>946</v>
      </c>
      <c r="B960" s="82"/>
      <c r="C960" s="97">
        <f ca="1">_xll.meDateFromTenor(C959,"1D","FOLLOWING","TGT")</f>
        <v>43871</v>
      </c>
      <c r="D960" s="95">
        <f ca="1"/>
        <v>-1.8410902694293574E-3</v>
      </c>
      <c r="E960" s="92"/>
      <c r="F960" s="97">
        <f ca="1">_xll.meDateFromTenor(F959,"1D","FOLLOWING","TGT")</f>
        <v>43871</v>
      </c>
      <c r="G960" s="95">
        <f ca="1"/>
        <v>-9.3903908385224591E-4</v>
      </c>
      <c r="H960" s="92" t="s">
        <v>4</v>
      </c>
      <c r="I960" s="97">
        <f ca="1">_xll.meDateFromTenor(I959,"1D","FOLLOWING","TGT")</f>
        <v>43871</v>
      </c>
      <c r="J960" s="95">
        <f ca="1"/>
        <v>2.7606341714563976E-4</v>
      </c>
      <c r="K960" s="5" t="s">
        <v>4</v>
      </c>
      <c r="L960" s="97">
        <f ca="1">_xll.meDateFromTenor(L959,"1D","FOLLOWING","TGT")</f>
        <v>43871</v>
      </c>
      <c r="M960" s="95">
        <f ca="1"/>
        <v>2.1910345423352281E-3</v>
      </c>
      <c r="N960" s="5" t="s">
        <v>4</v>
      </c>
      <c r="O960" s="97">
        <f ca="1">_xll.meDateFromTenor(O959,"1D","FOLLOWING","TGT")</f>
        <v>43871</v>
      </c>
      <c r="P960" s="95">
        <f ca="1"/>
        <v>4.1884466074268217E-3</v>
      </c>
      <c r="Q960" s="5" t="s">
        <v>4</v>
      </c>
      <c r="R960" s="83" t="s">
        <v>4</v>
      </c>
    </row>
    <row r="961" spans="1:18" x14ac:dyDescent="0.25">
      <c r="A961" s="88">
        <v>947</v>
      </c>
      <c r="B961" s="82"/>
      <c r="C961" s="97">
        <f ca="1">_xll.meDateFromTenor(C960,"1D","FOLLOWING","TGT")</f>
        <v>43872</v>
      </c>
      <c r="D961" s="95">
        <f ca="1"/>
        <v>-1.838343245842422E-3</v>
      </c>
      <c r="E961" s="92"/>
      <c r="F961" s="97">
        <f ca="1">_xll.meDateFromTenor(F960,"1D","FOLLOWING","TGT")</f>
        <v>43872</v>
      </c>
      <c r="G961" s="95">
        <f ca="1"/>
        <v>-9.3266192379686441E-4</v>
      </c>
      <c r="H961" s="92" t="s">
        <v>4</v>
      </c>
      <c r="I961" s="97">
        <f ca="1">_xll.meDateFromTenor(I960,"1D","FOLLOWING","TGT")</f>
        <v>43872</v>
      </c>
      <c r="J961" s="95">
        <f ca="1"/>
        <v>2.8177937579282547E-4</v>
      </c>
      <c r="K961" s="5" t="s">
        <v>4</v>
      </c>
      <c r="L961" s="97">
        <f ca="1">_xll.meDateFromTenor(L960,"1D","FOLLOWING","TGT")</f>
        <v>43872</v>
      </c>
      <c r="M961" s="95">
        <f ca="1"/>
        <v>2.1970840732975145E-3</v>
      </c>
      <c r="N961" s="5" t="s">
        <v>4</v>
      </c>
      <c r="O961" s="97">
        <f ca="1">_xll.meDateFromTenor(O960,"1D","FOLLOWING","TGT")</f>
        <v>43872</v>
      </c>
      <c r="P961" s="95">
        <f ca="1"/>
        <v>4.1943378622834896E-3</v>
      </c>
      <c r="Q961" s="5" t="s">
        <v>4</v>
      </c>
      <c r="R961" s="83" t="s">
        <v>4</v>
      </c>
    </row>
    <row r="962" spans="1:18" x14ac:dyDescent="0.25">
      <c r="A962" s="88">
        <v>948</v>
      </c>
      <c r="B962" s="82"/>
      <c r="C962" s="97">
        <f ca="1">_xll.meDateFromTenor(C961,"1D","FOLLOWING","TGT")</f>
        <v>43873</v>
      </c>
      <c r="D962" s="95">
        <f ca="1"/>
        <v>-1.8356260458237683E-3</v>
      </c>
      <c r="E962" s="92"/>
      <c r="F962" s="97">
        <f ca="1">_xll.meDateFromTenor(F961,"1D","FOLLOWING","TGT")</f>
        <v>43873</v>
      </c>
      <c r="G962" s="95">
        <f ca="1"/>
        <v>-9.2624760137365492E-4</v>
      </c>
      <c r="H962" s="92" t="s">
        <v>4</v>
      </c>
      <c r="I962" s="97">
        <f ca="1">_xll.meDateFromTenor(I961,"1D","FOLLOWING","TGT")</f>
        <v>43873</v>
      </c>
      <c r="J962" s="95">
        <f ca="1"/>
        <v>2.8750614853559201E-4</v>
      </c>
      <c r="K962" s="5" t="s">
        <v>4</v>
      </c>
      <c r="L962" s="97">
        <f ca="1">_xll.meDateFromTenor(L961,"1D","FOLLOWING","TGT")</f>
        <v>43873</v>
      </c>
      <c r="M962" s="95">
        <f ca="1"/>
        <v>2.2031356531511362E-3</v>
      </c>
      <c r="N962" s="5" t="s">
        <v>4</v>
      </c>
      <c r="O962" s="97">
        <f ca="1">_xll.meDateFromTenor(O961,"1D","FOLLOWING","TGT")</f>
        <v>43873</v>
      </c>
      <c r="P962" s="95">
        <f ca="1"/>
        <v>4.2002327808142188E-3</v>
      </c>
      <c r="Q962" s="5" t="s">
        <v>4</v>
      </c>
      <c r="R962" s="83" t="s">
        <v>4</v>
      </c>
    </row>
    <row r="963" spans="1:18" x14ac:dyDescent="0.25">
      <c r="A963" s="88">
        <v>949</v>
      </c>
      <c r="B963" s="82"/>
      <c r="C963" s="97">
        <f ca="1">_xll.meDateFromTenor(C962,"1D","FOLLOWING","TGT")</f>
        <v>43874</v>
      </c>
      <c r="D963" s="95">
        <f ca="1"/>
        <v>-1.8329386690978389E-3</v>
      </c>
      <c r="E963" s="92"/>
      <c r="F963" s="97">
        <f ca="1">_xll.meDateFromTenor(F962,"1D","FOLLOWING","TGT")</f>
        <v>43874</v>
      </c>
      <c r="G963" s="95">
        <f ca="1"/>
        <v>-9.1979849756646101E-4</v>
      </c>
      <c r="H963" s="92" t="s">
        <v>4</v>
      </c>
      <c r="I963" s="97">
        <f ca="1">_xll.meDateFromTenor(I962,"1D","FOLLOWING","TGT")</f>
        <v>43874</v>
      </c>
      <c r="J963" s="95">
        <f ca="1"/>
        <v>2.9324372516079366E-4</v>
      </c>
      <c r="K963" s="5" t="s">
        <v>4</v>
      </c>
      <c r="L963" s="97">
        <f ca="1">_xll.meDateFromTenor(L962,"1D","FOLLOWING","TGT")</f>
        <v>43874</v>
      </c>
      <c r="M963" s="95">
        <f ca="1"/>
        <v>2.2091892997153206E-3</v>
      </c>
      <c r="N963" s="5" t="s">
        <v>4</v>
      </c>
      <c r="O963" s="97">
        <f ca="1">_xll.meDateFromTenor(O962,"1D","FOLLOWING","TGT")</f>
        <v>43874</v>
      </c>
      <c r="P963" s="95">
        <f ca="1"/>
        <v>4.2061313790498654E-3</v>
      </c>
      <c r="Q963" s="5" t="s">
        <v>4</v>
      </c>
      <c r="R963" s="83" t="s">
        <v>4</v>
      </c>
    </row>
    <row r="964" spans="1:18" x14ac:dyDescent="0.25">
      <c r="A964" s="88">
        <v>950</v>
      </c>
      <c r="B964" s="82"/>
      <c r="C964" s="97">
        <f ca="1">_xll.meDateFromTenor(C963,"1D","FOLLOWING","TGT")</f>
        <v>43875</v>
      </c>
      <c r="D964" s="95">
        <f ca="1"/>
        <v>-1.8302811147475895E-3</v>
      </c>
      <c r="E964" s="92"/>
      <c r="F964" s="97">
        <f ca="1">_xll.meDateFromTenor(F963,"1D","FOLLOWING","TGT")</f>
        <v>43875</v>
      </c>
      <c r="G964" s="95">
        <f ca="1"/>
        <v>-9.1331699335912636E-4</v>
      </c>
      <c r="H964" s="92" t="s">
        <v>4</v>
      </c>
      <c r="I964" s="97">
        <f ca="1">_xll.meDateFromTenor(I963,"1D","FOLLOWING","TGT")</f>
        <v>43875</v>
      </c>
      <c r="J964" s="95">
        <f ca="1"/>
        <v>2.989920954552845E-4</v>
      </c>
      <c r="K964" s="5" t="s">
        <v>4</v>
      </c>
      <c r="L964" s="97">
        <f ca="1">_xll.meDateFromTenor(L963,"1D","FOLLOWING","TGT")</f>
        <v>43875</v>
      </c>
      <c r="M964" s="95">
        <f ca="1"/>
        <v>2.2152450308092946E-3</v>
      </c>
      <c r="N964" s="5" t="s">
        <v>4</v>
      </c>
      <c r="O964" s="97">
        <f ca="1">_xll.meDateFromTenor(O963,"1D","FOLLOWING","TGT")</f>
        <v>43875</v>
      </c>
      <c r="P964" s="95">
        <f ca="1"/>
        <v>4.2120336730212876E-3</v>
      </c>
      <c r="Q964" s="5" t="s">
        <v>4</v>
      </c>
      <c r="R964" s="83" t="s">
        <v>4</v>
      </c>
    </row>
    <row r="965" spans="1:18" x14ac:dyDescent="0.25">
      <c r="A965" s="88">
        <v>951</v>
      </c>
      <c r="B965" s="82"/>
      <c r="C965" s="97">
        <f ca="1">_xll.meDateFromTenor(C964,"1D","FOLLOWING","TGT")</f>
        <v>43878</v>
      </c>
      <c r="D965" s="95">
        <f ca="1"/>
        <v>-1.8224873840458899E-3</v>
      </c>
      <c r="E965" s="92"/>
      <c r="F965" s="97">
        <f ca="1">_xll.meDateFromTenor(F964,"1D","FOLLOWING","TGT")</f>
        <v>43878</v>
      </c>
      <c r="G965" s="95">
        <f ca="1"/>
        <v>-8.9370188817469351E-4</v>
      </c>
      <c r="H965" s="92" t="s">
        <v>4</v>
      </c>
      <c r="I965" s="97">
        <f ca="1">_xll.meDateFromTenor(I964,"1D","FOLLOWING","TGT")</f>
        <v>43878</v>
      </c>
      <c r="J965" s="95">
        <f ca="1"/>
        <v>3.1630186622305401E-4</v>
      </c>
      <c r="K965" s="5" t="s">
        <v>4</v>
      </c>
      <c r="L965" s="97">
        <f ca="1">_xll.meDateFromTenor(L964,"1D","FOLLOWING","TGT")</f>
        <v>43878</v>
      </c>
      <c r="M965" s="95">
        <f ca="1"/>
        <v>2.2334249094622437E-3</v>
      </c>
      <c r="N965" s="5" t="s">
        <v>4</v>
      </c>
      <c r="O965" s="97">
        <f ca="1">_xll.meDateFromTenor(O964,"1D","FOLLOWING","TGT")</f>
        <v>43878</v>
      </c>
      <c r="P965" s="95">
        <f ca="1"/>
        <v>4.2297628896587995E-3</v>
      </c>
      <c r="Q965" s="5" t="s">
        <v>4</v>
      </c>
      <c r="R965" s="83" t="s">
        <v>4</v>
      </c>
    </row>
    <row r="966" spans="1:18" x14ac:dyDescent="0.25">
      <c r="A966" s="88">
        <v>952</v>
      </c>
      <c r="B966" s="82"/>
      <c r="C966" s="97">
        <f ca="1">_xll.meDateFromTenor(C965,"1D","FOLLOWING","TGT")</f>
        <v>43879</v>
      </c>
      <c r="D966" s="95">
        <f ca="1"/>
        <v>-1.819949116321995E-3</v>
      </c>
      <c r="E966" s="92"/>
      <c r="F966" s="97">
        <f ca="1">_xll.meDateFromTenor(F965,"1D","FOLLOWING","TGT")</f>
        <v>43879</v>
      </c>
      <c r="G966" s="95">
        <f ca="1"/>
        <v>-8.8711459220521547E-4</v>
      </c>
      <c r="H966" s="92" t="s">
        <v>4</v>
      </c>
      <c r="I966" s="97">
        <f ca="1">_xll.meDateFromTenor(I965,"1D","FOLLOWING","TGT")</f>
        <v>43879</v>
      </c>
      <c r="J966" s="95">
        <f ca="1"/>
        <v>3.2209330906325916E-4</v>
      </c>
      <c r="K966" s="5" t="s">
        <v>4</v>
      </c>
      <c r="L966" s="97">
        <f ca="1">_xll.meDateFromTenor(L965,"1D","FOLLOWING","TGT")</f>
        <v>43879</v>
      </c>
      <c r="M966" s="95">
        <f ca="1"/>
        <v>2.2394891568676607E-3</v>
      </c>
      <c r="N966" s="5" t="s">
        <v>4</v>
      </c>
      <c r="O966" s="97">
        <f ca="1">_xll.meDateFromTenor(O965,"1D","FOLLOWING","TGT")</f>
        <v>43879</v>
      </c>
      <c r="P966" s="95">
        <f ca="1"/>
        <v>4.2356801268819124E-3</v>
      </c>
      <c r="Q966" s="5" t="s">
        <v>4</v>
      </c>
      <c r="R966" s="83" t="s">
        <v>4</v>
      </c>
    </row>
    <row r="967" spans="1:18" x14ac:dyDescent="0.25">
      <c r="A967" s="88">
        <v>953</v>
      </c>
      <c r="B967" s="82"/>
      <c r="C967" s="97">
        <f ca="1">_xll.meDateFromTenor(C966,"1D","FOLLOWING","TGT")</f>
        <v>43880</v>
      </c>
      <c r="D967" s="95">
        <f ca="1"/>
        <v>-1.8174406690232292E-3</v>
      </c>
      <c r="E967" s="92"/>
      <c r="F967" s="97">
        <f ca="1">_xll.meDateFromTenor(F966,"1D","FOLLOWING","TGT")</f>
        <v>43880</v>
      </c>
      <c r="G967" s="95">
        <f ca="1"/>
        <v>-8.8050680075480966E-4</v>
      </c>
      <c r="H967" s="92" t="s">
        <v>4</v>
      </c>
      <c r="I967" s="97">
        <f ca="1">_xll.meDateFromTenor(I966,"1D","FOLLOWING","TGT")</f>
        <v>43880</v>
      </c>
      <c r="J967" s="95">
        <f ca="1"/>
        <v>3.2789549450702981E-4</v>
      </c>
      <c r="K967" s="5" t="s">
        <v>4</v>
      </c>
      <c r="L967" s="97">
        <f ca="1">_xll.meDateFromTenor(L966,"1D","FOLLOWING","TGT")</f>
        <v>43880</v>
      </c>
      <c r="M967" s="95">
        <f ca="1"/>
        <v>2.2455555778990079E-3</v>
      </c>
      <c r="N967" s="5" t="s">
        <v>4</v>
      </c>
      <c r="O967" s="97">
        <f ca="1">_xll.meDateFromTenor(O966,"1D","FOLLOWING","TGT")</f>
        <v>43880</v>
      </c>
      <c r="P967" s="95">
        <f ca="1"/>
        <v>4.2416011399950913E-3</v>
      </c>
      <c r="Q967" s="5" t="s">
        <v>4</v>
      </c>
      <c r="R967" s="83" t="s">
        <v>4</v>
      </c>
    </row>
    <row r="968" spans="1:18" x14ac:dyDescent="0.25">
      <c r="A968" s="88">
        <v>954</v>
      </c>
      <c r="B968" s="82"/>
      <c r="C968" s="97">
        <f ca="1">_xll.meDateFromTenor(C967,"1D","FOLLOWING","TGT")</f>
        <v>43881</v>
      </c>
      <c r="D968" s="95">
        <f ca="1"/>
        <v>-1.8149620418552725E-3</v>
      </c>
      <c r="E968" s="92"/>
      <c r="F968" s="97">
        <f ca="1">_xll.meDateFromTenor(F967,"1D","FOLLOWING","TGT")</f>
        <v>43881</v>
      </c>
      <c r="G968" s="95">
        <f ca="1"/>
        <v>-8.7388089480731597E-4</v>
      </c>
      <c r="H968" s="92" t="s">
        <v>4</v>
      </c>
      <c r="I968" s="97">
        <f ca="1">_xll.meDateFromTenor(I967,"1D","FOLLOWING","TGT")</f>
        <v>43881</v>
      </c>
      <c r="J968" s="95">
        <f ca="1"/>
        <v>3.337084123412229E-4</v>
      </c>
      <c r="K968" s="5" t="s">
        <v>4</v>
      </c>
      <c r="L968" s="97">
        <f ca="1">_xll.meDateFromTenor(L967,"1D","FOLLOWING","TGT")</f>
        <v>43881</v>
      </c>
      <c r="M968" s="95">
        <f ca="1"/>
        <v>2.2516241903755151E-3</v>
      </c>
      <c r="N968" s="5" t="s">
        <v>4</v>
      </c>
      <c r="O968" s="97">
        <f ca="1">_xll.meDateFromTenor(O967,"1D","FOLLOWING","TGT")</f>
        <v>43881</v>
      </c>
      <c r="P968" s="95">
        <f ca="1"/>
        <v>4.2475259450291993E-3</v>
      </c>
      <c r="Q968" s="5" t="s">
        <v>4</v>
      </c>
      <c r="R968" s="83" t="s">
        <v>4</v>
      </c>
    </row>
    <row r="969" spans="1:18" x14ac:dyDescent="0.25">
      <c r="A969" s="88">
        <v>955</v>
      </c>
      <c r="B969" s="82"/>
      <c r="C969" s="97">
        <f ca="1">_xll.meDateFromTenor(C968,"1D","FOLLOWING","TGT")</f>
        <v>43882</v>
      </c>
      <c r="D969" s="95">
        <f ca="1"/>
        <v>-1.8125132345609973E-3</v>
      </c>
      <c r="E969" s="92"/>
      <c r="F969" s="97">
        <f ca="1">_xll.meDateFromTenor(F968,"1D","FOLLOWING","TGT")</f>
        <v>43882</v>
      </c>
      <c r="G969" s="95">
        <f ca="1"/>
        <v>-8.6723925534657798E-4</v>
      </c>
      <c r="H969" s="92" t="s">
        <v>4</v>
      </c>
      <c r="I969" s="97">
        <f ca="1">_xll.meDateFromTenor(I968,"1D","FOLLOWING","TGT")</f>
        <v>43882</v>
      </c>
      <c r="J969" s="95">
        <f ca="1"/>
        <v>3.395320523526929E-4</v>
      </c>
      <c r="K969" s="5" t="s">
        <v>4</v>
      </c>
      <c r="L969" s="97">
        <f ca="1">_xll.meDateFromTenor(L968,"1D","FOLLOWING","TGT")</f>
        <v>43882</v>
      </c>
      <c r="M969" s="95">
        <f ca="1"/>
        <v>2.2576950121164087E-3</v>
      </c>
      <c r="N969" s="5" t="s">
        <v>4</v>
      </c>
      <c r="O969" s="97">
        <f ca="1">_xll.meDateFromTenor(O968,"1D","FOLLOWING","TGT")</f>
        <v>43882</v>
      </c>
      <c r="P969" s="95">
        <f ca="1"/>
        <v>4.253454558015091E-3</v>
      </c>
      <c r="Q969" s="5" t="s">
        <v>4</v>
      </c>
      <c r="R969" s="83" t="s">
        <v>4</v>
      </c>
    </row>
    <row r="970" spans="1:18" x14ac:dyDescent="0.25">
      <c r="A970" s="88">
        <v>956</v>
      </c>
      <c r="B970" s="82"/>
      <c r="C970" s="97">
        <f ca="1">_xll.meDateFromTenor(C969,"1D","FOLLOWING","TGT")</f>
        <v>43885</v>
      </c>
      <c r="D970" s="95">
        <f ca="1"/>
        <v>-1.8053457259961103E-3</v>
      </c>
      <c r="E970" s="92"/>
      <c r="F970" s="97">
        <f ca="1">_xll.meDateFromTenor(F969,"1D","FOLLOWING","TGT")</f>
        <v>43885</v>
      </c>
      <c r="G970" s="95">
        <f ca="1"/>
        <v>-8.4724374572332567E-4</v>
      </c>
      <c r="H970" s="92" t="s">
        <v>4</v>
      </c>
      <c r="I970" s="97">
        <f ca="1">_xll.meDateFromTenor(I969,"1D","FOLLOWING","TGT")</f>
        <v>43885</v>
      </c>
      <c r="J970" s="95">
        <f ca="1"/>
        <v>3.5706720331931508E-4</v>
      </c>
      <c r="K970" s="5" t="s">
        <v>4</v>
      </c>
      <c r="L970" s="97">
        <f ca="1">_xll.meDateFromTenor(L969,"1D","FOLLOWING","TGT")</f>
        <v>43885</v>
      </c>
      <c r="M970" s="95">
        <f ca="1"/>
        <v>2.2759209111176872E-3</v>
      </c>
      <c r="N970" s="5" t="s">
        <v>4</v>
      </c>
      <c r="O970" s="97">
        <f ca="1">_xll.meDateFromTenor(O969,"1D","FOLLOWING","TGT")</f>
        <v>43885</v>
      </c>
      <c r="P970" s="95">
        <f ca="1"/>
        <v>4.2712634049920572E-3</v>
      </c>
      <c r="Q970" s="5" t="s">
        <v>4</v>
      </c>
      <c r="R970" s="83" t="s">
        <v>4</v>
      </c>
    </row>
    <row r="971" spans="1:18" x14ac:dyDescent="0.25">
      <c r="A971" s="88">
        <v>957</v>
      </c>
      <c r="B971" s="82"/>
      <c r="C971" s="97">
        <f ca="1">_xll.meDateFromTenor(C970,"1D","FOLLOWING","TGT")</f>
        <v>43886</v>
      </c>
      <c r="D971" s="95">
        <f ca="1"/>
        <v>-1.8030161928579425E-3</v>
      </c>
      <c r="E971" s="92"/>
      <c r="F971" s="97">
        <f ca="1">_xll.meDateFromTenor(F970,"1D","FOLLOWING","TGT")</f>
        <v>43886</v>
      </c>
      <c r="G971" s="95">
        <f ca="1"/>
        <v>-8.4056298204803642E-4</v>
      </c>
      <c r="H971" s="92" t="s">
        <v>4</v>
      </c>
      <c r="I971" s="97">
        <f ca="1">_xll.meDateFromTenor(I970,"1D","FOLLOWING","TGT")</f>
        <v>43886</v>
      </c>
      <c r="J971" s="95">
        <f ca="1"/>
        <v>3.6293362990844454E-4</v>
      </c>
      <c r="K971" s="5" t="s">
        <v>4</v>
      </c>
      <c r="L971" s="97">
        <f ca="1">_xll.meDateFromTenor(L970,"1D","FOLLOWING","TGT")</f>
        <v>43886</v>
      </c>
      <c r="M971" s="95">
        <f ca="1"/>
        <v>2.2820007481084074E-3</v>
      </c>
      <c r="N971" s="5" t="s">
        <v>4</v>
      </c>
      <c r="O971" s="97">
        <f ca="1">_xll.meDateFromTenor(O970,"1D","FOLLOWING","TGT")</f>
        <v>43886</v>
      </c>
      <c r="P971" s="95">
        <f ca="1"/>
        <v>4.2772074100936724E-3</v>
      </c>
      <c r="Q971" s="5" t="s">
        <v>4</v>
      </c>
      <c r="R971" s="83" t="s">
        <v>4</v>
      </c>
    </row>
    <row r="972" spans="1:18" x14ac:dyDescent="0.25">
      <c r="A972" s="88">
        <v>958</v>
      </c>
      <c r="B972" s="82"/>
      <c r="C972" s="97">
        <f ca="1">_xll.meDateFromTenor(C971,"1D","FOLLOWING","TGT")</f>
        <v>43887</v>
      </c>
      <c r="D972" s="95">
        <f ca="1"/>
        <v>-1.8007164775092344E-3</v>
      </c>
      <c r="E972" s="92"/>
      <c r="F972" s="97">
        <f ca="1">_xll.meDateFromTenor(F971,"1D","FOLLOWING","TGT")</f>
        <v>43887</v>
      </c>
      <c r="G972" s="95">
        <f ca="1"/>
        <v>-8.3387838977871552E-4</v>
      </c>
      <c r="H972" s="92" t="s">
        <v>4</v>
      </c>
      <c r="I972" s="97">
        <f ca="1">_xll.meDateFromTenor(I971,"1D","FOLLOWING","TGT")</f>
        <v>43887</v>
      </c>
      <c r="J972" s="95">
        <f ca="1"/>
        <v>3.688107276091271E-4</v>
      </c>
      <c r="K972" s="5" t="s">
        <v>4</v>
      </c>
      <c r="L972" s="97">
        <f ca="1">_xll.meDateFromTenor(L971,"1D","FOLLOWING","TGT")</f>
        <v>43887</v>
      </c>
      <c r="M972" s="95">
        <f ca="1"/>
        <v>2.2880828834596534E-3</v>
      </c>
      <c r="N972" s="5" t="s">
        <v>4</v>
      </c>
      <c r="O972" s="97">
        <f ca="1">_xll.meDateFromTenor(O971,"1D","FOLLOWING","TGT")</f>
        <v>43887</v>
      </c>
      <c r="P972" s="95">
        <f ca="1"/>
        <v>4.2831553033013626E-3</v>
      </c>
      <c r="Q972" s="5" t="s">
        <v>4</v>
      </c>
      <c r="R972" s="83" t="s">
        <v>4</v>
      </c>
    </row>
    <row r="973" spans="1:18" x14ac:dyDescent="0.25">
      <c r="A973" s="88">
        <v>959</v>
      </c>
      <c r="B973" s="82"/>
      <c r="C973" s="97">
        <f ca="1">_xll.meDateFromTenor(C972,"1D","FOLLOWING","TGT")</f>
        <v>43888</v>
      </c>
      <c r="D973" s="95">
        <f ca="1"/>
        <v>-1.7984465789188109E-3</v>
      </c>
      <c r="E973" s="92"/>
      <c r="F973" s="97">
        <f ca="1">_xll.meDateFromTenor(F972,"1D","FOLLOWING","TGT")</f>
        <v>43888</v>
      </c>
      <c r="G973" s="95">
        <f ca="1"/>
        <v>-8.2719234989920686E-4</v>
      </c>
      <c r="H973" s="92" t="s">
        <v>4</v>
      </c>
      <c r="I973" s="97">
        <f ca="1">_xll.meDateFromTenor(I972,"1D","FOLLOWING","TGT")</f>
        <v>43888</v>
      </c>
      <c r="J973" s="95">
        <f ca="1"/>
        <v>3.7469848620821678E-4</v>
      </c>
      <c r="K973" s="5" t="s">
        <v>4</v>
      </c>
      <c r="L973" s="97">
        <f ca="1">_xll.meDateFromTenor(L972,"1D","FOLLOWING","TGT")</f>
        <v>43888</v>
      </c>
      <c r="M973" s="95">
        <f ca="1"/>
        <v>2.294167334990653E-3</v>
      </c>
      <c r="N973" s="5" t="s">
        <v>4</v>
      </c>
      <c r="O973" s="97">
        <f ca="1">_xll.meDateFromTenor(O972,"1D","FOLLOWING","TGT")</f>
        <v>43888</v>
      </c>
      <c r="P973" s="95">
        <f ca="1"/>
        <v>4.2891071006459875E-3</v>
      </c>
      <c r="Q973" s="5" t="s">
        <v>4</v>
      </c>
      <c r="R973" s="83" t="s">
        <v>4</v>
      </c>
    </row>
    <row r="974" spans="1:18" x14ac:dyDescent="0.25">
      <c r="A974" s="88">
        <v>960</v>
      </c>
      <c r="B974" s="82"/>
      <c r="C974" s="97">
        <f ca="1">_xll.meDateFromTenor(C973,"1D","FOLLOWING","TGT")</f>
        <v>43889</v>
      </c>
      <c r="D974" s="95">
        <f ca="1"/>
        <v>-1.7962064970102887E-3</v>
      </c>
      <c r="E974" s="92"/>
      <c r="F974" s="97">
        <f ca="1">_xll.meDateFromTenor(F973,"1D","FOLLOWING","TGT")</f>
        <v>43889</v>
      </c>
      <c r="G974" s="95">
        <f ca="1"/>
        <v>-8.2050724339335056E-4</v>
      </c>
      <c r="H974" s="92" t="s">
        <v>4</v>
      </c>
      <c r="I974" s="97">
        <f ca="1">_xll.meDateFromTenor(I973,"1D","FOLLOWING","TGT")</f>
        <v>43889</v>
      </c>
      <c r="J974" s="95">
        <f ca="1"/>
        <v>3.8059689549257086E-4</v>
      </c>
      <c r="K974" s="5" t="s">
        <v>4</v>
      </c>
      <c r="L974" s="97">
        <f ca="1">_xll.meDateFromTenor(L973,"1D","FOLLOWING","TGT")</f>
        <v>43889</v>
      </c>
      <c r="M974" s="95">
        <f ca="1"/>
        <v>2.3002541205206367E-3</v>
      </c>
      <c r="N974" s="5" t="s">
        <v>4</v>
      </c>
      <c r="O974" s="97">
        <f ca="1">_xll.meDateFromTenor(O973,"1D","FOLLOWING","TGT")</f>
        <v>43889</v>
      </c>
      <c r="P974" s="95">
        <f ca="1"/>
        <v>4.2950628181584061E-3</v>
      </c>
      <c r="Q974" s="5" t="s">
        <v>4</v>
      </c>
      <c r="R974" s="83" t="s">
        <v>4</v>
      </c>
    </row>
    <row r="975" spans="1:18" x14ac:dyDescent="0.25">
      <c r="A975" s="88">
        <v>961</v>
      </c>
      <c r="B975" s="82"/>
      <c r="C975" s="97">
        <f ca="1">_xll.meDateFromTenor(C974,"1D","FOLLOWING","TGT")</f>
        <v>43892</v>
      </c>
      <c r="D975" s="95">
        <f ca="1"/>
        <v>-1.7896484862000017E-3</v>
      </c>
      <c r="E975" s="92"/>
      <c r="F975" s="97">
        <f ca="1">_xll.meDateFromTenor(F974,"1D","FOLLOWING","TGT")</f>
        <v>43892</v>
      </c>
      <c r="G975" s="95">
        <f ca="1"/>
        <v>-8.0048133395612927E-4</v>
      </c>
      <c r="H975" s="92" t="s">
        <v>4</v>
      </c>
      <c r="I975" s="97">
        <f ca="1">_xll.meDateFromTenor(I974,"1D","FOLLOWING","TGT")</f>
        <v>43892</v>
      </c>
      <c r="J975" s="95">
        <f ca="1"/>
        <v>3.9835592532576466E-4</v>
      </c>
      <c r="K975" s="5" t="s">
        <v>4</v>
      </c>
      <c r="L975" s="97">
        <f ca="1">_xll.meDateFromTenor(L974,"1D","FOLLOWING","TGT")</f>
        <v>43892</v>
      </c>
      <c r="M975" s="95">
        <f ca="1"/>
        <v>2.3185286592967615E-3</v>
      </c>
      <c r="N975" s="5" t="s">
        <v>4</v>
      </c>
      <c r="O975" s="97">
        <f ca="1">_xll.meDateFromTenor(O974,"1D","FOLLOWING","TGT")</f>
        <v>43892</v>
      </c>
      <c r="P975" s="95">
        <f ca="1"/>
        <v>4.3129536520110055E-3</v>
      </c>
      <c r="Q975" s="5" t="s">
        <v>4</v>
      </c>
      <c r="R975" s="83" t="s">
        <v>4</v>
      </c>
    </row>
    <row r="976" spans="1:18" x14ac:dyDescent="0.25">
      <c r="A976" s="88">
        <v>962</v>
      </c>
      <c r="B976" s="82"/>
      <c r="C976" s="97">
        <f ca="1">_xll.meDateFromTenor(C975,"1D","FOLLOWING","TGT")</f>
        <v>43893</v>
      </c>
      <c r="D976" s="95">
        <f ca="1"/>
        <v>-1.7874277015893503E-3</v>
      </c>
      <c r="E976" s="92"/>
      <c r="F976" s="97">
        <f ca="1">_xll.meDateFromTenor(F975,"1D","FOLLOWING","TGT")</f>
        <v>43893</v>
      </c>
      <c r="G976" s="95">
        <f ca="1"/>
        <v>-7.9382339933770888E-4</v>
      </c>
      <c r="H976" s="92" t="s">
        <v>4</v>
      </c>
      <c r="I976" s="97">
        <f ca="1">_xll.meDateFromTenor(I975,"1D","FOLLOWING","TGT")</f>
        <v>43893</v>
      </c>
      <c r="J976" s="95">
        <f ca="1"/>
        <v>4.0429682214327534E-4</v>
      </c>
      <c r="K976" s="5" t="s">
        <v>4</v>
      </c>
      <c r="L976" s="97">
        <f ca="1">_xll.meDateFromTenor(L975,"1D","FOLLOWING","TGT")</f>
        <v>43893</v>
      </c>
      <c r="M976" s="95">
        <f ca="1"/>
        <v>2.3246249590149551E-3</v>
      </c>
      <c r="N976" s="5" t="s">
        <v>4</v>
      </c>
      <c r="O976" s="97">
        <f ca="1">_xll.meDateFromTenor(O975,"1D","FOLLOWING","TGT")</f>
        <v>43893</v>
      </c>
      <c r="P976" s="95">
        <f ca="1"/>
        <v>4.3189252105031804E-3</v>
      </c>
      <c r="Q976" s="5" t="s">
        <v>4</v>
      </c>
      <c r="R976" s="83" t="s">
        <v>4</v>
      </c>
    </row>
    <row r="977" spans="1:18" x14ac:dyDescent="0.25">
      <c r="A977" s="88">
        <v>963</v>
      </c>
      <c r="B977" s="82"/>
      <c r="C977" s="97">
        <f ca="1">_xll.meDateFromTenor(C976,"1D","FOLLOWING","TGT")</f>
        <v>43894</v>
      </c>
      <c r="D977" s="95">
        <f ca="1"/>
        <v>-1.785136767597173E-3</v>
      </c>
      <c r="E977" s="92"/>
      <c r="F977" s="97">
        <f ca="1">_xll.meDateFromTenor(F976,"1D","FOLLOWING","TGT")</f>
        <v>43894</v>
      </c>
      <c r="G977" s="95">
        <f ca="1"/>
        <v>-7.8717607433853457E-4</v>
      </c>
      <c r="H977" s="92" t="s">
        <v>4</v>
      </c>
      <c r="I977" s="97">
        <f ca="1">_xll.meDateFromTenor(I976,"1D","FOLLOWING","TGT")</f>
        <v>43894</v>
      </c>
      <c r="J977" s="95">
        <f ca="1"/>
        <v>4.1024824012162982E-4</v>
      </c>
      <c r="K977" s="5" t="s">
        <v>4</v>
      </c>
      <c r="L977" s="97">
        <f ca="1">_xll.meDateFromTenor(L976,"1D","FOLLOWING","TGT")</f>
        <v>43894</v>
      </c>
      <c r="M977" s="95">
        <f ca="1"/>
        <v>2.3307236818282703E-3</v>
      </c>
      <c r="N977" s="5" t="s">
        <v>4</v>
      </c>
      <c r="O977" s="97">
        <f ca="1">_xll.meDateFromTenor(O976,"1D","FOLLOWING","TGT")</f>
        <v>43894</v>
      </c>
      <c r="P977" s="95">
        <f ca="1"/>
        <v>4.3249007693174392E-3</v>
      </c>
      <c r="Q977" s="5" t="s">
        <v>4</v>
      </c>
      <c r="R977" s="83" t="s">
        <v>4</v>
      </c>
    </row>
    <row r="978" spans="1:18" x14ac:dyDescent="0.25">
      <c r="A978" s="88">
        <v>964</v>
      </c>
      <c r="B978" s="82"/>
      <c r="C978" s="97">
        <f ca="1">_xll.meDateFromTenor(C977,"1D","FOLLOWING","TGT")</f>
        <v>43895</v>
      </c>
      <c r="D978" s="95">
        <f ca="1"/>
        <v>-1.7827756852171195E-3</v>
      </c>
      <c r="E978" s="92"/>
      <c r="F978" s="97">
        <f ca="1">_xll.meDateFromTenor(F977,"1D","FOLLOWING","TGT")</f>
        <v>43895</v>
      </c>
      <c r="G978" s="95">
        <f ca="1"/>
        <v>-7.8053951126882579E-4</v>
      </c>
      <c r="H978" s="92" t="s">
        <v>4</v>
      </c>
      <c r="I978" s="97">
        <f ca="1">_xll.meDateFromTenor(I977,"1D","FOLLOWING","TGT")</f>
        <v>43895</v>
      </c>
      <c r="J978" s="95">
        <f ca="1"/>
        <v>4.1621009058899049E-4</v>
      </c>
      <c r="K978" s="5" t="s">
        <v>4</v>
      </c>
      <c r="L978" s="97">
        <f ca="1">_xll.meDateFromTenor(L977,"1D","FOLLOWING","TGT")</f>
        <v>43895</v>
      </c>
      <c r="M978" s="95">
        <f ca="1"/>
        <v>2.3368248455559373E-3</v>
      </c>
      <c r="N978" s="5" t="s">
        <v>4</v>
      </c>
      <c r="O978" s="97">
        <f ca="1">_xll.meDateFromTenor(O977,"1D","FOLLOWING","TGT")</f>
        <v>43895</v>
      </c>
      <c r="P978" s="95">
        <f ca="1"/>
        <v>4.3308803444846418E-3</v>
      </c>
      <c r="Q978" s="5" t="s">
        <v>4</v>
      </c>
      <c r="R978" s="83" t="s">
        <v>4</v>
      </c>
    </row>
    <row r="979" spans="1:18" x14ac:dyDescent="0.25">
      <c r="A979" s="88">
        <v>965</v>
      </c>
      <c r="B979" s="82"/>
      <c r="C979" s="97">
        <f ca="1">_xll.meDateFromTenor(C978,"1D","FOLLOWING","TGT")</f>
        <v>43896</v>
      </c>
      <c r="D979" s="95">
        <f ca="1"/>
        <v>-1.7803444550703595E-3</v>
      </c>
      <c r="E979" s="92"/>
      <c r="F979" s="97">
        <f ca="1">_xll.meDateFromTenor(F978,"1D","FOLLOWING","TGT")</f>
        <v>43896</v>
      </c>
      <c r="G979" s="95">
        <f ca="1"/>
        <v>-7.7391386243880482E-4</v>
      </c>
      <c r="H979" s="92" t="s">
        <v>4</v>
      </c>
      <c r="I979" s="97">
        <f ca="1">_xll.meDateFromTenor(I978,"1D","FOLLOWING","TGT")</f>
        <v>43896</v>
      </c>
      <c r="J979" s="95">
        <f ca="1"/>
        <v>4.2218228487351671E-4</v>
      </c>
      <c r="K979" s="5" t="s">
        <v>4</v>
      </c>
      <c r="L979" s="97">
        <f ca="1">_xll.meDateFromTenor(L978,"1D","FOLLOWING","TGT")</f>
        <v>43896</v>
      </c>
      <c r="M979" s="95">
        <f ca="1"/>
        <v>2.3429284680171821E-3</v>
      </c>
      <c r="N979" s="5" t="s">
        <v>4</v>
      </c>
      <c r="O979" s="97">
        <f ca="1">_xll.meDateFromTenor(O978,"1D","FOLLOWING","TGT")</f>
        <v>43896</v>
      </c>
      <c r="P979" s="95">
        <f ca="1"/>
        <v>4.3368639520356463E-3</v>
      </c>
      <c r="Q979" s="5" t="s">
        <v>4</v>
      </c>
      <c r="R979" s="83" t="s">
        <v>4</v>
      </c>
    </row>
    <row r="980" spans="1:18" x14ac:dyDescent="0.25">
      <c r="A980" s="88">
        <v>966</v>
      </c>
      <c r="B980" s="82"/>
      <c r="C980" s="97">
        <f ca="1">_xll.meDateFromTenor(C979,"1D","FOLLOWING","TGT")</f>
        <v>43899</v>
      </c>
      <c r="D980" s="95">
        <f ca="1"/>
        <v>-1.7726298871677537E-3</v>
      </c>
      <c r="E980" s="92"/>
      <c r="F980" s="97">
        <f ca="1">_xll.meDateFromTenor(F979,"1D","FOLLOWING","TGT")</f>
        <v>43899</v>
      </c>
      <c r="G980" s="95">
        <f ca="1"/>
        <v>-7.5410392448908511E-4</v>
      </c>
      <c r="H980" s="92" t="s">
        <v>4</v>
      </c>
      <c r="I980" s="97">
        <f ca="1">_xll.meDateFromTenor(I979,"1D","FOLLOWING","TGT")</f>
        <v>43899</v>
      </c>
      <c r="J980" s="95">
        <f ca="1"/>
        <v>4.4016004391169236E-4</v>
      </c>
      <c r="K980" s="5" t="s">
        <v>4</v>
      </c>
      <c r="L980" s="97">
        <f ca="1">_xll.meDateFromTenor(L979,"1D","FOLLOWING","TGT")</f>
        <v>43899</v>
      </c>
      <c r="M980" s="95">
        <f ca="1"/>
        <v>2.3612542659946678E-3</v>
      </c>
      <c r="N980" s="5" t="s">
        <v>4</v>
      </c>
      <c r="O980" s="97">
        <f ca="1">_xll.meDateFromTenor(O979,"1D","FOLLOWING","TGT")</f>
        <v>43899</v>
      </c>
      <c r="P980" s="95">
        <f ca="1"/>
        <v>4.3548391293000517E-3</v>
      </c>
      <c r="Q980" s="5" t="s">
        <v>4</v>
      </c>
      <c r="R980" s="83" t="s">
        <v>4</v>
      </c>
    </row>
    <row r="981" spans="1:18" x14ac:dyDescent="0.25">
      <c r="A981" s="88">
        <v>967</v>
      </c>
      <c r="B981" s="82"/>
      <c r="C981" s="97">
        <f ca="1">_xll.meDateFromTenor(C980,"1D","FOLLOWING","TGT")</f>
        <v>43900</v>
      </c>
      <c r="D981" s="95">
        <f ca="1"/>
        <v>-1.7699180745398557E-3</v>
      </c>
      <c r="E981" s="92"/>
      <c r="F981" s="97">
        <f ca="1">_xll.meDateFromTenor(F980,"1D","FOLLOWING","TGT")</f>
        <v>43900</v>
      </c>
      <c r="G981" s="95">
        <f ca="1"/>
        <v>-7.4752345572003023E-4</v>
      </c>
      <c r="H981" s="92" t="s">
        <v>4</v>
      </c>
      <c r="I981" s="97">
        <f ca="1">_xll.meDateFromTenor(I980,"1D","FOLLOWING","TGT")</f>
        <v>43900</v>
      </c>
      <c r="J981" s="95">
        <f ca="1"/>
        <v>4.4617272674648536E-4</v>
      </c>
      <c r="K981" s="5" t="s">
        <v>4</v>
      </c>
      <c r="L981" s="97">
        <f ca="1">_xll.meDateFromTenor(L980,"1D","FOLLOWING","TGT")</f>
        <v>43900</v>
      </c>
      <c r="M981" s="95">
        <f ca="1"/>
        <v>2.367367901582507E-3</v>
      </c>
      <c r="N981" s="5" t="s">
        <v>4</v>
      </c>
      <c r="O981" s="97">
        <f ca="1">_xll.meDateFromTenor(O980,"1D","FOLLOWING","TGT")</f>
        <v>43900</v>
      </c>
      <c r="P981" s="95">
        <f ca="1"/>
        <v>4.3608390266948452E-3</v>
      </c>
      <c r="Q981" s="5" t="s">
        <v>4</v>
      </c>
      <c r="R981" s="83" t="s">
        <v>4</v>
      </c>
    </row>
    <row r="982" spans="1:18" x14ac:dyDescent="0.25">
      <c r="A982" s="88">
        <v>968</v>
      </c>
      <c r="B982" s="82"/>
      <c r="C982" s="97">
        <f ca="1">_xll.meDateFromTenor(C981,"1D","FOLLOWING","TGT")</f>
        <v>43901</v>
      </c>
      <c r="D982" s="95">
        <f ca="1"/>
        <v>-1.7671361183047019E-3</v>
      </c>
      <c r="E982" s="92"/>
      <c r="F982" s="97">
        <f ca="1">_xll.meDateFromTenor(F981,"1D","FOLLOWING","TGT")</f>
        <v>43901</v>
      </c>
      <c r="G982" s="95">
        <f ca="1"/>
        <v>-7.4095466274177047E-4</v>
      </c>
      <c r="H982" s="92" t="s">
        <v>4</v>
      </c>
      <c r="I982" s="97">
        <f ca="1">_xll.meDateFromTenor(I981,"1D","FOLLOWING","TGT")</f>
        <v>43901</v>
      </c>
      <c r="J982" s="95">
        <f ca="1"/>
        <v>4.5219531003924608E-4</v>
      </c>
      <c r="K982" s="5" t="s">
        <v>4</v>
      </c>
      <c r="L982" s="97">
        <f ca="1">_xll.meDateFromTenor(L981,"1D","FOLLOWING","TGT")</f>
        <v>43901</v>
      </c>
      <c r="M982" s="95">
        <f ca="1"/>
        <v>2.3734840850000646E-3</v>
      </c>
      <c r="N982" s="5" t="s">
        <v>4</v>
      </c>
      <c r="O982" s="97">
        <f ca="1">_xll.meDateFromTenor(O981,"1D","FOLLOWING","TGT")</f>
        <v>43901</v>
      </c>
      <c r="P982" s="95">
        <f ca="1"/>
        <v>4.3668430366277317E-3</v>
      </c>
      <c r="Q982" s="5" t="s">
        <v>4</v>
      </c>
      <c r="R982" s="83" t="s">
        <v>4</v>
      </c>
    </row>
    <row r="983" spans="1:18" x14ac:dyDescent="0.25">
      <c r="A983" s="88">
        <v>969</v>
      </c>
      <c r="B983" s="82"/>
      <c r="C983" s="97">
        <f ca="1">_xll.meDateFromTenor(C982,"1D","FOLLOWING","TGT")</f>
        <v>43902</v>
      </c>
      <c r="D983" s="95">
        <f ca="1"/>
        <v>-1.7642840192338971E-3</v>
      </c>
      <c r="E983" s="92"/>
      <c r="F983" s="97">
        <f ca="1">_xll.meDateFromTenor(F982,"1D","FOLLOWING","TGT")</f>
        <v>43902</v>
      </c>
      <c r="G983" s="95">
        <f ca="1"/>
        <v>-7.3439769786452845E-4</v>
      </c>
      <c r="H983" s="92" t="s">
        <v>4</v>
      </c>
      <c r="I983" s="97">
        <f ca="1">_xll.meDateFromTenor(I982,"1D","FOLLOWING","TGT")</f>
        <v>43902</v>
      </c>
      <c r="J983" s="95">
        <f ca="1"/>
        <v>4.5822770511813409E-4</v>
      </c>
      <c r="K983" s="5" t="s">
        <v>4</v>
      </c>
      <c r="L983" s="97">
        <f ca="1">_xll.meDateFromTenor(L982,"1D","FOLLOWING","TGT")</f>
        <v>43902</v>
      </c>
      <c r="M983" s="95">
        <f ca="1"/>
        <v>2.3796028340665677E-3</v>
      </c>
      <c r="N983" s="5" t="s">
        <v>4</v>
      </c>
      <c r="O983" s="97">
        <f ca="1">_xll.meDateFromTenor(O982,"1D","FOLLOWING","TGT")</f>
        <v>43902</v>
      </c>
      <c r="P983" s="95">
        <f ca="1"/>
        <v>4.3728511751295702E-3</v>
      </c>
      <c r="Q983" s="5" t="s">
        <v>4</v>
      </c>
      <c r="R983" s="83" t="s">
        <v>4</v>
      </c>
    </row>
    <row r="984" spans="1:18" x14ac:dyDescent="0.25">
      <c r="A984" s="88">
        <v>970</v>
      </c>
      <c r="B984" s="82"/>
      <c r="C984" s="97">
        <f ca="1">_xll.meDateFromTenor(C983,"1D","FOLLOWING","TGT")</f>
        <v>43903</v>
      </c>
      <c r="D984" s="95">
        <f ca="1"/>
        <v>-1.7613617776857105E-3</v>
      </c>
      <c r="E984" s="92"/>
      <c r="F984" s="97">
        <f ca="1">_xll.meDateFromTenor(F983,"1D","FOLLOWING","TGT")</f>
        <v>43903</v>
      </c>
      <c r="G984" s="95">
        <f ca="1"/>
        <v>-7.2785271339852317E-4</v>
      </c>
      <c r="H984" s="92" t="s">
        <v>4</v>
      </c>
      <c r="I984" s="97">
        <f ca="1">_xll.meDateFromTenor(I983,"1D","FOLLOWING","TGT")</f>
        <v>43903</v>
      </c>
      <c r="J984" s="95">
        <f ca="1"/>
        <v>4.6426982331131177E-4</v>
      </c>
      <c r="K984" s="5" t="s">
        <v>4</v>
      </c>
      <c r="L984" s="97">
        <f ca="1">_xll.meDateFromTenor(L983,"1D","FOLLOWING","TGT")</f>
        <v>43903</v>
      </c>
      <c r="M984" s="95">
        <f ca="1"/>
        <v>2.3857241666012463E-3</v>
      </c>
      <c r="N984" s="5" t="s">
        <v>4</v>
      </c>
      <c r="O984" s="97">
        <f ca="1">_xll.meDateFromTenor(O983,"1D","FOLLOWING","TGT")</f>
        <v>43903</v>
      </c>
      <c r="P984" s="95">
        <f ca="1"/>
        <v>4.3788634582312179E-3</v>
      </c>
      <c r="Q984" s="5" t="s">
        <v>4</v>
      </c>
      <c r="R984" s="83" t="s">
        <v>4</v>
      </c>
    </row>
    <row r="985" spans="1:18" x14ac:dyDescent="0.25">
      <c r="A985" s="88">
        <v>971</v>
      </c>
      <c r="B985" s="82"/>
      <c r="C985" s="97">
        <f ca="1">_xll.meDateFromTenor(C984,"1D","FOLLOWING","TGT")</f>
        <v>43906</v>
      </c>
      <c r="D985" s="95">
        <f ca="1"/>
        <v>-1.7521742065625956E-3</v>
      </c>
      <c r="E985" s="92"/>
      <c r="F985" s="97">
        <f ca="1">_xll.meDateFromTenor(F984,"1D","FOLLOWING","TGT")</f>
        <v>43906</v>
      </c>
      <c r="G985" s="95">
        <f ca="1"/>
        <v>-7.082911655701496E-4</v>
      </c>
      <c r="H985" s="92" t="s">
        <v>4</v>
      </c>
      <c r="I985" s="97">
        <f ca="1">_xll.meDateFromTenor(I984,"1D","FOLLOWING","TGT")</f>
        <v>43906</v>
      </c>
      <c r="J985" s="95">
        <f ca="1"/>
        <v>4.8245362985818089E-4</v>
      </c>
      <c r="K985" s="5" t="s">
        <v>4</v>
      </c>
      <c r="L985" s="97">
        <f ca="1">_xll.meDateFromTenor(L984,"1D","FOLLOWING","TGT")</f>
        <v>43906</v>
      </c>
      <c r="M985" s="95">
        <f ca="1"/>
        <v>2.404103843206609E-3</v>
      </c>
      <c r="N985" s="5" t="s">
        <v>4</v>
      </c>
      <c r="O985" s="97">
        <f ca="1">_xll.meDateFromTenor(O984,"1D","FOLLOWING","TGT")</f>
        <v>43906</v>
      </c>
      <c r="P985" s="95">
        <f ca="1"/>
        <v>4.3969253354436064E-3</v>
      </c>
      <c r="Q985" s="5" t="s">
        <v>4</v>
      </c>
      <c r="R985" s="83" t="s">
        <v>4</v>
      </c>
    </row>
    <row r="986" spans="1:18" x14ac:dyDescent="0.25">
      <c r="A986" s="88">
        <v>972</v>
      </c>
      <c r="B986" s="82"/>
      <c r="C986" s="97">
        <f ca="1">_xll.meDateFromTenor(C985,"1D","FOLLOWING","TGT")</f>
        <v>43907</v>
      </c>
      <c r="D986" s="95">
        <f ca="1"/>
        <v>-1.7489714026592829E-3</v>
      </c>
      <c r="E986" s="92"/>
      <c r="F986" s="97">
        <f ca="1">_xll.meDateFromTenor(F985,"1D","FOLLOWING","TGT")</f>
        <v>43907</v>
      </c>
      <c r="G986" s="95">
        <f ca="1"/>
        <v>-7.0179562585131171E-4</v>
      </c>
      <c r="H986" s="92" t="s">
        <v>4</v>
      </c>
      <c r="I986" s="97">
        <f ca="1">_xll.meDateFromTenor(I985,"1D","FOLLOWING","TGT")</f>
        <v>43907</v>
      </c>
      <c r="J986" s="95">
        <f ca="1"/>
        <v>4.8853375379011657E-4</v>
      </c>
      <c r="K986" s="5" t="s">
        <v>4</v>
      </c>
      <c r="L986" s="97">
        <f ca="1">_xll.meDateFromTenor(L985,"1D","FOLLOWING","TGT")</f>
        <v>43907</v>
      </c>
      <c r="M986" s="95">
        <f ca="1"/>
        <v>2.4102356878062644E-3</v>
      </c>
      <c r="N986" s="5" t="s">
        <v>4</v>
      </c>
      <c r="O986" s="97">
        <f ca="1">_xll.meDateFromTenor(O985,"1D","FOLLOWING","TGT")</f>
        <v>43907</v>
      </c>
      <c r="P986" s="95">
        <f ca="1"/>
        <v>4.4029543572530758E-3</v>
      </c>
      <c r="Q986" s="5" t="s">
        <v>4</v>
      </c>
      <c r="R986" s="83" t="s">
        <v>4</v>
      </c>
    </row>
    <row r="987" spans="1:18" x14ac:dyDescent="0.25">
      <c r="A987" s="88">
        <v>973</v>
      </c>
      <c r="B987" s="82"/>
      <c r="C987" s="97">
        <f ca="1">_xll.meDateFromTenor(C986,"1D","FOLLOWING","TGT")</f>
        <v>43908</v>
      </c>
      <c r="D987" s="95">
        <f ca="1"/>
        <v>-1.7456984599621972E-3</v>
      </c>
      <c r="E987" s="92"/>
      <c r="F987" s="97">
        <f ca="1">_xll.meDateFromTenor(F986,"1D","FOLLOWING","TGT")</f>
        <v>43908</v>
      </c>
      <c r="G987" s="95">
        <f ca="1"/>
        <v>-6.9531282809481767E-4</v>
      </c>
      <c r="H987" s="92" t="s">
        <v>4</v>
      </c>
      <c r="I987" s="97">
        <f ca="1">_xll.meDateFromTenor(I986,"1D","FOLLOWING","TGT")</f>
        <v>43908</v>
      </c>
      <c r="J987" s="95">
        <f ca="1"/>
        <v>4.9462315747714398E-4</v>
      </c>
      <c r="K987" s="5" t="s">
        <v>4</v>
      </c>
      <c r="L987" s="97">
        <f ca="1">_xll.meDateFromTenor(L986,"1D","FOLLOWING","TGT")</f>
        <v>43908</v>
      </c>
      <c r="M987" s="95">
        <f ca="1"/>
        <v>2.4163702049702354E-3</v>
      </c>
      <c r="N987" s="5" t="s">
        <v>4</v>
      </c>
      <c r="O987" s="97">
        <f ca="1">_xll.meDateFromTenor(O986,"1D","FOLLOWING","TGT")</f>
        <v>43908</v>
      </c>
      <c r="P987" s="95">
        <f ca="1"/>
        <v>4.4089876038166491E-3</v>
      </c>
      <c r="Q987" s="5" t="s">
        <v>4</v>
      </c>
      <c r="R987" s="83" t="s">
        <v>4</v>
      </c>
    </row>
    <row r="988" spans="1:18" x14ac:dyDescent="0.25">
      <c r="A988" s="88">
        <v>974</v>
      </c>
      <c r="B988" s="82"/>
      <c r="C988" s="97">
        <f ca="1">_xll.meDateFromTenor(C987,"1D","FOLLOWING","TGT")</f>
        <v>43909</v>
      </c>
      <c r="D988" s="95">
        <f ca="1"/>
        <v>-1.7423553785815837E-3</v>
      </c>
      <c r="E988" s="92"/>
      <c r="F988" s="97">
        <f ca="1">_xll.meDateFromTenor(F987,"1D","FOLLOWING","TGT")</f>
        <v>43909</v>
      </c>
      <c r="G988" s="95">
        <f ca="1"/>
        <v>-6.888429246108904E-4</v>
      </c>
      <c r="H988" s="92" t="s">
        <v>4</v>
      </c>
      <c r="I988" s="97">
        <f ca="1">_xll.meDateFromTenor(I987,"1D","FOLLOWING","TGT")</f>
        <v>43909</v>
      </c>
      <c r="J988" s="95">
        <f ca="1"/>
        <v>5.0072175224742264E-4</v>
      </c>
      <c r="K988" s="5" t="s">
        <v>4</v>
      </c>
      <c r="L988" s="97">
        <f ca="1">_xll.meDateFromTenor(L987,"1D","FOLLOWING","TGT")</f>
        <v>43909</v>
      </c>
      <c r="M988" s="95">
        <f ca="1"/>
        <v>2.4225074125177482E-3</v>
      </c>
      <c r="N988" s="5" t="s">
        <v>4</v>
      </c>
      <c r="O988" s="97">
        <f ca="1">_xll.meDateFromTenor(O987,"1D","FOLLOWING","TGT")</f>
        <v>43909</v>
      </c>
      <c r="P988" s="95">
        <f ca="1"/>
        <v>4.4150250911651817E-3</v>
      </c>
      <c r="Q988" s="5" t="s">
        <v>4</v>
      </c>
      <c r="R988" s="83" t="s">
        <v>4</v>
      </c>
    </row>
    <row r="989" spans="1:18" x14ac:dyDescent="0.25">
      <c r="A989" s="88">
        <v>975</v>
      </c>
      <c r="B989" s="82"/>
      <c r="C989" s="97">
        <f ca="1">_xll.meDateFromTenor(C988,"1D","FOLLOWING","TGT")</f>
        <v>43910</v>
      </c>
      <c r="D989" s="95">
        <f ca="1"/>
        <v>-1.738942159490442E-3</v>
      </c>
      <c r="E989" s="92"/>
      <c r="F989" s="97">
        <f ca="1">_xll.meDateFromTenor(F988,"1D","FOLLOWING","TGT")</f>
        <v>43910</v>
      </c>
      <c r="G989" s="95">
        <f ca="1"/>
        <v>-6.8238606770975208E-4</v>
      </c>
      <c r="H989" s="92" t="s">
        <v>4</v>
      </c>
      <c r="I989" s="97">
        <f ca="1">_xll.meDateFromTenor(I988,"1D","FOLLOWING","TGT")</f>
        <v>43910</v>
      </c>
      <c r="J989" s="95">
        <f ca="1"/>
        <v>5.0682944942911218E-4</v>
      </c>
      <c r="K989" s="5" t="s">
        <v>4</v>
      </c>
      <c r="L989" s="97">
        <f ca="1">_xll.meDateFromTenor(L988,"1D","FOLLOWING","TGT")</f>
        <v>43910</v>
      </c>
      <c r="M989" s="95">
        <f ca="1"/>
        <v>2.4286473282680307E-3</v>
      </c>
      <c r="N989" s="5" t="s">
        <v>4</v>
      </c>
      <c r="O989" s="97">
        <f ca="1">_xll.meDateFromTenor(O988,"1D","FOLLOWING","TGT")</f>
        <v>43910</v>
      </c>
      <c r="P989" s="95">
        <f ca="1"/>
        <v>4.4210668353295316E-3</v>
      </c>
      <c r="Q989" s="5" t="s">
        <v>4</v>
      </c>
      <c r="R989" s="83" t="s">
        <v>4</v>
      </c>
    </row>
    <row r="990" spans="1:18" x14ac:dyDescent="0.25">
      <c r="A990" s="88">
        <v>976</v>
      </c>
      <c r="B990" s="82"/>
      <c r="C990" s="97">
        <f ca="1">_xll.meDateFromTenor(C989,"1D","FOLLOWING","TGT")</f>
        <v>43913</v>
      </c>
      <c r="D990" s="95">
        <f ca="1"/>
        <v>-1.7282816801577061E-3</v>
      </c>
      <c r="E990" s="92"/>
      <c r="F990" s="97">
        <f ca="1">_xll.meDateFromTenor(F989,"1D","FOLLOWING","TGT")</f>
        <v>43913</v>
      </c>
      <c r="G990" s="95">
        <f ca="1"/>
        <v>-6.6309529960527651E-4</v>
      </c>
      <c r="H990" s="92" t="s">
        <v>4</v>
      </c>
      <c r="I990" s="97">
        <f ca="1">_xll.meDateFromTenor(I989,"1D","FOLLOWING","TGT")</f>
        <v>43913</v>
      </c>
      <c r="J990" s="95">
        <f ca="1"/>
        <v>5.2520626872425787E-4</v>
      </c>
      <c r="K990" s="5" t="s">
        <v>4</v>
      </c>
      <c r="L990" s="97">
        <f ca="1">_xll.meDateFromTenor(L989,"1D","FOLLOWING","TGT")</f>
        <v>43913</v>
      </c>
      <c r="M990" s="95">
        <f ca="1"/>
        <v>2.4470835029277841E-3</v>
      </c>
      <c r="N990" s="5" t="s">
        <v>4</v>
      </c>
      <c r="O990" s="97">
        <f ca="1">_xll.meDateFromTenor(O989,"1D","FOLLOWING","TGT")</f>
        <v>43913</v>
      </c>
      <c r="P990" s="95">
        <f ca="1"/>
        <v>4.4392177690260777E-3</v>
      </c>
      <c r="Q990" s="5" t="s">
        <v>4</v>
      </c>
      <c r="R990" s="83" t="s">
        <v>4</v>
      </c>
    </row>
    <row r="991" spans="1:18" x14ac:dyDescent="0.25">
      <c r="A991" s="88">
        <v>977</v>
      </c>
      <c r="B991" s="82"/>
      <c r="C991" s="97">
        <f ca="1">_xll.meDateFromTenor(C990,"1D","FOLLOWING","TGT")</f>
        <v>43914</v>
      </c>
      <c r="D991" s="95">
        <f ca="1"/>
        <v>-1.7245879147138599E-3</v>
      </c>
      <c r="E991" s="92"/>
      <c r="F991" s="97">
        <f ca="1">_xll.meDateFromTenor(F990,"1D","FOLLOWING","TGT")</f>
        <v>43914</v>
      </c>
      <c r="G991" s="95">
        <f ca="1"/>
        <v>-6.566921521375035E-4</v>
      </c>
      <c r="H991" s="92" t="s">
        <v>4</v>
      </c>
      <c r="I991" s="97">
        <f ca="1">_xll.meDateFromTenor(I990,"1D","FOLLOWING","TGT")</f>
        <v>43914</v>
      </c>
      <c r="J991" s="95">
        <f ca="1"/>
        <v>5.3134948883319958E-4</v>
      </c>
      <c r="K991" s="5" t="s">
        <v>4</v>
      </c>
      <c r="L991" s="97">
        <f ca="1">_xll.meDateFromTenor(L990,"1D","FOLLOWING","TGT")</f>
        <v>43914</v>
      </c>
      <c r="M991" s="95">
        <f ca="1"/>
        <v>2.4532344296814296E-3</v>
      </c>
      <c r="N991" s="5" t="s">
        <v>4</v>
      </c>
      <c r="O991" s="97">
        <f ca="1">_xll.meDateFromTenor(O990,"1D","FOLLOWING","TGT")</f>
        <v>43914</v>
      </c>
      <c r="P991" s="95">
        <f ca="1"/>
        <v>4.4452767007622839E-3</v>
      </c>
      <c r="Q991" s="5" t="s">
        <v>4</v>
      </c>
      <c r="R991" s="83" t="s">
        <v>4</v>
      </c>
    </row>
    <row r="992" spans="1:18" x14ac:dyDescent="0.25">
      <c r="A992" s="88">
        <v>978</v>
      </c>
      <c r="B992" s="82"/>
      <c r="C992" s="97">
        <f ca="1">_xll.meDateFromTenor(C991,"1D","FOLLOWING","TGT")</f>
        <v>43915</v>
      </c>
      <c r="D992" s="95">
        <f ca="1"/>
        <v>-1.7208240137702724E-3</v>
      </c>
      <c r="E992" s="92"/>
      <c r="F992" s="97">
        <f ca="1">_xll.meDateFromTenor(F991,"1D","FOLLOWING","TGT")</f>
        <v>43915</v>
      </c>
      <c r="G992" s="95">
        <f ca="1"/>
        <v>-6.5030281280362677E-4</v>
      </c>
      <c r="H992" s="92" t="s">
        <v>4</v>
      </c>
      <c r="I992" s="97">
        <f ca="1">_xll.meDateFromTenor(I991,"1D","FOLLOWING","TGT")</f>
        <v>43915</v>
      </c>
      <c r="J992" s="95">
        <f ca="1"/>
        <v>5.3750136799435408E-4</v>
      </c>
      <c r="K992" s="5" t="s">
        <v>4</v>
      </c>
      <c r="L992" s="97">
        <f ca="1">_xll.meDateFromTenor(L991,"1D","FOLLOWING","TGT")</f>
        <v>43915</v>
      </c>
      <c r="M992" s="95">
        <f ca="1"/>
        <v>2.4593881537339842E-3</v>
      </c>
      <c r="N992" s="5" t="s">
        <v>4</v>
      </c>
      <c r="O992" s="97">
        <f ca="1">_xll.meDateFromTenor(O991,"1D","FOLLOWING","TGT")</f>
        <v>43915</v>
      </c>
      <c r="P992" s="95">
        <f ca="1"/>
        <v>4.4513399694686004E-3</v>
      </c>
      <c r="Q992" s="5" t="s">
        <v>4</v>
      </c>
      <c r="R992" s="83" t="s">
        <v>4</v>
      </c>
    </row>
    <row r="993" spans="1:18" x14ac:dyDescent="0.25">
      <c r="A993" s="88">
        <v>979</v>
      </c>
      <c r="B993" s="82"/>
      <c r="C993" s="97">
        <f ca="1">_xll.meDateFromTenor(C992,"1D","FOLLOWING","TGT")</f>
        <v>43916</v>
      </c>
      <c r="D993" s="95">
        <f ca="1"/>
        <v>-1.7169899780122844E-3</v>
      </c>
      <c r="E993" s="92"/>
      <c r="F993" s="97">
        <f ca="1">_xll.meDateFromTenor(F992,"1D","FOLLOWING","TGT")</f>
        <v>43916</v>
      </c>
      <c r="G993" s="95">
        <f ca="1"/>
        <v>-6.4392743391386553E-4</v>
      </c>
      <c r="H993" s="92" t="s">
        <v>4</v>
      </c>
      <c r="I993" s="97">
        <f ca="1">_xll.meDateFromTenor(I992,"1D","FOLLOWING","TGT")</f>
        <v>43916</v>
      </c>
      <c r="J993" s="95">
        <f ca="1"/>
        <v>5.436618175358839E-4</v>
      </c>
      <c r="K993" s="5" t="s">
        <v>4</v>
      </c>
      <c r="L993" s="97">
        <f ca="1">_xll.meDateFromTenor(L992,"1D","FOLLOWING","TGT")</f>
        <v>43916</v>
      </c>
      <c r="M993" s="95">
        <f ca="1"/>
        <v>2.4655446929046786E-3</v>
      </c>
      <c r="N993" s="5" t="s">
        <v>4</v>
      </c>
      <c r="O993" s="97">
        <f ca="1">_xll.meDateFromTenor(O992,"1D","FOLLOWING","TGT")</f>
        <v>43916</v>
      </c>
      <c r="P993" s="95">
        <f ca="1"/>
        <v>4.4574075911758843E-3</v>
      </c>
      <c r="Q993" s="5" t="s">
        <v>4</v>
      </c>
      <c r="R993" s="83" t="s">
        <v>4</v>
      </c>
    </row>
    <row r="994" spans="1:18" x14ac:dyDescent="0.25">
      <c r="A994" s="88">
        <v>980</v>
      </c>
      <c r="B994" s="82"/>
      <c r="C994" s="97">
        <f ca="1">_xll.meDateFromTenor(C993,"1D","FOLLOWING","TGT")</f>
        <v>43917</v>
      </c>
      <c r="D994" s="95">
        <f ca="1"/>
        <v>-1.7130858078712174E-3</v>
      </c>
      <c r="E994" s="92"/>
      <c r="F994" s="97">
        <f ca="1">_xll.meDateFromTenor(F993,"1D","FOLLOWING","TGT")</f>
        <v>43917</v>
      </c>
      <c r="G994" s="95">
        <f ca="1"/>
        <v>-6.3756616777844229E-4</v>
      </c>
      <c r="H994" s="92" t="s">
        <v>4</v>
      </c>
      <c r="I994" s="97">
        <f ca="1">_xll.meDateFromTenor(I993,"1D","FOLLOWING","TGT")</f>
        <v>43917</v>
      </c>
      <c r="J994" s="95">
        <f ca="1"/>
        <v>5.4983074878594846E-4</v>
      </c>
      <c r="K994" s="5" t="s">
        <v>4</v>
      </c>
      <c r="L994" s="97">
        <f ca="1">_xll.meDateFromTenor(L993,"1D","FOLLOWING","TGT")</f>
        <v>43917</v>
      </c>
      <c r="M994" s="95">
        <f ca="1"/>
        <v>2.4717040650127386E-3</v>
      </c>
      <c r="N994" s="5" t="s">
        <v>4</v>
      </c>
      <c r="O994" s="97">
        <f ca="1">_xll.meDateFromTenor(O993,"1D","FOLLOWING","TGT")</f>
        <v>43917</v>
      </c>
      <c r="P994" s="95">
        <f ca="1"/>
        <v>4.4634795819149965E-3</v>
      </c>
      <c r="Q994" s="5" t="s">
        <v>4</v>
      </c>
      <c r="R994" s="83" t="s">
        <v>4</v>
      </c>
    </row>
    <row r="995" spans="1:18" x14ac:dyDescent="0.25">
      <c r="A995" s="88">
        <v>981</v>
      </c>
      <c r="B995" s="82"/>
      <c r="C995" s="97">
        <f ca="1">_xll.meDateFromTenor(C994,"1D","FOLLOWING","TGT")</f>
        <v>43920</v>
      </c>
      <c r="D995" s="95">
        <f ca="1"/>
        <v>-1.7009524933639941E-3</v>
      </c>
      <c r="E995" s="92"/>
      <c r="F995" s="97">
        <f ca="1">_xll.meDateFromTenor(F994,"1D","FOLLOWING","TGT")</f>
        <v>43920</v>
      </c>
      <c r="G995" s="95">
        <f ca="1"/>
        <v>-6.1856856900041612E-4</v>
      </c>
      <c r="H995" s="92" t="s">
        <v>4</v>
      </c>
      <c r="I995" s="97">
        <f ca="1">_xll.meDateFromTenor(I994,"1D","FOLLOWING","TGT")</f>
        <v>43920</v>
      </c>
      <c r="J995" s="95">
        <f ca="1"/>
        <v>5.6838754606895422E-4</v>
      </c>
      <c r="K995" s="5" t="s">
        <v>4</v>
      </c>
      <c r="L995" s="97">
        <f ca="1">_xll.meDateFromTenor(L994,"1D","FOLLOWING","TGT")</f>
        <v>43920</v>
      </c>
      <c r="M995" s="95">
        <f ca="1"/>
        <v>2.4901993571533969E-3</v>
      </c>
      <c r="N995" s="5" t="s">
        <v>4</v>
      </c>
      <c r="O995" s="97">
        <f ca="1">_xll.meDateFromTenor(O994,"1D","FOLLOWING","TGT")</f>
        <v>43920</v>
      </c>
      <c r="P995" s="95">
        <f ca="1"/>
        <v>4.4817219286318738E-3</v>
      </c>
      <c r="Q995" s="5" t="s">
        <v>4</v>
      </c>
      <c r="R995" s="83" t="s">
        <v>4</v>
      </c>
    </row>
    <row r="996" spans="1:18" x14ac:dyDescent="0.25">
      <c r="A996" s="88">
        <v>982</v>
      </c>
      <c r="B996" s="82"/>
      <c r="C996" s="97">
        <f ca="1">_xll.meDateFromTenor(C995,"1D","FOLLOWING","TGT")</f>
        <v>43921</v>
      </c>
      <c r="D996" s="95">
        <f ca="1"/>
        <v>-1.696767788550102E-3</v>
      </c>
      <c r="E996" s="92"/>
      <c r="F996" s="97">
        <f ca="1">_xll.meDateFromTenor(F995,"1D","FOLLOWING","TGT")</f>
        <v>43921</v>
      </c>
      <c r="G996" s="95">
        <f ca="1"/>
        <v>-6.122652769845595E-4</v>
      </c>
      <c r="H996" s="92" t="s">
        <v>4</v>
      </c>
      <c r="I996" s="97">
        <f ca="1">_xll.meDateFromTenor(I995,"1D","FOLLOWING","TGT")</f>
        <v>43921</v>
      </c>
      <c r="J996" s="95">
        <f ca="1"/>
        <v>5.7458951743476216E-4</v>
      </c>
      <c r="K996" s="5" t="s">
        <v>4</v>
      </c>
      <c r="L996" s="97">
        <f ca="1">_xll.meDateFromTenor(L995,"1D","FOLLOWING","TGT")</f>
        <v>43921</v>
      </c>
      <c r="M996" s="95">
        <f ca="1"/>
        <v>2.4963702392032027E-3</v>
      </c>
      <c r="N996" s="5" t="s">
        <v>4</v>
      </c>
      <c r="O996" s="97">
        <f ca="1">_xll.meDateFromTenor(O995,"1D","FOLLOWING","TGT")</f>
        <v>43921</v>
      </c>
      <c r="P996" s="95">
        <f ca="1"/>
        <v>4.4878115558068758E-3</v>
      </c>
      <c r="Q996" s="5" t="s">
        <v>4</v>
      </c>
      <c r="R996" s="83" t="s">
        <v>4</v>
      </c>
    </row>
    <row r="997" spans="1:18" x14ac:dyDescent="0.25">
      <c r="A997" s="88">
        <v>983</v>
      </c>
      <c r="B997" s="82"/>
      <c r="C997" s="97">
        <f ca="1">_xll.meDateFromTenor(C996,"1D","FOLLOWING","TGT")</f>
        <v>43922</v>
      </c>
      <c r="D997" s="95">
        <f ca="1"/>
        <v>-1.6925129507292525E-3</v>
      </c>
      <c r="E997" s="92"/>
      <c r="F997" s="97">
        <f ca="1">_xll.meDateFromTenor(F996,"1D","FOLLOWING","TGT")</f>
        <v>43922</v>
      </c>
      <c r="G997" s="95">
        <f ca="1"/>
        <v>-6.0597685927414797E-4</v>
      </c>
      <c r="H997" s="92" t="s">
        <v>4</v>
      </c>
      <c r="I997" s="97">
        <f ca="1">_xll.meDateFromTenor(I996,"1D","FOLLOWING","TGT")</f>
        <v>43922</v>
      </c>
      <c r="J997" s="95">
        <f ca="1"/>
        <v>5.8079952714990707E-4</v>
      </c>
      <c r="K997" s="5" t="s">
        <v>4</v>
      </c>
      <c r="L997" s="97">
        <f ca="1">_xll.meDateFromTenor(L996,"1D","FOLLOWING","TGT")</f>
        <v>43922</v>
      </c>
      <c r="M997" s="95">
        <f ca="1"/>
        <v>2.5025440432865143E-3</v>
      </c>
      <c r="N997" s="5" t="s">
        <v>4</v>
      </c>
      <c r="O997" s="97">
        <f ca="1">_xll.meDateFromTenor(O996,"1D","FOLLOWING","TGT")</f>
        <v>43922</v>
      </c>
      <c r="P997" s="95">
        <f ca="1"/>
        <v>4.4939056321679945E-3</v>
      </c>
      <c r="Q997" s="5" t="s">
        <v>4</v>
      </c>
      <c r="R997" s="83" t="s">
        <v>4</v>
      </c>
    </row>
    <row r="998" spans="1:18" x14ac:dyDescent="0.25">
      <c r="A998" s="88">
        <v>984</v>
      </c>
      <c r="B998" s="82"/>
      <c r="C998" s="97">
        <f ca="1">_xll.meDateFromTenor(C997,"1D","FOLLOWING","TGT")</f>
        <v>43923</v>
      </c>
      <c r="D998" s="95">
        <f ca="1"/>
        <v>-1.6881879805636935E-3</v>
      </c>
      <c r="E998" s="92"/>
      <c r="F998" s="97">
        <f ca="1">_xll.meDateFromTenor(F997,"1D","FOLLOWING","TGT")</f>
        <v>43923</v>
      </c>
      <c r="G998" s="95">
        <f ca="1"/>
        <v>-5.9970346817940414E-4</v>
      </c>
      <c r="H998" s="92" t="s">
        <v>4</v>
      </c>
      <c r="I998" s="97">
        <f ca="1">_xll.meDateFromTenor(I997,"1D","FOLLOWING","TGT")</f>
        <v>43923</v>
      </c>
      <c r="J998" s="95">
        <f ca="1"/>
        <v>5.8701748654254845E-4</v>
      </c>
      <c r="K998" s="5" t="s">
        <v>4</v>
      </c>
      <c r="L998" s="97">
        <f ca="1">_xll.meDateFromTenor(L997,"1D","FOLLOWING","TGT")</f>
        <v>43923</v>
      </c>
      <c r="M998" s="95">
        <f ca="1"/>
        <v>2.50872078722256E-3</v>
      </c>
      <c r="N998" s="5" t="s">
        <v>4</v>
      </c>
      <c r="O998" s="97">
        <f ca="1">_xll.meDateFromTenor(O997,"1D","FOLLOWING","TGT")</f>
        <v>43923</v>
      </c>
      <c r="P998" s="95">
        <f ca="1"/>
        <v>4.5000041737460889E-3</v>
      </c>
      <c r="Q998" s="5" t="s">
        <v>4</v>
      </c>
      <c r="R998" s="83" t="s">
        <v>4</v>
      </c>
    </row>
    <row r="999" spans="1:18" x14ac:dyDescent="0.25">
      <c r="A999" s="88">
        <v>985</v>
      </c>
      <c r="B999" s="82"/>
      <c r="C999" s="97">
        <f ca="1">_xll.meDateFromTenor(C998,"1D","FOLLOWING","TGT")</f>
        <v>43924</v>
      </c>
      <c r="D999" s="95">
        <f ca="1"/>
        <v>-1.6837928781420208E-3</v>
      </c>
      <c r="E999" s="92"/>
      <c r="F999" s="97">
        <f ca="1">_xll.meDateFromTenor(F998,"1D","FOLLOWING","TGT")</f>
        <v>43924</v>
      </c>
      <c r="G999" s="95">
        <f ca="1"/>
        <v>-5.9344498589493388E-4</v>
      </c>
      <c r="H999" s="92" t="s">
        <v>4</v>
      </c>
      <c r="I999" s="97">
        <f ca="1">_xll.meDateFromTenor(I998,"1D","FOLLOWING","TGT")</f>
        <v>43924</v>
      </c>
      <c r="J999" s="95">
        <f ca="1"/>
        <v>5.9324330694084852E-4</v>
      </c>
      <c r="K999" s="5" t="s">
        <v>4</v>
      </c>
      <c r="L999" s="97">
        <f ca="1">_xll.meDateFromTenor(L998,"1D","FOLLOWING","TGT")</f>
        <v>43924</v>
      </c>
      <c r="M999" s="95">
        <f ca="1"/>
        <v>2.5149004888305685E-3</v>
      </c>
      <c r="N999" s="5" t="s">
        <v>4</v>
      </c>
      <c r="O999" s="97">
        <f ca="1">_xll.meDateFromTenor(O998,"1D","FOLLOWING","TGT")</f>
        <v>43924</v>
      </c>
      <c r="P999" s="95">
        <f ca="1"/>
        <v>4.5061071965720205E-3</v>
      </c>
      <c r="Q999" s="5" t="s">
        <v>4</v>
      </c>
      <c r="R999" s="83" t="s">
        <v>4</v>
      </c>
    </row>
    <row r="1000" spans="1:18" x14ac:dyDescent="0.25">
      <c r="A1000" s="88">
        <v>986</v>
      </c>
      <c r="B1000" s="82"/>
      <c r="C1000" s="97">
        <f ca="1">_xll.meDateFromTenor(C999,"1D","FOLLOWING","TGT")</f>
        <v>43927</v>
      </c>
      <c r="D1000" s="95">
        <f ca="1"/>
        <v>-1.6701867788445623E-3</v>
      </c>
      <c r="E1000" s="92"/>
      <c r="F1000" s="97">
        <f ca="1">_xll.meDateFromTenor(F999,"1D","FOLLOWING","TGT")</f>
        <v>43927</v>
      </c>
      <c r="G1000" s="95">
        <f ca="1"/>
        <v>-5.7474592876226001E-4</v>
      </c>
      <c r="H1000" s="92" t="s">
        <v>4</v>
      </c>
      <c r="I1000" s="97">
        <f ca="1">_xll.meDateFromTenor(I999,"1D","FOLLOWING","TGT")</f>
        <v>43927</v>
      </c>
      <c r="J1000" s="95">
        <f ca="1"/>
        <v>6.1196704745129912E-4</v>
      </c>
      <c r="K1000" s="5" t="s">
        <v>4</v>
      </c>
      <c r="L1000" s="97">
        <f ca="1">_xll.meDateFromTenor(L999,"1D","FOLLOWING","TGT")</f>
        <v>43927</v>
      </c>
      <c r="M1000" s="95">
        <f ca="1"/>
        <v>2.5334575178786482E-3</v>
      </c>
      <c r="N1000" s="5" t="s">
        <v>4</v>
      </c>
      <c r="O1000" s="97">
        <f ca="1">_xll.meDateFromTenor(O999,"1D","FOLLOWING","TGT")</f>
        <v>43927</v>
      </c>
      <c r="P1000" s="95">
        <f ca="1"/>
        <v>4.5244433128454054E-3</v>
      </c>
      <c r="Q1000" s="5" t="s">
        <v>4</v>
      </c>
      <c r="R1000" s="83" t="s">
        <v>4</v>
      </c>
    </row>
    <row r="1001" spans="1:18" x14ac:dyDescent="0.25">
      <c r="A1001" s="88">
        <v>987</v>
      </c>
      <c r="B1001" s="82"/>
      <c r="C1001" s="97">
        <f ca="1">_xll.meDateFromTenor(C1000,"1D","FOLLOWING","TGT")</f>
        <v>43928</v>
      </c>
      <c r="D1001" s="95">
        <f ca="1"/>
        <v>-1.6655111491882257E-3</v>
      </c>
      <c r="E1001" s="92"/>
      <c r="F1001" s="97">
        <f ca="1">_xll.meDateFromTenor(F1000,"1D","FOLLOWING","TGT")</f>
        <v>43928</v>
      </c>
      <c r="G1001" s="95">
        <f ca="1"/>
        <v>-5.6853347834674966E-4</v>
      </c>
      <c r="H1001" s="92" t="s">
        <v>4</v>
      </c>
      <c r="I1001" s="97">
        <f ca="1">_xll.meDateFromTenor(I1000,"1D","FOLLOWING","TGT")</f>
        <v>43928</v>
      </c>
      <c r="J1001" s="95">
        <f ca="1"/>
        <v>6.1822342515383477E-4</v>
      </c>
      <c r="K1001" s="5" t="s">
        <v>4</v>
      </c>
      <c r="L1001" s="97">
        <f ca="1">_xll.meDateFromTenor(L1000,"1D","FOLLOWING","TGT")</f>
        <v>43928</v>
      </c>
      <c r="M1001" s="95">
        <f ca="1"/>
        <v>2.5396492283667857E-3</v>
      </c>
      <c r="N1001" s="5" t="s">
        <v>4</v>
      </c>
      <c r="O1001" s="97">
        <f ca="1">_xll.meDateFromTenor(O1000,"1D","FOLLOWING","TGT")</f>
        <v>43928</v>
      </c>
      <c r="P1001" s="95">
        <f ca="1"/>
        <v>4.5305644209712595E-3</v>
      </c>
      <c r="Q1001" s="5" t="s">
        <v>4</v>
      </c>
      <c r="R1001" s="83" t="s">
        <v>4</v>
      </c>
    </row>
    <row r="1002" spans="1:18" x14ac:dyDescent="0.25">
      <c r="A1002" s="88">
        <v>988</v>
      </c>
      <c r="B1002" s="82"/>
      <c r="C1002" s="97">
        <f ca="1">_xll.meDateFromTenor(C1001,"1D","FOLLOWING","TGT")</f>
        <v>43929</v>
      </c>
      <c r="D1002" s="95">
        <f ca="1"/>
        <v>-1.6607653880171824E-3</v>
      </c>
      <c r="E1002" s="92"/>
      <c r="F1002" s="97">
        <f ca="1">_xll.meDateFromTenor(F1001,"1D","FOLLOWING","TGT")</f>
        <v>43929</v>
      </c>
      <c r="G1002" s="95">
        <f ca="1"/>
        <v>-5.6232886493983206E-4</v>
      </c>
      <c r="H1002" s="92" t="s">
        <v>4</v>
      </c>
      <c r="I1002" s="97">
        <f ca="1">_xll.meDateFromTenor(I1001,"1D","FOLLOWING","TGT")</f>
        <v>43929</v>
      </c>
      <c r="J1002" s="95">
        <f ca="1"/>
        <v>6.2448722050282971E-4</v>
      </c>
      <c r="K1002" s="5" t="s">
        <v>4</v>
      </c>
      <c r="L1002" s="97">
        <f ca="1">_xll.meDateFromTenor(L1001,"1D","FOLLOWING","TGT")</f>
        <v>43929</v>
      </c>
      <c r="M1002" s="95">
        <f ca="1"/>
        <v>2.5458439856230254E-3</v>
      </c>
      <c r="N1002" s="5" t="s">
        <v>4</v>
      </c>
      <c r="O1002" s="97">
        <f ca="1">_xll.meDateFromTenor(O1001,"1D","FOLLOWING","TGT")</f>
        <v>43929</v>
      </c>
      <c r="P1002" s="95">
        <f ca="1"/>
        <v>4.5366900904992404E-3</v>
      </c>
      <c r="Q1002" s="5" t="s">
        <v>4</v>
      </c>
      <c r="R1002" s="83" t="s">
        <v>4</v>
      </c>
    </row>
    <row r="1003" spans="1:18" x14ac:dyDescent="0.25">
      <c r="A1003" s="88">
        <v>989</v>
      </c>
      <c r="B1003" s="82"/>
      <c r="C1003" s="97">
        <f ca="1">_xll.meDateFromTenor(C1002,"1D","FOLLOWING","TGT")</f>
        <v>43930</v>
      </c>
      <c r="D1003" s="95">
        <f ca="1"/>
        <v>-1.6559494956510656E-3</v>
      </c>
      <c r="E1003" s="92"/>
      <c r="F1003" s="97">
        <f ca="1">_xll.meDateFromTenor(F1002,"1D","FOLLOWING","TGT")</f>
        <v>43930</v>
      </c>
      <c r="G1003" s="95">
        <f ca="1"/>
        <v>-5.5613062015804607E-4</v>
      </c>
      <c r="H1003" s="92" t="s">
        <v>4</v>
      </c>
      <c r="I1003" s="97">
        <f ca="1">_xll.meDateFromTenor(I1002,"1D","FOLLOWING","TGT")</f>
        <v>43930</v>
      </c>
      <c r="J1003" s="95">
        <f ca="1"/>
        <v>6.3075834482644586E-4</v>
      </c>
      <c r="K1003" s="5" t="s">
        <v>4</v>
      </c>
      <c r="L1003" s="97">
        <f ca="1">_xll.meDateFromTenor(L1002,"1D","FOLLOWING","TGT")</f>
        <v>43930</v>
      </c>
      <c r="M1003" s="95">
        <f ca="1"/>
        <v>2.5520418074665954E-3</v>
      </c>
      <c r="N1003" s="5" t="s">
        <v>4</v>
      </c>
      <c r="O1003" s="97">
        <f ca="1">_xll.meDateFromTenor(O1002,"1D","FOLLOWING","TGT")</f>
        <v>43930</v>
      </c>
      <c r="P1003" s="95">
        <f ca="1"/>
        <v>4.5428203374602042E-3</v>
      </c>
      <c r="Q1003" s="5" t="s">
        <v>4</v>
      </c>
      <c r="R1003" s="83" t="s">
        <v>4</v>
      </c>
    </row>
    <row r="1004" spans="1:18" x14ac:dyDescent="0.25">
      <c r="A1004" s="88">
        <v>990</v>
      </c>
      <c r="B1004" s="82"/>
      <c r="C1004" s="97">
        <f ca="1">_xll.meDateFromTenor(C1003,"1D","FOLLOWING","TGT")</f>
        <v>43935</v>
      </c>
      <c r="D1004" s="95">
        <f ca="1"/>
        <v>-1.630818066554518E-3</v>
      </c>
      <c r="E1004" s="92"/>
      <c r="F1004" s="97">
        <f ca="1">_xll.meDateFromTenor(F1003,"1D","FOLLOWING","TGT")</f>
        <v>43935</v>
      </c>
      <c r="G1004" s="95">
        <f ca="1"/>
        <v>-5.2518353220503355E-4</v>
      </c>
      <c r="H1004" s="92" t="s">
        <v>4</v>
      </c>
      <c r="I1004" s="97">
        <f ca="1">_xll.meDateFromTenor(I1003,"1D","FOLLOWING","TGT")</f>
        <v>43935</v>
      </c>
      <c r="J1004" s="95">
        <f ca="1"/>
        <v>6.6222079754944731E-4</v>
      </c>
      <c r="K1004" s="5" t="s">
        <v>4</v>
      </c>
      <c r="L1004" s="97">
        <f ca="1">_xll.meDateFromTenor(L1003,"1D","FOLLOWING","TGT")</f>
        <v>43935</v>
      </c>
      <c r="M1004" s="95">
        <f ca="1"/>
        <v>2.583077509167381E-3</v>
      </c>
      <c r="N1004" s="5" t="s">
        <v>4</v>
      </c>
      <c r="O1004" s="97">
        <f ca="1">_xll.meDateFromTenor(O1003,"1D","FOLLOWING","TGT")</f>
        <v>43935</v>
      </c>
      <c r="P1004" s="95">
        <f ca="1"/>
        <v>4.5735407948398477E-3</v>
      </c>
      <c r="Q1004" s="5" t="s">
        <v>4</v>
      </c>
      <c r="R1004" s="83" t="s">
        <v>4</v>
      </c>
    </row>
    <row r="1005" spans="1:18" x14ac:dyDescent="0.25">
      <c r="A1005" s="88">
        <v>991</v>
      </c>
      <c r="B1005" s="82"/>
      <c r="C1005" s="97">
        <f ca="1">_xll.meDateFromTenor(C1004,"1D","FOLLOWING","TGT")</f>
        <v>43936</v>
      </c>
      <c r="D1005" s="95">
        <f ca="1"/>
        <v>-1.6255813873993219E-3</v>
      </c>
      <c r="E1005" s="92"/>
      <c r="F1005" s="97">
        <f ca="1">_xll.meDateFromTenor(F1004,"1D","FOLLOWING","TGT")</f>
        <v>43936</v>
      </c>
      <c r="G1005" s="95">
        <f ca="1"/>
        <v>-5.1899266312139939E-4</v>
      </c>
      <c r="H1005" s="92" t="s">
        <v>4</v>
      </c>
      <c r="I1005" s="97">
        <f ca="1">_xll.meDateFromTenor(I1004,"1D","FOLLOWING","TGT")</f>
        <v>43936</v>
      </c>
      <c r="J1005" s="95">
        <f ca="1"/>
        <v>6.685340336121553E-4</v>
      </c>
      <c r="K1005" s="5" t="s">
        <v>4</v>
      </c>
      <c r="L1005" s="97">
        <f ca="1">_xll.meDateFromTenor(L1004,"1D","FOLLOWING","TGT")</f>
        <v>43936</v>
      </c>
      <c r="M1005" s="95">
        <f ca="1"/>
        <v>2.5892940927387214E-3</v>
      </c>
      <c r="N1005" s="5" t="s">
        <v>4</v>
      </c>
      <c r="O1005" s="97">
        <f ca="1">_xll.meDateFromTenor(O1004,"1D","FOLLOWING","TGT")</f>
        <v>43936</v>
      </c>
      <c r="P1005" s="95">
        <f ca="1"/>
        <v>4.5796988430467471E-3</v>
      </c>
      <c r="Q1005" s="5" t="s">
        <v>4</v>
      </c>
      <c r="R1005" s="83" t="s">
        <v>4</v>
      </c>
    </row>
    <row r="1006" spans="1:18" x14ac:dyDescent="0.25">
      <c r="A1006" s="88">
        <v>992</v>
      </c>
      <c r="B1006" s="82"/>
      <c r="C1006" s="97">
        <f ca="1">_xll.meDateFromTenor(C1005,"1D","FOLLOWING","TGT")</f>
        <v>43937</v>
      </c>
      <c r="D1006" s="95">
        <f ca="1"/>
        <v>-1.6202745769988702E-3</v>
      </c>
      <c r="E1006" s="92"/>
      <c r="F1006" s="97">
        <f ca="1">_xll.meDateFromTenor(F1005,"1D","FOLLOWING","TGT")</f>
        <v>43937</v>
      </c>
      <c r="G1006" s="95">
        <f ca="1"/>
        <v>-5.1279788397868404E-4</v>
      </c>
      <c r="H1006" s="92" t="s">
        <v>4</v>
      </c>
      <c r="I1006" s="97">
        <f ca="1">_xll.meDateFromTenor(I1005,"1D","FOLLOWING","TGT")</f>
        <v>43937</v>
      </c>
      <c r="J1006" s="95">
        <f ca="1"/>
        <v>6.7485397794660564E-4</v>
      </c>
      <c r="K1006" s="5" t="s">
        <v>4</v>
      </c>
      <c r="L1006" s="97">
        <f ca="1">_xll.meDateFromTenor(L1005,"1D","FOLLOWING","TGT")</f>
        <v>43937</v>
      </c>
      <c r="M1006" s="95">
        <f ca="1"/>
        <v>2.5955138656319865E-3</v>
      </c>
      <c r="N1006" s="5" t="s">
        <v>4</v>
      </c>
      <c r="O1006" s="97">
        <f ca="1">_xll.meDateFromTenor(O1005,"1D","FOLLOWING","TGT")</f>
        <v>43937</v>
      </c>
      <c r="P1006" s="95">
        <f ca="1"/>
        <v>4.5858615809026403E-3</v>
      </c>
      <c r="Q1006" s="5" t="s">
        <v>4</v>
      </c>
      <c r="R1006" s="83" t="s">
        <v>4</v>
      </c>
    </row>
    <row r="1007" spans="1:18" x14ac:dyDescent="0.25">
      <c r="A1007" s="88">
        <v>993</v>
      </c>
      <c r="B1007" s="82"/>
      <c r="C1007" s="97">
        <f ca="1">_xll.meDateFromTenor(C1006,"1D","FOLLOWING","TGT")</f>
        <v>43938</v>
      </c>
      <c r="D1007" s="95">
        <f ca="1"/>
        <v>-1.6148976352355904E-3</v>
      </c>
      <c r="E1007" s="92"/>
      <c r="F1007" s="97">
        <f ca="1">_xll.meDateFromTenor(F1006,"1D","FOLLOWING","TGT")</f>
        <v>43938</v>
      </c>
      <c r="G1007" s="95">
        <f ca="1"/>
        <v>-5.0659772639342644E-4</v>
      </c>
      <c r="H1007" s="92" t="s">
        <v>4</v>
      </c>
      <c r="I1007" s="97">
        <f ca="1">_xll.meDateFromTenor(I1006,"1D","FOLLOWING","TGT")</f>
        <v>43938</v>
      </c>
      <c r="J1007" s="95">
        <f ca="1"/>
        <v>6.8118054188096098E-4</v>
      </c>
      <c r="K1007" s="5" t="s">
        <v>4</v>
      </c>
      <c r="L1007" s="97">
        <f ca="1">_xll.meDateFromTenor(L1006,"1D","FOLLOWING","TGT")</f>
        <v>43938</v>
      </c>
      <c r="M1007" s="95">
        <f ca="1"/>
        <v>2.601736845666407E-3</v>
      </c>
      <c r="N1007" s="5" t="s">
        <v>4</v>
      </c>
      <c r="O1007" s="97">
        <f ca="1">_xll.meDateFromTenor(O1006,"1D","FOLLOWING","TGT")</f>
        <v>43938</v>
      </c>
      <c r="P1007" s="95">
        <f ca="1"/>
        <v>4.5920290244383854E-3</v>
      </c>
      <c r="Q1007" s="5" t="s">
        <v>4</v>
      </c>
      <c r="R1007" s="83" t="s">
        <v>4</v>
      </c>
    </row>
    <row r="1008" spans="1:18" x14ac:dyDescent="0.25">
      <c r="A1008" s="88">
        <v>994</v>
      </c>
      <c r="B1008" s="82"/>
      <c r="C1008" s="97">
        <f ca="1">_xll.meDateFromTenor(C1007,"1D","FOLLOWING","TGT")</f>
        <v>43941</v>
      </c>
      <c r="D1008" s="95">
        <f ca="1"/>
        <v>-1.5983460211748124E-3</v>
      </c>
      <c r="E1008" s="92"/>
      <c r="F1008" s="97">
        <f ca="1">_xll.meDateFromTenor(F1007,"1D","FOLLOWING","TGT")</f>
        <v>43941</v>
      </c>
      <c r="G1008" s="95">
        <f ca="1"/>
        <v>-4.8795029914781358E-4</v>
      </c>
      <c r="H1008" s="92" t="s">
        <v>4</v>
      </c>
      <c r="I1008" s="97">
        <f ca="1">_xll.meDateFromTenor(I1007,"1D","FOLLOWING","TGT")</f>
        <v>43941</v>
      </c>
      <c r="J1008" s="95">
        <f ca="1"/>
        <v>7.0019906456505489E-4</v>
      </c>
      <c r="K1008" s="5" t="s">
        <v>4</v>
      </c>
      <c r="L1008" s="97">
        <f ca="1">_xll.meDateFromTenor(L1007,"1D","FOLLOWING","TGT")</f>
        <v>43941</v>
      </c>
      <c r="M1008" s="95">
        <f ca="1"/>
        <v>2.6204252068088739E-3</v>
      </c>
      <c r="N1008" s="5" t="s">
        <v>4</v>
      </c>
      <c r="O1008" s="97">
        <f ca="1">_xll.meDateFromTenor(O1007,"1D","FOLLOWING","TGT")</f>
        <v>43941</v>
      </c>
      <c r="P1008" s="95">
        <f ca="1"/>
        <v>4.6105597494333125E-3</v>
      </c>
      <c r="Q1008" s="5" t="s">
        <v>4</v>
      </c>
      <c r="R1008" s="83" t="s">
        <v>4</v>
      </c>
    </row>
    <row r="1009" spans="1:18" x14ac:dyDescent="0.25">
      <c r="A1009" s="88">
        <v>995</v>
      </c>
      <c r="B1009" s="82"/>
      <c r="C1009" s="97">
        <f ca="1">_xll.meDateFromTenor(C1008,"1D","FOLLOWING","TGT")</f>
        <v>43942</v>
      </c>
      <c r="D1009" s="95">
        <f ca="1"/>
        <v>-1.5926885528925183E-3</v>
      </c>
      <c r="E1009" s="92"/>
      <c r="F1009" s="97">
        <f ca="1">_xll.meDateFromTenor(F1008,"1D","FOLLOWING","TGT")</f>
        <v>43942</v>
      </c>
      <c r="G1009" s="95">
        <f ca="1"/>
        <v>-4.8171394395779939E-4</v>
      </c>
      <c r="H1009" s="92" t="s">
        <v>4</v>
      </c>
      <c r="I1009" s="97">
        <f ca="1">_xll.meDateFromTenor(I1008,"1D","FOLLOWING","TGT")</f>
        <v>43942</v>
      </c>
      <c r="J1009" s="95">
        <f ca="1"/>
        <v>7.065512201806293E-4</v>
      </c>
      <c r="K1009" s="5" t="s">
        <v>4</v>
      </c>
      <c r="L1009" s="97">
        <f ca="1">_xll.meDateFromTenor(L1008,"1D","FOLLOWING","TGT")</f>
        <v>43942</v>
      </c>
      <c r="M1009" s="95">
        <f ca="1"/>
        <v>2.6266611936001903E-3</v>
      </c>
      <c r="N1009" s="5" t="s">
        <v>4</v>
      </c>
      <c r="O1009" s="97">
        <f ca="1">_xll.meDateFromTenor(O1008,"1D","FOLLOWING","TGT")</f>
        <v>43942</v>
      </c>
      <c r="P1009" s="95">
        <f ca="1"/>
        <v>4.6167461759970465E-3</v>
      </c>
      <c r="Q1009" s="5" t="s">
        <v>4</v>
      </c>
      <c r="R1009" s="83" t="s">
        <v>4</v>
      </c>
    </row>
    <row r="1010" spans="1:18" x14ac:dyDescent="0.25">
      <c r="A1010" s="88">
        <v>996</v>
      </c>
      <c r="B1010" s="82"/>
      <c r="C1010" s="97">
        <f ca="1">_xll.meDateFromTenor(C1009,"1D","FOLLOWING","TGT")</f>
        <v>43943</v>
      </c>
      <c r="D1010" s="95">
        <f ca="1"/>
        <v>-1.5869609524801209E-3</v>
      </c>
      <c r="E1010" s="92"/>
      <c r="F1010" s="97">
        <f ca="1">_xll.meDateFromTenor(F1009,"1D","FOLLOWING","TGT")</f>
        <v>43943</v>
      </c>
      <c r="G1010" s="95">
        <f ca="1"/>
        <v>-4.7546486840794672E-4</v>
      </c>
      <c r="H1010" s="92" t="s">
        <v>4</v>
      </c>
      <c r="I1010" s="97">
        <f ca="1">_xll.meDateFromTenor(I1009,"1D","FOLLOWING","TGT")</f>
        <v>43943</v>
      </c>
      <c r="J1010" s="95">
        <f ca="1"/>
        <v>7.1290955203691094E-4</v>
      </c>
      <c r="K1010" s="5" t="s">
        <v>4</v>
      </c>
      <c r="L1010" s="97">
        <f ca="1">_xll.meDateFromTenor(L1009,"1D","FOLLOWING","TGT")</f>
        <v>43943</v>
      </c>
      <c r="M1010" s="95">
        <f ca="1"/>
        <v>2.6329004766288016E-3</v>
      </c>
      <c r="N1010" s="5" t="s">
        <v>4</v>
      </c>
      <c r="O1010" s="97">
        <f ca="1">_xll.meDateFromTenor(O1009,"1D","FOLLOWING","TGT")</f>
        <v>43943</v>
      </c>
      <c r="P1010" s="95">
        <f ca="1"/>
        <v>4.6229373883949244E-3</v>
      </c>
      <c r="Q1010" s="5" t="s">
        <v>4</v>
      </c>
      <c r="R1010" s="83" t="s">
        <v>4</v>
      </c>
    </row>
    <row r="1011" spans="1:18" x14ac:dyDescent="0.25">
      <c r="A1011" s="88">
        <v>997</v>
      </c>
      <c r="B1011" s="82"/>
      <c r="C1011" s="97">
        <f ca="1">_xll.meDateFromTenor(C1010,"1D","FOLLOWING","TGT")</f>
        <v>43944</v>
      </c>
      <c r="D1011" s="95">
        <f ca="1"/>
        <v>-1.58116321997126E-3</v>
      </c>
      <c r="E1011" s="92"/>
      <c r="F1011" s="97">
        <f ca="1">_xll.meDateFromTenor(F1010,"1D","FOLLOWING","TGT")</f>
        <v>43944</v>
      </c>
      <c r="G1011" s="95">
        <f ca="1"/>
        <v>-4.6920160411479734E-4</v>
      </c>
      <c r="H1011" s="92" t="s">
        <v>4</v>
      </c>
      <c r="I1011" s="97">
        <f ca="1">_xll.meDateFromTenor(I1010,"1D","FOLLOWING","TGT")</f>
        <v>43944</v>
      </c>
      <c r="J1011" s="95">
        <f ca="1"/>
        <v>7.1927397146205889E-4</v>
      </c>
      <c r="K1011" s="5" t="s">
        <v>4</v>
      </c>
      <c r="L1011" s="97">
        <f ca="1">_xll.meDateFromTenor(L1010,"1D","FOLLOWING","TGT")</f>
        <v>43944</v>
      </c>
      <c r="M1011" s="95">
        <f ca="1"/>
        <v>2.6391430737139356E-3</v>
      </c>
      <c r="N1011" s="5" t="s">
        <v>4</v>
      </c>
      <c r="O1011" s="97">
        <f ca="1">_xll.meDateFromTenor(O1010,"1D","FOLLOWING","TGT")</f>
        <v>43944</v>
      </c>
      <c r="P1011" s="95">
        <f ca="1"/>
        <v>4.6291334026578044E-3</v>
      </c>
      <c r="Q1011" s="5" t="s">
        <v>4</v>
      </c>
      <c r="R1011" s="83" t="s">
        <v>4</v>
      </c>
    </row>
    <row r="1012" spans="1:18" x14ac:dyDescent="0.25">
      <c r="A1012" s="88">
        <v>998</v>
      </c>
      <c r="B1012" s="82"/>
      <c r="C1012" s="97">
        <f ca="1">_xll.meDateFromTenor(C1011,"1D","FOLLOWING","TGT")</f>
        <v>43945</v>
      </c>
      <c r="D1012" s="95">
        <f ca="1"/>
        <v>-1.5752953544673209E-3</v>
      </c>
      <c r="E1012" s="92"/>
      <c r="F1012" s="97">
        <f ca="1">_xll.meDateFromTenor(F1011,"1D","FOLLOWING","TGT")</f>
        <v>43945</v>
      </c>
      <c r="G1012" s="95">
        <f ca="1"/>
        <v>-4.6292268269489291E-4</v>
      </c>
      <c r="H1012" s="92" t="s">
        <v>4</v>
      </c>
      <c r="I1012" s="97">
        <f ca="1">_xll.meDateFromTenor(I1011,"1D","FOLLOWING","TGT")</f>
        <v>43945</v>
      </c>
      <c r="J1012" s="95">
        <f ca="1"/>
        <v>7.2564438978423278E-4</v>
      </c>
      <c r="K1012" s="5" t="s">
        <v>4</v>
      </c>
      <c r="L1012" s="97">
        <f ca="1">_xll.meDateFromTenor(L1011,"1D","FOLLOWING","TGT")</f>
        <v>43945</v>
      </c>
      <c r="M1012" s="95">
        <f ca="1"/>
        <v>2.6453890026748184E-3</v>
      </c>
      <c r="N1012" s="5" t="s">
        <v>4</v>
      </c>
      <c r="O1012" s="97">
        <f ca="1">_xll.meDateFromTenor(O1011,"1D","FOLLOWING","TGT")</f>
        <v>43945</v>
      </c>
      <c r="P1012" s="95">
        <f ca="1"/>
        <v>4.6353342348165434E-3</v>
      </c>
      <c r="Q1012" s="5" t="s">
        <v>4</v>
      </c>
      <c r="R1012" s="83" t="s">
        <v>4</v>
      </c>
    </row>
    <row r="1013" spans="1:18" x14ac:dyDescent="0.25">
      <c r="A1013" s="88">
        <v>999</v>
      </c>
      <c r="B1013" s="82"/>
      <c r="C1013" s="97">
        <f ca="1">_xll.meDateFromTenor(C1012,"1D","FOLLOWING","TGT")</f>
        <v>43948</v>
      </c>
      <c r="D1013" s="95">
        <f ca="1"/>
        <v>-1.5572709597150292E-3</v>
      </c>
      <c r="E1013" s="92"/>
      <c r="F1013" s="97">
        <f ca="1">_xll.meDateFromTenor(F1012,"1D","FOLLOWING","TGT")</f>
        <v>43948</v>
      </c>
      <c r="G1013" s="95">
        <f ca="1"/>
        <v>-4.4397729184004857E-4</v>
      </c>
      <c r="H1013" s="92" t="s">
        <v>4</v>
      </c>
      <c r="I1013" s="97">
        <f ca="1">_xll.meDateFromTenor(I1012,"1D","FOLLOWING","TGT")</f>
        <v>43948</v>
      </c>
      <c r="J1013" s="95">
        <f ca="1"/>
        <v>7.4479075141452408E-4</v>
      </c>
      <c r="K1013" s="5" t="s">
        <v>4</v>
      </c>
      <c r="L1013" s="97">
        <f ca="1">_xll.meDateFromTenor(L1012,"1D","FOLLOWING","TGT")</f>
        <v>43948</v>
      </c>
      <c r="M1013" s="95">
        <f ca="1"/>
        <v>2.6641469590042511E-3</v>
      </c>
      <c r="N1013" s="5" t="s">
        <v>4</v>
      </c>
      <c r="O1013" s="97">
        <f ca="1">_xll.meDateFromTenor(O1012,"1D","FOLLOWING","TGT")</f>
        <v>43948</v>
      </c>
      <c r="P1013" s="95">
        <f ca="1"/>
        <v>4.653965798976506E-3</v>
      </c>
      <c r="Q1013" s="5" t="s">
        <v>4</v>
      </c>
      <c r="R1013" s="83" t="s">
        <v>4</v>
      </c>
    </row>
    <row r="1014" spans="1:18" x14ac:dyDescent="0.25">
      <c r="A1014" s="88">
        <v>1000</v>
      </c>
      <c r="B1014" s="82"/>
      <c r="C1014" s="97">
        <f ca="1">_xll.meDateFromTenor(C1013,"1D","FOLLOWING","TGT")</f>
        <v>43949</v>
      </c>
      <c r="D1014" s="95">
        <f ca="1"/>
        <v>-1.5511225607303114E-3</v>
      </c>
      <c r="E1014" s="92"/>
      <c r="F1014" s="97">
        <f ca="1">_xll.meDateFromTenor(F1013,"1D","FOLLOWING","TGT")</f>
        <v>43949</v>
      </c>
      <c r="G1014" s="95">
        <f ca="1"/>
        <v>-4.3762105807852687E-4</v>
      </c>
      <c r="H1014" s="92" t="s">
        <v>4</v>
      </c>
      <c r="I1014" s="97">
        <f ca="1">_xll.meDateFromTenor(I1013,"1D","FOLLOWING","TGT")</f>
        <v>43949</v>
      </c>
      <c r="J1014" s="95">
        <f ca="1"/>
        <v>7.5118427860641139E-4</v>
      </c>
      <c r="K1014" s="5" t="s">
        <v>4</v>
      </c>
      <c r="L1014" s="97">
        <f ca="1">_xll.meDateFromTenor(L1013,"1D","FOLLOWING","TGT")</f>
        <v>43949</v>
      </c>
      <c r="M1014" s="95">
        <f ca="1"/>
        <v>2.6704063936604152E-3</v>
      </c>
      <c r="N1014" s="5" t="s">
        <v>4</v>
      </c>
      <c r="O1014" s="97">
        <f ca="1">_xll.meDateFromTenor(O1013,"1D","FOLLOWING","TGT")</f>
        <v>43949</v>
      </c>
      <c r="P1014" s="95">
        <f ca="1"/>
        <v>4.6601860630272685E-3</v>
      </c>
      <c r="Q1014" s="5" t="s">
        <v>4</v>
      </c>
      <c r="R1014" s="83" t="s">
        <v>4</v>
      </c>
    </row>
    <row r="1015" spans="1:18" x14ac:dyDescent="0.25">
      <c r="A1015" s="88">
        <v>1001</v>
      </c>
      <c r="B1015" s="82"/>
      <c r="C1015" s="97">
        <f ca="1">_xll.meDateFromTenor(C1014,"1D","FOLLOWING","TGT")</f>
        <v>43950</v>
      </c>
      <c r="D1015" s="95">
        <f ca="1"/>
        <v>-1.5449040273879389E-3</v>
      </c>
      <c r="E1015" s="92"/>
      <c r="F1015" s="97">
        <f ca="1">_xll.meDateFromTenor(F1014,"1D","FOLLOWING","TGT")</f>
        <v>43950</v>
      </c>
      <c r="G1015" s="95">
        <f ca="1"/>
        <v>-4.312418252729541E-4</v>
      </c>
      <c r="H1015" s="92" t="s">
        <v>4</v>
      </c>
      <c r="I1015" s="97">
        <f ca="1">_xll.meDateFromTenor(I1014,"1D","FOLLOWING","TGT")</f>
        <v>43950</v>
      </c>
      <c r="J1015" s="95">
        <f ca="1"/>
        <v>7.5758336133612686E-4</v>
      </c>
      <c r="K1015" s="5" t="s">
        <v>4</v>
      </c>
      <c r="L1015" s="97">
        <f ca="1">_xll.meDateFromTenor(L1014,"1D","FOLLOWING","TGT")</f>
        <v>43950</v>
      </c>
      <c r="M1015" s="95">
        <f ca="1"/>
        <v>2.6766692492884692E-3</v>
      </c>
      <c r="N1015" s="5" t="s">
        <v>4</v>
      </c>
      <c r="O1015" s="97">
        <f ca="1">_xll.meDateFromTenor(O1014,"1D","FOLLOWING","TGT")</f>
        <v>43950</v>
      </c>
      <c r="P1015" s="95">
        <f ca="1"/>
        <v>4.6664112251281822E-3</v>
      </c>
      <c r="Q1015" s="5" t="s">
        <v>4</v>
      </c>
      <c r="R1015" s="83" t="s">
        <v>4</v>
      </c>
    </row>
    <row r="1016" spans="1:18" x14ac:dyDescent="0.25">
      <c r="A1016" s="88">
        <v>1002</v>
      </c>
      <c r="B1016" s="82"/>
      <c r="C1016" s="97">
        <f ca="1">_xll.meDateFromTenor(C1015,"1D","FOLLOWING","TGT")</f>
        <v>43951</v>
      </c>
      <c r="D1016" s="95">
        <f ca="1"/>
        <v>-1.5386153591399054E-3</v>
      </c>
      <c r="E1016" s="92"/>
      <c r="F1016" s="97">
        <f ca="1">_xll.meDateFromTenor(F1015,"1D","FOLLOWING","TGT")</f>
        <v>43951</v>
      </c>
      <c r="G1016" s="95">
        <f ca="1"/>
        <v>-4.2483812503986873E-4</v>
      </c>
      <c r="H1016" s="92" t="s">
        <v>4</v>
      </c>
      <c r="I1016" s="97">
        <f ca="1">_xll.meDateFromTenor(I1015,"1D","FOLLOWING","TGT")</f>
        <v>43951</v>
      </c>
      <c r="J1016" s="95">
        <f ca="1"/>
        <v>7.6398791093183294E-4</v>
      </c>
      <c r="K1016" s="5" t="s">
        <v>4</v>
      </c>
      <c r="L1016" s="97">
        <f ca="1">_xll.meDateFromTenor(L1015,"1D","FOLLOWING","TGT")</f>
        <v>43951</v>
      </c>
      <c r="M1016" s="95">
        <f ca="1"/>
        <v>2.6829355437076419E-3</v>
      </c>
      <c r="N1016" s="5" t="s">
        <v>4</v>
      </c>
      <c r="O1016" s="97">
        <f ca="1">_xll.meDateFromTenor(O1015,"1D","FOLLOWING","TGT")</f>
        <v>43951</v>
      </c>
      <c r="P1016" s="95">
        <f ca="1"/>
        <v>4.672641301310107E-3</v>
      </c>
      <c r="Q1016" s="5" t="s">
        <v>4</v>
      </c>
      <c r="R1016" s="83" t="s">
        <v>4</v>
      </c>
    </row>
    <row r="1017" spans="1:18" x14ac:dyDescent="0.25">
      <c r="A1017" s="88">
        <v>1003</v>
      </c>
      <c r="B1017" s="82"/>
      <c r="C1017" s="97">
        <f ca="1">_xll.meDateFromTenor(C1016,"1D","FOLLOWING","TGT")</f>
        <v>43955</v>
      </c>
      <c r="D1017" s="95">
        <f ca="1"/>
        <v>-1.512759329445168E-3</v>
      </c>
      <c r="E1017" s="92"/>
      <c r="F1017" s="97">
        <f ca="1">_xll.meDateFromTenor(F1016,"1D","FOLLOWING","TGT")</f>
        <v>43955</v>
      </c>
      <c r="G1017" s="95">
        <f ca="1"/>
        <v>-3.9894928216322958E-4</v>
      </c>
      <c r="H1017" s="92" t="s">
        <v>4</v>
      </c>
      <c r="I1017" s="97">
        <f ca="1">_xll.meDateFromTenor(I1016,"1D","FOLLOWING","TGT")</f>
        <v>43955</v>
      </c>
      <c r="J1017" s="95">
        <f ca="1"/>
        <v>7.8965900453776075E-4</v>
      </c>
      <c r="K1017" s="5" t="s">
        <v>4</v>
      </c>
      <c r="L1017" s="97">
        <f ca="1">_xll.meDateFromTenor(L1016,"1D","FOLLOWING","TGT")</f>
        <v>43955</v>
      </c>
      <c r="M1017" s="95">
        <f ca="1"/>
        <v>2.7080354656800732E-3</v>
      </c>
      <c r="N1017" s="5" t="s">
        <v>4</v>
      </c>
      <c r="O1017" s="97">
        <f ca="1">_xll.meDateFromTenor(O1016,"1D","FOLLOWING","TGT")</f>
        <v>43955</v>
      </c>
      <c r="P1017" s="95">
        <f ca="1"/>
        <v>4.6976110674650717E-3</v>
      </c>
      <c r="Q1017" s="5" t="s">
        <v>4</v>
      </c>
      <c r="R1017" s="83" t="s">
        <v>4</v>
      </c>
    </row>
    <row r="1018" spans="1:18" x14ac:dyDescent="0.25">
      <c r="A1018" s="88">
        <v>1004</v>
      </c>
      <c r="B1018" s="82"/>
      <c r="C1018" s="97">
        <f ca="1">_xll.meDateFromTenor(C1017,"1D","FOLLOWING","TGT")</f>
        <v>43956</v>
      </c>
      <c r="D1018" s="95">
        <f ca="1"/>
        <v>-1.5061199803666492E-3</v>
      </c>
      <c r="E1018" s="92"/>
      <c r="F1018" s="97">
        <f ca="1">_xll.meDateFromTenor(F1017,"1D","FOLLOWING","TGT")</f>
        <v>43956</v>
      </c>
      <c r="G1018" s="95">
        <f ca="1"/>
        <v>-3.9240159751165052E-4</v>
      </c>
      <c r="H1018" s="92" t="s">
        <v>4</v>
      </c>
      <c r="I1018" s="97">
        <f ca="1">_xll.meDateFromTenor(I1017,"1D","FOLLOWING","TGT")</f>
        <v>43956</v>
      </c>
      <c r="J1018" s="95">
        <f ca="1"/>
        <v>7.9608955838582124E-4</v>
      </c>
      <c r="K1018" s="5" t="s">
        <v>4</v>
      </c>
      <c r="L1018" s="97">
        <f ca="1">_xll.meDateFromTenor(L1017,"1D","FOLLOWING","TGT")</f>
        <v>43956</v>
      </c>
      <c r="M1018" s="95">
        <f ca="1"/>
        <v>2.7143192213432564E-3</v>
      </c>
      <c r="N1018" s="5" t="s">
        <v>4</v>
      </c>
      <c r="O1018" s="97">
        <f ca="1">_xll.meDateFromTenor(O1017,"1D","FOLLOWING","TGT")</f>
        <v>43956</v>
      </c>
      <c r="P1018" s="95">
        <f ca="1"/>
        <v>4.70386595451492E-3</v>
      </c>
      <c r="Q1018" s="5" t="s">
        <v>4</v>
      </c>
      <c r="R1018" s="83" t="s">
        <v>4</v>
      </c>
    </row>
    <row r="1019" spans="1:18" x14ac:dyDescent="0.25">
      <c r="A1019" s="88">
        <v>1005</v>
      </c>
      <c r="B1019" s="82"/>
      <c r="C1019" s="97">
        <f ca="1">_xll.meDateFromTenor(C1018,"1D","FOLLOWING","TGT")</f>
        <v>43957</v>
      </c>
      <c r="D1019" s="95">
        <f ca="1"/>
        <v>-1.4994104929844099E-3</v>
      </c>
      <c r="E1019" s="92"/>
      <c r="F1019" s="97">
        <f ca="1">_xll.meDateFromTenor(F1018,"1D","FOLLOWING","TGT")</f>
        <v>43957</v>
      </c>
      <c r="G1019" s="95">
        <f ca="1"/>
        <v>-3.8582290595751682E-4</v>
      </c>
      <c r="H1019" s="92" t="s">
        <v>4</v>
      </c>
      <c r="I1019" s="97">
        <f ca="1">_xll.meDateFromTenor(I1018,"1D","FOLLOWING","TGT")</f>
        <v>43957</v>
      </c>
      <c r="J1019" s="95">
        <f ca="1"/>
        <v>8.0252504706883397E-4</v>
      </c>
      <c r="K1019" s="5" t="s">
        <v>4</v>
      </c>
      <c r="L1019" s="97">
        <f ca="1">_xll.meDateFromTenor(L1018,"1D","FOLLOWING","TGT")</f>
        <v>43957</v>
      </c>
      <c r="M1019" s="95">
        <f ca="1"/>
        <v>2.7206065227129263E-3</v>
      </c>
      <c r="N1019" s="5" t="s">
        <v>4</v>
      </c>
      <c r="O1019" s="97">
        <f ca="1">_xll.meDateFromTenor(O1018,"1D","FOLLOWING","TGT")</f>
        <v>43957</v>
      </c>
      <c r="P1019" s="95">
        <f ca="1"/>
        <v>4.7101258518309303E-3</v>
      </c>
      <c r="Q1019" s="5" t="s">
        <v>4</v>
      </c>
      <c r="R1019" s="83" t="s">
        <v>4</v>
      </c>
    </row>
    <row r="1020" spans="1:18" x14ac:dyDescent="0.25">
      <c r="A1020" s="88">
        <v>1006</v>
      </c>
      <c r="B1020" s="82"/>
      <c r="C1020" s="97">
        <f ca="1">_xll.meDateFromTenor(C1019,"1D","FOLLOWING","TGT")</f>
        <v>43958</v>
      </c>
      <c r="D1020" s="95">
        <f ca="1"/>
        <v>-1.4926308673257616E-3</v>
      </c>
      <c r="E1020" s="92"/>
      <c r="F1020" s="97">
        <f ca="1">_xll.meDateFromTenor(F1019,"1D","FOLLOWING","TGT")</f>
        <v>43958</v>
      </c>
      <c r="G1020" s="95">
        <f ca="1"/>
        <v>-3.7921400994308212E-4</v>
      </c>
      <c r="H1020" s="92" t="s">
        <v>4</v>
      </c>
      <c r="I1020" s="97">
        <f ca="1">_xll.meDateFromTenor(I1019,"1D","FOLLOWING","TGT")</f>
        <v>43958</v>
      </c>
      <c r="J1020" s="95">
        <f ca="1"/>
        <v>8.0896538191495835E-4</v>
      </c>
      <c r="K1020" s="5" t="s">
        <v>4</v>
      </c>
      <c r="L1020" s="97">
        <f ca="1">_xll.meDateFromTenor(L1019,"1D","FOLLOWING","TGT")</f>
        <v>43958</v>
      </c>
      <c r="M1020" s="95">
        <f ca="1"/>
        <v>2.7268973876083086E-3</v>
      </c>
      <c r="N1020" s="5" t="s">
        <v>4</v>
      </c>
      <c r="O1020" s="97">
        <f ca="1">_xll.meDateFromTenor(O1019,"1D","FOLLOWING","TGT")</f>
        <v>43958</v>
      </c>
      <c r="P1020" s="95">
        <f ca="1"/>
        <v>4.7163907754439564E-3</v>
      </c>
      <c r="Q1020" s="5" t="s">
        <v>4</v>
      </c>
      <c r="R1020" s="83" t="s">
        <v>4</v>
      </c>
    </row>
    <row r="1021" spans="1:18" x14ac:dyDescent="0.25">
      <c r="A1021" s="88">
        <v>1007</v>
      </c>
      <c r="B1021" s="82"/>
      <c r="C1021" s="97">
        <f ca="1">_xll.meDateFromTenor(C1020,"1D","FOLLOWING","TGT")</f>
        <v>43959</v>
      </c>
      <c r="D1021" s="95">
        <f ca="1"/>
        <v>-1.4857811024054923E-3</v>
      </c>
      <c r="E1021" s="92"/>
      <c r="F1021" s="97">
        <f ca="1">_xll.meDateFromTenor(F1020,"1D","FOLLOWING","TGT")</f>
        <v>43959</v>
      </c>
      <c r="G1021" s="95">
        <f ca="1"/>
        <v>-3.7257571191059709E-4</v>
      </c>
      <c r="H1021" s="92" t="s">
        <v>4</v>
      </c>
      <c r="I1021" s="97">
        <f ca="1">_xll.meDateFromTenor(I1020,"1D","FOLLOWING","TGT")</f>
        <v>43959</v>
      </c>
      <c r="J1021" s="95">
        <f ca="1"/>
        <v>8.1541047425235703E-4</v>
      </c>
      <c r="K1021" s="5" t="s">
        <v>4</v>
      </c>
      <c r="L1021" s="97">
        <f ca="1">_xll.meDateFromTenor(L1020,"1D","FOLLOWING","TGT")</f>
        <v>43959</v>
      </c>
      <c r="M1021" s="95">
        <f ca="1"/>
        <v>2.7331918338486345E-3</v>
      </c>
      <c r="N1021" s="5" t="s">
        <v>4</v>
      </c>
      <c r="O1021" s="97">
        <f ca="1">_xll.meDateFromTenor(O1020,"1D","FOLLOWING","TGT")</f>
        <v>43959</v>
      </c>
      <c r="P1021" s="95">
        <f ca="1"/>
        <v>4.7226607413848607E-3</v>
      </c>
      <c r="Q1021" s="5" t="s">
        <v>4</v>
      </c>
      <c r="R1021" s="83" t="s">
        <v>4</v>
      </c>
    </row>
    <row r="1022" spans="1:18" x14ac:dyDescent="0.25">
      <c r="A1022" s="88">
        <v>1008</v>
      </c>
      <c r="B1022" s="82"/>
      <c r="C1022" s="97">
        <f ca="1">_xll.meDateFromTenor(C1021,"1D","FOLLOWING","TGT")</f>
        <v>43962</v>
      </c>
      <c r="D1022" s="95">
        <f ca="1"/>
        <v>-1.4648109660350128E-3</v>
      </c>
      <c r="E1022" s="92"/>
      <c r="F1022" s="97">
        <f ca="1">_xll.meDateFromTenor(F1021,"1D","FOLLOWING","TGT")</f>
        <v>43962</v>
      </c>
      <c r="G1022" s="95">
        <f ca="1"/>
        <v>-3.5249243012737641E-4</v>
      </c>
      <c r="H1022" s="92" t="s">
        <v>4</v>
      </c>
      <c r="I1022" s="97">
        <f ca="1">_xll.meDateFromTenor(I1021,"1D","FOLLOWING","TGT")</f>
        <v>43962</v>
      </c>
      <c r="J1022" s="95">
        <f ca="1"/>
        <v>8.3477340949379426E-4</v>
      </c>
      <c r="K1022" s="5" t="s">
        <v>4</v>
      </c>
      <c r="L1022" s="97">
        <f ca="1">_xll.meDateFromTenor(L1021,"1D","FOLLOWING","TGT")</f>
        <v>43962</v>
      </c>
      <c r="M1022" s="95">
        <f ca="1"/>
        <v>2.7520968388315427E-3</v>
      </c>
      <c r="N1022" s="5" t="s">
        <v>4</v>
      </c>
      <c r="O1022" s="97">
        <f ca="1">_xll.meDateFromTenor(O1021,"1D","FOLLOWING","TGT")</f>
        <v>43962</v>
      </c>
      <c r="P1022" s="95">
        <f ca="1"/>
        <v>4.7415010534834169E-3</v>
      </c>
      <c r="Q1022" s="5" t="s">
        <v>4</v>
      </c>
      <c r="R1022" s="83" t="s">
        <v>4</v>
      </c>
    </row>
    <row r="1023" spans="1:18" x14ac:dyDescent="0.25">
      <c r="A1023" s="88">
        <v>1009</v>
      </c>
      <c r="B1023" s="82"/>
      <c r="C1023" s="97">
        <f ca="1">_xll.meDateFromTenor(C1022,"1D","FOLLOWING","TGT")</f>
        <v>43963</v>
      </c>
      <c r="D1023" s="95">
        <f ca="1"/>
        <v>-1.4576806373151063E-3</v>
      </c>
      <c r="E1023" s="92"/>
      <c r="F1023" s="97">
        <f ca="1">_xll.meDateFromTenor(F1022,"1D","FOLLOWING","TGT")</f>
        <v>43963</v>
      </c>
      <c r="G1023" s="95">
        <f ca="1"/>
        <v>-3.4574454844522282E-4</v>
      </c>
      <c r="H1023" s="92" t="s">
        <v>4</v>
      </c>
      <c r="I1023" s="97">
        <f ca="1">_xll.meDateFromTenor(I1022,"1D","FOLLOWING","TGT")</f>
        <v>43963</v>
      </c>
      <c r="J1023" s="95">
        <f ca="1"/>
        <v>8.4123664507788952E-4</v>
      </c>
      <c r="K1023" s="5" t="s">
        <v>4</v>
      </c>
      <c r="L1023" s="97">
        <f ca="1">_xll.meDateFromTenor(L1022,"1D","FOLLOWING","TGT")</f>
        <v>43963</v>
      </c>
      <c r="M1023" s="95">
        <f ca="1"/>
        <v>2.7584057886439165E-3</v>
      </c>
      <c r="N1023" s="5" t="s">
        <v>4</v>
      </c>
      <c r="O1023" s="97">
        <f ca="1">_xll.meDateFromTenor(O1022,"1D","FOLLOWING","TGT")</f>
        <v>43963</v>
      </c>
      <c r="P1023" s="95">
        <f ca="1"/>
        <v>4.7477913490444109E-3</v>
      </c>
      <c r="Q1023" s="5" t="s">
        <v>4</v>
      </c>
      <c r="R1023" s="83" t="s">
        <v>4</v>
      </c>
    </row>
    <row r="1024" spans="1:18" x14ac:dyDescent="0.25">
      <c r="A1024" s="88">
        <v>1010</v>
      </c>
      <c r="B1024" s="82"/>
      <c r="C1024" s="97">
        <f ca="1">_xll.meDateFromTenor(C1023,"1D","FOLLOWING","TGT")</f>
        <v>43964</v>
      </c>
      <c r="D1024" s="95">
        <f ca="1"/>
        <v>-1.4504801661439082E-3</v>
      </c>
      <c r="E1024" s="92"/>
      <c r="F1024" s="97">
        <f ca="1">_xll.meDateFromTenor(F1023,"1D","FOLLOWING","TGT")</f>
        <v>43964</v>
      </c>
      <c r="G1024" s="95">
        <f ca="1"/>
        <v>-3.389712769562853E-4</v>
      </c>
      <c r="H1024" s="92" t="s">
        <v>4</v>
      </c>
      <c r="I1024" s="97">
        <f ca="1">_xll.meDateFromTenor(I1023,"1D","FOLLOWING","TGT")</f>
        <v>43964</v>
      </c>
      <c r="J1024" s="95">
        <f ca="1"/>
        <v>8.4770419479405894E-4</v>
      </c>
      <c r="K1024" s="5" t="s">
        <v>4</v>
      </c>
      <c r="L1024" s="97">
        <f ca="1">_xll.meDateFromTenor(L1023,"1D","FOLLOWING","TGT")</f>
        <v>43964</v>
      </c>
      <c r="M1024" s="95">
        <f ca="1"/>
        <v>2.7647184088973715E-3</v>
      </c>
      <c r="N1024" s="5" t="s">
        <v>4</v>
      </c>
      <c r="O1024" s="97">
        <f ca="1">_xll.meDateFromTenor(O1023,"1D","FOLLOWING","TGT")</f>
        <v>43964</v>
      </c>
      <c r="P1024" s="95">
        <f ca="1"/>
        <v>4.7540867670875717E-3</v>
      </c>
      <c r="Q1024" s="5" t="s">
        <v>4</v>
      </c>
      <c r="R1024" s="83" t="s">
        <v>4</v>
      </c>
    </row>
    <row r="1025" spans="1:18" x14ac:dyDescent="0.25">
      <c r="A1025" s="88">
        <v>1011</v>
      </c>
      <c r="B1025" s="82"/>
      <c r="C1025" s="97">
        <f ca="1">_xll.meDateFromTenor(C1024,"1D","FOLLOWING","TGT")</f>
        <v>43965</v>
      </c>
      <c r="D1025" s="95">
        <f ca="1"/>
        <v>-1.4432095511666132E-3</v>
      </c>
      <c r="E1025" s="92"/>
      <c r="F1025" s="97">
        <f ca="1">_xll.meDateFromTenor(F1024,"1D","FOLLOWING","TGT")</f>
        <v>43965</v>
      </c>
      <c r="G1025" s="95">
        <f ca="1"/>
        <v>-3.3217341810281437E-4</v>
      </c>
      <c r="H1025" s="92" t="s">
        <v>4</v>
      </c>
      <c r="I1025" s="97">
        <f ca="1">_xll.meDateFromTenor(I1024,"1D","FOLLOWING","TGT")</f>
        <v>43965</v>
      </c>
      <c r="J1025" s="95">
        <f ca="1"/>
        <v>8.5417596997046505E-4</v>
      </c>
      <c r="K1025" s="5" t="s">
        <v>4</v>
      </c>
      <c r="L1025" s="97">
        <f ca="1">_xll.meDateFromTenor(L1024,"1D","FOLLOWING","TGT")</f>
        <v>43965</v>
      </c>
      <c r="M1025" s="95">
        <f ca="1"/>
        <v>2.7710347174111374E-3</v>
      </c>
      <c r="N1025" s="5" t="s">
        <v>4</v>
      </c>
      <c r="O1025" s="97">
        <f ca="1">_xll.meDateFromTenor(O1024,"1D","FOLLOWING","TGT")</f>
        <v>43965</v>
      </c>
      <c r="P1025" s="95">
        <f ca="1"/>
        <v>4.7603873236437616E-3</v>
      </c>
      <c r="Q1025" s="5" t="s">
        <v>4</v>
      </c>
      <c r="R1025" s="83" t="s">
        <v>4</v>
      </c>
    </row>
    <row r="1026" spans="1:18" x14ac:dyDescent="0.25">
      <c r="A1026" s="88">
        <v>1012</v>
      </c>
      <c r="B1026" s="82"/>
      <c r="C1026" s="97">
        <f ca="1">_xll.meDateFromTenor(C1025,"1D","FOLLOWING","TGT")</f>
        <v>43966</v>
      </c>
      <c r="D1026" s="95">
        <f ca="1"/>
        <v>-1.4358687916562474E-3</v>
      </c>
      <c r="E1026" s="92"/>
      <c r="F1026" s="97">
        <f ca="1">_xll.meDateFromTenor(F1025,"1D","FOLLOWING","TGT")</f>
        <v>43966</v>
      </c>
      <c r="G1026" s="95">
        <f ca="1"/>
        <v>-3.2535177432706398E-4</v>
      </c>
      <c r="H1026" s="92" t="s">
        <v>4</v>
      </c>
      <c r="I1026" s="97">
        <f ca="1">_xll.meDateFromTenor(I1025,"1D","FOLLOWING","TGT")</f>
        <v>43966</v>
      </c>
      <c r="J1026" s="95">
        <f ca="1"/>
        <v>8.6065188193526737E-4</v>
      </c>
      <c r="K1026" s="5" t="s">
        <v>4</v>
      </c>
      <c r="L1026" s="97">
        <f ca="1">_xll.meDateFromTenor(L1025,"1D","FOLLOWING","TGT")</f>
        <v>43966</v>
      </c>
      <c r="M1026" s="95">
        <f ca="1"/>
        <v>2.7773547320044415E-3</v>
      </c>
      <c r="N1026" s="5" t="s">
        <v>4</v>
      </c>
      <c r="O1026" s="97">
        <f ca="1">_xll.meDateFromTenor(O1025,"1D","FOLLOWING","TGT")</f>
        <v>43966</v>
      </c>
      <c r="P1026" s="95">
        <f ca="1"/>
        <v>4.7666930347438361E-3</v>
      </c>
      <c r="Q1026" s="5" t="s">
        <v>4</v>
      </c>
      <c r="R1026" s="83" t="s">
        <v>4</v>
      </c>
    </row>
    <row r="1027" spans="1:18" x14ac:dyDescent="0.25">
      <c r="A1027" s="88">
        <v>1013</v>
      </c>
      <c r="B1027" s="82"/>
      <c r="C1027" s="97">
        <f ca="1">_xll.meDateFromTenor(C1026,"1D","FOLLOWING","TGT")</f>
        <v>43969</v>
      </c>
      <c r="D1027" s="95">
        <f ca="1"/>
        <v>-1.4134256377302812E-3</v>
      </c>
      <c r="E1027" s="92"/>
      <c r="F1027" s="97">
        <f ca="1">_xll.meDateFromTenor(F1026,"1D","FOLLOWING","TGT")</f>
        <v>43969</v>
      </c>
      <c r="G1027" s="95">
        <f ca="1"/>
        <v>-3.0475215788866513E-4</v>
      </c>
      <c r="H1027" s="92" t="s">
        <v>4</v>
      </c>
      <c r="I1027" s="97">
        <f ca="1">_xll.meDateFromTenor(I1026,"1D","FOLLOWING","TGT")</f>
        <v>43969</v>
      </c>
      <c r="J1027" s="95">
        <f ca="1"/>
        <v>8.8010355184165443E-4</v>
      </c>
      <c r="K1027" s="5" t="s">
        <v>4</v>
      </c>
      <c r="L1027" s="97">
        <f ca="1">_xll.meDateFromTenor(L1026,"1D","FOLLOWING","TGT")</f>
        <v>43969</v>
      </c>
      <c r="M1027" s="95">
        <f ca="1"/>
        <v>2.7963371904538604E-3</v>
      </c>
      <c r="N1027" s="5" t="s">
        <v>4</v>
      </c>
      <c r="O1027" s="97">
        <f ca="1">_xll.meDateFromTenor(O1026,"1D","FOLLOWING","TGT")</f>
        <v>43969</v>
      </c>
      <c r="P1027" s="95">
        <f ca="1"/>
        <v>4.7856412556159522E-3</v>
      </c>
      <c r="Q1027" s="5" t="s">
        <v>4</v>
      </c>
      <c r="R1027" s="83" t="s">
        <v>4</v>
      </c>
    </row>
    <row r="1028" spans="1:18" x14ac:dyDescent="0.25">
      <c r="A1028" s="88">
        <v>1014</v>
      </c>
      <c r="B1028" s="82"/>
      <c r="C1028" s="97">
        <f ca="1">_xll.meDateFromTenor(C1027,"1D","FOLLOWING","TGT")</f>
        <v>43970</v>
      </c>
      <c r="D1028" s="95">
        <f ca="1"/>
        <v>-1.4058042914621982E-3</v>
      </c>
      <c r="E1028" s="92"/>
      <c r="F1028" s="97">
        <f ca="1">_xll.meDateFromTenor(F1027,"1D","FOLLOWING","TGT")</f>
        <v>43970</v>
      </c>
      <c r="G1028" s="95">
        <f ca="1"/>
        <v>-2.9784339884632495E-4</v>
      </c>
      <c r="H1028" s="92" t="s">
        <v>4</v>
      </c>
      <c r="I1028" s="97">
        <f ca="1">_xll.meDateFromTenor(I1027,"1D","FOLLOWING","TGT")</f>
        <v>43970</v>
      </c>
      <c r="J1028" s="95">
        <f ca="1"/>
        <v>8.8659512424164573E-4</v>
      </c>
      <c r="K1028" s="5" t="s">
        <v>4</v>
      </c>
      <c r="L1028" s="97">
        <f ca="1">_xll.meDateFromTenor(L1027,"1D","FOLLOWING","TGT")</f>
        <v>43970</v>
      </c>
      <c r="M1028" s="95">
        <f ca="1"/>
        <v>2.8026722075575965E-3</v>
      </c>
      <c r="N1028" s="5" t="s">
        <v>4</v>
      </c>
      <c r="O1028" s="97">
        <f ca="1">_xll.meDateFromTenor(O1027,"1D","FOLLOWING","TGT")</f>
        <v>43970</v>
      </c>
      <c r="P1028" s="95">
        <f ca="1"/>
        <v>4.7919677452001493E-3</v>
      </c>
      <c r="Q1028" s="5" t="s">
        <v>4</v>
      </c>
      <c r="R1028" s="83" t="s">
        <v>4</v>
      </c>
    </row>
    <row r="1029" spans="1:18" x14ac:dyDescent="0.25">
      <c r="A1029" s="88">
        <v>1015</v>
      </c>
      <c r="B1029" s="82"/>
      <c r="C1029" s="97">
        <f ca="1">_xll.meDateFromTenor(C1028,"1D","FOLLOWING","TGT")</f>
        <v>43971</v>
      </c>
      <c r="D1029" s="95">
        <f ca="1"/>
        <v>-1.3981127961150142E-3</v>
      </c>
      <c r="E1029" s="92"/>
      <c r="F1029" s="97">
        <f ca="1">_xll.meDateFromTenor(F1028,"1D","FOLLOWING","TGT")</f>
        <v>43971</v>
      </c>
      <c r="G1029" s="95">
        <f ca="1"/>
        <v>-2.9091486709296939E-4</v>
      </c>
      <c r="H1029" s="92" t="s">
        <v>4</v>
      </c>
      <c r="I1029" s="97">
        <f ca="1">_xll.meDateFromTenor(I1028,"1D","FOLLOWING","TGT")</f>
        <v>43971</v>
      </c>
      <c r="J1029" s="95">
        <f ca="1"/>
        <v>8.9309039007083515E-4</v>
      </c>
      <c r="K1029" s="5" t="s">
        <v>4</v>
      </c>
      <c r="L1029" s="97">
        <f ca="1">_xll.meDateFromTenor(L1028,"1D","FOLLOWING","TGT")</f>
        <v>43971</v>
      </c>
      <c r="M1029" s="95">
        <f ca="1"/>
        <v>2.8090110198370111E-3</v>
      </c>
      <c r="N1029" s="5" t="s">
        <v>4</v>
      </c>
      <c r="O1029" s="97">
        <f ca="1">_xll.meDateFromTenor(O1028,"1D","FOLLOWING","TGT")</f>
        <v>43971</v>
      </c>
      <c r="P1029" s="95">
        <f ca="1"/>
        <v>4.7982994694825247E-3</v>
      </c>
      <c r="Q1029" s="5" t="s">
        <v>4</v>
      </c>
      <c r="R1029" s="83" t="s">
        <v>4</v>
      </c>
    </row>
    <row r="1030" spans="1:18" x14ac:dyDescent="0.25">
      <c r="A1030" s="88">
        <v>1016</v>
      </c>
      <c r="B1030" s="82"/>
      <c r="C1030" s="97">
        <f ca="1">_xll.meDateFromTenor(C1029,"1D","FOLLOWING","TGT")</f>
        <v>43972</v>
      </c>
      <c r="D1030" s="95">
        <f ca="1"/>
        <v>-1.39035115039432E-3</v>
      </c>
      <c r="E1030" s="92"/>
      <c r="F1030" s="97">
        <f ca="1">_xll.meDateFromTenor(F1029,"1D","FOLLOWING","TGT")</f>
        <v>43972</v>
      </c>
      <c r="G1030" s="95">
        <f ca="1"/>
        <v>-2.8396736507085228E-4</v>
      </c>
      <c r="H1030" s="92" t="s">
        <v>4</v>
      </c>
      <c r="I1030" s="97">
        <f ca="1">_xll.meDateFromTenor(I1029,"1D","FOLLOWING","TGT")</f>
        <v>43972</v>
      </c>
      <c r="J1030" s="95">
        <f ca="1"/>
        <v>8.9958926065738251E-4</v>
      </c>
      <c r="K1030" s="5" t="s">
        <v>4</v>
      </c>
      <c r="L1030" s="97">
        <f ca="1">_xll.meDateFromTenor(L1029,"1D","FOLLOWING","TGT")</f>
        <v>43972</v>
      </c>
      <c r="M1030" s="95">
        <f ca="1"/>
        <v>2.8153536451113298E-3</v>
      </c>
      <c r="N1030" s="5" t="s">
        <v>4</v>
      </c>
      <c r="O1030" s="97">
        <f ca="1">_xll.meDateFromTenor(O1029,"1D","FOLLOWING","TGT")</f>
        <v>43972</v>
      </c>
      <c r="P1030" s="95">
        <f ca="1"/>
        <v>4.8046364444939323E-3</v>
      </c>
      <c r="Q1030" s="5" t="s">
        <v>4</v>
      </c>
      <c r="R1030" s="83" t="s">
        <v>4</v>
      </c>
    </row>
    <row r="1031" spans="1:18" x14ac:dyDescent="0.25">
      <c r="A1031" s="88">
        <v>1017</v>
      </c>
      <c r="B1031" s="82"/>
      <c r="C1031" s="97">
        <f ca="1">_xll.meDateFromTenor(C1030,"1D","FOLLOWING","TGT")</f>
        <v>43973</v>
      </c>
      <c r="D1031" s="95">
        <f ca="1"/>
        <v>-1.3825193537457814E-3</v>
      </c>
      <c r="E1031" s="92"/>
      <c r="F1031" s="97">
        <f ca="1">_xll.meDateFromTenor(F1030,"1D","FOLLOWING","TGT")</f>
        <v>43973</v>
      </c>
      <c r="G1031" s="95">
        <f ca="1"/>
        <v>-2.7700169522222433E-4</v>
      </c>
      <c r="H1031" s="92" t="s">
        <v>4</v>
      </c>
      <c r="I1031" s="97">
        <f ca="1">_xll.meDateFromTenor(I1030,"1D","FOLLOWING","TGT")</f>
        <v>43973</v>
      </c>
      <c r="J1031" s="95">
        <f ca="1"/>
        <v>9.0609164732945006E-4</v>
      </c>
      <c r="K1031" s="5" t="s">
        <v>4</v>
      </c>
      <c r="L1031" s="97">
        <f ca="1">_xll.meDateFromTenor(L1030,"1D","FOLLOWING","TGT")</f>
        <v>43973</v>
      </c>
      <c r="M1031" s="95">
        <f ca="1"/>
        <v>2.8217001011997837E-3</v>
      </c>
      <c r="N1031" s="5" t="s">
        <v>4</v>
      </c>
      <c r="O1031" s="97">
        <f ca="1">_xll.meDateFromTenor(O1030,"1D","FOLLOWING","TGT")</f>
        <v>43973</v>
      </c>
      <c r="P1031" s="95">
        <f ca="1"/>
        <v>4.8109786862652361E-3</v>
      </c>
      <c r="Q1031" s="5" t="s">
        <v>4</v>
      </c>
      <c r="R1031" s="83" t="s">
        <v>4</v>
      </c>
    </row>
    <row r="1032" spans="1:18" x14ac:dyDescent="0.25">
      <c r="A1032" s="88">
        <v>1018</v>
      </c>
      <c r="B1032" s="82"/>
      <c r="C1032" s="97">
        <f ca="1">_xll.meDateFromTenor(C1031,"1D","FOLLOWING","TGT")</f>
        <v>43976</v>
      </c>
      <c r="D1032" s="95">
        <f ca="1"/>
        <v>-1.3586030451891995E-3</v>
      </c>
      <c r="E1032" s="92"/>
      <c r="F1032" s="97">
        <f ca="1">_xll.meDateFromTenor(F1031,"1D","FOLLOWING","TGT")</f>
        <v>43976</v>
      </c>
      <c r="G1032" s="95">
        <f ca="1"/>
        <v>-2.5600370313980998E-4</v>
      </c>
      <c r="H1032" s="92" t="s">
        <v>4</v>
      </c>
      <c r="I1032" s="97">
        <f ca="1">_xll.meDateFromTenor(I1031,"1D","FOLLOWING","TGT")</f>
        <v>43976</v>
      </c>
      <c r="J1032" s="95">
        <f ca="1"/>
        <v>9.2561901714037205E-4</v>
      </c>
      <c r="K1032" s="5" t="s">
        <v>4</v>
      </c>
      <c r="L1032" s="97">
        <f ca="1">_xll.meDateFromTenor(L1031,"1D","FOLLOWING","TGT")</f>
        <v>43976</v>
      </c>
      <c r="M1032" s="95">
        <f ca="1"/>
        <v>2.8407626325422297E-3</v>
      </c>
      <c r="N1032" s="5" t="s">
        <v>4</v>
      </c>
      <c r="O1032" s="97">
        <f ca="1">_xll.meDateFromTenor(O1031,"1D","FOLLOWING","TGT")</f>
        <v>43976</v>
      </c>
      <c r="P1032" s="95">
        <f ca="1"/>
        <v>4.8300371724470884E-3</v>
      </c>
      <c r="Q1032" s="5" t="s">
        <v>4</v>
      </c>
      <c r="R1032" s="83" t="s">
        <v>4</v>
      </c>
    </row>
    <row r="1033" spans="1:18" x14ac:dyDescent="0.25">
      <c r="A1033" s="88">
        <v>1019</v>
      </c>
      <c r="B1033" s="82"/>
      <c r="C1033" s="97">
        <f ca="1">_xll.meDateFromTenor(C1032,"1D","FOLLOWING","TGT")</f>
        <v>43977</v>
      </c>
      <c r="D1033" s="95">
        <f ca="1"/>
        <v>-1.3504906324663946E-3</v>
      </c>
      <c r="E1033" s="92"/>
      <c r="F1033" s="97">
        <f ca="1">_xll.meDateFromTenor(F1032,"1D","FOLLOWING","TGT")</f>
        <v>43977</v>
      </c>
      <c r="G1033" s="95">
        <f ca="1"/>
        <v>-2.4897338640767218E-4</v>
      </c>
      <c r="H1033" s="92" t="s">
        <v>4</v>
      </c>
      <c r="I1033" s="97">
        <f ca="1">_xll.meDateFromTenor(I1032,"1D","FOLLOWING","TGT")</f>
        <v>43977</v>
      </c>
      <c r="J1033" s="95">
        <f ca="1"/>
        <v>9.3213458143611967E-4</v>
      </c>
      <c r="K1033" s="5" t="s">
        <v>4</v>
      </c>
      <c r="L1033" s="97">
        <f ca="1">_xll.meDateFromTenor(L1032,"1D","FOLLOWING","TGT")</f>
        <v>43977</v>
      </c>
      <c r="M1033" s="95">
        <f ca="1"/>
        <v>2.8471245900794986E-3</v>
      </c>
      <c r="N1033" s="5" t="s">
        <v>4</v>
      </c>
      <c r="O1033" s="97">
        <f ca="1">_xll.meDateFromTenor(O1032,"1D","FOLLOWING","TGT")</f>
        <v>43977</v>
      </c>
      <c r="P1033" s="95">
        <f ca="1"/>
        <v>4.8364006415665467E-3</v>
      </c>
      <c r="Q1033" s="5" t="s">
        <v>4</v>
      </c>
      <c r="R1033" s="83" t="s">
        <v>4</v>
      </c>
    </row>
    <row r="1034" spans="1:18" x14ac:dyDescent="0.25">
      <c r="A1034" s="88">
        <v>1020</v>
      </c>
      <c r="B1034" s="82"/>
      <c r="C1034" s="97">
        <f ca="1">_xll.meDateFromTenor(C1033,"1D","FOLLOWING","TGT")</f>
        <v>43978</v>
      </c>
      <c r="D1034" s="95">
        <f ca="1"/>
        <v>-1.3423080630396989E-3</v>
      </c>
      <c r="E1034" s="92"/>
      <c r="F1034" s="97">
        <f ca="1">_xll.meDateFromTenor(F1033,"1D","FOLLOWING","TGT")</f>
        <v>43978</v>
      </c>
      <c r="G1034" s="95">
        <f ca="1"/>
        <v>-2.4192891406028756E-4</v>
      </c>
      <c r="H1034" s="92" t="s">
        <v>4</v>
      </c>
      <c r="I1034" s="97">
        <f ca="1">_xll.meDateFromTenor(I1033,"1D","FOLLOWING","TGT")</f>
        <v>43978</v>
      </c>
      <c r="J1034" s="95">
        <f ca="1"/>
        <v>9.3865321845818959E-4</v>
      </c>
      <c r="K1034" s="5" t="s">
        <v>4</v>
      </c>
      <c r="L1034" s="97">
        <f ca="1">_xll.meDateFromTenor(L1033,"1D","FOLLOWING","TGT")</f>
        <v>43978</v>
      </c>
      <c r="M1034" s="95">
        <f ca="1"/>
        <v>2.8534904675270424E-3</v>
      </c>
      <c r="N1034" s="5" t="s">
        <v>4</v>
      </c>
      <c r="O1034" s="97">
        <f ca="1">_xll.meDateFromTenor(O1033,"1D","FOLLOWING","TGT")</f>
        <v>43978</v>
      </c>
      <c r="P1034" s="95">
        <f ca="1"/>
        <v>4.8427694576001915E-3</v>
      </c>
      <c r="Q1034" s="5" t="s">
        <v>4</v>
      </c>
      <c r="R1034" s="83" t="s">
        <v>4</v>
      </c>
    </row>
    <row r="1035" spans="1:18" x14ac:dyDescent="0.25">
      <c r="A1035" s="88">
        <v>1021</v>
      </c>
      <c r="B1035" s="82"/>
      <c r="C1035" s="97">
        <f ca="1">_xll.meDateFromTenor(C1034,"1D","FOLLOWING","TGT")</f>
        <v>43979</v>
      </c>
      <c r="D1035" s="95">
        <f ca="1"/>
        <v>-1.3340553352285678E-3</v>
      </c>
      <c r="E1035" s="92"/>
      <c r="F1035" s="97">
        <f ca="1">_xll.meDateFromTenor(F1034,"1D","FOLLOWING","TGT")</f>
        <v>43979</v>
      </c>
      <c r="G1035" s="95">
        <f ca="1"/>
        <v>-2.3487108853991007E-4</v>
      </c>
      <c r="H1035" s="92" t="s">
        <v>4</v>
      </c>
      <c r="I1035" s="97">
        <f ca="1">_xll.meDateFromTenor(I1034,"1D","FOLLOWING","TGT")</f>
        <v>43979</v>
      </c>
      <c r="J1035" s="95">
        <f ca="1"/>
        <v>9.4517483953474133E-4</v>
      </c>
      <c r="K1035" s="5" t="s">
        <v>4</v>
      </c>
      <c r="L1035" s="97">
        <f ca="1">_xll.meDateFromTenor(L1034,"1D","FOLLOWING","TGT")</f>
        <v>43979</v>
      </c>
      <c r="M1035" s="95">
        <f ca="1"/>
        <v>2.8598602827040885E-3</v>
      </c>
      <c r="N1035" s="5" t="s">
        <v>4</v>
      </c>
      <c r="O1035" s="97">
        <f ca="1">_xll.meDateFromTenor(O1034,"1D","FOLLOWING","TGT")</f>
        <v>43979</v>
      </c>
      <c r="P1035" s="95">
        <f ca="1"/>
        <v>4.8491436365788801E-3</v>
      </c>
      <c r="Q1035" s="5" t="s">
        <v>4</v>
      </c>
      <c r="R1035" s="83" t="s">
        <v>4</v>
      </c>
    </row>
    <row r="1036" spans="1:18" x14ac:dyDescent="0.25">
      <c r="A1036" s="88">
        <v>1022</v>
      </c>
      <c r="B1036" s="82"/>
      <c r="C1036" s="97">
        <f ca="1">_xll.meDateFromTenor(C1035,"1D","FOLLOWING","TGT")</f>
        <v>43980</v>
      </c>
      <c r="D1036" s="95">
        <f ca="1"/>
        <v>-1.3257324481794619E-3</v>
      </c>
      <c r="E1036" s="92"/>
      <c r="F1036" s="97">
        <f ca="1">_xll.meDateFromTenor(F1035,"1D","FOLLOWING","TGT")</f>
        <v>43980</v>
      </c>
      <c r="G1036" s="95">
        <f ca="1"/>
        <v>-2.278007122887936E-4</v>
      </c>
      <c r="H1036" s="92" t="s">
        <v>4</v>
      </c>
      <c r="I1036" s="97">
        <f ca="1">_xll.meDateFromTenor(I1035,"1D","FOLLOWING","TGT")</f>
        <v>43980</v>
      </c>
      <c r="J1036" s="95">
        <f ca="1"/>
        <v>9.516993559939345E-4</v>
      </c>
      <c r="K1036" s="5" t="s">
        <v>4</v>
      </c>
      <c r="L1036" s="97">
        <f ca="1">_xll.meDateFromTenor(L1035,"1D","FOLLOWING","TGT")</f>
        <v>43980</v>
      </c>
      <c r="M1036" s="95">
        <f ca="1"/>
        <v>2.866234053429863E-3</v>
      </c>
      <c r="N1036" s="5" t="s">
        <v>4</v>
      </c>
      <c r="O1036" s="97">
        <f ca="1">_xll.meDateFromTenor(O1035,"1D","FOLLOWING","TGT")</f>
        <v>43980</v>
      </c>
      <c r="P1036" s="95">
        <f ca="1"/>
        <v>4.8555231945334697E-3</v>
      </c>
      <c r="Q1036" s="5" t="s">
        <v>4</v>
      </c>
      <c r="R1036" s="83" t="s">
        <v>4</v>
      </c>
    </row>
    <row r="1037" spans="1:18" x14ac:dyDescent="0.25">
      <c r="A1037" s="88">
        <v>1023</v>
      </c>
      <c r="B1037" s="82"/>
      <c r="C1037" s="97">
        <f ca="1">_xll.meDateFromTenor(C1036,"1D","FOLLOWING","TGT")</f>
        <v>43983</v>
      </c>
      <c r="D1037" s="95">
        <f ca="1"/>
        <v>-1.3003428174355181E-3</v>
      </c>
      <c r="E1037" s="92"/>
      <c r="F1037" s="97">
        <f ca="1">_xll.meDateFromTenor(F1036,"1D","FOLLOWING","TGT")</f>
        <v>43983</v>
      </c>
      <c r="G1037" s="95">
        <f ca="1"/>
        <v>-2.0652230357352968E-4</v>
      </c>
      <c r="H1037" s="92" t="s">
        <v>4</v>
      </c>
      <c r="I1037" s="97">
        <f ca="1">_xll.meDateFromTenor(I1036,"1D","FOLLOWING","TGT")</f>
        <v>43983</v>
      </c>
      <c r="J1037" s="95">
        <f ca="1"/>
        <v>9.7128939094897335E-4</v>
      </c>
      <c r="K1037" s="5" t="s">
        <v>4</v>
      </c>
      <c r="L1037" s="97">
        <f ca="1">_xll.meDateFromTenor(L1036,"1D","FOLLOWING","TGT")</f>
        <v>43983</v>
      </c>
      <c r="M1037" s="95">
        <f ca="1"/>
        <v>2.8853792770918486E-3</v>
      </c>
      <c r="N1037" s="5" t="s">
        <v>4</v>
      </c>
      <c r="O1037" s="97">
        <f ca="1">_xll.meDateFromTenor(O1036,"1D","FOLLOWING","TGT")</f>
        <v>43983</v>
      </c>
      <c r="P1037" s="95">
        <f ca="1"/>
        <v>4.8746943025612319E-3</v>
      </c>
      <c r="Q1037" s="5" t="s">
        <v>4</v>
      </c>
      <c r="R1037" s="83" t="s">
        <v>4</v>
      </c>
    </row>
    <row r="1038" spans="1:18" x14ac:dyDescent="0.25">
      <c r="A1038" s="88">
        <v>1024</v>
      </c>
      <c r="B1038" s="82"/>
      <c r="C1038" s="97">
        <f ca="1">_xll.meDateFromTenor(C1037,"1D","FOLLOWING","TGT")</f>
        <v>43984</v>
      </c>
      <c r="D1038" s="95">
        <f ca="1"/>
        <v>-1.2917519475887929E-3</v>
      </c>
      <c r="E1038" s="92"/>
      <c r="F1038" s="97">
        <f ca="1">_xll.meDateFromTenor(F1037,"1D","FOLLOWING","TGT")</f>
        <v>43984</v>
      </c>
      <c r="G1038" s="95">
        <f ca="1"/>
        <v>-1.9940974882197874E-4</v>
      </c>
      <c r="H1038" s="92" t="s">
        <v>4</v>
      </c>
      <c r="I1038" s="97">
        <f ca="1">_xll.meDateFromTenor(I1037,"1D","FOLLOWING","TGT")</f>
        <v>43984</v>
      </c>
      <c r="J1038" s="95">
        <f ca="1"/>
        <v>9.7782460222034192E-4</v>
      </c>
      <c r="K1038" s="5" t="s">
        <v>4</v>
      </c>
      <c r="L1038" s="97">
        <f ca="1">_xll.meDateFromTenor(L1037,"1D","FOLLOWING","TGT")</f>
        <v>43984</v>
      </c>
      <c r="M1038" s="95">
        <f ca="1"/>
        <v>2.8917690482048253E-3</v>
      </c>
      <c r="N1038" s="5" t="s">
        <v>4</v>
      </c>
      <c r="O1038" s="97">
        <f ca="1">_xll.meDateFromTenor(O1037,"1D","FOLLOWING","TGT")</f>
        <v>43984</v>
      </c>
      <c r="P1038" s="95">
        <f ca="1"/>
        <v>4.8810955367280121E-3</v>
      </c>
      <c r="Q1038" s="5" t="s">
        <v>4</v>
      </c>
      <c r="R1038" s="83" t="s">
        <v>4</v>
      </c>
    </row>
    <row r="1039" spans="1:18" x14ac:dyDescent="0.25">
      <c r="A1039" s="88">
        <v>1025</v>
      </c>
      <c r="B1039" s="82"/>
      <c r="C1039" s="97">
        <f ca="1">_xll.meDateFromTenor(C1038,"1D","FOLLOWING","TGT")</f>
        <v>43985</v>
      </c>
      <c r="D1039" s="95">
        <f ca="1"/>
        <v>-1.2831542521060113E-3</v>
      </c>
      <c r="E1039" s="92"/>
      <c r="F1039" s="97">
        <f ca="1">_xll.meDateFromTenor(F1038,"1D","FOLLOWING","TGT")</f>
        <v>43985</v>
      </c>
      <c r="G1039" s="95">
        <f ca="1"/>
        <v>-1.9228870837120502E-4</v>
      </c>
      <c r="H1039" s="92" t="s">
        <v>4</v>
      </c>
      <c r="I1039" s="97">
        <f ca="1">_xll.meDateFromTenor(I1038,"1D","FOLLOWING","TGT")</f>
        <v>43985</v>
      </c>
      <c r="J1039" s="95">
        <f ca="1"/>
        <v>9.8436228200873854E-4</v>
      </c>
      <c r="K1039" s="5" t="s">
        <v>4</v>
      </c>
      <c r="L1039" s="97">
        <f ca="1">_xll.meDateFromTenor(L1038,"1D","FOLLOWING","TGT")</f>
        <v>43985</v>
      </c>
      <c r="M1039" s="95">
        <f ca="1"/>
        <v>2.8981622808772309E-3</v>
      </c>
      <c r="N1039" s="5" t="s">
        <v>4</v>
      </c>
      <c r="O1039" s="97">
        <f ca="1">_xll.meDateFromTenor(O1038,"1D","FOLLOWING","TGT")</f>
        <v>43985</v>
      </c>
      <c r="P1039" s="95">
        <f ca="1"/>
        <v>4.8875022248507484E-3</v>
      </c>
      <c r="Q1039" s="5" t="s">
        <v>4</v>
      </c>
      <c r="R1039" s="83" t="s">
        <v>4</v>
      </c>
    </row>
    <row r="1040" spans="1:18" x14ac:dyDescent="0.25">
      <c r="A1040" s="88">
        <v>1026</v>
      </c>
      <c r="B1040" s="82"/>
      <c r="C1040" s="97">
        <f ca="1">_xll.meDateFromTenor(C1039,"1D","FOLLOWING","TGT")</f>
        <v>43986</v>
      </c>
      <c r="D1040" s="95">
        <f ca="1"/>
        <v>-1.2745623985072063E-3</v>
      </c>
      <c r="E1040" s="92"/>
      <c r="F1040" s="97">
        <f ca="1">_xll.meDateFromTenor(F1039,"1D","FOLLOWING","TGT")</f>
        <v>43986</v>
      </c>
      <c r="G1040" s="95">
        <f ca="1"/>
        <v>-1.85160248764711E-4</v>
      </c>
      <c r="H1040" s="92" t="s">
        <v>4</v>
      </c>
      <c r="I1040" s="97">
        <f ca="1">_xll.meDateFromTenor(I1039,"1D","FOLLOWING","TGT")</f>
        <v>43986</v>
      </c>
      <c r="J1040" s="95">
        <f ca="1"/>
        <v>9.9090242411025635E-4</v>
      </c>
      <c r="K1040" s="5" t="s">
        <v>4</v>
      </c>
      <c r="L1040" s="97">
        <f ca="1">_xll.meDateFromTenor(L1039,"1D","FOLLOWING","TGT")</f>
        <v>43986</v>
      </c>
      <c r="M1040" s="95">
        <f ca="1"/>
        <v>2.9045583987632223E-3</v>
      </c>
      <c r="N1040" s="5" t="s">
        <v>4</v>
      </c>
      <c r="O1040" s="97">
        <f ca="1">_xll.meDateFromTenor(O1039,"1D","FOLLOWING","TGT")</f>
        <v>43986</v>
      </c>
      <c r="P1040" s="95">
        <f ca="1"/>
        <v>4.8939143570891188E-3</v>
      </c>
      <c r="Q1040" s="5" t="s">
        <v>4</v>
      </c>
      <c r="R1040" s="83" t="s">
        <v>4</v>
      </c>
    </row>
    <row r="1041" spans="1:18" x14ac:dyDescent="0.25">
      <c r="A1041" s="88">
        <v>1027</v>
      </c>
      <c r="B1041" s="82"/>
      <c r="C1041" s="97">
        <f ca="1">_xll.meDateFromTenor(C1040,"1D","FOLLOWING","TGT")</f>
        <v>43987</v>
      </c>
      <c r="D1041" s="95">
        <f ca="1"/>
        <v>-1.2659763863432927E-3</v>
      </c>
      <c r="E1041" s="92"/>
      <c r="F1041" s="97">
        <f ca="1">_xll.meDateFromTenor(F1040,"1D","FOLLOWING","TGT")</f>
        <v>43987</v>
      </c>
      <c r="G1041" s="95">
        <f ca="1"/>
        <v>-1.7802548936625949E-4</v>
      </c>
      <c r="H1041" s="92" t="s">
        <v>4</v>
      </c>
      <c r="I1041" s="97">
        <f ca="1">_xll.meDateFromTenor(I1040,"1D","FOLLOWING","TGT")</f>
        <v>43987</v>
      </c>
      <c r="J1041" s="95">
        <f ca="1"/>
        <v>9.9744503881456616E-4</v>
      </c>
      <c r="K1041" s="5" t="s">
        <v>4</v>
      </c>
      <c r="L1041" s="97">
        <f ca="1">_xll.meDateFromTenor(L1040,"1D","FOLLOWING","TGT")</f>
        <v>43987</v>
      </c>
      <c r="M1041" s="95">
        <f ca="1"/>
        <v>2.9109574030625703E-3</v>
      </c>
      <c r="N1041" s="5" t="s">
        <v>4</v>
      </c>
      <c r="O1041" s="97">
        <f ca="1">_xll.meDateFromTenor(O1040,"1D","FOLLOWING","TGT")</f>
        <v>43987</v>
      </c>
      <c r="P1041" s="95">
        <f ca="1"/>
        <v>4.900331918428558E-3</v>
      </c>
      <c r="Q1041" s="5" t="s">
        <v>4</v>
      </c>
      <c r="R1041" s="83" t="s">
        <v>4</v>
      </c>
    </row>
    <row r="1042" spans="1:18" x14ac:dyDescent="0.25">
      <c r="A1042" s="88">
        <v>1028</v>
      </c>
      <c r="B1042" s="82"/>
      <c r="C1042" s="97">
        <f ca="1">_xll.meDateFromTenor(C1041,"1D","FOLLOWING","TGT")</f>
        <v>43990</v>
      </c>
      <c r="D1042" s="95">
        <f ca="1"/>
        <v>-1.2402533926779702E-3</v>
      </c>
      <c r="E1042" s="92"/>
      <c r="F1042" s="97">
        <f ca="1">_xll.meDateFromTenor(F1041,"1D","FOLLOWING","TGT")</f>
        <v>43990</v>
      </c>
      <c r="G1042" s="95">
        <f ca="1"/>
        <v>-1.5659460605672415E-4</v>
      </c>
      <c r="H1042" s="92" t="s">
        <v>4</v>
      </c>
      <c r="I1042" s="97">
        <f ca="1">_xll.meDateFromTenor(I1041,"1D","FOLLOWING","TGT")</f>
        <v>43990</v>
      </c>
      <c r="J1042" s="95">
        <f ca="1"/>
        <v>1.0170878214410088E-3</v>
      </c>
      <c r="K1042" s="5" t="s">
        <v>4</v>
      </c>
      <c r="L1042" s="97">
        <f ca="1">_xll.meDateFromTenor(L1041,"1D","FOLLOWING","TGT")</f>
        <v>43990</v>
      </c>
      <c r="M1042" s="95">
        <f ca="1"/>
        <v>2.9301717464385083E-3</v>
      </c>
      <c r="N1042" s="5" t="s">
        <v>4</v>
      </c>
      <c r="O1042" s="97">
        <f ca="1">_xll.meDateFromTenor(O1041,"1D","FOLLOWING","TGT")</f>
        <v>43990</v>
      </c>
      <c r="P1042" s="95">
        <f ca="1"/>
        <v>4.9196170269077003E-3</v>
      </c>
      <c r="Q1042" s="5" t="s">
        <v>4</v>
      </c>
      <c r="R1042" s="83" t="s">
        <v>4</v>
      </c>
    </row>
    <row r="1043" spans="1:18" x14ac:dyDescent="0.25">
      <c r="A1043" s="88">
        <v>1029</v>
      </c>
      <c r="B1043" s="82"/>
      <c r="C1043" s="97">
        <f ca="1">_xll.meDateFromTenor(C1042,"1D","FOLLOWING","TGT")</f>
        <v>43991</v>
      </c>
      <c r="D1043" s="95">
        <f ca="1"/>
        <v>-1.2316907405860444E-3</v>
      </c>
      <c r="E1043" s="92"/>
      <c r="F1043" s="97">
        <f ca="1">_xll.meDateFromTenor(F1042,"1D","FOLLOWING","TGT")</f>
        <v>43991</v>
      </c>
      <c r="G1043" s="95">
        <f ca="1"/>
        <v>-1.4944584112801387E-4</v>
      </c>
      <c r="H1043" s="92" t="s">
        <v>4</v>
      </c>
      <c r="I1043" s="97">
        <f ca="1">_xll.meDateFromTenor(I1042,"1D","FOLLOWING","TGT")</f>
        <v>43991</v>
      </c>
      <c r="J1043" s="95">
        <f ca="1"/>
        <v>1.0236404294532424E-3</v>
      </c>
      <c r="K1043" s="5" t="s">
        <v>4</v>
      </c>
      <c r="L1043" s="97">
        <f ca="1">_xll.meDateFromTenor(L1042,"1D","FOLLOWING","TGT")</f>
        <v>43991</v>
      </c>
      <c r="M1043" s="95">
        <f ca="1"/>
        <v>2.9365823083890318E-3</v>
      </c>
      <c r="N1043" s="5" t="s">
        <v>4</v>
      </c>
      <c r="O1043" s="97">
        <f ca="1">_xll.meDateFromTenor(O1042,"1D","FOLLOWING","TGT")</f>
        <v>43991</v>
      </c>
      <c r="P1043" s="95">
        <f ca="1"/>
        <v>4.926056154505816E-3</v>
      </c>
      <c r="Q1043" s="5" t="s">
        <v>4</v>
      </c>
      <c r="R1043" s="83" t="s">
        <v>4</v>
      </c>
    </row>
    <row r="1044" spans="1:18" x14ac:dyDescent="0.25">
      <c r="A1044" s="88">
        <v>1030</v>
      </c>
      <c r="B1044" s="82"/>
      <c r="C1044" s="97">
        <f ca="1">_xll.meDateFromTenor(C1043,"1D","FOLLOWING","TGT")</f>
        <v>43992</v>
      </c>
      <c r="D1044" s="95">
        <f ca="1"/>
        <v>-1.2231339272141817E-3</v>
      </c>
      <c r="E1044" s="92"/>
      <c r="F1044" s="97">
        <f ca="1">_xll.meDateFromTenor(F1043,"1D","FOLLOWING","TGT")</f>
        <v>43992</v>
      </c>
      <c r="G1044" s="95">
        <f ca="1"/>
        <v>-1.4229637322613181E-4</v>
      </c>
      <c r="H1044" s="92" t="s">
        <v>4</v>
      </c>
      <c r="I1044" s="97">
        <f ca="1">_xll.meDateFromTenor(I1043,"1D","FOLLOWING","TGT")</f>
        <v>43992</v>
      </c>
      <c r="J1044" s="95">
        <f ca="1"/>
        <v>1.0301955615166459E-3</v>
      </c>
      <c r="K1044" s="5" t="s">
        <v>4</v>
      </c>
      <c r="L1044" s="97">
        <f ca="1">_xll.meDateFromTenor(L1043,"1D","FOLLOWING","TGT")</f>
        <v>43992</v>
      </c>
      <c r="M1044" s="95">
        <f ca="1"/>
        <v>2.942995762751787E-3</v>
      </c>
      <c r="N1044" s="5" t="s">
        <v>4</v>
      </c>
      <c r="O1044" s="97">
        <f ca="1">_xll.meDateFromTenor(O1043,"1D","FOLLOWING","TGT")</f>
        <v>43992</v>
      </c>
      <c r="P1044" s="95">
        <f ca="1"/>
        <v>4.9325006361322019E-3</v>
      </c>
      <c r="Q1044" s="5" t="s">
        <v>4</v>
      </c>
      <c r="R1044" s="83" t="s">
        <v>4</v>
      </c>
    </row>
    <row r="1045" spans="1:18" x14ac:dyDescent="0.25">
      <c r="A1045" s="88">
        <v>1031</v>
      </c>
      <c r="B1045" s="82"/>
      <c r="C1045" s="97">
        <f ca="1">_xll.meDateFromTenor(C1044,"1D","FOLLOWING","TGT")</f>
        <v>43993</v>
      </c>
      <c r="D1045" s="95">
        <f ca="1"/>
        <v>-1.2145829518334095E-3</v>
      </c>
      <c r="E1045" s="92"/>
      <c r="F1045" s="97">
        <f ca="1">_xll.meDateFromTenor(F1044,"1D","FOLLOWING","TGT")</f>
        <v>43993</v>
      </c>
      <c r="G1045" s="95">
        <f ca="1"/>
        <v>-1.3514732171484063E-4</v>
      </c>
      <c r="H1045" s="92" t="s">
        <v>4</v>
      </c>
      <c r="I1045" s="97">
        <f ca="1">_xll.meDateFromTenor(I1044,"1D","FOLLOWING","TGT")</f>
        <v>43993</v>
      </c>
      <c r="J1045" s="95">
        <f ca="1"/>
        <v>1.0367532279208899E-3</v>
      </c>
      <c r="K1045" s="5" t="s">
        <v>4</v>
      </c>
      <c r="L1045" s="97">
        <f ca="1">_xll.meDateFromTenor(L1044,"1D","FOLLOWING","TGT")</f>
        <v>43993</v>
      </c>
      <c r="M1045" s="95">
        <f ca="1"/>
        <v>2.9494121107265436E-3</v>
      </c>
      <c r="N1045" s="5" t="s">
        <v>4</v>
      </c>
      <c r="O1045" s="97">
        <f ca="1">_xll.meDateFromTenor(O1044,"1D","FOLLOWING","TGT")</f>
        <v>43993</v>
      </c>
      <c r="P1045" s="95">
        <f ca="1"/>
        <v>4.9389504567722911E-3</v>
      </c>
      <c r="Q1045" s="5" t="s">
        <v>4</v>
      </c>
      <c r="R1045" s="83" t="s">
        <v>4</v>
      </c>
    </row>
    <row r="1046" spans="1:18" x14ac:dyDescent="0.25">
      <c r="A1046" s="88">
        <v>1032</v>
      </c>
      <c r="B1046" s="82"/>
      <c r="C1046" s="97">
        <f ca="1">_xll.meDateFromTenor(C1045,"1D","FOLLOWING","TGT")</f>
        <v>43994</v>
      </c>
      <c r="D1046" s="95">
        <f ca="1"/>
        <v>-1.2060378140772432E-3</v>
      </c>
      <c r="E1046" s="92"/>
      <c r="F1046" s="97">
        <f ca="1">_xll.meDateFromTenor(F1045,"1D","FOLLOWING","TGT")</f>
        <v>43994</v>
      </c>
      <c r="G1046" s="95">
        <f ca="1"/>
        <v>-1.2799980595789608E-4</v>
      </c>
      <c r="H1046" s="92" t="s">
        <v>4</v>
      </c>
      <c r="I1046" s="97">
        <f ca="1">_xll.meDateFromTenor(I1045,"1D","FOLLOWING","TGT")</f>
        <v>43994</v>
      </c>
      <c r="J1046" s="95">
        <f ca="1"/>
        <v>1.0433134389556513E-3</v>
      </c>
      <c r="K1046" s="5" t="s">
        <v>4</v>
      </c>
      <c r="L1046" s="97">
        <f ca="1">_xll.meDateFromTenor(L1045,"1D","FOLLOWING","TGT")</f>
        <v>43994</v>
      </c>
      <c r="M1046" s="95">
        <f ca="1"/>
        <v>2.9558313535130785E-3</v>
      </c>
      <c r="N1046" s="5" t="s">
        <v>4</v>
      </c>
      <c r="O1046" s="97">
        <f ca="1">_xll.meDateFromTenor(O1045,"1D","FOLLOWING","TGT")</f>
        <v>43994</v>
      </c>
      <c r="P1046" s="95">
        <f ca="1"/>
        <v>4.9454056014115256E-3</v>
      </c>
      <c r="Q1046" s="5" t="s">
        <v>4</v>
      </c>
      <c r="R1046" s="83" t="s">
        <v>4</v>
      </c>
    </row>
    <row r="1047" spans="1:18" x14ac:dyDescent="0.25">
      <c r="A1047" s="88">
        <v>1033</v>
      </c>
      <c r="B1047" s="82"/>
      <c r="C1047" s="97">
        <f ca="1">_xll.meDateFromTenor(C1046,"1D","FOLLOWING","TGT")</f>
        <v>43997</v>
      </c>
      <c r="D1047" s="95">
        <f ca="1"/>
        <v>-1.1804374207898816E-3</v>
      </c>
      <c r="E1047" s="92"/>
      <c r="F1047" s="97">
        <f ca="1">_xll.meDateFromTenor(F1046,"1D","FOLLOWING","TGT")</f>
        <v>43997</v>
      </c>
      <c r="G1047" s="95">
        <f ca="1"/>
        <v>-1.0657766685071836E-4</v>
      </c>
      <c r="H1047" s="92" t="s">
        <v>4</v>
      </c>
      <c r="I1047" s="97">
        <f ca="1">_xll.meDateFromTenor(I1046,"1D","FOLLOWING","TGT")</f>
        <v>43997</v>
      </c>
      <c r="J1047" s="95">
        <f ca="1"/>
        <v>1.0630094427397925E-3</v>
      </c>
      <c r="K1047" s="5" t="s">
        <v>4</v>
      </c>
      <c r="L1047" s="97">
        <f ca="1">_xll.meDateFromTenor(L1046,"1D","FOLLOWING","TGT")</f>
        <v>43997</v>
      </c>
      <c r="M1047" s="95">
        <f ca="1"/>
        <v>2.9751064627410971E-3</v>
      </c>
      <c r="N1047" s="5" t="s">
        <v>4</v>
      </c>
      <c r="O1047" s="97">
        <f ca="1">_xll.meDateFromTenor(O1046,"1D","FOLLOWING","TGT")</f>
        <v>43997</v>
      </c>
      <c r="P1047" s="95">
        <f ca="1"/>
        <v>4.964802829178494E-3</v>
      </c>
      <c r="Q1047" s="5" t="s">
        <v>4</v>
      </c>
      <c r="R1047" s="83" t="s">
        <v>4</v>
      </c>
    </row>
    <row r="1048" spans="1:18" x14ac:dyDescent="0.25">
      <c r="A1048" s="88">
        <v>1034</v>
      </c>
      <c r="B1048" s="82"/>
      <c r="C1048" s="97">
        <f ca="1">_xll.meDateFromTenor(C1047,"1D","FOLLOWING","TGT")</f>
        <v>43998</v>
      </c>
      <c r="D1048" s="95">
        <f ca="1"/>
        <v>-1.1719156280080023E-3</v>
      </c>
      <c r="E1048" s="92"/>
      <c r="F1048" s="97">
        <f ca="1">_xll.meDateFromTenor(F1047,"1D","FOLLOWING","TGT")</f>
        <v>43998</v>
      </c>
      <c r="G1048" s="95">
        <f ca="1"/>
        <v>-9.944748774874112E-5</v>
      </c>
      <c r="H1048" s="92" t="s">
        <v>4</v>
      </c>
      <c r="I1048" s="97">
        <f ca="1">_xll.meDateFromTenor(I1047,"1D","FOLLOWING","TGT")</f>
        <v>43998</v>
      </c>
      <c r="J1048" s="95">
        <f ca="1"/>
        <v>1.0695799351933717E-3</v>
      </c>
      <c r="K1048" s="5" t="s">
        <v>4</v>
      </c>
      <c r="L1048" s="97">
        <f ca="1">_xll.meDateFromTenor(L1047,"1D","FOLLOWING","TGT")</f>
        <v>43998</v>
      </c>
      <c r="M1048" s="95">
        <f ca="1"/>
        <v>2.9815372967724853E-3</v>
      </c>
      <c r="N1048" s="5" t="s">
        <v>4</v>
      </c>
      <c r="O1048" s="97">
        <f ca="1">_xll.meDateFromTenor(O1047,"1D","FOLLOWING","TGT")</f>
        <v>43998</v>
      </c>
      <c r="P1048" s="95">
        <f ca="1"/>
        <v>4.9712791196686989E-3</v>
      </c>
      <c r="Q1048" s="5" t="s">
        <v>4</v>
      </c>
      <c r="R1048" s="83" t="s">
        <v>4</v>
      </c>
    </row>
    <row r="1049" spans="1:18" x14ac:dyDescent="0.25">
      <c r="A1049" s="88">
        <v>1035</v>
      </c>
      <c r="B1049" s="82"/>
      <c r="C1049" s="97">
        <f ca="1">_xll.meDateFromTenor(C1048,"1D","FOLLOWING","TGT")</f>
        <v>43999</v>
      </c>
      <c r="D1049" s="95">
        <f ca="1"/>
        <v>-1.163399670088161E-3</v>
      </c>
      <c r="E1049" s="92"/>
      <c r="F1049" s="97">
        <f ca="1">_xll.meDateFromTenor(F1048,"1D","FOLLOWING","TGT")</f>
        <v>43999</v>
      </c>
      <c r="G1049" s="95">
        <f ca="1"/>
        <v>-9.2324441219900845E-5</v>
      </c>
      <c r="H1049" s="92" t="s">
        <v>4</v>
      </c>
      <c r="I1049" s="97">
        <f ca="1">_xll.meDateFromTenor(I1048,"1D","FOLLOWING","TGT")</f>
        <v>43999</v>
      </c>
      <c r="J1049" s="95">
        <f ca="1"/>
        <v>1.0761530237258423E-3</v>
      </c>
      <c r="K1049" s="5" t="s">
        <v>4</v>
      </c>
      <c r="L1049" s="97">
        <f ca="1">_xll.meDateFromTenor(L1048,"1D","FOLLOWING","TGT")</f>
        <v>43999</v>
      </c>
      <c r="M1049" s="95">
        <f ca="1"/>
        <v>2.9879710316145234E-3</v>
      </c>
      <c r="N1049" s="5" t="s">
        <v>4</v>
      </c>
      <c r="O1049" s="97">
        <f ca="1">_xll.meDateFromTenor(O1048,"1D","FOLLOWING","TGT")</f>
        <v>43999</v>
      </c>
      <c r="P1049" s="95">
        <f ca="1"/>
        <v>4.9777606590852451E-3</v>
      </c>
      <c r="Q1049" s="5" t="s">
        <v>4</v>
      </c>
      <c r="R1049" s="83" t="s">
        <v>4</v>
      </c>
    </row>
    <row r="1050" spans="1:18" x14ac:dyDescent="0.25">
      <c r="A1050" s="88">
        <v>1036</v>
      </c>
      <c r="B1050" s="82"/>
      <c r="C1050" s="97">
        <f ca="1">_xll.meDateFromTenor(C1049,"1D","FOLLOWING","TGT")</f>
        <v>44000</v>
      </c>
      <c r="D1050" s="95">
        <f ca="1"/>
        <v>-1.1548895465830489E-3</v>
      </c>
      <c r="E1050" s="92"/>
      <c r="F1050" s="97">
        <f ca="1">_xll.meDateFromTenor(F1049,"1D","FOLLOWING","TGT")</f>
        <v>44000</v>
      </c>
      <c r="G1050" s="95">
        <f ca="1"/>
        <v>-8.5209646627953334E-5</v>
      </c>
      <c r="H1050" s="92" t="s">
        <v>4</v>
      </c>
      <c r="I1050" s="97">
        <f ca="1">_xll.meDateFromTenor(I1049,"1D","FOLLOWING","TGT")</f>
        <v>44000</v>
      </c>
      <c r="J1050" s="95">
        <f ca="1"/>
        <v>1.0827287186268809E-3</v>
      </c>
      <c r="K1050" s="5" t="s">
        <v>4</v>
      </c>
      <c r="L1050" s="97">
        <f ca="1">_xll.meDateFromTenor(L1049,"1D","FOLLOWING","TGT")</f>
        <v>44000</v>
      </c>
      <c r="M1050" s="95">
        <f ca="1"/>
        <v>2.9944076684669863E-3</v>
      </c>
      <c r="N1050" s="5" t="s">
        <v>4</v>
      </c>
      <c r="O1050" s="97">
        <f ca="1">_xll.meDateFromTenor(O1049,"1D","FOLLOWING","TGT")</f>
        <v>44000</v>
      </c>
      <c r="P1050" s="95">
        <f ca="1"/>
        <v>4.9842474324135709E-3</v>
      </c>
      <c r="Q1050" s="5" t="s">
        <v>4</v>
      </c>
      <c r="R1050" s="83" t="s">
        <v>4</v>
      </c>
    </row>
    <row r="1051" spans="1:18" x14ac:dyDescent="0.25">
      <c r="A1051" s="88">
        <v>1037</v>
      </c>
      <c r="B1051" s="82"/>
      <c r="C1051" s="97">
        <f ca="1">_xll.meDateFromTenor(C1050,"1D","FOLLOWING","TGT")</f>
        <v>44001</v>
      </c>
      <c r="D1051" s="95">
        <f ca="1"/>
        <v>-1.1463852568427413E-3</v>
      </c>
      <c r="E1051" s="92"/>
      <c r="F1051" s="97">
        <f ca="1">_xll.meDateFromTenor(F1050,"1D","FOLLOWING","TGT")</f>
        <v>44001</v>
      </c>
      <c r="G1051" s="95">
        <f ca="1"/>
        <v>-7.8104223336661308E-5</v>
      </c>
      <c r="H1051" s="92" t="s">
        <v>4</v>
      </c>
      <c r="I1051" s="97">
        <f ca="1">_xll.meDateFromTenor(I1050,"1D","FOLLOWING","TGT")</f>
        <v>44001</v>
      </c>
      <c r="J1051" s="95">
        <f ca="1"/>
        <v>1.0893070301861581E-3</v>
      </c>
      <c r="K1051" s="5" t="s">
        <v>4</v>
      </c>
      <c r="L1051" s="97">
        <f ca="1">_xll.meDateFromTenor(L1050,"1D","FOLLOWING","TGT")</f>
        <v>44001</v>
      </c>
      <c r="M1051" s="95">
        <f ca="1"/>
        <v>3.000847208529645E-3</v>
      </c>
      <c r="N1051" s="5" t="s">
        <v>4</v>
      </c>
      <c r="O1051" s="97">
        <f ca="1">_xll.meDateFromTenor(O1050,"1D","FOLLOWING","TGT")</f>
        <v>44001</v>
      </c>
      <c r="P1051" s="95">
        <f ca="1"/>
        <v>4.9907394246391148E-3</v>
      </c>
      <c r="Q1051" s="5" t="s">
        <v>4</v>
      </c>
      <c r="R1051" s="83" t="s">
        <v>4</v>
      </c>
    </row>
    <row r="1052" spans="1:18" x14ac:dyDescent="0.25">
      <c r="A1052" s="88">
        <v>1038</v>
      </c>
      <c r="B1052" s="82"/>
      <c r="C1052" s="97">
        <f ca="1">_xll.meDateFromTenor(C1051,"1D","FOLLOWING","TGT")</f>
        <v>44004</v>
      </c>
      <c r="D1052" s="95">
        <f ca="1"/>
        <v>-1.1209073854463458E-3</v>
      </c>
      <c r="E1052" s="92"/>
      <c r="F1052" s="97">
        <f ca="1">_xll.meDateFromTenor(F1051,"1D","FOLLOWING","TGT")</f>
        <v>44004</v>
      </c>
      <c r="G1052" s="95">
        <f ca="1"/>
        <v>-5.6855374904282454E-5</v>
      </c>
      <c r="H1052" s="92" t="s">
        <v>4</v>
      </c>
      <c r="I1052" s="97">
        <f ca="1">_xll.meDateFromTenor(I1051,"1D","FOLLOWING","TGT")</f>
        <v>44004</v>
      </c>
      <c r="J1052" s="95">
        <f ca="1"/>
        <v>1.1090577677101861E-3</v>
      </c>
      <c r="K1052" s="5" t="s">
        <v>4</v>
      </c>
      <c r="L1052" s="97">
        <f ca="1">_xll.meDateFromTenor(L1051,"1D","FOLLOWING","TGT")</f>
        <v>44004</v>
      </c>
      <c r="M1052" s="95">
        <f ca="1"/>
        <v>3.0201832599765499E-3</v>
      </c>
      <c r="N1052" s="5" t="s">
        <v>4</v>
      </c>
      <c r="O1052" s="97">
        <f ca="1">_xll.meDateFromTenor(O1051,"1D","FOLLOWING","TGT")</f>
        <v>44004</v>
      </c>
      <c r="P1052" s="95">
        <f ca="1"/>
        <v>5.0102465645534486E-3</v>
      </c>
      <c r="Q1052" s="5" t="s">
        <v>4</v>
      </c>
      <c r="R1052" s="83" t="s">
        <v>4</v>
      </c>
    </row>
    <row r="1053" spans="1:18" x14ac:dyDescent="0.25">
      <c r="A1053" s="88">
        <v>1039</v>
      </c>
      <c r="B1053" s="82"/>
      <c r="C1053" s="97">
        <f ca="1">_xll.meDateFromTenor(C1052,"1D","FOLLOWING","TGT")</f>
        <v>44005</v>
      </c>
      <c r="D1053" s="95">
        <f ca="1"/>
        <v>-1.1124264259174677E-3</v>
      </c>
      <c r="E1053" s="92"/>
      <c r="F1053" s="97">
        <f ca="1">_xll.meDateFromTenor(F1052,"1D","FOLLOWING","TGT")</f>
        <v>44005</v>
      </c>
      <c r="G1053" s="95">
        <f ca="1"/>
        <v>-4.9798630453183711E-5</v>
      </c>
      <c r="H1053" s="92" t="s">
        <v>4</v>
      </c>
      <c r="I1053" s="97">
        <f ca="1">_xll.meDateFromTenor(I1052,"1D","FOLLOWING","TGT")</f>
        <v>44005</v>
      </c>
      <c r="J1053" s="95">
        <f ca="1"/>
        <v>1.1156466487991751E-3</v>
      </c>
      <c r="K1053" s="5" t="s">
        <v>4</v>
      </c>
      <c r="L1053" s="97">
        <f ca="1">_xll.meDateFromTenor(L1052,"1D","FOLLOWING","TGT")</f>
        <v>44005</v>
      </c>
      <c r="M1053" s="95">
        <f ca="1"/>
        <v>3.0266344248777405E-3</v>
      </c>
      <c r="N1053" s="5" t="s">
        <v>4</v>
      </c>
      <c r="O1053" s="97">
        <f ca="1">_xll.meDateFromTenor(O1052,"1D","FOLLOWING","TGT")</f>
        <v>44005</v>
      </c>
      <c r="P1053" s="95">
        <f ca="1"/>
        <v>5.016759282222256E-3</v>
      </c>
      <c r="Q1053" s="5" t="s">
        <v>4</v>
      </c>
      <c r="R1053" s="83" t="s">
        <v>4</v>
      </c>
    </row>
    <row r="1054" spans="1:18" x14ac:dyDescent="0.25">
      <c r="A1054" s="88">
        <v>1040</v>
      </c>
      <c r="B1054" s="82"/>
      <c r="C1054" s="97">
        <f ca="1">_xll.meDateFromTenor(C1053,"1D","FOLLOWING","TGT")</f>
        <v>44006</v>
      </c>
      <c r="D1054" s="95">
        <f ca="1"/>
        <v>-1.1039512974689858E-3</v>
      </c>
      <c r="E1054" s="92"/>
      <c r="F1054" s="97">
        <f ca="1">_xll.meDateFromTenor(F1053,"1D","FOLLOWING","TGT")</f>
        <v>44006</v>
      </c>
      <c r="G1054" s="95">
        <f ca="1"/>
        <v>-4.275685412152618E-5</v>
      </c>
      <c r="H1054" s="92" t="s">
        <v>4</v>
      </c>
      <c r="I1054" s="97">
        <f ca="1">_xll.meDateFromTenor(I1053,"1D","FOLLOWING","TGT")</f>
        <v>44006</v>
      </c>
      <c r="J1054" s="95">
        <f ca="1"/>
        <v>1.122238197994781E-3</v>
      </c>
      <c r="K1054" s="5" t="s">
        <v>4</v>
      </c>
      <c r="L1054" s="97">
        <f ca="1">_xll.meDateFromTenor(L1053,"1D","FOLLOWING","TGT")</f>
        <v>44006</v>
      </c>
      <c r="M1054" s="95">
        <f ca="1"/>
        <v>3.0330884989880021E-3</v>
      </c>
      <c r="N1054" s="5" t="s">
        <v>4</v>
      </c>
      <c r="O1054" s="97">
        <f ca="1">_xll.meDateFromTenor(O1053,"1D","FOLLOWING","TGT")</f>
        <v>44006</v>
      </c>
      <c r="P1054" s="95">
        <f ca="1"/>
        <v>5.023277143715481E-3</v>
      </c>
      <c r="Q1054" s="5" t="s">
        <v>4</v>
      </c>
      <c r="R1054" s="83" t="s">
        <v>4</v>
      </c>
    </row>
    <row r="1055" spans="1:18" x14ac:dyDescent="0.25">
      <c r="A1055" s="88">
        <v>1041</v>
      </c>
      <c r="B1055" s="82"/>
      <c r="C1055" s="97">
        <f ca="1">_xll.meDateFromTenor(C1054,"1D","FOLLOWING","TGT")</f>
        <v>44007</v>
      </c>
      <c r="D1055" s="95">
        <f ca="1"/>
        <v>-1.095481999850989E-3</v>
      </c>
      <c r="E1055" s="92"/>
      <c r="F1055" s="97">
        <f ca="1">_xll.meDateFromTenor(F1054,"1D","FOLLOWING","TGT")</f>
        <v>44007</v>
      </c>
      <c r="G1055" s="95">
        <f ca="1"/>
        <v>-3.5731165273072504E-5</v>
      </c>
      <c r="H1055" s="92" t="s">
        <v>4</v>
      </c>
      <c r="I1055" s="97">
        <f ca="1">_xll.meDateFromTenor(I1054,"1D","FOLLOWING","TGT")</f>
        <v>44007</v>
      </c>
      <c r="J1055" s="95">
        <f ca="1"/>
        <v>1.1288324255866744E-3</v>
      </c>
      <c r="K1055" s="5" t="s">
        <v>4</v>
      </c>
      <c r="L1055" s="97">
        <f ca="1">_xll.meDateFromTenor(L1054,"1D","FOLLOWING","TGT")</f>
        <v>44007</v>
      </c>
      <c r="M1055" s="95">
        <f ca="1"/>
        <v>3.0395454835071048E-3</v>
      </c>
      <c r="N1055" s="5" t="s">
        <v>4</v>
      </c>
      <c r="O1055" s="97">
        <f ca="1">_xll.meDateFromTenor(O1054,"1D","FOLLOWING","TGT")</f>
        <v>44007</v>
      </c>
      <c r="P1055" s="95">
        <f ca="1"/>
        <v>5.029800134018555E-3</v>
      </c>
      <c r="Q1055" s="5" t="s">
        <v>4</v>
      </c>
      <c r="R1055" s="83" t="s">
        <v>4</v>
      </c>
    </row>
    <row r="1056" spans="1:18" x14ac:dyDescent="0.25">
      <c r="A1056" s="88">
        <v>1042</v>
      </c>
      <c r="B1056" s="82"/>
      <c r="C1056" s="97">
        <f ca="1">_xll.meDateFromTenor(C1055,"1D","FOLLOWING","TGT")</f>
        <v>44008</v>
      </c>
      <c r="D1056" s="95">
        <f ca="1"/>
        <v>-1.0870185323330617E-3</v>
      </c>
      <c r="E1056" s="92"/>
      <c r="F1056" s="97">
        <f ca="1">_xll.meDateFromTenor(F1055,"1D","FOLLOWING","TGT")</f>
        <v>44008</v>
      </c>
      <c r="G1056" s="95">
        <f ca="1"/>
        <v>-2.8722683271576204E-5</v>
      </c>
      <c r="H1056" s="92" t="s">
        <v>4</v>
      </c>
      <c r="I1056" s="97">
        <f ca="1">_xll.meDateFromTenor(I1055,"1D","FOLLOWING","TGT")</f>
        <v>44008</v>
      </c>
      <c r="J1056" s="95">
        <f ca="1"/>
        <v>1.1354293418645344E-3</v>
      </c>
      <c r="K1056" s="5" t="s">
        <v>4</v>
      </c>
      <c r="L1056" s="97">
        <f ca="1">_xll.meDateFromTenor(L1055,"1D","FOLLOWING","TGT")</f>
        <v>44008</v>
      </c>
      <c r="M1056" s="95">
        <f ca="1"/>
        <v>3.0460053796348258E-3</v>
      </c>
      <c r="N1056" s="5" t="s">
        <v>4</v>
      </c>
      <c r="O1056" s="97">
        <f ca="1">_xll.meDateFromTenor(O1055,"1D","FOLLOWING","TGT")</f>
        <v>44008</v>
      </c>
      <c r="P1056" s="95">
        <f ca="1"/>
        <v>5.0363282381169243E-3</v>
      </c>
      <c r="Q1056" s="5" t="s">
        <v>4</v>
      </c>
      <c r="R1056" s="83" t="s">
        <v>4</v>
      </c>
    </row>
    <row r="1057" spans="1:18" x14ac:dyDescent="0.25">
      <c r="A1057" s="88">
        <v>1043</v>
      </c>
      <c r="B1057" s="82"/>
      <c r="C1057" s="97">
        <f ca="1">_xll.meDateFromTenor(C1056,"1D","FOLLOWING","TGT")</f>
        <v>44011</v>
      </c>
      <c r="D1057" s="95">
        <f ca="1"/>
        <v>-1.0616631054867209E-3</v>
      </c>
      <c r="E1057" s="92"/>
      <c r="F1057" s="97">
        <f ca="1">_xll.meDateFromTenor(F1056,"1D","FOLLOWING","TGT")</f>
        <v>44011</v>
      </c>
      <c r="G1057" s="95">
        <f ca="1"/>
        <v>-7.8116719864304697E-6</v>
      </c>
      <c r="H1057" s="92" t="s">
        <v>4</v>
      </c>
      <c r="I1057" s="97">
        <f ca="1">_xll.meDateFromTenor(I1056,"1D","FOLLOWING","TGT")</f>
        <v>44011</v>
      </c>
      <c r="J1057" s="95">
        <f ca="1"/>
        <v>1.1552363257106436E-3</v>
      </c>
      <c r="K1057" s="5" t="s">
        <v>4</v>
      </c>
      <c r="L1057" s="97">
        <f ca="1">_xll.meDateFromTenor(L1056,"1D","FOLLOWING","TGT")</f>
        <v>44011</v>
      </c>
      <c r="M1057" s="95">
        <f ca="1"/>
        <v>3.0654025496674306E-3</v>
      </c>
      <c r="N1057" s="5" t="s">
        <v>4</v>
      </c>
      <c r="O1057" s="97">
        <f ca="1">_xll.meDateFromTenor(O1056,"1D","FOLLOWING","TGT")</f>
        <v>44011</v>
      </c>
      <c r="P1057" s="95">
        <f ca="1"/>
        <v>5.0559430830381686E-3</v>
      </c>
      <c r="Q1057" s="5" t="s">
        <v>4</v>
      </c>
      <c r="R1057" s="83" t="s">
        <v>4</v>
      </c>
    </row>
    <row r="1058" spans="1:18" x14ac:dyDescent="0.25">
      <c r="A1058" s="88">
        <v>1044</v>
      </c>
      <c r="B1058" s="82"/>
      <c r="C1058" s="97">
        <f ca="1">_xll.meDateFromTenor(C1057,"1D","FOLLOWING","TGT")</f>
        <v>44012</v>
      </c>
      <c r="D1058" s="95">
        <f ca="1"/>
        <v>-1.0532229536723836E-3</v>
      </c>
      <c r="E1058" s="92"/>
      <c r="F1058" s="97">
        <f ca="1">_xll.meDateFromTenor(F1057,"1D","FOLLOWING","TGT")</f>
        <v>44012</v>
      </c>
      <c r="G1058" s="95">
        <f ca="1"/>
        <v>-8.8321101035574832E-7</v>
      </c>
      <c r="H1058" s="92" t="s">
        <v>4</v>
      </c>
      <c r="I1058" s="97">
        <f ca="1">_xll.meDateFromTenor(I1057,"1D","FOLLOWING","TGT")</f>
        <v>44012</v>
      </c>
      <c r="J1058" s="95">
        <f ca="1"/>
        <v>1.1618440996291068E-3</v>
      </c>
      <c r="K1058" s="5" t="s">
        <v>4</v>
      </c>
      <c r="L1058" s="97">
        <f ca="1">_xll.meDateFromTenor(L1057,"1D","FOLLOWING","TGT")</f>
        <v>44012</v>
      </c>
      <c r="M1058" s="95">
        <f ca="1"/>
        <v>3.0718741042273603E-3</v>
      </c>
      <c r="N1058" s="5" t="s">
        <v>4</v>
      </c>
      <c r="O1058" s="97">
        <f ca="1">_xll.meDateFromTenor(O1057,"1D","FOLLOWING","TGT")</f>
        <v>44012</v>
      </c>
      <c r="P1058" s="95">
        <f ca="1"/>
        <v>5.0624914921720927E-3</v>
      </c>
      <c r="Q1058" s="5" t="s">
        <v>4</v>
      </c>
      <c r="R1058" s="83" t="s">
        <v>4</v>
      </c>
    </row>
    <row r="1059" spans="1:18" x14ac:dyDescent="0.25">
      <c r="A1059" s="88">
        <v>1045</v>
      </c>
      <c r="B1059" s="82"/>
      <c r="C1059" s="97">
        <f ca="1">_xll.meDateFromTenor(C1058,"1D","FOLLOWING","TGT")</f>
        <v>44013</v>
      </c>
      <c r="D1059" s="95">
        <f ca="1"/>
        <v>-1.0447886291897746E-3</v>
      </c>
      <c r="E1059" s="92"/>
      <c r="F1059" s="97">
        <f ca="1">_xll.meDateFromTenor(F1058,"1D","FOLLOWING","TGT")</f>
        <v>44013</v>
      </c>
      <c r="G1059" s="95">
        <f ca="1"/>
        <v>6.0224462999712085E-6</v>
      </c>
      <c r="H1059" s="92" t="s">
        <v>4</v>
      </c>
      <c r="I1059" s="97">
        <f ca="1">_xll.meDateFromTenor(I1058,"1D","FOLLOWING","TGT")</f>
        <v>44013</v>
      </c>
      <c r="J1059" s="95">
        <f ca="1"/>
        <v>1.1684546136819104E-3</v>
      </c>
      <c r="K1059" s="5" t="s">
        <v>4</v>
      </c>
      <c r="L1059" s="97">
        <f ca="1">_xll.meDateFromTenor(L1058,"1D","FOLLOWING","TGT")</f>
        <v>44013</v>
      </c>
      <c r="M1059" s="95">
        <f ca="1"/>
        <v>3.0783485763947807E-3</v>
      </c>
      <c r="N1059" s="5" t="s">
        <v>4</v>
      </c>
      <c r="O1059" s="97">
        <f ca="1">_xll.meDateFromTenor(O1058,"1D","FOLLOWING","TGT")</f>
        <v>44013</v>
      </c>
      <c r="P1059" s="95">
        <f ca="1"/>
        <v>5.0690449400285081E-3</v>
      </c>
      <c r="Q1059" s="5" t="s">
        <v>4</v>
      </c>
      <c r="R1059" s="83" t="s">
        <v>4</v>
      </c>
    </row>
    <row r="1060" spans="1:18" x14ac:dyDescent="0.25">
      <c r="A1060" s="88">
        <v>1046</v>
      </c>
      <c r="B1060" s="82"/>
      <c r="C1060" s="97">
        <f ca="1">_xll.meDateFromTenor(C1059,"1D","FOLLOWING","TGT")</f>
        <v>44014</v>
      </c>
      <c r="D1060" s="95">
        <f ca="1"/>
        <v>-1.0363601317867621E-3</v>
      </c>
      <c r="E1060" s="92"/>
      <c r="F1060" s="97">
        <f ca="1">_xll.meDateFromTenor(F1059,"1D","FOLLOWING","TGT")</f>
        <v>44014</v>
      </c>
      <c r="G1060" s="95">
        <f ca="1"/>
        <v>1.2904180580787842E-5</v>
      </c>
      <c r="H1060" s="92" t="s">
        <v>4</v>
      </c>
      <c r="I1060" s="97">
        <f ca="1">_xll.meDateFromTenor(I1059,"1D","FOLLOWING","TGT")</f>
        <v>44014</v>
      </c>
      <c r="J1060" s="95">
        <f ca="1"/>
        <v>1.1750678781587245E-3</v>
      </c>
      <c r="K1060" s="5" t="s">
        <v>4</v>
      </c>
      <c r="L1060" s="97">
        <f ca="1">_xll.meDateFromTenor(L1059,"1D","FOLLOWING","TGT")</f>
        <v>44014</v>
      </c>
      <c r="M1060" s="95">
        <f ca="1"/>
        <v>3.0848259673694613E-3</v>
      </c>
      <c r="N1060" s="5" t="s">
        <v>4</v>
      </c>
      <c r="O1060" s="97">
        <f ca="1">_xll.meDateFromTenor(O1059,"1D","FOLLOWING","TGT")</f>
        <v>44014</v>
      </c>
      <c r="P1060" s="95">
        <f ca="1"/>
        <v>5.0756034115928455E-3</v>
      </c>
      <c r="Q1060" s="5" t="s">
        <v>4</v>
      </c>
      <c r="R1060" s="83" t="s">
        <v>4</v>
      </c>
    </row>
    <row r="1061" spans="1:18" x14ac:dyDescent="0.25">
      <c r="A1061" s="88">
        <v>1047</v>
      </c>
      <c r="B1061" s="82"/>
      <c r="C1061" s="97">
        <f ca="1">_xll.meDateFromTenor(C1060,"1D","FOLLOWING","TGT")</f>
        <v>44015</v>
      </c>
      <c r="D1061" s="95">
        <f ca="1"/>
        <v>-1.027937461013928E-3</v>
      </c>
      <c r="E1061" s="92"/>
      <c r="F1061" s="97">
        <f ca="1">_xll.meDateFromTenor(F1060,"1D","FOLLOWING","TGT")</f>
        <v>44015</v>
      </c>
      <c r="G1061" s="95">
        <f ca="1"/>
        <v>1.9761280796850574E-5</v>
      </c>
      <c r="H1061" s="92" t="s">
        <v>4</v>
      </c>
      <c r="I1061" s="97">
        <f ca="1">_xll.meDateFromTenor(I1060,"1D","FOLLOWING","TGT")</f>
        <v>44015</v>
      </c>
      <c r="J1061" s="95">
        <f ca="1"/>
        <v>1.1816839033492266E-3</v>
      </c>
      <c r="K1061" s="5" t="s">
        <v>4</v>
      </c>
      <c r="L1061" s="97">
        <f ca="1">_xll.meDateFromTenor(L1060,"1D","FOLLOWING","TGT")</f>
        <v>44015</v>
      </c>
      <c r="M1061" s="95">
        <f ca="1"/>
        <v>3.0913062783511779E-3</v>
      </c>
      <c r="N1061" s="5" t="s">
        <v>4</v>
      </c>
      <c r="O1061" s="97">
        <f ca="1">_xll.meDateFromTenor(O1060,"1D","FOLLOWING","TGT")</f>
        <v>44015</v>
      </c>
      <c r="P1061" s="95">
        <f ca="1"/>
        <v>5.0821668918505508E-3</v>
      </c>
      <c r="Q1061" s="5" t="s">
        <v>4</v>
      </c>
      <c r="R1061" s="83" t="s">
        <v>4</v>
      </c>
    </row>
    <row r="1062" spans="1:18" x14ac:dyDescent="0.25">
      <c r="A1062" s="88">
        <v>1048</v>
      </c>
      <c r="B1062" s="82"/>
      <c r="C1062" s="97">
        <f ca="1">_xll.meDateFromTenor(C1061,"1D","FOLLOWING","TGT")</f>
        <v>44018</v>
      </c>
      <c r="D1062" s="95">
        <f ca="1"/>
        <v>-1.0027044030057608E-3</v>
      </c>
      <c r="E1062" s="92"/>
      <c r="F1062" s="97">
        <f ca="1">_xll.meDateFromTenor(F1061,"1D","FOLLOWING","TGT")</f>
        <v>44018</v>
      </c>
      <c r="G1062" s="95">
        <f ca="1"/>
        <v>4.019563315860022E-5</v>
      </c>
      <c r="H1062" s="92" t="s">
        <v>4</v>
      </c>
      <c r="I1062" s="97">
        <f ca="1">_xll.meDateFromTenor(I1061,"1D","FOLLOWING","TGT")</f>
        <v>44018</v>
      </c>
      <c r="J1062" s="95">
        <f ca="1"/>
        <v>1.2015486460996124E-3</v>
      </c>
      <c r="K1062" s="5" t="s">
        <v>4</v>
      </c>
      <c r="L1062" s="97">
        <f ca="1">_xll.meDateFromTenor(L1061,"1D","FOLLOWING","TGT")</f>
        <v>44018</v>
      </c>
      <c r="M1062" s="95">
        <f ca="1"/>
        <v>3.1107647433362955E-3</v>
      </c>
      <c r="N1062" s="5" t="s">
        <v>4</v>
      </c>
      <c r="O1062" s="97">
        <f ca="1">_xll.meDateFromTenor(O1061,"1D","FOLLOWING","TGT")</f>
        <v>44018</v>
      </c>
      <c r="P1062" s="95">
        <f ca="1"/>
        <v>5.1018872346382501E-3</v>
      </c>
      <c r="Q1062" s="5" t="s">
        <v>4</v>
      </c>
      <c r="R1062" s="83" t="s">
        <v>4</v>
      </c>
    </row>
    <row r="1063" spans="1:18" x14ac:dyDescent="0.25">
      <c r="A1063" s="88">
        <v>1049</v>
      </c>
      <c r="B1063" s="82"/>
      <c r="C1063" s="97">
        <f ca="1">_xll.meDateFromTenor(C1062,"1D","FOLLOWING","TGT")</f>
        <v>44019</v>
      </c>
      <c r="D1063" s="95">
        <f ca="1"/>
        <v>-9.9430503336439546E-4</v>
      </c>
      <c r="E1063" s="92"/>
      <c r="F1063" s="97">
        <f ca="1">_xll.meDateFromTenor(F1062,"1D","FOLLOWING","TGT")</f>
        <v>44019</v>
      </c>
      <c r="G1063" s="95">
        <f ca="1"/>
        <v>4.6965869874752269E-5</v>
      </c>
      <c r="H1063" s="92" t="s">
        <v>4</v>
      </c>
      <c r="I1063" s="97">
        <f ca="1">_xll.meDateFromTenor(I1062,"1D","FOLLOWING","TGT")</f>
        <v>44019</v>
      </c>
      <c r="J1063" s="95">
        <f ca="1"/>
        <v>1.2081758170416138E-3</v>
      </c>
      <c r="K1063" s="5" t="s">
        <v>4</v>
      </c>
      <c r="L1063" s="97">
        <f ca="1">_xll.meDateFromTenor(L1062,"1D","FOLLOWING","TGT")</f>
        <v>44019</v>
      </c>
      <c r="M1063" s="95">
        <f ca="1"/>
        <v>3.1172567463439013E-3</v>
      </c>
      <c r="N1063" s="5" t="s">
        <v>4</v>
      </c>
      <c r="O1063" s="97">
        <f ca="1">_xll.meDateFromTenor(O1062,"1D","FOLLOWING","TGT")</f>
        <v>44019</v>
      </c>
      <c r="P1063" s="95">
        <f ca="1"/>
        <v>5.1084705995238068E-3</v>
      </c>
      <c r="Q1063" s="5" t="s">
        <v>4</v>
      </c>
      <c r="R1063" s="83" t="s">
        <v>4</v>
      </c>
    </row>
    <row r="1064" spans="1:18" x14ac:dyDescent="0.25">
      <c r="A1064" s="88">
        <v>1050</v>
      </c>
      <c r="B1064" s="82"/>
      <c r="C1064" s="97">
        <f ca="1">_xll.meDateFromTenor(C1063,"1D","FOLLOWING","TGT")</f>
        <v>44020</v>
      </c>
      <c r="D1064" s="95">
        <f ca="1"/>
        <v>-9.859114878175701E-4</v>
      </c>
      <c r="E1064" s="92"/>
      <c r="F1064" s="97">
        <f ca="1">_xll.meDateFromTenor(F1063,"1D","FOLLOWING","TGT")</f>
        <v>44020</v>
      </c>
      <c r="G1064" s="95">
        <f ca="1"/>
        <v>5.3717717234215142E-5</v>
      </c>
      <c r="H1064" s="92" t="s">
        <v>4</v>
      </c>
      <c r="I1064" s="97">
        <f ca="1">_xll.meDateFromTenor(I1063,"1D","FOLLOWING","TGT")</f>
        <v>44020</v>
      </c>
      <c r="J1064" s="95">
        <f ca="1"/>
        <v>1.2148058001456769E-3</v>
      </c>
      <c r="K1064" s="5" t="s">
        <v>4</v>
      </c>
      <c r="L1064" s="97">
        <f ca="1">_xll.meDateFromTenor(L1063,"1D","FOLLOWING","TGT")</f>
        <v>44020</v>
      </c>
      <c r="M1064" s="95">
        <f ca="1"/>
        <v>3.1237516753574147E-3</v>
      </c>
      <c r="N1064" s="5" t="s">
        <v>4</v>
      </c>
      <c r="O1064" s="97">
        <f ca="1">_xll.meDateFromTenor(O1063,"1D","FOLLOWING","TGT")</f>
        <v>44020</v>
      </c>
      <c r="P1064" s="95">
        <f ca="1"/>
        <v>5.1150588980299234E-3</v>
      </c>
      <c r="Q1064" s="5" t="s">
        <v>4</v>
      </c>
      <c r="R1064" s="83" t="s">
        <v>4</v>
      </c>
    </row>
    <row r="1065" spans="1:18" x14ac:dyDescent="0.25">
      <c r="A1065" s="88">
        <v>1051</v>
      </c>
      <c r="B1065" s="82"/>
      <c r="C1065" s="97">
        <f ca="1">_xll.meDateFromTenor(C1064,"1D","FOLLOWING","TGT")</f>
        <v>44021</v>
      </c>
      <c r="D1065" s="95">
        <f ca="1"/>
        <v>-9.7752376563564614E-4</v>
      </c>
      <c r="E1065" s="92"/>
      <c r="F1065" s="97">
        <f ca="1">_xll.meDateFromTenor(F1064,"1D","FOLLOWING","TGT")</f>
        <v>44021</v>
      </c>
      <c r="G1065" s="95">
        <f ca="1"/>
        <v>6.0452505844304205E-5</v>
      </c>
      <c r="H1065" s="92" t="s">
        <v>4</v>
      </c>
      <c r="I1065" s="97">
        <f ca="1">_xll.meDateFromTenor(I1064,"1D","FOLLOWING","TGT")</f>
        <v>44021</v>
      </c>
      <c r="J1065" s="95">
        <f ca="1"/>
        <v>1.2214386057014766E-3</v>
      </c>
      <c r="K1065" s="5" t="s">
        <v>4</v>
      </c>
      <c r="L1065" s="97">
        <f ca="1">_xll.meDateFromTenor(L1064,"1D","FOLLOWING","TGT")</f>
        <v>44021</v>
      </c>
      <c r="M1065" s="95">
        <f ca="1"/>
        <v>3.1302495315766107E-3</v>
      </c>
      <c r="N1065" s="5" t="s">
        <v>4</v>
      </c>
      <c r="O1065" s="97">
        <f ca="1">_xll.meDateFromTenor(O1064,"1D","FOLLOWING","TGT")</f>
        <v>44021</v>
      </c>
      <c r="P1065" s="95">
        <f ca="1"/>
        <v>5.1216521151420408E-3</v>
      </c>
      <c r="Q1065" s="5" t="s">
        <v>4</v>
      </c>
      <c r="R1065" s="83" t="s">
        <v>4</v>
      </c>
    </row>
    <row r="1066" spans="1:18" x14ac:dyDescent="0.25">
      <c r="A1066" s="88">
        <v>1052</v>
      </c>
      <c r="B1066" s="82"/>
      <c r="C1066" s="97">
        <f ca="1">_xll.meDateFromTenor(C1065,"1D","FOLLOWING","TGT")</f>
        <v>44022</v>
      </c>
      <c r="D1066" s="95">
        <f ca="1"/>
        <v>-9.6914186668528579E-4</v>
      </c>
      <c r="E1066" s="92"/>
      <c r="F1066" s="97">
        <f ca="1">_xll.meDateFromTenor(F1065,"1D","FOLLOWING","TGT")</f>
        <v>44022</v>
      </c>
      <c r="G1066" s="95">
        <f ca="1"/>
        <v>6.7171566312337056E-5</v>
      </c>
      <c r="H1066" s="92" t="s">
        <v>4</v>
      </c>
      <c r="I1066" s="97">
        <f ca="1">_xll.meDateFromTenor(I1065,"1D","FOLLOWING","TGT")</f>
        <v>44022</v>
      </c>
      <c r="J1066" s="95">
        <f ca="1"/>
        <v>1.2280742439986897E-3</v>
      </c>
      <c r="K1066" s="5" t="s">
        <v>4</v>
      </c>
      <c r="L1066" s="97">
        <f ca="1">_xll.meDateFromTenor(L1065,"1D","FOLLOWING","TGT")</f>
        <v>44022</v>
      </c>
      <c r="M1066" s="95">
        <f ca="1"/>
        <v>3.1367503162012642E-3</v>
      </c>
      <c r="N1066" s="5" t="s">
        <v>4</v>
      </c>
      <c r="O1066" s="97">
        <f ca="1">_xll.meDateFromTenor(O1065,"1D","FOLLOWING","TGT")</f>
        <v>44022</v>
      </c>
      <c r="P1066" s="95">
        <f ca="1"/>
        <v>5.1282502358455991E-3</v>
      </c>
      <c r="Q1066" s="5" t="s">
        <v>4</v>
      </c>
      <c r="R1066" s="83" t="s">
        <v>4</v>
      </c>
    </row>
    <row r="1067" spans="1:18" x14ac:dyDescent="0.25">
      <c r="A1067" s="88">
        <v>1053</v>
      </c>
      <c r="B1067" s="82"/>
      <c r="C1067" s="97">
        <f ca="1">_xll.meDateFromTenor(C1066,"1D","FOLLOWING","TGT")</f>
        <v>44025</v>
      </c>
      <c r="D1067" s="95">
        <f ca="1"/>
        <v>-9.4403110251606304E-4</v>
      </c>
      <c r="E1067" s="92"/>
      <c r="F1067" s="97">
        <f ca="1">_xll.meDateFromTenor(F1066,"1D","FOLLOWING","TGT")</f>
        <v>44025</v>
      </c>
      <c r="G1067" s="95">
        <f ca="1"/>
        <v>8.7247684937234737E-5</v>
      </c>
      <c r="H1067" s="92" t="s">
        <v>4</v>
      </c>
      <c r="I1067" s="97">
        <f ca="1">_xll.meDateFromTenor(I1066,"1D","FOLLOWING","TGT")</f>
        <v>44025</v>
      </c>
      <c r="J1067" s="95">
        <f ca="1"/>
        <v>1.2479982582355403E-3</v>
      </c>
      <c r="K1067" s="5" t="s">
        <v>4</v>
      </c>
      <c r="L1067" s="97">
        <f ca="1">_xll.meDateFromTenor(L1066,"1D","FOLLOWING","TGT")</f>
        <v>44025</v>
      </c>
      <c r="M1067" s="95">
        <f ca="1"/>
        <v>3.1562702525057009E-3</v>
      </c>
      <c r="N1067" s="5" t="s">
        <v>4</v>
      </c>
      <c r="O1067" s="97">
        <f ca="1">_xll.meDateFromTenor(O1066,"1D","FOLLOWING","TGT")</f>
        <v>44025</v>
      </c>
      <c r="P1067" s="95">
        <f ca="1"/>
        <v>5.1480738693592933E-3</v>
      </c>
      <c r="Q1067" s="5" t="s">
        <v>4</v>
      </c>
      <c r="R1067" s="83" t="s">
        <v>4</v>
      </c>
    </row>
    <row r="1068" spans="1:18" x14ac:dyDescent="0.25">
      <c r="A1068" s="88">
        <v>1054</v>
      </c>
      <c r="B1068" s="82"/>
      <c r="C1068" s="97">
        <f ca="1">_xll.meDateFromTenor(C1067,"1D","FOLLOWING","TGT")</f>
        <v>44026</v>
      </c>
      <c r="D1068" s="95">
        <f ca="1"/>
        <v>-9.3567249065973357E-4</v>
      </c>
      <c r="E1068" s="92"/>
      <c r="F1068" s="97">
        <f ca="1">_xll.meDateFromTenor(F1067,"1D","FOLLOWING","TGT")</f>
        <v>44026</v>
      </c>
      <c r="G1068" s="95">
        <f ca="1"/>
        <v>9.3917138910185724E-5</v>
      </c>
      <c r="H1068" s="92" t="s">
        <v>4</v>
      </c>
      <c r="I1068" s="97">
        <f ca="1">_xll.meDateFromTenor(I1067,"1D","FOLLOWING","TGT")</f>
        <v>44026</v>
      </c>
      <c r="J1068" s="95">
        <f ca="1"/>
        <v>1.2546453303951442E-3</v>
      </c>
      <c r="K1068" s="5" t="s">
        <v>4</v>
      </c>
      <c r="L1068" s="97">
        <f ca="1">_xll.meDateFromTenor(L1067,"1D","FOLLOWING","TGT")</f>
        <v>44026</v>
      </c>
      <c r="M1068" s="95">
        <f ca="1"/>
        <v>3.1627827627499199E-3</v>
      </c>
      <c r="N1068" s="5" t="s">
        <v>4</v>
      </c>
      <c r="O1068" s="97">
        <f ca="1">_xll.meDateFromTenor(O1067,"1D","FOLLOWING","TGT")</f>
        <v>44026</v>
      </c>
      <c r="P1068" s="95">
        <f ca="1"/>
        <v>5.1546914542829961E-3</v>
      </c>
      <c r="Q1068" s="5" t="s">
        <v>4</v>
      </c>
      <c r="R1068" s="83" t="s">
        <v>4</v>
      </c>
    </row>
    <row r="1069" spans="1:18" x14ac:dyDescent="0.25">
      <c r="A1069" s="88">
        <v>1055</v>
      </c>
      <c r="B1069" s="82"/>
      <c r="C1069" s="97">
        <f ca="1">_xll.meDateFromTenor(C1068,"1D","FOLLOWING","TGT")</f>
        <v>44027</v>
      </c>
      <c r="D1069" s="95">
        <f ca="1"/>
        <v>-9.2731969909809475E-4</v>
      </c>
      <c r="E1069" s="92"/>
      <c r="F1069" s="97">
        <f ca="1">_xll.meDateFromTenor(F1068,"1D","FOLLOWING","TGT")</f>
        <v>44027</v>
      </c>
      <c r="G1069" s="95">
        <f ca="1"/>
        <v>1.0057751777765742E-4</v>
      </c>
      <c r="H1069" s="92" t="s">
        <v>4</v>
      </c>
      <c r="I1069" s="97">
        <f ca="1">_xll.meDateFromTenor(I1068,"1D","FOLLOWING","TGT")</f>
        <v>44027</v>
      </c>
      <c r="J1069" s="95">
        <f ca="1"/>
        <v>1.2612952867445356E-3</v>
      </c>
      <c r="K1069" s="5" t="s">
        <v>4</v>
      </c>
      <c r="L1069" s="97">
        <f ca="1">_xll.meDateFromTenor(L1068,"1D","FOLLOWING","TGT")</f>
        <v>44027</v>
      </c>
      <c r="M1069" s="95">
        <f ca="1"/>
        <v>3.1692982073984678E-3</v>
      </c>
      <c r="N1069" s="5" t="s">
        <v>4</v>
      </c>
      <c r="O1069" s="97">
        <f ca="1">_xll.meDateFromTenor(O1068,"1D","FOLLOWING","TGT")</f>
        <v>44027</v>
      </c>
      <c r="P1069" s="95">
        <f ca="1"/>
        <v>5.1613138677253341E-3</v>
      </c>
      <c r="Q1069" s="5" t="s">
        <v>4</v>
      </c>
      <c r="R1069" s="83" t="s">
        <v>4</v>
      </c>
    </row>
    <row r="1070" spans="1:18" x14ac:dyDescent="0.25">
      <c r="A1070" s="88">
        <v>1056</v>
      </c>
      <c r="B1070" s="82"/>
      <c r="C1070" s="97">
        <f ca="1">_xll.meDateFromTenor(C1069,"1D","FOLLOWING","TGT")</f>
        <v>44028</v>
      </c>
      <c r="D1070" s="95">
        <f ca="1"/>
        <v>-9.189727275773496E-4</v>
      </c>
      <c r="E1070" s="92"/>
      <c r="F1070" s="97">
        <f ca="1">_xll.meDateFromTenor(F1069,"1D","FOLLOWING","TGT")</f>
        <v>44028</v>
      </c>
      <c r="G1070" s="95">
        <f ca="1"/>
        <v>1.0723015214696088E-4</v>
      </c>
      <c r="H1070" s="92" t="s">
        <v>4</v>
      </c>
      <c r="I1070" s="97">
        <f ca="1">_xll.meDateFromTenor(I1069,"1D","FOLLOWING","TGT")</f>
        <v>44028</v>
      </c>
      <c r="J1070" s="95">
        <f ca="1"/>
        <v>1.2679481375733844E-3</v>
      </c>
      <c r="K1070" s="5" t="s">
        <v>4</v>
      </c>
      <c r="L1070" s="97">
        <f ca="1">_xll.meDateFromTenor(L1069,"1D","FOLLOWING","TGT")</f>
        <v>44028</v>
      </c>
      <c r="M1070" s="95">
        <f ca="1"/>
        <v>3.1758165876511154E-3</v>
      </c>
      <c r="N1070" s="5" t="s">
        <v>4</v>
      </c>
      <c r="O1070" s="97">
        <f ca="1">_xll.meDateFromTenor(O1069,"1D","FOLLOWING","TGT")</f>
        <v>44028</v>
      </c>
      <c r="P1070" s="95">
        <f ca="1"/>
        <v>5.1679410946717441E-3</v>
      </c>
      <c r="Q1070" s="5" t="s">
        <v>4</v>
      </c>
      <c r="R1070" s="83" t="s">
        <v>4</v>
      </c>
    </row>
    <row r="1071" spans="1:18" x14ac:dyDescent="0.25">
      <c r="A1071" s="88">
        <v>1057</v>
      </c>
      <c r="B1071" s="82"/>
      <c r="C1071" s="97">
        <f ca="1">_xll.meDateFromTenor(C1070,"1D","FOLLOWING","TGT")</f>
        <v>44029</v>
      </c>
      <c r="D1071" s="95">
        <f ca="1"/>
        <v>-9.1063157576631859E-4</v>
      </c>
      <c r="E1071" s="92"/>
      <c r="F1071" s="97">
        <f ca="1">_xll.meDateFromTenor(F1070,"1D","FOLLOWING","TGT")</f>
        <v>44029</v>
      </c>
      <c r="G1071" s="95">
        <f ca="1"/>
        <v>1.1387637262541588E-4</v>
      </c>
      <c r="H1071" s="92" t="s">
        <v>4</v>
      </c>
      <c r="I1071" s="97">
        <f ca="1">_xll.meDateFromTenor(I1070,"1D","FOLLOWING","TGT")</f>
        <v>44029</v>
      </c>
      <c r="J1071" s="95">
        <f ca="1"/>
        <v>1.2746038931713707E-3</v>
      </c>
      <c r="K1071" s="5" t="s">
        <v>4</v>
      </c>
      <c r="L1071" s="97">
        <f ca="1">_xll.meDateFromTenor(L1070,"1D","FOLLOWING","TGT")</f>
        <v>44029</v>
      </c>
      <c r="M1071" s="95">
        <f ca="1"/>
        <v>3.1823379047076412E-3</v>
      </c>
      <c r="N1071" s="5" t="s">
        <v>4</v>
      </c>
      <c r="O1071" s="97">
        <f ca="1">_xll.meDateFromTenor(O1070,"1D","FOLLOWING","TGT")</f>
        <v>44029</v>
      </c>
      <c r="P1071" s="95">
        <f ca="1"/>
        <v>5.1745731201076695E-3</v>
      </c>
      <c r="Q1071" s="5" t="s">
        <v>4</v>
      </c>
      <c r="R1071" s="83" t="s">
        <v>4</v>
      </c>
    </row>
    <row r="1072" spans="1:18" x14ac:dyDescent="0.25">
      <c r="A1072" s="88">
        <v>1058</v>
      </c>
      <c r="B1072" s="82"/>
      <c r="C1072" s="97">
        <f ca="1">_xll.meDateFromTenor(C1071,"1D","FOLLOWING","TGT")</f>
        <v>44032</v>
      </c>
      <c r="D1072" s="95">
        <f ca="1"/>
        <v>-8.8564303230387331E-4</v>
      </c>
      <c r="E1072" s="92"/>
      <c r="F1072" s="97">
        <f ca="1">_xll.meDateFromTenor(F1071,"1D","FOLLOWING","TGT")</f>
        <v>44032</v>
      </c>
      <c r="G1072" s="95">
        <f ca="1"/>
        <v>1.3378985678882431E-4</v>
      </c>
      <c r="H1072" s="92" t="s">
        <v>4</v>
      </c>
      <c r="I1072" s="97">
        <f ca="1">_xll.meDateFromTenor(I1071,"1D","FOLLOWING","TGT")</f>
        <v>44032</v>
      </c>
      <c r="J1072" s="95">
        <f ca="1"/>
        <v>1.2945886914768787E-3</v>
      </c>
      <c r="K1072" s="5" t="s">
        <v>4</v>
      </c>
      <c r="L1072" s="97">
        <f ca="1">_xll.meDateFromTenor(L1071,"1D","FOLLOWING","TGT")</f>
        <v>44032</v>
      </c>
      <c r="M1072" s="95">
        <f ca="1"/>
        <v>3.2019194886982079E-3</v>
      </c>
      <c r="N1072" s="5" t="s">
        <v>4</v>
      </c>
      <c r="O1072" s="97">
        <f ca="1">_xll.meDateFromTenor(O1071,"1D","FOLLOWING","TGT")</f>
        <v>44032</v>
      </c>
      <c r="P1072" s="95">
        <f ca="1"/>
        <v>5.1944978372069012E-3</v>
      </c>
      <c r="Q1072" s="5" t="s">
        <v>4</v>
      </c>
      <c r="R1072" s="83" t="s">
        <v>4</v>
      </c>
    </row>
    <row r="1073" spans="1:18" x14ac:dyDescent="0.25">
      <c r="A1073" s="88">
        <v>1059</v>
      </c>
      <c r="B1073" s="82"/>
      <c r="C1073" s="97">
        <f ca="1">_xll.meDateFromTenor(C1072,"1D","FOLLOWING","TGT")</f>
        <v>44033</v>
      </c>
      <c r="D1073" s="95">
        <f ca="1"/>
        <v>-8.7732515356520047E-4</v>
      </c>
      <c r="E1073" s="92"/>
      <c r="F1073" s="97">
        <f ca="1">_xll.meDateFromTenor(F1072,"1D","FOLLOWING","TGT")</f>
        <v>44033</v>
      </c>
      <c r="G1073" s="95">
        <f ca="1"/>
        <v>1.4042372777703057E-4</v>
      </c>
      <c r="H1073" s="92" t="s">
        <v>4</v>
      </c>
      <c r="I1073" s="97">
        <f ca="1">_xll.meDateFromTenor(I1072,"1D","FOLLOWING","TGT")</f>
        <v>44033</v>
      </c>
      <c r="J1073" s="95">
        <f ca="1"/>
        <v>1.3012561690481513E-3</v>
      </c>
      <c r="K1073" s="5" t="s">
        <v>4</v>
      </c>
      <c r="L1073" s="97">
        <f ca="1">_xll.meDateFromTenor(L1072,"1D","FOLLOWING","TGT")</f>
        <v>44033</v>
      </c>
      <c r="M1073" s="95">
        <f ca="1"/>
        <v>3.2084525649679787E-3</v>
      </c>
      <c r="N1073" s="5" t="s">
        <v>4</v>
      </c>
      <c r="O1073" s="97">
        <f ca="1">_xll.meDateFromTenor(O1072,"1D","FOLLOWING","TGT")</f>
        <v>44033</v>
      </c>
      <c r="P1073" s="95">
        <f ca="1"/>
        <v>5.2011489064552642E-3</v>
      </c>
      <c r="Q1073" s="5" t="s">
        <v>4</v>
      </c>
      <c r="R1073" s="83" t="s">
        <v>4</v>
      </c>
    </row>
    <row r="1074" spans="1:18" x14ac:dyDescent="0.25">
      <c r="A1074" s="88">
        <v>1060</v>
      </c>
      <c r="B1074" s="82"/>
      <c r="C1074" s="97">
        <f ca="1">_xll.meDateFromTenor(C1073,"1D","FOLLOWING","TGT")</f>
        <v>44034</v>
      </c>
      <c r="D1074" s="95">
        <f ca="1"/>
        <v>-8.690130919518646E-4</v>
      </c>
      <c r="E1074" s="92"/>
      <c r="F1074" s="97">
        <f ca="1">_xll.meDateFromTenor(F1073,"1D","FOLLOWING","TGT")</f>
        <v>44034</v>
      </c>
      <c r="G1074" s="95">
        <f ca="1"/>
        <v>1.4705783791096099E-4</v>
      </c>
      <c r="H1074" s="92" t="s">
        <v>4</v>
      </c>
      <c r="I1074" s="97">
        <f ca="1">_xll.meDateFromTenor(I1073,"1D","FOLLOWING","TGT")</f>
        <v>44034</v>
      </c>
      <c r="J1074" s="95">
        <f ca="1"/>
        <v>1.3079266028369308E-3</v>
      </c>
      <c r="K1074" s="5" t="s">
        <v>4</v>
      </c>
      <c r="L1074" s="97">
        <f ca="1">_xll.meDateFromTenor(L1073,"1D","FOLLOWING","TGT")</f>
        <v>44034</v>
      </c>
      <c r="M1074" s="95">
        <f ca="1"/>
        <v>3.2149885840404946E-3</v>
      </c>
      <c r="N1074" s="5" t="s">
        <v>4</v>
      </c>
      <c r="O1074" s="97">
        <f ca="1">_xll.meDateFromTenor(O1073,"1D","FOLLOWING","TGT")</f>
        <v>44034</v>
      </c>
      <c r="P1074" s="95">
        <f ca="1"/>
        <v>5.2078046991203353E-3</v>
      </c>
      <c r="Q1074" s="5" t="s">
        <v>4</v>
      </c>
      <c r="R1074" s="83" t="s">
        <v>4</v>
      </c>
    </row>
    <row r="1075" spans="1:18" x14ac:dyDescent="0.25">
      <c r="A1075" s="88">
        <v>1061</v>
      </c>
      <c r="B1075" s="82"/>
      <c r="C1075" s="97">
        <f ca="1">_xll.meDateFromTenor(C1074,"1D","FOLLOWING","TGT")</f>
        <v>44035</v>
      </c>
      <c r="D1075" s="95">
        <f ca="1"/>
        <v>-8.6070684677241882E-4</v>
      </c>
      <c r="E1075" s="92"/>
      <c r="F1075" s="97">
        <f ca="1">_xll.meDateFromTenor(F1074,"1D","FOLLOWING","TGT")</f>
        <v>44035</v>
      </c>
      <c r="G1075" s="95">
        <f ca="1"/>
        <v>1.5369351779793525E-4</v>
      </c>
      <c r="H1075" s="92" t="s">
        <v>4</v>
      </c>
      <c r="I1075" s="97">
        <f ca="1">_xll.meDateFromTenor(I1074,"1D","FOLLOWING","TGT")</f>
        <v>44035</v>
      </c>
      <c r="J1075" s="95">
        <f ca="1"/>
        <v>1.314600003132896E-3</v>
      </c>
      <c r="K1075" s="5" t="s">
        <v>4</v>
      </c>
      <c r="L1075" s="97">
        <f ca="1">_xll.meDateFromTenor(L1074,"1D","FOLLOWING","TGT")</f>
        <v>44035</v>
      </c>
      <c r="M1075" s="95">
        <f ca="1"/>
        <v>3.2215275471155331E-3</v>
      </c>
      <c r="N1075" s="5" t="s">
        <v>4</v>
      </c>
      <c r="O1075" s="97">
        <f ca="1">_xll.meDateFromTenor(O1074,"1D","FOLLOWING","TGT")</f>
        <v>44035</v>
      </c>
      <c r="P1075" s="95">
        <f ca="1"/>
        <v>5.2144652001875538E-3</v>
      </c>
      <c r="Q1075" s="5" t="s">
        <v>4</v>
      </c>
      <c r="R1075" s="83" t="s">
        <v>4</v>
      </c>
    </row>
    <row r="1076" spans="1:18" x14ac:dyDescent="0.25">
      <c r="A1076" s="88">
        <v>1062</v>
      </c>
      <c r="B1076" s="82"/>
      <c r="C1076" s="97">
        <f ca="1">_xll.meDateFromTenor(C1075,"1D","FOLLOWING","TGT")</f>
        <v>44036</v>
      </c>
      <c r="D1076" s="95">
        <f ca="1"/>
        <v>-8.5240641805184314E-4</v>
      </c>
      <c r="E1076" s="92"/>
      <c r="F1076" s="97">
        <f ca="1">_xll.meDateFromTenor(F1075,"1D","FOLLOWING","TGT")</f>
        <v>44036</v>
      </c>
      <c r="G1076" s="95">
        <f ca="1"/>
        <v>1.6033209804526443E-4</v>
      </c>
      <c r="H1076" s="92" t="s">
        <v>4</v>
      </c>
      <c r="I1076" s="97">
        <f ca="1">_xll.meDateFromTenor(I1075,"1D","FOLLOWING","TGT")</f>
        <v>44036</v>
      </c>
      <c r="J1076" s="95">
        <f ca="1"/>
        <v>1.3212763802257169E-3</v>
      </c>
      <c r="K1076" s="5" t="s">
        <v>4</v>
      </c>
      <c r="L1076" s="97">
        <f ca="1">_xll.meDateFromTenor(L1075,"1D","FOLLOWING","TGT")</f>
        <v>44036</v>
      </c>
      <c r="M1076" s="95">
        <f ca="1"/>
        <v>3.228069455392865E-3</v>
      </c>
      <c r="N1076" s="5" t="s">
        <v>4</v>
      </c>
      <c r="O1076" s="97">
        <f ca="1">_xll.meDateFromTenor(O1075,"1D","FOLLOWING","TGT")</f>
        <v>44036</v>
      </c>
      <c r="P1076" s="95">
        <f ca="1"/>
        <v>5.221130394642357E-3</v>
      </c>
      <c r="Q1076" s="5" t="s">
        <v>4</v>
      </c>
      <c r="R1076" s="83" t="s">
        <v>4</v>
      </c>
    </row>
    <row r="1077" spans="1:18" x14ac:dyDescent="0.25">
      <c r="A1077" s="88">
        <v>1063</v>
      </c>
      <c r="B1077" s="82"/>
      <c r="C1077" s="97">
        <f ca="1">_xll.meDateFromTenor(C1076,"1D","FOLLOWING","TGT")</f>
        <v>44039</v>
      </c>
      <c r="D1077" s="95">
        <f ca="1"/>
        <v>-8.2754002287843687E-4</v>
      </c>
      <c r="E1077" s="92"/>
      <c r="F1077" s="97">
        <f ca="1">_xll.meDateFromTenor(F1076,"1D","FOLLOWING","TGT")</f>
        <v>44039</v>
      </c>
      <c r="G1077" s="95">
        <f ca="1"/>
        <v>1.8027854702255063E-4</v>
      </c>
      <c r="H1077" s="92" t="s">
        <v>4</v>
      </c>
      <c r="I1077" s="97">
        <f ca="1">_xll.meDateFromTenor(I1076,"1D","FOLLOWING","TGT")</f>
        <v>44039</v>
      </c>
      <c r="J1077" s="95">
        <f ca="1"/>
        <v>1.3413234751820796E-3</v>
      </c>
      <c r="K1077" s="5" t="s">
        <v>4</v>
      </c>
      <c r="L1077" s="97">
        <f ca="1">_xll.meDateFromTenor(L1076,"1D","FOLLOWING","TGT")</f>
        <v>44039</v>
      </c>
      <c r="M1077" s="95">
        <f ca="1"/>
        <v>3.2477128634363769E-3</v>
      </c>
      <c r="N1077" s="5" t="s">
        <v>4</v>
      </c>
      <c r="O1077" s="97">
        <f ca="1">_xll.meDateFromTenor(O1076,"1D","FOLLOWING","TGT")</f>
        <v>44039</v>
      </c>
      <c r="P1077" s="95">
        <f ca="1"/>
        <v>5.2411539881866724E-3</v>
      </c>
      <c r="Q1077" s="5" t="s">
        <v>4</v>
      </c>
      <c r="R1077" s="83" t="s">
        <v>4</v>
      </c>
    </row>
    <row r="1078" spans="1:18" x14ac:dyDescent="0.25">
      <c r="A1078" s="88">
        <v>1064</v>
      </c>
      <c r="B1078" s="82"/>
      <c r="C1078" s="97">
        <f ca="1">_xll.meDateFromTenor(C1077,"1D","FOLLOWING","TGT")</f>
        <v>44040</v>
      </c>
      <c r="D1078" s="95">
        <f ca="1"/>
        <v>-8.1926285366362706E-4</v>
      </c>
      <c r="E1078" s="92"/>
      <c r="F1078" s="97">
        <f ca="1">_xll.meDateFromTenor(F1077,"1D","FOLLOWING","TGT")</f>
        <v>44040</v>
      </c>
      <c r="G1078" s="95">
        <f ca="1"/>
        <v>1.8694203478446426E-4</v>
      </c>
      <c r="H1078" s="92" t="s">
        <v>4</v>
      </c>
      <c r="I1078" s="97">
        <f ca="1">_xll.meDateFromTenor(I1077,"1D","FOLLOWING","TGT")</f>
        <v>44040</v>
      </c>
      <c r="J1078" s="95">
        <f ca="1"/>
        <v>1.3480118623590835E-3</v>
      </c>
      <c r="K1078" s="5" t="s">
        <v>4</v>
      </c>
      <c r="L1078" s="97">
        <f ca="1">_xll.meDateFromTenor(L1077,"1D","FOLLOWING","TGT")</f>
        <v>44040</v>
      </c>
      <c r="M1078" s="95">
        <f ca="1"/>
        <v>3.2542665645206347E-3</v>
      </c>
      <c r="N1078" s="5" t="s">
        <v>4</v>
      </c>
      <c r="O1078" s="97">
        <f ca="1">_xll.meDateFromTenor(O1077,"1D","FOLLOWING","TGT")</f>
        <v>44040</v>
      </c>
      <c r="P1078" s="95">
        <f ca="1"/>
        <v>5.2478378060462115E-3</v>
      </c>
      <c r="Q1078" s="5" t="s">
        <v>4</v>
      </c>
      <c r="R1078" s="83" t="s">
        <v>4</v>
      </c>
    </row>
    <row r="1079" spans="1:18" x14ac:dyDescent="0.25">
      <c r="A1079" s="88">
        <v>1065</v>
      </c>
      <c r="B1079" s="82"/>
      <c r="C1079" s="97">
        <f ca="1">_xll.meDateFromTenor(C1078,"1D","FOLLOWING","TGT")</f>
        <v>44041</v>
      </c>
      <c r="D1079" s="95">
        <f ca="1"/>
        <v>-8.1099149800201165E-4</v>
      </c>
      <c r="E1079" s="92"/>
      <c r="F1079" s="97">
        <f ca="1">_xll.meDateFromTenor(F1078,"1D","FOLLOWING","TGT")</f>
        <v>44041</v>
      </c>
      <c r="G1079" s="95">
        <f ca="1"/>
        <v>1.9361507594330976E-4</v>
      </c>
      <c r="H1079" s="92" t="s">
        <v>4</v>
      </c>
      <c r="I1079" s="97">
        <f ca="1">_xll.meDateFromTenor(I1078,"1D","FOLLOWING","TGT")</f>
        <v>44041</v>
      </c>
      <c r="J1079" s="95">
        <f ca="1"/>
        <v>1.3547032777813173E-3</v>
      </c>
      <c r="K1079" s="5" t="s">
        <v>4</v>
      </c>
      <c r="L1079" s="97">
        <f ca="1">_xll.meDateFromTenor(L1078,"1D","FOLLOWING","TGT")</f>
        <v>44041</v>
      </c>
      <c r="M1079" s="95">
        <f ca="1"/>
        <v>3.2608232168060565E-3</v>
      </c>
      <c r="N1079" s="5" t="s">
        <v>4</v>
      </c>
      <c r="O1079" s="97">
        <f ca="1">_xll.meDateFromTenor(O1078,"1D","FOLLOWING","TGT")</f>
        <v>44041</v>
      </c>
      <c r="P1079" s="95">
        <f ca="1"/>
        <v>5.2545262422205299E-3</v>
      </c>
      <c r="Q1079" s="5" t="s">
        <v>4</v>
      </c>
      <c r="R1079" s="83" t="s">
        <v>4</v>
      </c>
    </row>
    <row r="1080" spans="1:18" x14ac:dyDescent="0.25">
      <c r="A1080" s="88">
        <v>1066</v>
      </c>
      <c r="B1080" s="82"/>
      <c r="C1080" s="97">
        <f ca="1">_xll.meDateFromTenor(C1079,"1D","FOLLOWING","TGT")</f>
        <v>44042</v>
      </c>
      <c r="D1080" s="95">
        <f ca="1"/>
        <v>-8.027259556380173E-4</v>
      </c>
      <c r="E1080" s="92"/>
      <c r="F1080" s="97">
        <f ca="1">_xll.meDateFromTenor(F1079,"1D","FOLLOWING","TGT")</f>
        <v>44042</v>
      </c>
      <c r="G1080" s="95">
        <f ca="1"/>
        <v>2.0029900110640468E-4</v>
      </c>
      <c r="H1080" s="92" t="s">
        <v>4</v>
      </c>
      <c r="I1080" s="97">
        <f ca="1">_xll.meDateFromTenor(I1079,"1D","FOLLOWING","TGT")</f>
        <v>44042</v>
      </c>
      <c r="J1080" s="95">
        <f ca="1"/>
        <v>1.3613977317384583E-3</v>
      </c>
      <c r="K1080" s="5" t="s">
        <v>4</v>
      </c>
      <c r="L1080" s="97">
        <f ca="1">_xll.meDateFromTenor(L1079,"1D","FOLLOWING","TGT")</f>
        <v>44042</v>
      </c>
      <c r="M1080" s="95">
        <f ca="1"/>
        <v>3.2673828214924189E-3</v>
      </c>
      <c r="N1080" s="5" t="s">
        <v>4</v>
      </c>
      <c r="O1080" s="97">
        <f ca="1">_xll.meDateFromTenor(O1079,"1D","FOLLOWING","TGT")</f>
        <v>44042</v>
      </c>
      <c r="P1080" s="95">
        <f ca="1"/>
        <v>5.2612192816950676E-3</v>
      </c>
      <c r="Q1080" s="5" t="s">
        <v>4</v>
      </c>
      <c r="R1080" s="83" t="s">
        <v>4</v>
      </c>
    </row>
    <row r="1081" spans="1:18" x14ac:dyDescent="0.25">
      <c r="A1081" s="88">
        <v>1067</v>
      </c>
      <c r="B1081" s="82"/>
      <c r="C1081" s="97">
        <f ca="1">_xll.meDateFromTenor(C1080,"1D","FOLLOWING","TGT")</f>
        <v>44043</v>
      </c>
      <c r="D1081" s="95">
        <f ca="1"/>
        <v>-7.9446622587919791E-4</v>
      </c>
      <c r="E1081" s="92"/>
      <c r="F1081" s="97">
        <f ca="1">_xll.meDateFromTenor(F1080,"1D","FOLLOWING","TGT")</f>
        <v>44043</v>
      </c>
      <c r="G1081" s="95">
        <f ca="1"/>
        <v>2.0699514088106665E-4</v>
      </c>
      <c r="H1081" s="92" t="s">
        <v>4</v>
      </c>
      <c r="I1081" s="97">
        <f ca="1">_xll.meDateFromTenor(I1080,"1D","FOLLOWING","TGT")</f>
        <v>44043</v>
      </c>
      <c r="J1081" s="95">
        <f ca="1"/>
        <v>1.3680952345201829E-3</v>
      </c>
      <c r="K1081" s="5" t="s">
        <v>4</v>
      </c>
      <c r="L1081" s="97">
        <f ca="1">_xll.meDateFromTenor(L1080,"1D","FOLLOWING","TGT")</f>
        <v>44043</v>
      </c>
      <c r="M1081" s="95">
        <f ca="1"/>
        <v>3.273945379779499E-3</v>
      </c>
      <c r="N1081" s="5" t="s">
        <v>4</v>
      </c>
      <c r="O1081" s="97">
        <f ca="1">_xll.meDateFromTenor(O1080,"1D","FOLLOWING","TGT")</f>
        <v>44043</v>
      </c>
      <c r="P1081" s="95">
        <f ca="1"/>
        <v>5.2679169094552681E-3</v>
      </c>
      <c r="Q1081" s="5" t="s">
        <v>4</v>
      </c>
      <c r="R1081" s="83" t="s">
        <v>4</v>
      </c>
    </row>
    <row r="1082" spans="1:18" x14ac:dyDescent="0.25">
      <c r="A1082" s="88">
        <v>1068</v>
      </c>
      <c r="B1082" s="82"/>
      <c r="C1082" s="97">
        <f ca="1">_xll.meDateFromTenor(C1081,"1D","FOLLOWING","TGT")</f>
        <v>44046</v>
      </c>
      <c r="D1082" s="95">
        <f ca="1"/>
        <v>-7.6972190860569167E-4</v>
      </c>
      <c r="E1082" s="92"/>
      <c r="F1082" s="97">
        <f ca="1">_xll.meDateFromTenor(F1081,"1D","FOLLOWING","TGT")</f>
        <v>44046</v>
      </c>
      <c r="G1082" s="95">
        <f ca="1"/>
        <v>2.2717015394759109E-4</v>
      </c>
      <c r="H1082" s="92" t="s">
        <v>4</v>
      </c>
      <c r="I1082" s="97">
        <f ca="1">_xll.meDateFromTenor(I1081,"1D","FOLLOWING","TGT")</f>
        <v>44046</v>
      </c>
      <c r="J1082" s="95">
        <f ca="1"/>
        <v>1.3882061387095908E-3</v>
      </c>
      <c r="K1082" s="5" t="s">
        <v>4</v>
      </c>
      <c r="L1082" s="97">
        <f ca="1">_xll.meDateFromTenor(L1081,"1D","FOLLOWING","TGT")</f>
        <v>44046</v>
      </c>
      <c r="M1082" s="95">
        <f ca="1"/>
        <v>3.2936507882427649E-3</v>
      </c>
      <c r="N1082" s="5" t="s">
        <v>4</v>
      </c>
      <c r="O1082" s="97">
        <f ca="1">_xll.meDateFromTenor(O1081,"1D","FOLLOWING","TGT")</f>
        <v>44046</v>
      </c>
      <c r="P1082" s="95">
        <f ca="1"/>
        <v>5.2880371723042097E-3</v>
      </c>
      <c r="Q1082" s="5" t="s">
        <v>4</v>
      </c>
      <c r="R1082" s="83" t="s">
        <v>4</v>
      </c>
    </row>
    <row r="1083" spans="1:18" x14ac:dyDescent="0.25">
      <c r="A1083" s="88">
        <v>1069</v>
      </c>
      <c r="B1083" s="82"/>
      <c r="C1083" s="97">
        <f ca="1">_xll.meDateFromTenor(C1082,"1D","FOLLOWING","TGT")</f>
        <v>44047</v>
      </c>
      <c r="D1083" s="95">
        <f ca="1"/>
        <v>-7.6148542516174533E-4</v>
      </c>
      <c r="E1083" s="92"/>
      <c r="F1083" s="97">
        <f ca="1">_xll.meDateFromTenor(F1082,"1D","FOLLOWING","TGT")</f>
        <v>44047</v>
      </c>
      <c r="G1083" s="95">
        <f ca="1"/>
        <v>2.3392819470324599E-4</v>
      </c>
      <c r="H1083" s="92" t="s">
        <v>4</v>
      </c>
      <c r="I1083" s="97">
        <f ca="1">_xll.meDateFromTenor(I1082,"1D","FOLLOWING","TGT")</f>
        <v>44047</v>
      </c>
      <c r="J1083" s="95">
        <f ca="1"/>
        <v>1.3949159396863876E-3</v>
      </c>
      <c r="K1083" s="5" t="s">
        <v>4</v>
      </c>
      <c r="L1083" s="97">
        <f ca="1">_xll.meDateFromTenor(L1082,"1D","FOLLOWING","TGT")</f>
        <v>44047</v>
      </c>
      <c r="M1083" s="95">
        <f ca="1"/>
        <v>3.3002251729304442E-3</v>
      </c>
      <c r="N1083" s="5" t="s">
        <v>4</v>
      </c>
      <c r="O1083" s="97">
        <f ca="1">_xll.meDateFromTenor(O1082,"1D","FOLLOWING","TGT")</f>
        <v>44047</v>
      </c>
      <c r="P1083" s="95">
        <f ca="1"/>
        <v>5.2947530030614358E-3</v>
      </c>
      <c r="Q1083" s="5" t="s">
        <v>4</v>
      </c>
      <c r="R1083" s="83" t="s">
        <v>4</v>
      </c>
    </row>
    <row r="1084" spans="1:18" x14ac:dyDescent="0.25">
      <c r="A1084" s="88">
        <v>1070</v>
      </c>
      <c r="B1084" s="82"/>
      <c r="C1084" s="97">
        <f ca="1">_xll.meDateFromTenor(C1083,"1D","FOLLOWING","TGT")</f>
        <v>44048</v>
      </c>
      <c r="D1084" s="95">
        <f ca="1"/>
        <v>-7.5325475208976034E-4</v>
      </c>
      <c r="E1084" s="92"/>
      <c r="F1084" s="97">
        <f ca="1">_xll.meDateFromTenor(F1083,"1D","FOLLOWING","TGT")</f>
        <v>44048</v>
      </c>
      <c r="G1084" s="95">
        <f ca="1"/>
        <v>2.4070352187653378E-4</v>
      </c>
      <c r="H1084" s="92" t="s">
        <v>4</v>
      </c>
      <c r="I1084" s="97">
        <f ca="1">_xll.meDateFromTenor(I1083,"1D","FOLLOWING","TGT")</f>
        <v>44048</v>
      </c>
      <c r="J1084" s="95">
        <f ca="1"/>
        <v>1.40162884093614E-3</v>
      </c>
      <c r="K1084" s="5" t="s">
        <v>4</v>
      </c>
      <c r="L1084" s="97">
        <f ca="1">_xll.meDateFromTenor(L1083,"1D","FOLLOWING","TGT")</f>
        <v>44048</v>
      </c>
      <c r="M1084" s="95">
        <f ca="1"/>
        <v>3.3068025172177094E-3</v>
      </c>
      <c r="N1084" s="5" t="s">
        <v>4</v>
      </c>
      <c r="O1084" s="97">
        <f ca="1">_xll.meDateFromTenor(O1083,"1D","FOLLOWING","TGT")</f>
        <v>44048</v>
      </c>
      <c r="P1084" s="95">
        <f ca="1"/>
        <v>5.3014733470315156E-3</v>
      </c>
      <c r="Q1084" s="5" t="s">
        <v>4</v>
      </c>
      <c r="R1084" s="83" t="s">
        <v>4</v>
      </c>
    </row>
    <row r="1085" spans="1:18" x14ac:dyDescent="0.25">
      <c r="A1085" s="88">
        <v>1071</v>
      </c>
      <c r="B1085" s="82"/>
      <c r="C1085" s="97">
        <f ca="1">_xll.meDateFromTenor(C1084,"1D","FOLLOWING","TGT")</f>
        <v>44049</v>
      </c>
      <c r="D1085" s="95">
        <f ca="1"/>
        <v>-7.4502988893587752E-4</v>
      </c>
      <c r="E1085" s="92"/>
      <c r="F1085" s="97">
        <f ca="1">_xll.meDateFromTenor(F1084,"1D","FOLLOWING","TGT")</f>
        <v>44049</v>
      </c>
      <c r="G1085" s="95">
        <f ca="1"/>
        <v>2.4749588484426326E-4</v>
      </c>
      <c r="H1085" s="92" t="s">
        <v>4</v>
      </c>
      <c r="I1085" s="97">
        <f ca="1">_xll.meDateFromTenor(I1084,"1D","FOLLOWING","TGT")</f>
        <v>44049</v>
      </c>
      <c r="J1085" s="95">
        <f ca="1"/>
        <v>1.4083448527485254E-3</v>
      </c>
      <c r="K1085" s="5" t="s">
        <v>4</v>
      </c>
      <c r="L1085" s="97">
        <f ca="1">_xll.meDateFromTenor(L1084,"1D","FOLLOWING","TGT")</f>
        <v>44049</v>
      </c>
      <c r="M1085" s="95">
        <f ca="1"/>
        <v>3.3133828223043367E-3</v>
      </c>
      <c r="N1085" s="5" t="s">
        <v>4</v>
      </c>
      <c r="O1085" s="97">
        <f ca="1">_xll.meDateFromTenor(O1084,"1D","FOLLOWING","TGT")</f>
        <v>44049</v>
      </c>
      <c r="P1085" s="95">
        <f ca="1"/>
        <v>5.3081981891998911E-3</v>
      </c>
      <c r="Q1085" s="5" t="s">
        <v>4</v>
      </c>
      <c r="R1085" s="83" t="s">
        <v>4</v>
      </c>
    </row>
    <row r="1086" spans="1:18" x14ac:dyDescent="0.25">
      <c r="A1086" s="88">
        <v>1072</v>
      </c>
      <c r="B1086" s="82"/>
      <c r="C1086" s="97">
        <f ca="1">_xll.meDateFromTenor(C1085,"1D","FOLLOWING","TGT")</f>
        <v>44050</v>
      </c>
      <c r="D1086" s="95">
        <f ca="1"/>
        <v>-7.3681083512455725E-4</v>
      </c>
      <c r="E1086" s="92"/>
      <c r="F1086" s="97">
        <f ca="1">_xll.meDateFromTenor(F1085,"1D","FOLLOWING","TGT")</f>
        <v>44050</v>
      </c>
      <c r="G1086" s="95">
        <f ca="1"/>
        <v>2.543050329832365E-4</v>
      </c>
      <c r="H1086" s="92" t="s">
        <v>4</v>
      </c>
      <c r="I1086" s="97">
        <f ca="1">_xll.meDateFromTenor(I1085,"1D","FOLLOWING","TGT")</f>
        <v>44050</v>
      </c>
      <c r="J1086" s="95">
        <f ca="1"/>
        <v>1.4150639854132135E-3</v>
      </c>
      <c r="K1086" s="5" t="s">
        <v>4</v>
      </c>
      <c r="L1086" s="97">
        <f ca="1">_xll.meDateFromTenor(L1085,"1D","FOLLOWING","TGT")</f>
        <v>44050</v>
      </c>
      <c r="M1086" s="95">
        <f ca="1"/>
        <v>3.319966089390097E-3</v>
      </c>
      <c r="N1086" s="5" t="s">
        <v>4</v>
      </c>
      <c r="O1086" s="97">
        <f ca="1">_xll.meDateFromTenor(O1085,"1D","FOLLOWING","TGT")</f>
        <v>44050</v>
      </c>
      <c r="P1086" s="95">
        <f ca="1"/>
        <v>5.3149275145519988E-3</v>
      </c>
      <c r="Q1086" s="5" t="s">
        <v>4</v>
      </c>
      <c r="R1086" s="83" t="s">
        <v>4</v>
      </c>
    </row>
    <row r="1087" spans="1:18" x14ac:dyDescent="0.25">
      <c r="A1087" s="88">
        <v>1073</v>
      </c>
      <c r="B1087" s="82"/>
      <c r="C1087" s="97">
        <f ca="1">_xll.meDateFromTenor(C1086,"1D","FOLLOWING","TGT")</f>
        <v>44053</v>
      </c>
      <c r="D1087" s="95">
        <f ca="1"/>
        <v>-7.1218852595700266E-4</v>
      </c>
      <c r="E1087" s="92"/>
      <c r="F1087" s="97">
        <f ca="1">_xll.meDateFromTenor(F1086,"1D","FOLLOWING","TGT")</f>
        <v>44053</v>
      </c>
      <c r="G1087" s="95">
        <f ca="1"/>
        <v>2.7483068219569956E-4</v>
      </c>
      <c r="H1087" s="92" t="s">
        <v>4</v>
      </c>
      <c r="I1087" s="97">
        <f ca="1">_xll.meDateFromTenor(I1086,"1D","FOLLOWING","TGT")</f>
        <v>44053</v>
      </c>
      <c r="J1087" s="95">
        <f ca="1"/>
        <v>1.4352402114178589E-3</v>
      </c>
      <c r="K1087" s="5" t="s">
        <v>4</v>
      </c>
      <c r="L1087" s="97">
        <f ca="1">_xll.meDateFromTenor(L1086,"1D","FOLLOWING","TGT")</f>
        <v>44053</v>
      </c>
      <c r="M1087" s="95">
        <f ca="1"/>
        <v>3.3397336746399282E-3</v>
      </c>
      <c r="N1087" s="5" t="s">
        <v>4</v>
      </c>
      <c r="O1087" s="97">
        <f ca="1">_xll.meDateFromTenor(O1086,"1D","FOLLOWING","TGT")</f>
        <v>44053</v>
      </c>
      <c r="P1087" s="95">
        <f ca="1"/>
        <v>5.3351422395651084E-3</v>
      </c>
      <c r="Q1087" s="5" t="s">
        <v>4</v>
      </c>
      <c r="R1087" s="83" t="s">
        <v>4</v>
      </c>
    </row>
    <row r="1088" spans="1:18" x14ac:dyDescent="0.25">
      <c r="A1088" s="88">
        <v>1074</v>
      </c>
      <c r="B1088" s="82"/>
      <c r="C1088" s="97">
        <f ca="1">_xll.meDateFromTenor(C1087,"1D","FOLLOWING","TGT")</f>
        <v>44054</v>
      </c>
      <c r="D1088" s="95">
        <f ca="1"/>
        <v>-7.0399270536591896E-4</v>
      </c>
      <c r="E1088" s="92"/>
      <c r="F1088" s="97">
        <f ca="1">_xll.meDateFromTenor(F1087,"1D","FOLLOWING","TGT")</f>
        <v>44054</v>
      </c>
      <c r="G1088" s="95">
        <f ca="1"/>
        <v>2.8170446478772418E-4</v>
      </c>
      <c r="H1088" s="92" t="s">
        <v>4</v>
      </c>
      <c r="I1088" s="97">
        <f ca="1">_xll.meDateFromTenor(I1087,"1D","FOLLOWING","TGT")</f>
        <v>44054</v>
      </c>
      <c r="J1088" s="95">
        <f ca="1"/>
        <v>1.4419719303885178E-3</v>
      </c>
      <c r="K1088" s="5" t="s">
        <v>4</v>
      </c>
      <c r="L1088" s="97">
        <f ca="1">_xll.meDateFromTenor(L1087,"1D","FOLLOWING","TGT")</f>
        <v>44054</v>
      </c>
      <c r="M1088" s="95">
        <f ca="1"/>
        <v>3.3463288017199699E-3</v>
      </c>
      <c r="N1088" s="5" t="s">
        <v>4</v>
      </c>
      <c r="O1088" s="97">
        <f ca="1">_xll.meDateFromTenor(O1087,"1D","FOLLOWING","TGT")</f>
        <v>44054</v>
      </c>
      <c r="P1088" s="95">
        <f ca="1"/>
        <v>5.3418893475065399E-3</v>
      </c>
      <c r="Q1088" s="5" t="s">
        <v>4</v>
      </c>
      <c r="R1088" s="83" t="s">
        <v>4</v>
      </c>
    </row>
    <row r="1089" spans="1:18" x14ac:dyDescent="0.25">
      <c r="A1089" s="88">
        <v>1075</v>
      </c>
      <c r="B1089" s="82"/>
      <c r="C1089" s="97">
        <f ca="1">_xll.meDateFromTenor(C1088,"1D","FOLLOWING","TGT")</f>
        <v>44055</v>
      </c>
      <c r="D1089" s="95">
        <f ca="1"/>
        <v>-6.9580269172120346E-4</v>
      </c>
      <c r="E1089" s="92"/>
      <c r="F1089" s="97">
        <f ca="1">_xll.meDateFromTenor(F1088,"1D","FOLLOWING","TGT")</f>
        <v>44055</v>
      </c>
      <c r="G1089" s="95">
        <f ca="1"/>
        <v>2.8859377943502528E-4</v>
      </c>
      <c r="H1089" s="92" t="s">
        <v>4</v>
      </c>
      <c r="I1089" s="97">
        <f ca="1">_xll.meDateFromTenor(I1088,"1D","FOLLOWING","TGT")</f>
        <v>44055</v>
      </c>
      <c r="J1089" s="95">
        <f ca="1"/>
        <v>1.4487068216598533E-3</v>
      </c>
      <c r="K1089" s="5" t="s">
        <v>4</v>
      </c>
      <c r="L1089" s="97">
        <f ca="1">_xll.meDateFromTenor(L1088,"1D","FOLLOWING","TGT")</f>
        <v>44055</v>
      </c>
      <c r="M1089" s="95">
        <f ca="1"/>
        <v>3.3529268967980156E-3</v>
      </c>
      <c r="N1089" s="5" t="s">
        <v>4</v>
      </c>
      <c r="O1089" s="97">
        <f ca="1">_xll.meDateFromTenor(O1088,"1D","FOLLOWING","TGT")</f>
        <v>44055</v>
      </c>
      <c r="P1089" s="95">
        <f ca="1"/>
        <v>5.3486408635588954E-3</v>
      </c>
      <c r="Q1089" s="5" t="s">
        <v>4</v>
      </c>
      <c r="R1089" s="83" t="s">
        <v>4</v>
      </c>
    </row>
    <row r="1090" spans="1:18" x14ac:dyDescent="0.25">
      <c r="A1090" s="88">
        <v>1076</v>
      </c>
      <c r="B1090" s="82"/>
      <c r="C1090" s="97">
        <f ca="1">_xll.meDateFromTenor(C1089,"1D","FOLLOWING","TGT")</f>
        <v>44056</v>
      </c>
      <c r="D1090" s="95">
        <f ca="1"/>
        <v>-6.8761848504750311E-4</v>
      </c>
      <c r="E1090" s="92"/>
      <c r="F1090" s="97">
        <f ca="1">_xll.meDateFromTenor(F1089,"1D","FOLLOWING","TGT")</f>
        <v>44056</v>
      </c>
      <c r="G1090" s="95">
        <f ca="1"/>
        <v>2.9549837551441361E-4</v>
      </c>
      <c r="H1090" s="92" t="s">
        <v>4</v>
      </c>
      <c r="I1090" s="97">
        <f ca="1">_xll.meDateFromTenor(I1089,"1D","FOLLOWING","TGT")</f>
        <v>44056</v>
      </c>
      <c r="J1090" s="95">
        <f ca="1"/>
        <v>1.4554448955215449E-3</v>
      </c>
      <c r="K1090" s="5" t="s">
        <v>4</v>
      </c>
      <c r="L1090" s="97">
        <f ca="1">_xll.meDateFromTenor(L1089,"1D","FOLLOWING","TGT")</f>
        <v>44056</v>
      </c>
      <c r="M1090" s="95">
        <f ca="1"/>
        <v>3.3595279610738435E-3</v>
      </c>
      <c r="N1090" s="5" t="s">
        <v>4</v>
      </c>
      <c r="O1090" s="97">
        <f ca="1">_xll.meDateFromTenor(O1089,"1D","FOLLOWING","TGT")</f>
        <v>44056</v>
      </c>
      <c r="P1090" s="95">
        <f ca="1"/>
        <v>5.355396772707622E-3</v>
      </c>
      <c r="Q1090" s="5" t="s">
        <v>4</v>
      </c>
      <c r="R1090" s="83" t="s">
        <v>4</v>
      </c>
    </row>
    <row r="1091" spans="1:18" x14ac:dyDescent="0.25">
      <c r="A1091" s="88">
        <v>1077</v>
      </c>
      <c r="B1091" s="82"/>
      <c r="C1091" s="97">
        <f ca="1">_xll.meDateFromTenor(C1090,"1D","FOLLOWING","TGT")</f>
        <v>44057</v>
      </c>
      <c r="D1091" s="95">
        <f ca="1"/>
        <v>-6.7944008432885283E-4</v>
      </c>
      <c r="E1091" s="92"/>
      <c r="F1091" s="97">
        <f ca="1">_xll.meDateFromTenor(F1090,"1D","FOLLOWING","TGT")</f>
        <v>44057</v>
      </c>
      <c r="G1091" s="95">
        <f ca="1"/>
        <v>3.0241800240269143E-4</v>
      </c>
      <c r="H1091" s="92" t="s">
        <v>4</v>
      </c>
      <c r="I1091" s="97">
        <f ca="1">_xll.meDateFromTenor(I1090,"1D","FOLLOWING","TGT")</f>
        <v>44057</v>
      </c>
      <c r="J1091" s="95">
        <f ca="1"/>
        <v>1.462186162263263E-3</v>
      </c>
      <c r="K1091" s="5" t="s">
        <v>4</v>
      </c>
      <c r="L1091" s="97">
        <f ca="1">_xll.meDateFromTenor(L1090,"1D","FOLLOWING","TGT")</f>
        <v>44057</v>
      </c>
      <c r="M1091" s="95">
        <f ca="1"/>
        <v>3.3661319957472226E-3</v>
      </c>
      <c r="N1091" s="5" t="s">
        <v>4</v>
      </c>
      <c r="O1091" s="97">
        <f ca="1">_xll.meDateFromTenor(O1090,"1D","FOLLOWING","TGT")</f>
        <v>44057</v>
      </c>
      <c r="P1091" s="95">
        <f ca="1"/>
        <v>5.3621570599381527E-3</v>
      </c>
      <c r="Q1091" s="5" t="s">
        <v>4</v>
      </c>
      <c r="R1091" s="83" t="s">
        <v>4</v>
      </c>
    </row>
    <row r="1092" spans="1:18" x14ac:dyDescent="0.25">
      <c r="A1092" s="88">
        <v>1078</v>
      </c>
      <c r="B1092" s="82"/>
      <c r="C1092" s="97">
        <f ca="1">_xll.meDateFromTenor(C1091,"1D","FOLLOWING","TGT")</f>
        <v>44060</v>
      </c>
      <c r="D1092" s="95">
        <f ca="1"/>
        <v>-6.5493971490548919E-4</v>
      </c>
      <c r="E1092" s="92"/>
      <c r="F1092" s="97">
        <f ca="1">_xll.meDateFromTenor(F1091,"1D","FOLLOWING","TGT")</f>
        <v>44060</v>
      </c>
      <c r="G1092" s="95">
        <f ca="1"/>
        <v>3.2326456168894235E-4</v>
      </c>
      <c r="H1092" s="92" t="s">
        <v>4</v>
      </c>
      <c r="I1092" s="97">
        <f ca="1">_xll.meDateFromTenor(I1091,"1D","FOLLOWING","TGT")</f>
        <v>44060</v>
      </c>
      <c r="J1092" s="95">
        <f ca="1"/>
        <v>1.4824292226653388E-3</v>
      </c>
      <c r="K1092" s="5" t="s">
        <v>4</v>
      </c>
      <c r="L1092" s="97">
        <f ca="1">_xll.meDateFromTenor(L1091,"1D","FOLLOWING","TGT")</f>
        <v>44060</v>
      </c>
      <c r="M1092" s="95">
        <f ca="1"/>
        <v>3.3859619341504296E-3</v>
      </c>
      <c r="N1092" s="5" t="s">
        <v>4</v>
      </c>
      <c r="O1092" s="97">
        <f ca="1">_xll.meDateFromTenor(O1091,"1D","FOLLOWING","TGT")</f>
        <v>44060</v>
      </c>
      <c r="P1092" s="95">
        <f ca="1"/>
        <v>5.3824640399749747E-3</v>
      </c>
      <c r="Q1092" s="5" t="s">
        <v>4</v>
      </c>
      <c r="R1092" s="83" t="s">
        <v>4</v>
      </c>
    </row>
    <row r="1093" spans="1:18" x14ac:dyDescent="0.25">
      <c r="A1093" s="88">
        <v>1079</v>
      </c>
      <c r="B1093" s="82"/>
      <c r="C1093" s="97">
        <f ca="1">_xll.meDateFromTenor(C1092,"1D","FOLLOWING","TGT")</f>
        <v>44061</v>
      </c>
      <c r="D1093" s="95">
        <f ca="1"/>
        <v>-6.4678453440780714E-4</v>
      </c>
      <c r="E1093" s="92"/>
      <c r="F1093" s="97">
        <f ca="1">_xll.meDateFromTenor(F1092,"1D","FOLLOWING","TGT")</f>
        <v>44061</v>
      </c>
      <c r="G1093" s="95">
        <f ca="1"/>
        <v>3.3024180558085197E-4</v>
      </c>
      <c r="H1093" s="92" t="s">
        <v>4</v>
      </c>
      <c r="I1093" s="97">
        <f ca="1">_xll.meDateFromTenor(I1092,"1D","FOLLOWING","TGT")</f>
        <v>44061</v>
      </c>
      <c r="J1093" s="95">
        <f ca="1"/>
        <v>1.4891833638239192E-3</v>
      </c>
      <c r="K1093" s="5" t="s">
        <v>4</v>
      </c>
      <c r="L1093" s="97">
        <f ca="1">_xll.meDateFromTenor(L1092,"1D","FOLLOWING","TGT")</f>
        <v>44061</v>
      </c>
      <c r="M1093" s="95">
        <f ca="1"/>
        <v>3.3925778624117674E-3</v>
      </c>
      <c r="N1093" s="5" t="s">
        <v>4</v>
      </c>
      <c r="O1093" s="97">
        <f ca="1">_xll.meDateFromTenor(O1092,"1D","FOLLOWING","TGT")</f>
        <v>44061</v>
      </c>
      <c r="P1093" s="95">
        <f ca="1"/>
        <v>5.3892416893871198E-3</v>
      </c>
      <c r="Q1093" s="5" t="s">
        <v>4</v>
      </c>
      <c r="R1093" s="83" t="s">
        <v>4</v>
      </c>
    </row>
    <row r="1094" spans="1:18" x14ac:dyDescent="0.25">
      <c r="A1094" s="88">
        <v>1080</v>
      </c>
      <c r="B1094" s="82"/>
      <c r="C1094" s="97">
        <f ca="1">_xll.meDateFromTenor(C1093,"1D","FOLLOWING","TGT")</f>
        <v>44062</v>
      </c>
      <c r="D1094" s="95">
        <f ca="1"/>
        <v>-6.3863515782514035E-4</v>
      </c>
      <c r="E1094" s="92"/>
      <c r="F1094" s="97">
        <f ca="1">_xll.meDateFromTenor(F1093,"1D","FOLLOWING","TGT")</f>
        <v>44062</v>
      </c>
      <c r="G1094" s="95">
        <f ca="1"/>
        <v>3.3723282716568824E-4</v>
      </c>
      <c r="H1094" s="92" t="s">
        <v>4</v>
      </c>
      <c r="I1094" s="97">
        <f ca="1">_xll.meDateFromTenor(I1093,"1D","FOLLOWING","TGT")</f>
        <v>44062</v>
      </c>
      <c r="J1094" s="95">
        <f ca="1"/>
        <v>1.4959407493109046E-3</v>
      </c>
      <c r="K1094" s="5" t="s">
        <v>4</v>
      </c>
      <c r="L1094" s="97">
        <f ca="1">_xll.meDateFromTenor(L1093,"1D","FOLLOWING","TGT")</f>
        <v>44062</v>
      </c>
      <c r="M1094" s="95">
        <f ca="1"/>
        <v>3.3991967670695322E-3</v>
      </c>
      <c r="N1094" s="5" t="s">
        <v>4</v>
      </c>
      <c r="O1094" s="97">
        <f ca="1">_xll.meDateFromTenor(O1093,"1D","FOLLOWING","TGT")</f>
        <v>44062</v>
      </c>
      <c r="P1094" s="95">
        <f ca="1"/>
        <v>5.3960236418082695E-3</v>
      </c>
      <c r="Q1094" s="5" t="s">
        <v>4</v>
      </c>
      <c r="R1094" s="83" t="s">
        <v>4</v>
      </c>
    </row>
    <row r="1095" spans="1:18" x14ac:dyDescent="0.25">
      <c r="A1095" s="88">
        <v>1081</v>
      </c>
      <c r="B1095" s="82"/>
      <c r="C1095" s="97">
        <f ca="1">_xll.meDateFromTenor(C1094,"1D","FOLLOWING","TGT")</f>
        <v>44063</v>
      </c>
      <c r="D1095" s="95">
        <f ca="1"/>
        <v>-6.3049158482009204E-4</v>
      </c>
      <c r="E1095" s="92"/>
      <c r="F1095" s="97">
        <f ca="1">_xll.meDateFromTenor(F1094,"1D","FOLLOWING","TGT")</f>
        <v>44063</v>
      </c>
      <c r="G1095" s="95">
        <f ca="1"/>
        <v>3.4423737582025301E-4</v>
      </c>
      <c r="H1095" s="92" t="s">
        <v>4</v>
      </c>
      <c r="I1095" s="97">
        <f ca="1">_xll.meDateFromTenor(I1094,"1D","FOLLOWING","TGT")</f>
        <v>44063</v>
      </c>
      <c r="J1095" s="95">
        <f ca="1"/>
        <v>1.5027013894159645E-3</v>
      </c>
      <c r="K1095" s="5" t="s">
        <v>4</v>
      </c>
      <c r="L1095" s="97">
        <f ca="1">_xll.meDateFromTenor(L1094,"1D","FOLLOWING","TGT")</f>
        <v>44063</v>
      </c>
      <c r="M1095" s="95">
        <f ca="1"/>
        <v>3.4058186493234944E-3</v>
      </c>
      <c r="N1095" s="5" t="s">
        <v>4</v>
      </c>
      <c r="O1095" s="97">
        <f ca="1">_xll.meDateFromTenor(O1094,"1D","FOLLOWING","TGT")</f>
        <v>44063</v>
      </c>
      <c r="P1095" s="95">
        <f ca="1"/>
        <v>5.4028098822238588E-3</v>
      </c>
      <c r="Q1095" s="5" t="s">
        <v>4</v>
      </c>
      <c r="R1095" s="83" t="s">
        <v>4</v>
      </c>
    </row>
    <row r="1096" spans="1:18" x14ac:dyDescent="0.25">
      <c r="A1096" s="88">
        <v>1082</v>
      </c>
      <c r="B1096" s="82"/>
      <c r="C1096" s="97">
        <f ca="1">_xll.meDateFromTenor(C1095,"1D","FOLLOWING","TGT")</f>
        <v>44064</v>
      </c>
      <c r="D1096" s="95">
        <f ca="1"/>
        <v>-6.2235381473718654E-4</v>
      </c>
      <c r="E1096" s="92"/>
      <c r="F1096" s="97">
        <f ca="1">_xll.meDateFromTenor(F1095,"1D","FOLLOWING","TGT")</f>
        <v>44064</v>
      </c>
      <c r="G1096" s="95">
        <f ca="1"/>
        <v>3.5125520092135515E-4</v>
      </c>
      <c r="H1096" s="92" t="s">
        <v>4</v>
      </c>
      <c r="I1096" s="97">
        <f ca="1">_xll.meDateFromTenor(I1095,"1D","FOLLOWING","TGT")</f>
        <v>44064</v>
      </c>
      <c r="J1096" s="95">
        <f ca="1"/>
        <v>1.5094652944287765E-3</v>
      </c>
      <c r="K1096" s="5" t="s">
        <v>4</v>
      </c>
      <c r="L1096" s="97">
        <f ca="1">_xll.meDateFromTenor(L1095,"1D","FOLLOWING","TGT")</f>
        <v>44064</v>
      </c>
      <c r="M1096" s="95">
        <f ca="1"/>
        <v>3.41244351037343E-3</v>
      </c>
      <c r="N1096" s="5" t="s">
        <v>4</v>
      </c>
      <c r="O1096" s="97">
        <f ca="1">_xll.meDateFromTenor(O1095,"1D","FOLLOWING","TGT")</f>
        <v>44064</v>
      </c>
      <c r="P1096" s="95">
        <f ca="1"/>
        <v>5.409600395619326E-3</v>
      </c>
      <c r="Q1096" s="5" t="s">
        <v>4</v>
      </c>
      <c r="R1096" s="83" t="s">
        <v>4</v>
      </c>
    </row>
    <row r="1097" spans="1:18" x14ac:dyDescent="0.25">
      <c r="A1097" s="88">
        <v>1083</v>
      </c>
      <c r="B1097" s="82"/>
      <c r="C1097" s="97">
        <f ca="1">_xll.meDateFromTenor(C1096,"1D","FOLLOWING","TGT")</f>
        <v>44067</v>
      </c>
      <c r="D1097" s="95">
        <f ca="1"/>
        <v>-5.9797531804928195E-4</v>
      </c>
      <c r="E1097" s="92"/>
      <c r="F1097" s="97">
        <f ca="1">_xll.meDateFromTenor(F1096,"1D","FOLLOWING","TGT")</f>
        <v>44067</v>
      </c>
      <c r="G1097" s="95">
        <f ca="1"/>
        <v>3.7238582867195542E-4</v>
      </c>
      <c r="H1097" s="92" t="s">
        <v>4</v>
      </c>
      <c r="I1097" s="97">
        <f ca="1">_xll.meDateFromTenor(I1096,"1D","FOLLOWING","TGT")</f>
        <v>44067</v>
      </c>
      <c r="J1097" s="95">
        <f ca="1"/>
        <v>1.5297767018104778E-3</v>
      </c>
      <c r="K1097" s="5" t="s">
        <v>4</v>
      </c>
      <c r="L1097" s="97">
        <f ca="1">_xll.meDateFromTenor(L1096,"1D","FOLLOWING","TGT")</f>
        <v>44067</v>
      </c>
      <c r="M1097" s="95">
        <f ca="1"/>
        <v>3.4323359782968254E-3</v>
      </c>
      <c r="N1097" s="5" t="s">
        <v>4</v>
      </c>
      <c r="O1097" s="97">
        <f ca="1">_xll.meDateFromTenor(O1096,"1D","FOLLOWING","TGT")</f>
        <v>44067</v>
      </c>
      <c r="P1097" s="95">
        <f ca="1"/>
        <v>5.4299974235394047E-3</v>
      </c>
      <c r="Q1097" s="5" t="s">
        <v>4</v>
      </c>
      <c r="R1097" s="83" t="s">
        <v>4</v>
      </c>
    </row>
    <row r="1098" spans="1:18" x14ac:dyDescent="0.25">
      <c r="A1098" s="88">
        <v>1084</v>
      </c>
      <c r="B1098" s="82"/>
      <c r="C1098" s="97">
        <f ca="1">_xll.meDateFromTenor(C1097,"1D","FOLLOWING","TGT")</f>
        <v>44068</v>
      </c>
      <c r="D1098" s="95">
        <f ca="1"/>
        <v>-5.8986075560407691E-4</v>
      </c>
      <c r="E1098" s="92"/>
      <c r="F1098" s="97">
        <f ca="1">_xll.meDateFromTenor(F1097,"1D","FOLLOWING","TGT")</f>
        <v>44068</v>
      </c>
      <c r="G1098" s="95">
        <f ca="1"/>
        <v>3.7945425332727218E-4</v>
      </c>
      <c r="H1098" s="92" t="s">
        <v>4</v>
      </c>
      <c r="I1098" s="97">
        <f ca="1">_xll.meDateFromTenor(I1097,"1D","FOLLOWING","TGT")</f>
        <v>44068</v>
      </c>
      <c r="J1098" s="95">
        <f ca="1"/>
        <v>1.5365537693510462E-3</v>
      </c>
      <c r="K1098" s="5" t="s">
        <v>4</v>
      </c>
      <c r="L1098" s="97">
        <f ca="1">_xll.meDateFromTenor(L1097,"1D","FOLLOWING","TGT")</f>
        <v>44068</v>
      </c>
      <c r="M1098" s="95">
        <f ca="1"/>
        <v>3.4389727665283974E-3</v>
      </c>
      <c r="N1098" s="5" t="s">
        <v>4</v>
      </c>
      <c r="O1098" s="97">
        <f ca="1">_xll.meDateFromTenor(O1097,"1D","FOLLOWING","TGT")</f>
        <v>44068</v>
      </c>
      <c r="P1098" s="95">
        <f ca="1"/>
        <v>5.4368048787087819E-3</v>
      </c>
      <c r="Q1098" s="5" t="s">
        <v>4</v>
      </c>
      <c r="R1098" s="83" t="s">
        <v>4</v>
      </c>
    </row>
    <row r="1099" spans="1:18" x14ac:dyDescent="0.25">
      <c r="A1099" s="88">
        <v>1085</v>
      </c>
      <c r="B1099" s="82"/>
      <c r="C1099" s="97">
        <f ca="1">_xll.meDateFromTenor(C1098,"1D","FOLLOWING","TGT")</f>
        <v>44069</v>
      </c>
      <c r="D1099" s="95">
        <f ca="1"/>
        <v>-5.8175199375554154E-4</v>
      </c>
      <c r="E1099" s="92"/>
      <c r="F1099" s="97">
        <f ca="1">_xll.meDateFromTenor(F1098,"1D","FOLLOWING","TGT")</f>
        <v>44069</v>
      </c>
      <c r="G1099" s="95">
        <f ca="1"/>
        <v>3.8653470131315887E-4</v>
      </c>
      <c r="H1099" s="92" t="s">
        <v>4</v>
      </c>
      <c r="I1099" s="97">
        <f ca="1">_xll.meDateFromTenor(I1098,"1D","FOLLOWING","TGT")</f>
        <v>44069</v>
      </c>
      <c r="J1099" s="95">
        <f ca="1"/>
        <v>1.5433341532477406E-3</v>
      </c>
      <c r="K1099" s="5" t="s">
        <v>4</v>
      </c>
      <c r="L1099" s="97">
        <f ca="1">_xll.meDateFromTenor(L1098,"1D","FOLLOWING","TGT")</f>
        <v>44069</v>
      </c>
      <c r="M1099" s="95">
        <f ca="1"/>
        <v>3.4456125395548147E-3</v>
      </c>
      <c r="N1099" s="5" t="s">
        <v>4</v>
      </c>
      <c r="O1099" s="97">
        <f ca="1">_xll.meDateFromTenor(O1098,"1D","FOLLOWING","TGT")</f>
        <v>44069</v>
      </c>
      <c r="P1099" s="95">
        <f ca="1"/>
        <v>5.4436165317852349E-3</v>
      </c>
      <c r="Q1099" s="5" t="s">
        <v>4</v>
      </c>
      <c r="R1099" s="83" t="s">
        <v>4</v>
      </c>
    </row>
    <row r="1100" spans="1:18" x14ac:dyDescent="0.25">
      <c r="A1100" s="88">
        <v>1086</v>
      </c>
      <c r="B1100" s="82"/>
      <c r="C1100" s="97">
        <f ca="1">_xll.meDateFromTenor(C1099,"1D","FOLLOWING","TGT")</f>
        <v>44070</v>
      </c>
      <c r="D1100" s="95">
        <f ca="1"/>
        <v>-5.7364903228673825E-4</v>
      </c>
      <c r="E1100" s="92"/>
      <c r="F1100" s="97">
        <f ca="1">_xll.meDateFromTenor(F1099,"1D","FOLLOWING","TGT")</f>
        <v>44070</v>
      </c>
      <c r="G1100" s="95">
        <f ca="1"/>
        <v>3.9362692200642434E-4</v>
      </c>
      <c r="H1100" s="92" t="s">
        <v>4</v>
      </c>
      <c r="I1100" s="97">
        <f ca="1">_xll.meDateFromTenor(I1099,"1D","FOLLOWING","TGT")</f>
        <v>44070</v>
      </c>
      <c r="J1100" s="95">
        <f ca="1"/>
        <v>1.5501178637902378E-3</v>
      </c>
      <c r="K1100" s="5" t="s">
        <v>4</v>
      </c>
      <c r="L1100" s="97">
        <f ca="1">_xll.meDateFromTenor(L1099,"1D","FOLLOWING","TGT")</f>
        <v>44070</v>
      </c>
      <c r="M1100" s="95">
        <f ca="1"/>
        <v>3.4522552985758528E-3</v>
      </c>
      <c r="N1100" s="5" t="s">
        <v>4</v>
      </c>
      <c r="O1100" s="97">
        <f ca="1">_xll.meDateFromTenor(O1099,"1D","FOLLOWING","TGT")</f>
        <v>44070</v>
      </c>
      <c r="P1100" s="95">
        <f ca="1"/>
        <v>5.4504323677542045E-3</v>
      </c>
      <c r="Q1100" s="5" t="s">
        <v>4</v>
      </c>
      <c r="R1100" s="83" t="s">
        <v>4</v>
      </c>
    </row>
    <row r="1101" spans="1:18" x14ac:dyDescent="0.25">
      <c r="A1101" s="88">
        <v>1087</v>
      </c>
      <c r="B1101" s="82"/>
      <c r="C1101" s="97">
        <f ca="1">_xll.meDateFromTenor(C1100,"1D","FOLLOWING","TGT")</f>
        <v>44071</v>
      </c>
      <c r="D1101" s="95">
        <f ca="1"/>
        <v>-5.6555187081941405E-4</v>
      </c>
      <c r="E1101" s="92"/>
      <c r="F1101" s="97">
        <f ca="1">_xll.meDateFromTenor(F1100,"1D","FOLLOWING","TGT")</f>
        <v>44071</v>
      </c>
      <c r="G1101" s="95">
        <f ca="1"/>
        <v>4.0073066478387061E-4</v>
      </c>
      <c r="H1101" s="92" t="s">
        <v>4</v>
      </c>
      <c r="I1101" s="97">
        <f ca="1">_xll.meDateFromTenor(I1100,"1D","FOLLOWING","TGT")</f>
        <v>44071</v>
      </c>
      <c r="J1101" s="95">
        <f ca="1"/>
        <v>1.5569049112682085E-3</v>
      </c>
      <c r="K1101" s="5" t="s">
        <v>4</v>
      </c>
      <c r="L1101" s="97">
        <f ca="1">_xll.meDateFromTenor(L1100,"1D","FOLLOWING","TGT")</f>
        <v>44071</v>
      </c>
      <c r="M1101" s="95">
        <f ca="1"/>
        <v>3.4589010447912817E-3</v>
      </c>
      <c r="N1101" s="5" t="s">
        <v>4</v>
      </c>
      <c r="O1101" s="97">
        <f ca="1">_xll.meDateFromTenor(O1100,"1D","FOLLOWING","TGT")</f>
        <v>44071</v>
      </c>
      <c r="P1101" s="95">
        <f ca="1"/>
        <v>5.457252371601125E-3</v>
      </c>
      <c r="Q1101" s="5" t="s">
        <v>4</v>
      </c>
      <c r="R1101" s="83" t="s">
        <v>4</v>
      </c>
    </row>
    <row r="1102" spans="1:18" x14ac:dyDescent="0.25">
      <c r="A1102" s="88">
        <v>1088</v>
      </c>
      <c r="B1102" s="82"/>
      <c r="C1102" s="97">
        <f ca="1">_xll.meDateFromTenor(C1101,"1D","FOLLOWING","TGT")</f>
        <v>44074</v>
      </c>
      <c r="D1102" s="95">
        <f ca="1"/>
        <v>-5.412951810140898E-4</v>
      </c>
      <c r="E1102" s="92"/>
      <c r="F1102" s="97">
        <f ca="1">_xll.meDateFromTenor(F1101,"1D","FOLLOWING","TGT")</f>
        <v>44074</v>
      </c>
      <c r="G1102" s="95">
        <f ca="1"/>
        <v>4.2210851938937502E-4</v>
      </c>
      <c r="H1102" s="92" t="s">
        <v>4</v>
      </c>
      <c r="I1102" s="97">
        <f ca="1">_xll.meDateFromTenor(I1101,"1D","FOLLOWING","TGT")</f>
        <v>44074</v>
      </c>
      <c r="J1102" s="95">
        <f ca="1"/>
        <v>1.5772861782117234E-3</v>
      </c>
      <c r="K1102" s="5" t="s">
        <v>4</v>
      </c>
      <c r="L1102" s="97">
        <f ca="1">_xll.meDateFromTenor(L1101,"1D","FOLLOWING","TGT")</f>
        <v>44074</v>
      </c>
      <c r="M1102" s="95">
        <f ca="1"/>
        <v>3.4788562186016726E-3</v>
      </c>
      <c r="N1102" s="5" t="s">
        <v>4</v>
      </c>
      <c r="O1102" s="97">
        <f ca="1">_xll.meDateFromTenor(O1101,"1D","FOLLOWING","TGT")</f>
        <v>44074</v>
      </c>
      <c r="P1102" s="95">
        <f ca="1"/>
        <v>5.4777372402639978E-3</v>
      </c>
      <c r="Q1102" s="5" t="s">
        <v>4</v>
      </c>
      <c r="R1102" s="83" t="s">
        <v>4</v>
      </c>
    </row>
    <row r="1103" spans="1:18" x14ac:dyDescent="0.25">
      <c r="A1103" s="88">
        <v>1089</v>
      </c>
      <c r="B1103" s="82"/>
      <c r="C1103" s="97">
        <f ca="1">_xll.meDateFromTenor(C1102,"1D","FOLLOWING","TGT")</f>
        <v>44075</v>
      </c>
      <c r="D1103" s="95">
        <f ca="1"/>
        <v>-5.3322121469778772E-4</v>
      </c>
      <c r="E1103" s="92"/>
      <c r="F1103" s="97">
        <f ca="1">_xll.meDateFromTenor(F1102,"1D","FOLLOWING","TGT")</f>
        <v>44075</v>
      </c>
      <c r="G1103" s="95">
        <f ca="1"/>
        <v>4.2925584427161851E-4</v>
      </c>
      <c r="H1103" s="92" t="s">
        <v>4</v>
      </c>
      <c r="I1103" s="97">
        <f ca="1">_xll.meDateFromTenor(I1102,"1D","FOLLOWING","TGT")</f>
        <v>44075</v>
      </c>
      <c r="J1103" s="95">
        <f ca="1"/>
        <v>1.5840866763283438E-3</v>
      </c>
      <c r="K1103" s="5" t="s">
        <v>4</v>
      </c>
      <c r="L1103" s="97">
        <f ca="1">_xll.meDateFromTenor(L1102,"1D","FOLLOWING","TGT")</f>
        <v>44075</v>
      </c>
      <c r="M1103" s="95">
        <f ca="1"/>
        <v>3.4855139255924169E-3</v>
      </c>
      <c r="N1103" s="5" t="s">
        <v>4</v>
      </c>
      <c r="O1103" s="97">
        <f ca="1">_xll.meDateFromTenor(O1102,"1D","FOLLOWING","TGT")</f>
        <v>44075</v>
      </c>
      <c r="P1103" s="95">
        <f ca="1"/>
        <v>5.4845737654771222E-3</v>
      </c>
      <c r="Q1103" s="5" t="s">
        <v>4</v>
      </c>
      <c r="R1103" s="83" t="s">
        <v>4</v>
      </c>
    </row>
    <row r="1104" spans="1:18" x14ac:dyDescent="0.25">
      <c r="A1104" s="88">
        <v>1090</v>
      </c>
      <c r="B1104" s="82"/>
      <c r="C1104" s="97">
        <f ca="1">_xll.meDateFromTenor(C1103,"1D","FOLLOWING","TGT")</f>
        <v>44076</v>
      </c>
      <c r="D1104" s="95">
        <f ca="1"/>
        <v>-5.2515287408250177E-4</v>
      </c>
      <c r="E1104" s="92"/>
      <c r="F1104" s="97">
        <f ca="1">_xll.meDateFromTenor(F1103,"1D","FOLLOWING","TGT")</f>
        <v>44076</v>
      </c>
      <c r="G1104" s="95">
        <f ca="1"/>
        <v>4.3641343812208004E-4</v>
      </c>
      <c r="H1104" s="92" t="s">
        <v>4</v>
      </c>
      <c r="I1104" s="97">
        <f ca="1">_xll.meDateFromTenor(I1103,"1D","FOLLOWING","TGT")</f>
        <v>44076</v>
      </c>
      <c r="J1104" s="95">
        <f ca="1"/>
        <v>1.5908905628288161E-3</v>
      </c>
      <c r="K1104" s="5" t="s">
        <v>4</v>
      </c>
      <c r="L1104" s="97">
        <f ca="1">_xll.meDateFromTenor(L1103,"1D","FOLLOWING","TGT")</f>
        <v>44076</v>
      </c>
      <c r="M1104" s="95">
        <f ca="1"/>
        <v>3.492174625776427E-3</v>
      </c>
      <c r="N1104" s="5" t="s">
        <v>4</v>
      </c>
      <c r="O1104" s="97">
        <f ca="1">_xll.meDateFromTenor(O1103,"1D","FOLLOWING","TGT")</f>
        <v>44076</v>
      </c>
      <c r="P1104" s="95">
        <f ca="1"/>
        <v>5.491414383495396E-3</v>
      </c>
      <c r="Q1104" s="5" t="s">
        <v>4</v>
      </c>
      <c r="R1104" s="83" t="s">
        <v>4</v>
      </c>
    </row>
    <row r="1105" spans="1:18" x14ac:dyDescent="0.25">
      <c r="A1105" s="88">
        <v>1091</v>
      </c>
      <c r="B1105" s="82"/>
      <c r="C1105" s="97">
        <f ca="1">_xll.meDateFromTenor(C1104,"1D","FOLLOWING","TGT")</f>
        <v>44077</v>
      </c>
      <c r="D1105" s="95">
        <f ca="1"/>
        <v>-5.1708947093043189E-4</v>
      </c>
      <c r="E1105" s="92"/>
      <c r="F1105" s="97">
        <f ca="1">_xll.meDateFromTenor(F1104,"1D","FOLLOWING","TGT")</f>
        <v>44077</v>
      </c>
      <c r="G1105" s="95">
        <f ca="1"/>
        <v>4.4358091592135136E-4</v>
      </c>
      <c r="H1105" s="92" t="s">
        <v>4</v>
      </c>
      <c r="I1105" s="97">
        <f ca="1">_xll.meDateFromTenor(I1104,"1D","FOLLOWING","TGT")</f>
        <v>44077</v>
      </c>
      <c r="J1105" s="95">
        <f ca="1"/>
        <v>1.5976978500136223E-3</v>
      </c>
      <c r="K1105" s="5" t="s">
        <v>4</v>
      </c>
      <c r="L1105" s="97">
        <f ca="1">_xll.meDateFromTenor(L1104,"1D","FOLLOWING","TGT")</f>
        <v>44077</v>
      </c>
      <c r="M1105" s="95">
        <f ca="1"/>
        <v>3.4988383203534736E-3</v>
      </c>
      <c r="N1105" s="5" t="s">
        <v>4</v>
      </c>
      <c r="O1105" s="97">
        <f ca="1">_xll.meDateFromTenor(O1104,"1D","FOLLOWING","TGT")</f>
        <v>44077</v>
      </c>
      <c r="P1105" s="95">
        <f ca="1"/>
        <v>5.498259079304256E-3</v>
      </c>
      <c r="Q1105" s="5" t="s">
        <v>4</v>
      </c>
      <c r="R1105" s="83" t="s">
        <v>4</v>
      </c>
    </row>
    <row r="1106" spans="1:18" x14ac:dyDescent="0.25">
      <c r="A1106" s="88">
        <v>1092</v>
      </c>
      <c r="B1106" s="82"/>
      <c r="C1106" s="97">
        <f ca="1">_xll.meDateFromTenor(C1105,"1D","FOLLOWING","TGT")</f>
        <v>44078</v>
      </c>
      <c r="D1106" s="95">
        <f ca="1"/>
        <v>-5.0903083342757061E-4</v>
      </c>
      <c r="E1106" s="92"/>
      <c r="F1106" s="97">
        <f ca="1">_xll.meDateFromTenor(F1105,"1D","FOLLOWING","TGT")</f>
        <v>44078</v>
      </c>
      <c r="G1106" s="95">
        <f ca="1"/>
        <v>4.5075735506519294E-4</v>
      </c>
      <c r="H1106" s="92" t="s">
        <v>4</v>
      </c>
      <c r="I1106" s="97">
        <f ca="1">_xll.meDateFromTenor(I1105,"1D","FOLLOWING","TGT")</f>
        <v>44078</v>
      </c>
      <c r="J1106" s="95">
        <f ca="1"/>
        <v>1.6045085582265027E-3</v>
      </c>
      <c r="K1106" s="5" t="s">
        <v>4</v>
      </c>
      <c r="L1106" s="97">
        <f ca="1">_xll.meDateFromTenor(L1105,"1D","FOLLOWING","TGT")</f>
        <v>44078</v>
      </c>
      <c r="M1106" s="95">
        <f ca="1"/>
        <v>3.5055050105233351E-3</v>
      </c>
      <c r="N1106" s="5" t="s">
        <v>4</v>
      </c>
      <c r="O1106" s="97">
        <f ca="1">_xll.meDateFromTenor(O1105,"1D","FOLLOWING","TGT")</f>
        <v>44078</v>
      </c>
      <c r="P1106" s="95">
        <f ca="1"/>
        <v>5.5051078378891456E-3</v>
      </c>
      <c r="Q1106" s="5" t="s">
        <v>4</v>
      </c>
      <c r="R1106" s="83" t="s">
        <v>4</v>
      </c>
    </row>
    <row r="1107" spans="1:18" x14ac:dyDescent="0.25">
      <c r="A1107" s="88">
        <v>1093</v>
      </c>
      <c r="B1107" s="82"/>
      <c r="C1107" s="97">
        <f ca="1">_xll.meDateFromTenor(C1106,"1D","FOLLOWING","TGT")</f>
        <v>44081</v>
      </c>
      <c r="D1107" s="95">
        <f ca="1"/>
        <v>-4.8488350750164333E-4</v>
      </c>
      <c r="E1107" s="92"/>
      <c r="F1107" s="97">
        <f ca="1">_xll.meDateFromTenor(F1106,"1D","FOLLOWING","TGT")</f>
        <v>44081</v>
      </c>
      <c r="G1107" s="95">
        <f ca="1"/>
        <v>4.7232987055958022E-4</v>
      </c>
      <c r="H1107" s="92" t="s">
        <v>4</v>
      </c>
      <c r="I1107" s="97">
        <f ca="1">_xll.meDateFromTenor(I1106,"1D","FOLLOWING","TGT")</f>
        <v>44081</v>
      </c>
      <c r="J1107" s="95">
        <f ca="1"/>
        <v>1.6249614325790462E-3</v>
      </c>
      <c r="K1107" s="5" t="s">
        <v>4</v>
      </c>
      <c r="L1107" s="97">
        <f ca="1">_xll.meDateFromTenor(L1106,"1D","FOLLOWING","TGT")</f>
        <v>44081</v>
      </c>
      <c r="M1107" s="95">
        <f ca="1"/>
        <v>3.5255230665875341E-3</v>
      </c>
      <c r="N1107" s="5" t="s">
        <v>4</v>
      </c>
      <c r="O1107" s="97">
        <f ca="1">_xll.meDateFromTenor(O1106,"1D","FOLLOWING","TGT")</f>
        <v>44081</v>
      </c>
      <c r="P1107" s="95">
        <f ca="1"/>
        <v>5.5256783401543578E-3</v>
      </c>
      <c r="Q1107" s="5" t="s">
        <v>4</v>
      </c>
      <c r="R1107" s="83" t="s">
        <v>4</v>
      </c>
    </row>
    <row r="1108" spans="1:18" x14ac:dyDescent="0.25">
      <c r="A1108" s="88">
        <v>1094</v>
      </c>
      <c r="B1108" s="82"/>
      <c r="C1108" s="97">
        <f ca="1">_xll.meDateFromTenor(C1107,"1D","FOLLOWING","TGT")</f>
        <v>44082</v>
      </c>
      <c r="D1108" s="95">
        <f ca="1"/>
        <v>-4.7684392640257034E-4</v>
      </c>
      <c r="E1108" s="92"/>
      <c r="F1108" s="97">
        <f ca="1">_xll.meDateFromTenor(F1107,"1D","FOLLOWING","TGT")</f>
        <v>44082</v>
      </c>
      <c r="G1108" s="95">
        <f ca="1"/>
        <v>4.7953158507715047E-4</v>
      </c>
      <c r="H1108" s="92" t="s">
        <v>4</v>
      </c>
      <c r="I1108" s="97">
        <f ca="1">_xll.meDateFromTenor(I1107,"1D","FOLLOWING","TGT")</f>
        <v>44082</v>
      </c>
      <c r="J1108" s="95">
        <f ca="1"/>
        <v>1.6317860484496875E-3</v>
      </c>
      <c r="K1108" s="5" t="s">
        <v>4</v>
      </c>
      <c r="L1108" s="97">
        <f ca="1">_xll.meDateFromTenor(L1107,"1D","FOLLOWING","TGT")</f>
        <v>44082</v>
      </c>
      <c r="M1108" s="95">
        <f ca="1"/>
        <v>3.5322017511263868E-3</v>
      </c>
      <c r="N1108" s="5" t="s">
        <v>4</v>
      </c>
      <c r="O1108" s="97">
        <f ca="1">_xll.meDateFromTenor(O1107,"1D","FOLLOWING","TGT")</f>
        <v>44082</v>
      </c>
      <c r="P1108" s="95">
        <f ca="1"/>
        <v>5.5325431996977436E-3</v>
      </c>
      <c r="Q1108" s="5" t="s">
        <v>4</v>
      </c>
      <c r="R1108" s="83" t="s">
        <v>4</v>
      </c>
    </row>
    <row r="1109" spans="1:18" x14ac:dyDescent="0.25">
      <c r="A1109" s="88">
        <v>1095</v>
      </c>
      <c r="B1109" s="82"/>
      <c r="C1109" s="97">
        <f ca="1">_xll.meDateFromTenor(C1108,"1D","FOLLOWING","TGT")</f>
        <v>44083</v>
      </c>
      <c r="D1109" s="95">
        <f ca="1"/>
        <v>-4.6880910853497326E-4</v>
      </c>
      <c r="E1109" s="92"/>
      <c r="F1109" s="97">
        <f ca="1">_xll.meDateFromTenor(F1108,"1D","FOLLOWING","TGT")</f>
        <v>44083</v>
      </c>
      <c r="G1109" s="95">
        <f ca="1"/>
        <v>4.8673697593702053E-4</v>
      </c>
      <c r="H1109" s="92" t="s">
        <v>4</v>
      </c>
      <c r="I1109" s="97">
        <f ca="1">_xll.meDateFromTenor(I1108,"1D","FOLLOWING","TGT")</f>
        <v>44083</v>
      </c>
      <c r="J1109" s="95">
        <f ca="1"/>
        <v>1.6386141971211409E-3</v>
      </c>
      <c r="K1109" s="5" t="s">
        <v>4</v>
      </c>
      <c r="L1109" s="97">
        <f ca="1">_xll.meDateFromTenor(L1108,"1D","FOLLOWING","TGT")</f>
        <v>44083</v>
      </c>
      <c r="M1109" s="95">
        <f ca="1"/>
        <v>3.5388834372569256E-3</v>
      </c>
      <c r="N1109" s="5" t="s">
        <v>4</v>
      </c>
      <c r="O1109" s="97">
        <f ca="1">_xll.meDateFromTenor(O1108,"1D","FOLLOWING","TGT")</f>
        <v>44083</v>
      </c>
      <c r="P1109" s="95">
        <f ca="1"/>
        <v>5.5394120469443508E-3</v>
      </c>
      <c r="Q1109" s="5" t="s">
        <v>4</v>
      </c>
      <c r="R1109" s="83" t="s">
        <v>4</v>
      </c>
    </row>
    <row r="1110" spans="1:18" x14ac:dyDescent="0.25">
      <c r="A1110" s="88">
        <v>1096</v>
      </c>
      <c r="B1110" s="82"/>
      <c r="C1110" s="97">
        <f ca="1">_xll.meDateFromTenor(C1109,"1D","FOLLOWING","TGT")</f>
        <v>44084</v>
      </c>
      <c r="D1110" s="95">
        <f ca="1"/>
        <v>-4.6077905305630384E-4</v>
      </c>
      <c r="E1110" s="92"/>
      <c r="F1110" s="97">
        <f ca="1">_xll.meDateFromTenor(F1109,"1D","FOLLOWING","TGT")</f>
        <v>44084</v>
      </c>
      <c r="G1110" s="95">
        <f ca="1"/>
        <v>4.939449861387315E-4</v>
      </c>
      <c r="H1110" s="92" t="s">
        <v>4</v>
      </c>
      <c r="I1110" s="97">
        <f ca="1">_xll.meDateFromTenor(I1109,"1D","FOLLOWING","TGT")</f>
        <v>44084</v>
      </c>
      <c r="J1110" s="95">
        <f ca="1"/>
        <v>1.6454459009479492E-3</v>
      </c>
      <c r="K1110" s="5" t="s">
        <v>4</v>
      </c>
      <c r="L1110" s="97">
        <f ca="1">_xll.meDateFromTenor(L1109,"1D","FOLLOWING","TGT")</f>
        <v>44084</v>
      </c>
      <c r="M1110" s="95">
        <f ca="1"/>
        <v>3.5455681261789196E-3</v>
      </c>
      <c r="N1110" s="5" t="s">
        <v>4</v>
      </c>
      <c r="O1110" s="97">
        <f ca="1">_xll.meDateFromTenor(O1109,"1D","FOLLOWING","TGT")</f>
        <v>44084</v>
      </c>
      <c r="P1110" s="95">
        <f ca="1"/>
        <v>5.5462848668796196E-3</v>
      </c>
      <c r="Q1110" s="5" t="s">
        <v>4</v>
      </c>
      <c r="R1110" s="83" t="s">
        <v>4</v>
      </c>
    </row>
    <row r="1111" spans="1:18" x14ac:dyDescent="0.25">
      <c r="A1111" s="88">
        <v>1097</v>
      </c>
      <c r="B1111" s="82"/>
      <c r="C1111" s="97">
        <f ca="1">_xll.meDateFromTenor(C1110,"1D","FOLLOWING","TGT")</f>
        <v>44085</v>
      </c>
      <c r="D1111" s="95">
        <f ca="1"/>
        <v>-4.52753759841662E-4</v>
      </c>
      <c r="E1111" s="92"/>
      <c r="F1111" s="97">
        <f ca="1">_xll.meDateFromTenor(F1110,"1D","FOLLOWING","TGT")</f>
        <v>44085</v>
      </c>
      <c r="G1111" s="95">
        <f ca="1"/>
        <v>5.0115455868183167E-4</v>
      </c>
      <c r="H1111" s="92" t="s">
        <v>4</v>
      </c>
      <c r="I1111" s="97">
        <f ca="1">_xll.meDateFromTenor(I1110,"1D","FOLLOWING","TGT")</f>
        <v>44085</v>
      </c>
      <c r="J1111" s="95">
        <f ca="1"/>
        <v>1.6522811822846626E-3</v>
      </c>
      <c r="K1111" s="5" t="s">
        <v>4</v>
      </c>
      <c r="L1111" s="97">
        <f ca="1">_xll.meDateFromTenor(L1110,"1D","FOLLOWING","TGT")</f>
        <v>44085</v>
      </c>
      <c r="M1111" s="95">
        <f ca="1"/>
        <v>3.5522558190921459E-3</v>
      </c>
      <c r="N1111" s="5" t="s">
        <v>4</v>
      </c>
      <c r="O1111" s="97">
        <f ca="1">_xll.meDateFromTenor(O1110,"1D","FOLLOWING","TGT")</f>
        <v>44085</v>
      </c>
      <c r="P1111" s="95">
        <f ca="1"/>
        <v>5.5531616444889865E-3</v>
      </c>
      <c r="Q1111" s="5" t="s">
        <v>4</v>
      </c>
      <c r="R1111" s="83" t="s">
        <v>4</v>
      </c>
    </row>
    <row r="1112" spans="1:18" x14ac:dyDescent="0.25">
      <c r="A1112" s="88">
        <v>1098</v>
      </c>
      <c r="B1112" s="82"/>
      <c r="C1112" s="97">
        <f ca="1">_xll.meDateFromTenor(C1111,"1D","FOLLOWING","TGT")</f>
        <v>44088</v>
      </c>
      <c r="D1112" s="95">
        <f ca="1"/>
        <v>-4.2870644834669402E-4</v>
      </c>
      <c r="E1112" s="92"/>
      <c r="F1112" s="97">
        <f ca="1">_xll.meDateFromTenor(F1111,"1D","FOLLOWING","TGT")</f>
        <v>44088</v>
      </c>
      <c r="G1112" s="95">
        <f ca="1"/>
        <v>5.2278208035493056E-4</v>
      </c>
      <c r="H1112" s="92" t="s">
        <v>4</v>
      </c>
      <c r="I1112" s="97">
        <f ca="1">_xll.meDateFromTenor(I1111,"1D","FOLLOWING","TGT")</f>
        <v>44088</v>
      </c>
      <c r="J1112" s="95">
        <f ca="1"/>
        <v>1.6728087148997126E-3</v>
      </c>
      <c r="K1112" s="5" t="s">
        <v>4</v>
      </c>
      <c r="L1112" s="97">
        <f ca="1">_xll.meDateFromTenor(L1111,"1D","FOLLOWING","TGT")</f>
        <v>44088</v>
      </c>
      <c r="M1112" s="95">
        <f ca="1"/>
        <v>3.5723369337769661E-3</v>
      </c>
      <c r="N1112" s="5" t="s">
        <v>4</v>
      </c>
      <c r="O1112" s="97">
        <f ca="1">_xll.meDateFromTenor(O1111,"1D","FOLLOWING","TGT")</f>
        <v>44088</v>
      </c>
      <c r="P1112" s="95">
        <f ca="1"/>
        <v>5.5738155732160859E-3</v>
      </c>
      <c r="Q1112" s="5" t="s">
        <v>4</v>
      </c>
      <c r="R1112" s="83" t="s">
        <v>4</v>
      </c>
    </row>
    <row r="1113" spans="1:18" x14ac:dyDescent="0.25">
      <c r="A1113" s="88">
        <v>1099</v>
      </c>
      <c r="B1113" s="82"/>
      <c r="C1113" s="97">
        <f ca="1">_xll.meDateFromTenor(C1112,"1D","FOLLOWING","TGT")</f>
        <v>44089</v>
      </c>
      <c r="D1113" s="95">
        <f ca="1"/>
        <v>-4.2070019927054059E-4</v>
      </c>
      <c r="E1113" s="92"/>
      <c r="F1113" s="97">
        <f ca="1">_xll.meDateFromTenor(F1112,"1D","FOLLOWING","TGT")</f>
        <v>44089</v>
      </c>
      <c r="G1113" s="95">
        <f ca="1"/>
        <v>5.2998733225904622E-4</v>
      </c>
      <c r="H1113" s="92" t="s">
        <v>4</v>
      </c>
      <c r="I1113" s="97">
        <f ca="1">_xll.meDateFromTenor(I1112,"1D","FOLLOWING","TGT")</f>
        <v>44089</v>
      </c>
      <c r="J1113" s="95">
        <f ca="1"/>
        <v>1.679658529821522E-3</v>
      </c>
      <c r="K1113" s="5" t="s">
        <v>4</v>
      </c>
      <c r="L1113" s="97">
        <f ca="1">_xll.meDateFromTenor(L1112,"1D","FOLLOWING","TGT")</f>
        <v>44089</v>
      </c>
      <c r="M1113" s="95">
        <f ca="1"/>
        <v>3.5790366546528643E-3</v>
      </c>
      <c r="N1113" s="5" t="s">
        <v>4</v>
      </c>
      <c r="O1113" s="97">
        <f ca="1">_xll.meDateFromTenor(O1112,"1D","FOLLOWING","TGT")</f>
        <v>44089</v>
      </c>
      <c r="P1113" s="95">
        <f ca="1"/>
        <v>5.5807080313762438E-3</v>
      </c>
      <c r="Q1113" s="5" t="s">
        <v>4</v>
      </c>
      <c r="R1113" s="83" t="s">
        <v>4</v>
      </c>
    </row>
    <row r="1114" spans="1:18" x14ac:dyDescent="0.25">
      <c r="A1114" s="88">
        <v>1100</v>
      </c>
      <c r="B1114" s="82"/>
      <c r="C1114" s="97">
        <f ca="1">_xll.meDateFromTenor(C1113,"1D","FOLLOWING","TGT")</f>
        <v>44090</v>
      </c>
      <c r="D1114" s="95">
        <f ca="1"/>
        <v>-4.1269870995908065E-4</v>
      </c>
      <c r="E1114" s="92"/>
      <c r="F1114" s="97">
        <f ca="1">_xll.meDateFromTenor(F1113,"1D","FOLLOWING","TGT")</f>
        <v>44090</v>
      </c>
      <c r="G1114" s="95">
        <f ca="1"/>
        <v>5.3718886150228029E-4</v>
      </c>
      <c r="H1114" s="92" t="s">
        <v>4</v>
      </c>
      <c r="I1114" s="97">
        <f ca="1">_xll.meDateFromTenor(I1113,"1D","FOLLOWING","TGT")</f>
        <v>44090</v>
      </c>
      <c r="J1114" s="95">
        <f ca="1"/>
        <v>1.6865120340259739E-3</v>
      </c>
      <c r="K1114" s="5" t="s">
        <v>4</v>
      </c>
      <c r="L1114" s="97">
        <f ca="1">_xll.meDateFromTenor(L1113,"1D","FOLLOWING","TGT")</f>
        <v>44090</v>
      </c>
      <c r="M1114" s="95">
        <f ca="1"/>
        <v>3.5857393855188661E-3</v>
      </c>
      <c r="N1114" s="5" t="s">
        <v>4</v>
      </c>
      <c r="O1114" s="97">
        <f ca="1">_xll.meDateFromTenor(O1113,"1D","FOLLOWING","TGT")</f>
        <v>44090</v>
      </c>
      <c r="P1114" s="95">
        <f ca="1"/>
        <v>5.5876043721376995E-3</v>
      </c>
      <c r="Q1114" s="5" t="s">
        <v>4</v>
      </c>
      <c r="R1114" s="83" t="s">
        <v>4</v>
      </c>
    </row>
    <row r="1115" spans="1:18" x14ac:dyDescent="0.25">
      <c r="A1115" s="88">
        <v>1101</v>
      </c>
      <c r="B1115" s="82"/>
      <c r="C1115" s="97">
        <f ca="1">_xll.meDateFromTenor(C1114,"1D","FOLLOWING","TGT")</f>
        <v>44091</v>
      </c>
      <c r="D1115" s="95">
        <f ca="1"/>
        <v>-4.0470198032704907E-4</v>
      </c>
      <c r="E1115" s="92"/>
      <c r="F1115" s="97">
        <f ca="1">_xll.meDateFromTenor(F1114,"1D","FOLLOWING","TGT")</f>
        <v>44091</v>
      </c>
      <c r="G1115" s="95">
        <f ca="1"/>
        <v>5.443856110841789E-4</v>
      </c>
      <c r="H1115" s="92" t="s">
        <v>4</v>
      </c>
      <c r="I1115" s="97">
        <f ca="1">_xll.meDateFromTenor(I1114,"1D","FOLLOWING","TGT")</f>
        <v>44091</v>
      </c>
      <c r="J1115" s="95">
        <f ca="1"/>
        <v>1.6933692498676161E-3</v>
      </c>
      <c r="K1115" s="5" t="s">
        <v>4</v>
      </c>
      <c r="L1115" s="97">
        <f ca="1">_xll.meDateFromTenor(L1114,"1D","FOLLOWING","TGT")</f>
        <v>44091</v>
      </c>
      <c r="M1115" s="95">
        <f ca="1"/>
        <v>3.5924451275747447E-3</v>
      </c>
      <c r="N1115" s="5" t="s">
        <v>4</v>
      </c>
      <c r="O1115" s="97">
        <f ca="1">_xll.meDateFromTenor(O1114,"1D","FOLLOWING","TGT")</f>
        <v>44091</v>
      </c>
      <c r="P1115" s="95">
        <f ca="1"/>
        <v>5.5945045804858878E-3</v>
      </c>
      <c r="Q1115" s="5" t="s">
        <v>4</v>
      </c>
      <c r="R1115" s="83" t="s">
        <v>4</v>
      </c>
    </row>
    <row r="1116" spans="1:18" x14ac:dyDescent="0.25">
      <c r="A1116" s="88">
        <v>1102</v>
      </c>
      <c r="B1116" s="82"/>
      <c r="C1116" s="97">
        <f ca="1">_xll.meDateFromTenor(C1115,"1D","FOLLOWING","TGT")</f>
        <v>44092</v>
      </c>
      <c r="D1116" s="95">
        <f ca="1"/>
        <v>-3.967100094910414E-4</v>
      </c>
      <c r="E1116" s="92"/>
      <c r="F1116" s="97">
        <f ca="1">_xll.meDateFromTenor(F1115,"1D","FOLLOWING","TGT")</f>
        <v>44092</v>
      </c>
      <c r="G1116" s="95">
        <f ca="1"/>
        <v>5.5157652400429017E-4</v>
      </c>
      <c r="H1116" s="92" t="s">
        <v>4</v>
      </c>
      <c r="I1116" s="97">
        <f ca="1">_xll.meDateFromTenor(I1115,"1D","FOLLOWING","TGT")</f>
        <v>44092</v>
      </c>
      <c r="J1116" s="95">
        <f ca="1"/>
        <v>1.7002301997009991E-3</v>
      </c>
      <c r="K1116" s="5" t="s">
        <v>4</v>
      </c>
      <c r="L1116" s="97">
        <f ca="1">_xll.meDateFromTenor(L1115,"1D","FOLLOWING","TGT")</f>
        <v>44092</v>
      </c>
      <c r="M1116" s="95">
        <f ca="1"/>
        <v>3.5991538820202779E-3</v>
      </c>
      <c r="N1116" s="5" t="s">
        <v>4</v>
      </c>
      <c r="O1116" s="97">
        <f ca="1">_xll.meDateFromTenor(O1115,"1D","FOLLOWING","TGT")</f>
        <v>44092</v>
      </c>
      <c r="P1116" s="95">
        <f ca="1"/>
        <v>5.6014086414062532E-3</v>
      </c>
      <c r="Q1116" s="5" t="s">
        <v>4</v>
      </c>
      <c r="R1116" s="83" t="s">
        <v>4</v>
      </c>
    </row>
    <row r="1117" spans="1:18" x14ac:dyDescent="0.25">
      <c r="A1117" s="88">
        <v>1103</v>
      </c>
      <c r="B1117" s="82"/>
      <c r="C1117" s="97">
        <f ca="1">_xll.meDateFromTenor(C1116,"1D","FOLLOWING","TGT")</f>
        <v>44095</v>
      </c>
      <c r="D1117" s="95">
        <f ca="1"/>
        <v>-3.7276264734975584E-4</v>
      </c>
      <c r="E1117" s="92"/>
      <c r="F1117" s="97">
        <f ca="1">_xll.meDateFromTenor(F1116,"1D","FOLLOWING","TGT")</f>
        <v>44095</v>
      </c>
      <c r="G1117" s="95">
        <f ca="1"/>
        <v>5.7310367278933958E-4</v>
      </c>
      <c r="H1117" s="92" t="s">
        <v>4</v>
      </c>
      <c r="I1117" s="97">
        <f ca="1">_xll.meDateFromTenor(I1116,"1D","FOLLOWING","TGT")</f>
        <v>44095</v>
      </c>
      <c r="J1117" s="95">
        <f ca="1"/>
        <v>1.7208356766970476E-3</v>
      </c>
      <c r="K1117" s="5" t="s">
        <v>4</v>
      </c>
      <c r="L1117" s="97">
        <f ca="1">_xll.meDateFromTenor(L1116,"1D","FOLLOWING","TGT")</f>
        <v>44095</v>
      </c>
      <c r="M1117" s="95">
        <f ca="1"/>
        <v>3.6192982316925258E-3</v>
      </c>
      <c r="N1117" s="5" t="s">
        <v>4</v>
      </c>
      <c r="O1117" s="97">
        <f ca="1">_xll.meDateFromTenor(O1116,"1D","FOLLOWING","TGT")</f>
        <v>44095</v>
      </c>
      <c r="P1117" s="95">
        <f ca="1"/>
        <v>5.6221437894547754E-3</v>
      </c>
      <c r="Q1117" s="5" t="s">
        <v>4</v>
      </c>
      <c r="R1117" s="83" t="s">
        <v>4</v>
      </c>
    </row>
    <row r="1118" spans="1:18" x14ac:dyDescent="0.25">
      <c r="A1118" s="88">
        <v>1104</v>
      </c>
      <c r="B1118" s="82"/>
      <c r="C1118" s="97">
        <f ca="1">_xll.meDateFromTenor(C1117,"1D","FOLLOWING","TGT")</f>
        <v>44096</v>
      </c>
      <c r="D1118" s="95">
        <f ca="1"/>
        <v>-3.6478970852971138E-4</v>
      </c>
      <c r="E1118" s="92"/>
      <c r="F1118" s="97">
        <f ca="1">_xll.meDateFromTenor(F1117,"1D","FOLLOWING","TGT")</f>
        <v>44096</v>
      </c>
      <c r="G1118" s="95">
        <f ca="1"/>
        <v>5.8026066905774842E-4</v>
      </c>
      <c r="H1118" s="92" t="s">
        <v>4</v>
      </c>
      <c r="I1118" s="97">
        <f ca="1">_xll.meDateFromTenor(I1117,"1D","FOLLOWING","TGT")</f>
        <v>44096</v>
      </c>
      <c r="J1118" s="95">
        <f ca="1"/>
        <v>1.7277117860428561E-3</v>
      </c>
      <c r="K1118" s="5" t="s">
        <v>4</v>
      </c>
      <c r="L1118" s="97">
        <f ca="1">_xll.meDateFromTenor(L1117,"1D","FOLLOWING","TGT")</f>
        <v>44096</v>
      </c>
      <c r="M1118" s="95">
        <f ca="1"/>
        <v>3.626019047694406E-3</v>
      </c>
      <c r="N1118" s="5" t="s">
        <v>4</v>
      </c>
      <c r="O1118" s="97">
        <f ca="1">_xll.meDateFromTenor(O1117,"1D","FOLLOWING","TGT")</f>
        <v>44096</v>
      </c>
      <c r="P1118" s="95">
        <f ca="1"/>
        <v>5.629063110518224E-3</v>
      </c>
      <c r="Q1118" s="5" t="s">
        <v>4</v>
      </c>
      <c r="R1118" s="83" t="s">
        <v>4</v>
      </c>
    </row>
    <row r="1119" spans="1:18" x14ac:dyDescent="0.25">
      <c r="A1119" s="88">
        <v>1105</v>
      </c>
      <c r="B1119" s="82"/>
      <c r="C1119" s="97">
        <f ca="1">_xll.meDateFromTenor(C1118,"1D","FOLLOWING","TGT")</f>
        <v>44097</v>
      </c>
      <c r="D1119" s="95">
        <f ca="1"/>
        <v>-3.5682152644211929E-4</v>
      </c>
      <c r="E1119" s="92"/>
      <c r="F1119" s="97">
        <f ca="1">_xll.meDateFromTenor(F1118,"1D","FOLLOWING","TGT")</f>
        <v>44097</v>
      </c>
      <c r="G1119" s="95">
        <f ca="1"/>
        <v>5.8740654366209912E-4</v>
      </c>
      <c r="H1119" s="92" t="s">
        <v>4</v>
      </c>
      <c r="I1119" s="97">
        <f ca="1">_xll.meDateFromTenor(I1118,"1D","FOLLOWING","TGT")</f>
        <v>44097</v>
      </c>
      <c r="J1119" s="95">
        <f ca="1"/>
        <v>1.7345917411531434E-3</v>
      </c>
      <c r="K1119" s="5" t="s">
        <v>4</v>
      </c>
      <c r="L1119" s="97">
        <f ca="1">_xll.meDateFromTenor(L1118,"1D","FOLLOWING","TGT")</f>
        <v>44097</v>
      </c>
      <c r="M1119" s="95">
        <f ca="1"/>
        <v>3.6327428820848119E-3</v>
      </c>
      <c r="N1119" s="5" t="s">
        <v>4</v>
      </c>
      <c r="O1119" s="97">
        <f ca="1">_xll.meDateFromTenor(O1118,"1D","FOLLOWING","TGT")</f>
        <v>44097</v>
      </c>
      <c r="P1119" s="95">
        <f ca="1"/>
        <v>5.6359862090810441E-3</v>
      </c>
      <c r="Q1119" s="5" t="s">
        <v>4</v>
      </c>
      <c r="R1119" s="83" t="s">
        <v>4</v>
      </c>
    </row>
    <row r="1120" spans="1:18" x14ac:dyDescent="0.25">
      <c r="A1120" s="88">
        <v>1106</v>
      </c>
      <c r="B1120" s="82"/>
      <c r="C1120" s="97">
        <f ca="1">_xll.meDateFromTenor(C1119,"1D","FOLLOWING","TGT")</f>
        <v>44098</v>
      </c>
      <c r="D1120" s="95">
        <f ca="1"/>
        <v>-3.4885810080154123E-4</v>
      </c>
      <c r="E1120" s="92"/>
      <c r="F1120" s="97">
        <f ca="1">_xll.meDateFromTenor(F1119,"1D","FOLLOWING","TGT")</f>
        <v>44098</v>
      </c>
      <c r="G1120" s="95">
        <f ca="1"/>
        <v>5.9454023960193319E-4</v>
      </c>
      <c r="H1120" s="92" t="s">
        <v>4</v>
      </c>
      <c r="I1120" s="97">
        <f ca="1">_xll.meDateFromTenor(I1119,"1D","FOLLOWING","TGT")</f>
        <v>44098</v>
      </c>
      <c r="J1120" s="95">
        <f ca="1"/>
        <v>1.7414755643824517E-3</v>
      </c>
      <c r="K1120" s="5" t="s">
        <v>4</v>
      </c>
      <c r="L1120" s="97">
        <f ca="1">_xll.meDateFromTenor(L1119,"1D","FOLLOWING","TGT")</f>
        <v>44098</v>
      </c>
      <c r="M1120" s="95">
        <f ca="1"/>
        <v>3.6394697360635124E-3</v>
      </c>
      <c r="N1120" s="5" t="s">
        <v>4</v>
      </c>
      <c r="O1120" s="97">
        <f ca="1">_xll.meDateFromTenor(O1119,"1D","FOLLOWING","TGT")</f>
        <v>44098</v>
      </c>
      <c r="P1120" s="95">
        <f ca="1"/>
        <v>5.6429130701286679E-3</v>
      </c>
      <c r="Q1120" s="5" t="s">
        <v>4</v>
      </c>
      <c r="R1120" s="83" t="s">
        <v>4</v>
      </c>
    </row>
    <row r="1121" spans="1:18" x14ac:dyDescent="0.25">
      <c r="A1121" s="88">
        <v>1107</v>
      </c>
      <c r="B1121" s="82"/>
      <c r="C1121" s="97">
        <f ca="1">_xll.meDateFromTenor(C1120,"1D","FOLLOWING","TGT")</f>
        <v>44099</v>
      </c>
      <c r="D1121" s="95">
        <f ca="1"/>
        <v>-3.4089943124326894E-4</v>
      </c>
      <c r="E1121" s="92"/>
      <c r="F1121" s="97">
        <f ca="1">_xll.meDateFromTenor(F1120,"1D","FOLLOWING","TGT")</f>
        <v>44099</v>
      </c>
      <c r="G1121" s="95">
        <f ca="1"/>
        <v>6.0166069987680089E-4</v>
      </c>
      <c r="H1121" s="92" t="s">
        <v>4</v>
      </c>
      <c r="I1121" s="97">
        <f ca="1">_xll.meDateFromTenor(I1120,"1D","FOLLOWING","TGT")</f>
        <v>44099</v>
      </c>
      <c r="J1121" s="95">
        <f ca="1"/>
        <v>1.7483632780853336E-3</v>
      </c>
      <c r="K1121" s="5" t="s">
        <v>4</v>
      </c>
      <c r="L1121" s="97">
        <f ca="1">_xll.meDateFromTenor(L1120,"1D","FOLLOWING","TGT")</f>
        <v>44099</v>
      </c>
      <c r="M1121" s="95">
        <f ca="1"/>
        <v>3.6461996108302867E-3</v>
      </c>
      <c r="N1121" s="5" t="s">
        <v>4</v>
      </c>
      <c r="O1121" s="97">
        <f ca="1">_xll.meDateFromTenor(O1120,"1D","FOLLOWING","TGT")</f>
        <v>44099</v>
      </c>
      <c r="P1121" s="95">
        <f ca="1"/>
        <v>5.6498436786465425E-3</v>
      </c>
      <c r="Q1121" s="5" t="s">
        <v>4</v>
      </c>
      <c r="R1121" s="83" t="s">
        <v>4</v>
      </c>
    </row>
    <row r="1122" spans="1:18" x14ac:dyDescent="0.25">
      <c r="A1122" s="88">
        <v>1108</v>
      </c>
      <c r="B1122" s="82"/>
      <c r="C1122" s="97">
        <f ca="1">_xll.meDateFromTenor(C1121,"1D","FOLLOWING","TGT")</f>
        <v>44102</v>
      </c>
      <c r="D1122" s="95">
        <f ca="1"/>
        <v>-3.170519540903749E-4</v>
      </c>
      <c r="E1122" s="92"/>
      <c r="F1122" s="97">
        <f ca="1">_xll.meDateFromTenor(F1121,"1D","FOLLOWING","TGT")</f>
        <v>44102</v>
      </c>
      <c r="G1122" s="95">
        <f ca="1"/>
        <v>6.2293209670704469E-4</v>
      </c>
      <c r="H1122" s="92" t="s">
        <v>4</v>
      </c>
      <c r="I1122" s="97">
        <f ca="1">_xll.meDateFromTenor(I1121,"1D","FOLLOWING","TGT")</f>
        <v>44102</v>
      </c>
      <c r="J1122" s="95">
        <f ca="1"/>
        <v>1.769049985580876E-3</v>
      </c>
      <c r="K1122" s="5" t="s">
        <v>4</v>
      </c>
      <c r="L1122" s="97">
        <f ca="1">_xll.meDateFromTenor(L1121,"1D","FOLLOWING","TGT")</f>
        <v>44102</v>
      </c>
      <c r="M1122" s="95">
        <f ca="1"/>
        <v>3.6664073718567732E-3</v>
      </c>
      <c r="N1122" s="5" t="s">
        <v>4</v>
      </c>
      <c r="O1122" s="97">
        <f ca="1">_xll.meDateFromTenor(O1121,"1D","FOLLOWING","TGT")</f>
        <v>44102</v>
      </c>
      <c r="P1122" s="95">
        <f ca="1"/>
        <v>5.6706578388760328E-3</v>
      </c>
      <c r="Q1122" s="5" t="s">
        <v>4</v>
      </c>
      <c r="R1122" s="83" t="s">
        <v>4</v>
      </c>
    </row>
    <row r="1123" spans="1:18" x14ac:dyDescent="0.25">
      <c r="A1123" s="88">
        <v>1109</v>
      </c>
      <c r="B1123" s="82"/>
      <c r="C1123" s="97">
        <f ca="1">_xll.meDateFromTenor(C1122,"1D","FOLLOWING","TGT")</f>
        <v>44103</v>
      </c>
      <c r="D1123" s="95">
        <f ca="1"/>
        <v>-3.091123040894761E-4</v>
      </c>
      <c r="E1123" s="92"/>
      <c r="F1123" s="97">
        <f ca="1">_xll.meDateFromTenor(F1122,"1D","FOLLOWING","TGT")</f>
        <v>44103</v>
      </c>
      <c r="G1123" s="95">
        <f ca="1"/>
        <v>6.299890443174969E-4</v>
      </c>
      <c r="H1123" s="92" t="s">
        <v>4</v>
      </c>
      <c r="I1123" s="97">
        <f ca="1">_xll.meDateFromTenor(I1122,"1D","FOLLOWING","TGT")</f>
        <v>44103</v>
      </c>
      <c r="J1123" s="95">
        <f ca="1"/>
        <v>1.7759534847235187E-3</v>
      </c>
      <c r="K1123" s="5" t="s">
        <v>4</v>
      </c>
      <c r="L1123" s="97">
        <f ca="1">_xll.meDateFromTenor(L1122,"1D","FOLLOWING","TGT")</f>
        <v>44103</v>
      </c>
      <c r="M1123" s="95">
        <f ca="1"/>
        <v>3.6731493417735753E-3</v>
      </c>
      <c r="N1123" s="5" t="s">
        <v>4</v>
      </c>
      <c r="O1123" s="97">
        <f ca="1">_xll.meDateFromTenor(O1122,"1D","FOLLOWING","TGT")</f>
        <v>44103</v>
      </c>
      <c r="P1123" s="95">
        <f ca="1"/>
        <v>5.6776032871292872E-3</v>
      </c>
      <c r="Q1123" s="5" t="s">
        <v>4</v>
      </c>
      <c r="R1123" s="83" t="s">
        <v>4</v>
      </c>
    </row>
    <row r="1124" spans="1:18" x14ac:dyDescent="0.25">
      <c r="A1124" s="88">
        <v>1110</v>
      </c>
      <c r="B1124" s="82"/>
      <c r="C1124" s="97">
        <f ca="1">_xll.meDateFromTenor(C1123,"1D","FOLLOWING","TGT")</f>
        <v>44104</v>
      </c>
      <c r="D1124" s="95">
        <f ca="1"/>
        <v>-3.0117740786439473E-4</v>
      </c>
      <c r="E1124" s="92"/>
      <c r="F1124" s="97">
        <f ca="1">_xll.meDateFromTenor(F1123,"1D","FOLLOWING","TGT")</f>
        <v>44104</v>
      </c>
      <c r="G1124" s="95">
        <f ca="1"/>
        <v>6.3702747126070751E-4</v>
      </c>
      <c r="H1124" s="92" t="s">
        <v>4</v>
      </c>
      <c r="I1124" s="97">
        <f ca="1">_xll.meDateFromTenor(I1123,"1D","FOLLOWING","TGT")</f>
        <v>44104</v>
      </c>
      <c r="J1124" s="95">
        <f ca="1"/>
        <v>1.7828609861124684E-3</v>
      </c>
      <c r="K1124" s="5" t="s">
        <v>4</v>
      </c>
      <c r="L1124" s="97">
        <f ca="1">_xll.meDateFromTenor(L1123,"1D","FOLLOWING","TGT")</f>
        <v>44104</v>
      </c>
      <c r="M1124" s="95">
        <f ca="1"/>
        <v>3.6798943384773177E-3</v>
      </c>
      <c r="N1124" s="5" t="s">
        <v>4</v>
      </c>
      <c r="O1124" s="97">
        <f ca="1">_xll.meDateFromTenor(O1123,"1D","FOLLOWING","TGT")</f>
        <v>44104</v>
      </c>
      <c r="P1124" s="95">
        <f ca="1"/>
        <v>5.6845524077799798E-3</v>
      </c>
      <c r="Q1124" s="5" t="s">
        <v>4</v>
      </c>
      <c r="R1124" s="83" t="s">
        <v>4</v>
      </c>
    </row>
    <row r="1125" spans="1:18" x14ac:dyDescent="0.25">
      <c r="A1125" s="88">
        <v>1111</v>
      </c>
      <c r="B1125" s="82"/>
      <c r="C1125" s="97">
        <f ca="1">_xll.meDateFromTenor(C1124,"1D","FOLLOWING","TGT")</f>
        <v>44105</v>
      </c>
      <c r="D1125" s="95">
        <f ca="1"/>
        <v>-2.9324726532942158E-4</v>
      </c>
      <c r="E1125" s="92"/>
      <c r="F1125" s="97">
        <f ca="1">_xll.meDateFromTenor(F1124,"1D","FOLLOWING","TGT")</f>
        <v>44105</v>
      </c>
      <c r="G1125" s="95">
        <f ca="1"/>
        <v>6.4404632053622723E-4</v>
      </c>
      <c r="H1125" s="92" t="s">
        <v>4</v>
      </c>
      <c r="I1125" s="97">
        <f ca="1">_xll.meDateFromTenor(I1124,"1D","FOLLOWING","TGT")</f>
        <v>44105</v>
      </c>
      <c r="J1125" s="95">
        <f ca="1"/>
        <v>1.7897725121022773E-3</v>
      </c>
      <c r="K1125" s="5" t="s">
        <v>4</v>
      </c>
      <c r="L1125" s="97">
        <f ca="1">_xll.meDateFromTenor(L1124,"1D","FOLLOWING","TGT")</f>
        <v>44105</v>
      </c>
      <c r="M1125" s="95">
        <f ca="1"/>
        <v>3.6866423631677788E-3</v>
      </c>
      <c r="N1125" s="5" t="s">
        <v>4</v>
      </c>
      <c r="O1125" s="97">
        <f ca="1">_xll.meDateFromTenor(O1124,"1D","FOLLOWING","TGT")</f>
        <v>44105</v>
      </c>
      <c r="P1125" s="95">
        <f ca="1"/>
        <v>5.6915051858135576E-3</v>
      </c>
      <c r="Q1125" s="5" t="s">
        <v>4</v>
      </c>
      <c r="R1125" s="83" t="s">
        <v>4</v>
      </c>
    </row>
    <row r="1126" spans="1:18" x14ac:dyDescent="0.25">
      <c r="A1126" s="88">
        <v>1112</v>
      </c>
      <c r="B1126" s="82"/>
      <c r="C1126" s="97">
        <f ca="1">_xll.meDateFromTenor(C1125,"1D","FOLLOWING","TGT")</f>
        <v>44106</v>
      </c>
      <c r="D1126" s="95">
        <f ca="1"/>
        <v>-2.8532187559937583E-4</v>
      </c>
      <c r="E1126" s="92"/>
      <c r="F1126" s="97">
        <f ca="1">_xll.meDateFromTenor(F1125,"1D","FOLLOWING","TGT")</f>
        <v>44106</v>
      </c>
      <c r="G1126" s="95">
        <f ca="1"/>
        <v>6.5104453514359712E-4</v>
      </c>
      <c r="H1126" s="92" t="s">
        <v>4</v>
      </c>
      <c r="I1126" s="97">
        <f ca="1">_xll.meDateFromTenor(I1125,"1D","FOLLOWING","TGT")</f>
        <v>44106</v>
      </c>
      <c r="J1126" s="95">
        <f ca="1"/>
        <v>1.7966880850474882E-3</v>
      </c>
      <c r="K1126" s="5" t="s">
        <v>4</v>
      </c>
      <c r="L1126" s="97">
        <f ca="1">_xll.meDateFromTenor(L1125,"1D","FOLLOWING","TGT")</f>
        <v>44106</v>
      </c>
      <c r="M1126" s="95">
        <f ca="1"/>
        <v>3.6933934170447292E-3</v>
      </c>
      <c r="N1126" s="5" t="s">
        <v>4</v>
      </c>
      <c r="O1126" s="97">
        <f ca="1">_xll.meDateFromTenor(O1125,"1D","FOLLOWING","TGT")</f>
        <v>44106</v>
      </c>
      <c r="P1126" s="95">
        <f ca="1"/>
        <v>5.6984616062154547E-3</v>
      </c>
      <c r="Q1126" s="5" t="s">
        <v>4</v>
      </c>
      <c r="R1126" s="83" t="s">
        <v>4</v>
      </c>
    </row>
    <row r="1127" spans="1:18" x14ac:dyDescent="0.25">
      <c r="A1127" s="88">
        <v>1113</v>
      </c>
      <c r="B1127" s="82"/>
      <c r="C1127" s="97">
        <f ca="1">_xll.meDateFromTenor(C1126,"1D","FOLLOWING","TGT")</f>
        <v>44109</v>
      </c>
      <c r="D1127" s="95">
        <f ca="1"/>
        <v>-2.6157422014050358E-4</v>
      </c>
      <c r="E1127" s="92"/>
      <c r="F1127" s="97">
        <f ca="1">_xll.meDateFromTenor(F1126,"1D","FOLLOWING","TGT")</f>
        <v>44109</v>
      </c>
      <c r="G1127" s="95">
        <f ca="1"/>
        <v>6.7191892769153121E-4</v>
      </c>
      <c r="H1127" s="92" t="s">
        <v>4</v>
      </c>
      <c r="I1127" s="97">
        <f ca="1">_xll.meDateFromTenor(I1126,"1D","FOLLOWING","TGT")</f>
        <v>44109</v>
      </c>
      <c r="J1127" s="95">
        <f ca="1"/>
        <v>1.8174593091610249E-3</v>
      </c>
      <c r="K1127" s="5" t="s">
        <v>4</v>
      </c>
      <c r="L1127" s="97">
        <f ca="1">_xll.meDateFromTenor(L1126,"1D","FOLLOWING","TGT")</f>
        <v>44109</v>
      </c>
      <c r="M1127" s="95">
        <f ca="1"/>
        <v>3.7136647657922696E-3</v>
      </c>
      <c r="N1127" s="5" t="s">
        <v>4</v>
      </c>
      <c r="O1127" s="97">
        <f ca="1">_xll.meDateFromTenor(O1126,"1D","FOLLOWING","TGT")</f>
        <v>44109</v>
      </c>
      <c r="P1127" s="95">
        <f ca="1"/>
        <v>5.7193525714854584E-3</v>
      </c>
      <c r="Q1127" s="5" t="s">
        <v>4</v>
      </c>
      <c r="R1127" s="83" t="s">
        <v>4</v>
      </c>
    </row>
    <row r="1128" spans="1:18" x14ac:dyDescent="0.25">
      <c r="A1128" s="88">
        <v>1114</v>
      </c>
      <c r="B1128" s="82"/>
      <c r="C1128" s="97">
        <f ca="1">_xll.meDateFromTenor(C1127,"1D","FOLLOWING","TGT")</f>
        <v>44110</v>
      </c>
      <c r="D1128" s="95">
        <f ca="1"/>
        <v>-2.5366783829150474E-4</v>
      </c>
      <c r="E1128" s="92"/>
      <c r="F1128" s="97">
        <f ca="1">_xll.meDateFromTenor(F1127,"1D","FOLLOWING","TGT")</f>
        <v>44110</v>
      </c>
      <c r="G1128" s="95">
        <f ca="1"/>
        <v>6.78843392486668E-4</v>
      </c>
      <c r="H1128" s="92" t="s">
        <v>4</v>
      </c>
      <c r="I1128" s="97">
        <f ca="1">_xll.meDateFromTenor(I1127,"1D","FOLLOWING","TGT")</f>
        <v>44110</v>
      </c>
      <c r="J1128" s="95">
        <f ca="1"/>
        <v>1.8243912934733314E-3</v>
      </c>
      <c r="K1128" s="5" t="s">
        <v>4</v>
      </c>
      <c r="L1128" s="97">
        <f ca="1">_xll.meDateFromTenor(L1127,"1D","FOLLOWING","TGT")</f>
        <v>44110</v>
      </c>
      <c r="M1128" s="95">
        <f ca="1"/>
        <v>3.7204279484129277E-3</v>
      </c>
      <c r="N1128" s="5" t="s">
        <v>4</v>
      </c>
      <c r="O1128" s="97">
        <f ca="1">_xll.meDateFromTenor(O1127,"1D","FOLLOWING","TGT")</f>
        <v>44110</v>
      </c>
      <c r="P1128" s="95">
        <f ca="1"/>
        <v>5.7263234112150284E-3</v>
      </c>
      <c r="Q1128" s="5" t="s">
        <v>4</v>
      </c>
      <c r="R1128" s="83" t="s">
        <v>4</v>
      </c>
    </row>
    <row r="1129" spans="1:18" x14ac:dyDescent="0.25">
      <c r="A1129" s="88">
        <v>1115</v>
      </c>
      <c r="B1129" s="82"/>
      <c r="C1129" s="97">
        <f ca="1">_xll.meDateFromTenor(C1128,"1D","FOLLOWING","TGT")</f>
        <v>44111</v>
      </c>
      <c r="D1129" s="95">
        <f ca="1"/>
        <v>-2.4576620709826358E-4</v>
      </c>
      <c r="E1129" s="92"/>
      <c r="F1129" s="97">
        <f ca="1">_xll.meDateFromTenor(F1128,"1D","FOLLOWING","TGT")</f>
        <v>44111</v>
      </c>
      <c r="G1129" s="95">
        <f ca="1"/>
        <v>6.8575449471293837E-4</v>
      </c>
      <c r="H1129" s="92" t="s">
        <v>4</v>
      </c>
      <c r="I1129" s="97">
        <f ca="1">_xll.meDateFromTenor(I1128,"1D","FOLLOWING","TGT")</f>
        <v>44111</v>
      </c>
      <c r="J1129" s="95">
        <f ca="1"/>
        <v>1.8313274365137778E-3</v>
      </c>
      <c r="K1129" s="5" t="s">
        <v>4</v>
      </c>
      <c r="L1129" s="97">
        <f ca="1">_xll.meDateFromTenor(L1128,"1D","FOLLOWING","TGT")</f>
        <v>44111</v>
      </c>
      <c r="M1129" s="95">
        <f ca="1"/>
        <v>3.7271941662189462E-3</v>
      </c>
      <c r="N1129" s="5" t="s">
        <v>4</v>
      </c>
      <c r="O1129" s="97">
        <f ca="1">_xll.meDateFromTenor(O1128,"1D","FOLLOWING","TGT")</f>
        <v>44111</v>
      </c>
      <c r="P1129" s="95">
        <f ca="1"/>
        <v>5.7332978182401146E-3</v>
      </c>
      <c r="Q1129" s="5" t="s">
        <v>4</v>
      </c>
      <c r="R1129" s="83" t="s">
        <v>4</v>
      </c>
    </row>
    <row r="1130" spans="1:18" x14ac:dyDescent="0.25">
      <c r="A1130" s="88">
        <v>1116</v>
      </c>
      <c r="B1130" s="82"/>
      <c r="C1130" s="97">
        <f ca="1">_xll.meDateFromTenor(C1129,"1D","FOLLOWING","TGT")</f>
        <v>44112</v>
      </c>
      <c r="D1130" s="95">
        <f ca="1"/>
        <v>-2.3786932651392867E-4</v>
      </c>
      <c r="E1130" s="92"/>
      <c r="F1130" s="97">
        <f ca="1">_xll.meDateFromTenor(F1129,"1D","FOLLOWING","TGT")</f>
        <v>44112</v>
      </c>
      <c r="G1130" s="95">
        <f ca="1"/>
        <v>6.9265431664527859E-4</v>
      </c>
      <c r="H1130" s="92" t="s">
        <v>4</v>
      </c>
      <c r="I1130" s="97">
        <f ca="1">_xll.meDateFromTenor(I1129,"1D","FOLLOWING","TGT")</f>
        <v>44112</v>
      </c>
      <c r="J1130" s="95">
        <f ca="1"/>
        <v>1.8382677606369143E-3</v>
      </c>
      <c r="K1130" s="5" t="s">
        <v>4</v>
      </c>
      <c r="L1130" s="97">
        <f ca="1">_xll.meDateFromTenor(L1129,"1D","FOLLOWING","TGT")</f>
        <v>44112</v>
      </c>
      <c r="M1130" s="95">
        <f ca="1"/>
        <v>3.7339634204101007E-3</v>
      </c>
      <c r="N1130" s="5" t="s">
        <v>4</v>
      </c>
      <c r="O1130" s="97">
        <f ca="1">_xll.meDateFromTenor(O1129,"1D","FOLLOWING","TGT")</f>
        <v>44112</v>
      </c>
      <c r="P1130" s="95">
        <f ca="1"/>
        <v>5.7402757775461555E-3</v>
      </c>
      <c r="Q1130" s="5" t="s">
        <v>4</v>
      </c>
      <c r="R1130" s="83" t="s">
        <v>4</v>
      </c>
    </row>
    <row r="1131" spans="1:18" x14ac:dyDescent="0.25">
      <c r="A1131" s="88">
        <v>1117</v>
      </c>
      <c r="B1131" s="82"/>
      <c r="C1131" s="97">
        <f ca="1">_xll.meDateFromTenor(C1130,"1D","FOLLOWING","TGT")</f>
        <v>44113</v>
      </c>
      <c r="D1131" s="95">
        <f ca="1"/>
        <v>-2.2997719589290533E-4</v>
      </c>
      <c r="E1131" s="92"/>
      <c r="F1131" s="97">
        <f ca="1">_xll.meDateFromTenor(F1130,"1D","FOLLOWING","TGT")</f>
        <v>44113</v>
      </c>
      <c r="G1131" s="95">
        <f ca="1"/>
        <v>6.9954494055862585E-4</v>
      </c>
      <c r="H1131" s="92" t="s">
        <v>4</v>
      </c>
      <c r="I1131" s="97">
        <f ca="1">_xll.meDateFromTenor(I1130,"1D","FOLLOWING","TGT")</f>
        <v>44113</v>
      </c>
      <c r="J1131" s="95">
        <f ca="1"/>
        <v>1.8452122881972904E-3</v>
      </c>
      <c r="K1131" s="5" t="s">
        <v>4</v>
      </c>
      <c r="L1131" s="97">
        <f ca="1">_xll.meDateFromTenor(L1130,"1D","FOLLOWING","TGT")</f>
        <v>44113</v>
      </c>
      <c r="M1131" s="95">
        <f ca="1"/>
        <v>3.7407357121861684E-3</v>
      </c>
      <c r="N1131" s="5" t="s">
        <v>4</v>
      </c>
      <c r="O1131" s="97">
        <f ca="1">_xll.meDateFromTenor(O1130,"1D","FOLLOWING","TGT")</f>
        <v>44113</v>
      </c>
      <c r="P1131" s="95">
        <f ca="1"/>
        <v>5.7472572741185911E-3</v>
      </c>
      <c r="Q1131" s="5" t="s">
        <v>4</v>
      </c>
      <c r="R1131" s="83" t="s">
        <v>4</v>
      </c>
    </row>
    <row r="1132" spans="1:18" x14ac:dyDescent="0.25">
      <c r="A1132" s="88">
        <v>1118</v>
      </c>
      <c r="B1132" s="82"/>
      <c r="C1132" s="97">
        <f ca="1">_xll.meDateFromTenor(C1131,"1D","FOLLOWING","TGT")</f>
        <v>44116</v>
      </c>
      <c r="D1132" s="95">
        <f ca="1"/>
        <v>-2.0632930010455741E-4</v>
      </c>
      <c r="E1132" s="92"/>
      <c r="F1132" s="97">
        <f ca="1">_xll.meDateFromTenor(F1131,"1D","FOLLOWING","TGT")</f>
        <v>44116</v>
      </c>
      <c r="G1132" s="95">
        <f ca="1"/>
        <v>7.2018244693403295E-4</v>
      </c>
      <c r="H1132" s="92" t="s">
        <v>4</v>
      </c>
      <c r="I1132" s="97">
        <f ca="1">_xll.meDateFromTenor(I1131,"1D","FOLLOWING","TGT")</f>
        <v>44116</v>
      </c>
      <c r="J1132" s="95">
        <f ca="1"/>
        <v>1.8660713150473155E-3</v>
      </c>
      <c r="K1132" s="5" t="s">
        <v>4</v>
      </c>
      <c r="L1132" s="97">
        <f ca="1">_xll.meDateFromTenor(L1131,"1D","FOLLOWING","TGT")</f>
        <v>44116</v>
      </c>
      <c r="M1132" s="95">
        <f ca="1"/>
        <v>3.7610708250215715E-3</v>
      </c>
      <c r="N1132" s="5" t="s">
        <v>4</v>
      </c>
      <c r="O1132" s="97">
        <f ca="1">_xll.meDateFromTenor(O1131,"1D","FOLLOWING","TGT")</f>
        <v>44116</v>
      </c>
      <c r="P1132" s="95">
        <f ca="1"/>
        <v>5.7682228372886507E-3</v>
      </c>
      <c r="Q1132" s="5" t="s">
        <v>4</v>
      </c>
      <c r="R1132" s="83" t="s">
        <v>4</v>
      </c>
    </row>
    <row r="1133" spans="1:18" x14ac:dyDescent="0.25">
      <c r="A1133" s="88">
        <v>1119</v>
      </c>
      <c r="B1133" s="82"/>
      <c r="C1133" s="97">
        <f ca="1">_xll.meDateFromTenor(C1132,"1D","FOLLOWING","TGT")</f>
        <v>44117</v>
      </c>
      <c r="D1133" s="95">
        <f ca="1"/>
        <v>-1.9845616543201494E-4</v>
      </c>
      <c r="E1133" s="92"/>
      <c r="F1133" s="97">
        <f ca="1">_xll.meDateFromTenor(F1132,"1D","FOLLOWING","TGT")</f>
        <v>44117</v>
      </c>
      <c r="G1133" s="95">
        <f ca="1"/>
        <v>7.2705710152073922E-4</v>
      </c>
      <c r="H1133" s="92" t="s">
        <v>4</v>
      </c>
      <c r="I1133" s="97">
        <f ca="1">_xll.meDateFromTenor(I1132,"1D","FOLLOWING","TGT")</f>
        <v>44117</v>
      </c>
      <c r="J1133" s="95">
        <f ca="1"/>
        <v>1.8730328799021151E-3</v>
      </c>
      <c r="K1133" s="5" t="s">
        <v>4</v>
      </c>
      <c r="L1133" s="97">
        <f ca="1">_xll.meDateFromTenor(L1132,"1D","FOLLOWING","TGT")</f>
        <v>44117</v>
      </c>
      <c r="M1133" s="95">
        <f ca="1"/>
        <v>3.7678552791350212E-3</v>
      </c>
      <c r="N1133" s="5" t="s">
        <v>4</v>
      </c>
      <c r="O1133" s="97">
        <f ca="1">_xll.meDateFromTenor(O1132,"1D","FOLLOWING","TGT")</f>
        <v>44117</v>
      </c>
      <c r="P1133" s="95">
        <f ca="1"/>
        <v>5.7752183327810513E-3</v>
      </c>
      <c r="Q1133" s="5" t="s">
        <v>4</v>
      </c>
      <c r="R1133" s="83" t="s">
        <v>4</v>
      </c>
    </row>
    <row r="1134" spans="1:18" x14ac:dyDescent="0.25">
      <c r="A1134" s="88">
        <v>1120</v>
      </c>
      <c r="B1134" s="82"/>
      <c r="C1134" s="97">
        <f ca="1">_xll.meDateFromTenor(C1133,"1D","FOLLOWING","TGT")</f>
        <v>44118</v>
      </c>
      <c r="D1134" s="95">
        <f ca="1"/>
        <v>-1.9058777880986977E-4</v>
      </c>
      <c r="E1134" s="92"/>
      <c r="F1134" s="97">
        <f ca="1">_xll.meDateFromTenor(F1133,"1D","FOLLOWING","TGT")</f>
        <v>44118</v>
      </c>
      <c r="G1134" s="95">
        <f ca="1"/>
        <v>7.3393296946312162E-4</v>
      </c>
      <c r="H1134" s="92" t="s">
        <v>4</v>
      </c>
      <c r="I1134" s="97">
        <f ca="1">_xll.meDateFromTenor(I1133,"1D","FOLLOWING","TGT")</f>
        <v>44118</v>
      </c>
      <c r="J1134" s="95">
        <f ca="1"/>
        <v>1.8799987599668903E-3</v>
      </c>
      <c r="K1134" s="5" t="s">
        <v>4</v>
      </c>
      <c r="L1134" s="97">
        <f ca="1">_xll.meDateFromTenor(L1133,"1D","FOLLOWING","TGT")</f>
        <v>44118</v>
      </c>
      <c r="M1134" s="95">
        <f ca="1"/>
        <v>3.7746427768322521E-3</v>
      </c>
      <c r="N1134" s="5" t="s">
        <v>4</v>
      </c>
      <c r="O1134" s="97">
        <f ca="1">_xll.meDateFromTenor(O1133,"1D","FOLLOWING","TGT")</f>
        <v>44118</v>
      </c>
      <c r="P1134" s="95">
        <f ca="1"/>
        <v>5.782217290467042E-3</v>
      </c>
      <c r="Q1134" s="5" t="s">
        <v>4</v>
      </c>
      <c r="R1134" s="83" t="s">
        <v>4</v>
      </c>
    </row>
    <row r="1135" spans="1:18" x14ac:dyDescent="0.25">
      <c r="A1135" s="88">
        <v>1121</v>
      </c>
      <c r="B1135" s="82"/>
      <c r="C1135" s="97">
        <f ca="1">_xll.meDateFromTenor(C1134,"1D","FOLLOWING","TGT")</f>
        <v>44119</v>
      </c>
      <c r="D1135" s="95">
        <f ca="1"/>
        <v>-1.827241397119872E-4</v>
      </c>
      <c r="E1135" s="92"/>
      <c r="F1135" s="97">
        <f ca="1">_xll.meDateFromTenor(F1134,"1D","FOLLOWING","TGT")</f>
        <v>44119</v>
      </c>
      <c r="G1135" s="95">
        <f ca="1"/>
        <v>7.4081213303611693E-4</v>
      </c>
      <c r="H1135" s="92" t="s">
        <v>4</v>
      </c>
      <c r="I1135" s="97">
        <f ca="1">_xll.meDateFromTenor(I1134,"1D","FOLLOWING","TGT")</f>
        <v>44119</v>
      </c>
      <c r="J1135" s="95">
        <f ca="1"/>
        <v>1.886968977596191E-3</v>
      </c>
      <c r="K1135" s="5" t="s">
        <v>4</v>
      </c>
      <c r="L1135" s="97">
        <f ca="1">_xll.meDateFromTenor(L1134,"1D","FOLLOWING","TGT")</f>
        <v>44119</v>
      </c>
      <c r="M1135" s="95">
        <f ca="1"/>
        <v>3.7814333193130411E-3</v>
      </c>
      <c r="N1135" s="5" t="s">
        <v>4</v>
      </c>
      <c r="O1135" s="97">
        <f ca="1">_xll.meDateFromTenor(O1134,"1D","FOLLOWING","TGT")</f>
        <v>44119</v>
      </c>
      <c r="P1135" s="95">
        <f ca="1"/>
        <v>5.7892196953320645E-3</v>
      </c>
      <c r="Q1135" s="5" t="s">
        <v>4</v>
      </c>
      <c r="R1135" s="83" t="s">
        <v>4</v>
      </c>
    </row>
    <row r="1136" spans="1:18" x14ac:dyDescent="0.25">
      <c r="A1136" s="88">
        <v>1122</v>
      </c>
      <c r="B1136" s="82"/>
      <c r="C1136" s="97">
        <f ca="1">_xll.meDateFromTenor(C1135,"1D","FOLLOWING","TGT")</f>
        <v>44120</v>
      </c>
      <c r="D1136" s="95">
        <f ca="1"/>
        <v>-1.7486524757126531E-4</v>
      </c>
      <c r="E1136" s="92"/>
      <c r="F1136" s="97">
        <f ca="1">_xll.meDateFromTenor(F1135,"1D","FOLLOWING","TGT")</f>
        <v>44120</v>
      </c>
      <c r="G1136" s="95">
        <f ca="1"/>
        <v>7.4769667451465469E-4</v>
      </c>
      <c r="H1136" s="92" t="s">
        <v>4</v>
      </c>
      <c r="I1136" s="97">
        <f ca="1">_xll.meDateFromTenor(I1135,"1D","FOLLOWING","TGT")</f>
        <v>44120</v>
      </c>
      <c r="J1136" s="95">
        <f ca="1"/>
        <v>1.89394355514456E-3</v>
      </c>
      <c r="K1136" s="5" t="s">
        <v>4</v>
      </c>
      <c r="L1136" s="97">
        <f ca="1">_xll.meDateFromTenor(L1135,"1D","FOLLOWING","TGT")</f>
        <v>44120</v>
      </c>
      <c r="M1136" s="95">
        <f ca="1"/>
        <v>3.7882269077771581E-3</v>
      </c>
      <c r="N1136" s="5" t="s">
        <v>4</v>
      </c>
      <c r="O1136" s="97">
        <f ca="1">_xll.meDateFromTenor(O1135,"1D","FOLLOWING","TGT")</f>
        <v>44120</v>
      </c>
      <c r="P1136" s="95">
        <f ca="1"/>
        <v>5.7962255323615501E-3</v>
      </c>
      <c r="Q1136" s="5" t="s">
        <v>4</v>
      </c>
      <c r="R1136" s="83" t="s">
        <v>4</v>
      </c>
    </row>
    <row r="1137" spans="1:18" x14ac:dyDescent="0.25">
      <c r="A1137" s="88">
        <v>1123</v>
      </c>
      <c r="B1137" s="82"/>
      <c r="C1137" s="97">
        <f ca="1">_xll.meDateFromTenor(C1136,"1D","FOLLOWING","TGT")</f>
        <v>44123</v>
      </c>
      <c r="D1137" s="95">
        <f ca="1"/>
        <v>-1.5131705038262666E-4</v>
      </c>
      <c r="E1137" s="92"/>
      <c r="F1137" s="97">
        <f ca="1">_xll.meDateFromTenor(F1136,"1D","FOLLOWING","TGT")</f>
        <v>44123</v>
      </c>
      <c r="G1137" s="95">
        <f ca="1"/>
        <v>7.6840338913288344E-4</v>
      </c>
      <c r="H1137" s="92" t="s">
        <v>4</v>
      </c>
      <c r="I1137" s="97">
        <f ca="1">_xll.meDateFromTenor(I1136,"1D","FOLLOWING","TGT")</f>
        <v>44123</v>
      </c>
      <c r="J1137" s="95">
        <f ca="1"/>
        <v>1.9148936708495686E-3</v>
      </c>
      <c r="K1137" s="5" t="s">
        <v>4</v>
      </c>
      <c r="L1137" s="97">
        <f ca="1">_xll.meDateFromTenor(L1136,"1D","FOLLOWING","TGT")</f>
        <v>44123</v>
      </c>
      <c r="M1137" s="95">
        <f ca="1"/>
        <v>3.8086259610672349E-3</v>
      </c>
      <c r="N1137" s="5" t="s">
        <v>4</v>
      </c>
      <c r="O1137" s="97">
        <f ca="1">_xll.meDateFromTenor(O1136,"1D","FOLLOWING","TGT")</f>
        <v>44123</v>
      </c>
      <c r="P1137" s="95">
        <f ca="1"/>
        <v>5.8172634862912074E-3</v>
      </c>
      <c r="Q1137" s="5" t="s">
        <v>4</v>
      </c>
      <c r="R1137" s="83" t="s">
        <v>4</v>
      </c>
    </row>
    <row r="1138" spans="1:18" x14ac:dyDescent="0.25">
      <c r="A1138" s="88">
        <v>1124</v>
      </c>
      <c r="B1138" s="82"/>
      <c r="C1138" s="97">
        <f ca="1">_xll.meDateFromTenor(C1137,"1D","FOLLOWING","TGT")</f>
        <v>44124</v>
      </c>
      <c r="D1138" s="95">
        <f ca="1"/>
        <v>-1.434771427207826E-4</v>
      </c>
      <c r="E1138" s="92"/>
      <c r="F1138" s="97">
        <f ca="1">_xll.meDateFromTenor(F1137,"1D","FOLLOWING","TGT")</f>
        <v>44124</v>
      </c>
      <c r="G1138" s="95">
        <f ca="1"/>
        <v>7.7533026498294668E-4</v>
      </c>
      <c r="H1138" s="92" t="s">
        <v>4</v>
      </c>
      <c r="I1138" s="97">
        <f ca="1">_xll.meDateFromTenor(I1137,"1D","FOLLOWING","TGT")</f>
        <v>44124</v>
      </c>
      <c r="J1138" s="95">
        <f ca="1"/>
        <v>1.9218859116196985E-3</v>
      </c>
      <c r="K1138" s="5" t="s">
        <v>4</v>
      </c>
      <c r="L1138" s="97">
        <f ca="1">_xll.meDateFromTenor(L1137,"1D","FOLLOWING","TGT")</f>
        <v>44124</v>
      </c>
      <c r="M1138" s="95">
        <f ca="1"/>
        <v>3.8154317454624164E-3</v>
      </c>
      <c r="N1138" s="5" t="s">
        <v>4</v>
      </c>
      <c r="O1138" s="97">
        <f ca="1">_xll.meDateFromTenor(O1137,"1D","FOLLOWING","TGT")</f>
        <v>44124</v>
      </c>
      <c r="P1138" s="95">
        <f ca="1"/>
        <v>5.8242829018329573E-3</v>
      </c>
      <c r="Q1138" s="5" t="s">
        <v>4</v>
      </c>
      <c r="R1138" s="83" t="s">
        <v>4</v>
      </c>
    </row>
    <row r="1139" spans="1:18" x14ac:dyDescent="0.25">
      <c r="A1139" s="88">
        <v>1125</v>
      </c>
      <c r="B1139" s="82"/>
      <c r="C1139" s="97">
        <f ca="1">_xll.meDateFromTenor(C1138,"1D","FOLLOWING","TGT")</f>
        <v>44125</v>
      </c>
      <c r="D1139" s="95">
        <f ca="1"/>
        <v>-1.3564198026083663E-4</v>
      </c>
      <c r="E1139" s="92"/>
      <c r="F1139" s="97">
        <f ca="1">_xll.meDateFromTenor(F1138,"1D","FOLLOWING","TGT")</f>
        <v>44125</v>
      </c>
      <c r="G1139" s="95">
        <f ca="1"/>
        <v>7.8227293011322416E-4</v>
      </c>
      <c r="H1139" s="92" t="s">
        <v>4</v>
      </c>
      <c r="I1139" s="97">
        <f ca="1">_xll.meDateFromTenor(I1138,"1D","FOLLOWING","TGT")</f>
        <v>44125</v>
      </c>
      <c r="J1139" s="95">
        <f ca="1"/>
        <v>1.9288826240816345E-3</v>
      </c>
      <c r="K1139" s="5" t="s">
        <v>4</v>
      </c>
      <c r="L1139" s="97">
        <f ca="1">_xll.meDateFromTenor(L1138,"1D","FOLLOWING","TGT")</f>
        <v>44125</v>
      </c>
      <c r="M1139" s="95">
        <f ca="1"/>
        <v>3.8222405818397974E-3</v>
      </c>
      <c r="N1139" s="5" t="s">
        <v>4</v>
      </c>
      <c r="O1139" s="97">
        <f ca="1">_xll.meDateFromTenor(O1138,"1D","FOLLOWING","TGT")</f>
        <v>44125</v>
      </c>
      <c r="P1139" s="95">
        <f ca="1"/>
        <v>5.8313056744663675E-3</v>
      </c>
      <c r="Q1139" s="5" t="s">
        <v>4</v>
      </c>
      <c r="R1139" s="83" t="s">
        <v>4</v>
      </c>
    </row>
    <row r="1140" spans="1:18" x14ac:dyDescent="0.25">
      <c r="A1140" s="88">
        <v>1126</v>
      </c>
      <c r="B1140" s="82"/>
      <c r="C1140" s="97">
        <f ca="1">_xll.meDateFromTenor(C1139,"1D","FOLLOWING","TGT")</f>
        <v>44126</v>
      </c>
      <c r="D1140" s="95">
        <f ca="1"/>
        <v>-1.2781156227548163E-4</v>
      </c>
      <c r="E1140" s="92"/>
      <c r="F1140" s="97">
        <f ca="1">_xll.meDateFromTenor(F1139,"1D","FOLLOWING","TGT")</f>
        <v>44126</v>
      </c>
      <c r="G1140" s="95">
        <f ca="1"/>
        <v>7.8923346679865493E-4</v>
      </c>
      <c r="H1140" s="92" t="s">
        <v>4</v>
      </c>
      <c r="I1140" s="97">
        <f ca="1">_xll.meDateFromTenor(I1139,"1D","FOLLOWING","TGT")</f>
        <v>44126</v>
      </c>
      <c r="J1140" s="95">
        <f ca="1"/>
        <v>1.9358838305899291E-3</v>
      </c>
      <c r="K1140" s="5" t="s">
        <v>4</v>
      </c>
      <c r="L1140" s="97">
        <f ca="1">_xll.meDateFromTenor(L1139,"1D","FOLLOWING","TGT")</f>
        <v>44126</v>
      </c>
      <c r="M1140" s="95">
        <f ca="1"/>
        <v>3.8290524713991566E-3</v>
      </c>
      <c r="N1140" s="5" t="s">
        <v>4</v>
      </c>
      <c r="O1140" s="97">
        <f ca="1">_xll.meDateFromTenor(O1139,"1D","FOLLOWING","TGT")</f>
        <v>44126</v>
      </c>
      <c r="P1140" s="95">
        <f ca="1"/>
        <v>5.8383317891768814E-3</v>
      </c>
      <c r="Q1140" s="5" t="s">
        <v>4</v>
      </c>
      <c r="R1140" s="83" t="s">
        <v>4</v>
      </c>
    </row>
    <row r="1141" spans="1:18" x14ac:dyDescent="0.25">
      <c r="A1141" s="88">
        <v>1127</v>
      </c>
      <c r="B1141" s="82"/>
      <c r="C1141" s="97">
        <f ca="1">_xll.meDateFromTenor(C1140,"1D","FOLLOWING","TGT")</f>
        <v>44127</v>
      </c>
      <c r="D1141" s="95">
        <f ca="1"/>
        <v>-1.1998588891704021E-4</v>
      </c>
      <c r="E1141" s="92"/>
      <c r="F1141" s="97">
        <f ca="1">_xll.meDateFromTenor(F1140,"1D","FOLLOWING","TGT")</f>
        <v>44127</v>
      </c>
      <c r="G1141" s="95">
        <f ca="1"/>
        <v>7.9621395731416863E-4</v>
      </c>
      <c r="H1141" s="92" t="s">
        <v>4</v>
      </c>
      <c r="I1141" s="97">
        <f ca="1">_xll.meDateFromTenor(I1140,"1D","FOLLOWING","TGT")</f>
        <v>44127</v>
      </c>
      <c r="J1141" s="95">
        <f ca="1"/>
        <v>1.9428895534991249E-3</v>
      </c>
      <c r="K1141" s="5" t="s">
        <v>4</v>
      </c>
      <c r="L1141" s="97">
        <f ca="1">_xll.meDateFromTenor(L1140,"1D","FOLLOWING","TGT")</f>
        <v>44127</v>
      </c>
      <c r="M1141" s="95">
        <f ca="1"/>
        <v>3.8358674153402628E-3</v>
      </c>
      <c r="N1141" s="5" t="s">
        <v>4</v>
      </c>
      <c r="O1141" s="97">
        <f ca="1">_xll.meDateFromTenor(O1140,"1D","FOLLOWING","TGT")</f>
        <v>44127</v>
      </c>
      <c r="P1141" s="95">
        <f ca="1"/>
        <v>5.8453612309499357E-3</v>
      </c>
      <c r="Q1141" s="5" t="s">
        <v>4</v>
      </c>
      <c r="R1141" s="83" t="s">
        <v>4</v>
      </c>
    </row>
    <row r="1142" spans="1:18" x14ac:dyDescent="0.25">
      <c r="A1142" s="88">
        <v>1128</v>
      </c>
      <c r="B1142" s="82"/>
      <c r="C1142" s="97">
        <f ca="1">_xll.meDateFromTenor(C1141,"1D","FOLLOWING","TGT")</f>
        <v>44130</v>
      </c>
      <c r="D1142" s="95">
        <f ca="1"/>
        <v>-9.6537329729806665E-5</v>
      </c>
      <c r="E1142" s="92"/>
      <c r="F1142" s="97">
        <f ca="1">_xll.meDateFromTenor(F1141,"1D","FOLLOWING","TGT")</f>
        <v>44130</v>
      </c>
      <c r="G1142" s="95">
        <f ca="1"/>
        <v>8.1729597459056754E-4</v>
      </c>
      <c r="H1142" s="92" t="s">
        <v>4</v>
      </c>
      <c r="I1142" s="97">
        <f ca="1">_xll.meDateFromTenor(I1141,"1D","FOLLOWING","TGT")</f>
        <v>44130</v>
      </c>
      <c r="J1142" s="95">
        <f ca="1"/>
        <v>1.9639340441776135E-3</v>
      </c>
      <c r="K1142" s="5" t="s">
        <v>4</v>
      </c>
      <c r="L1142" s="97">
        <f ca="1">_xll.meDateFromTenor(L1141,"1D","FOLLOWING","TGT")</f>
        <v>44130</v>
      </c>
      <c r="M1142" s="95">
        <f ca="1"/>
        <v>3.8563305854518231E-3</v>
      </c>
      <c r="N1142" s="5" t="s">
        <v>4</v>
      </c>
      <c r="O1142" s="97">
        <f ca="1">_xll.meDateFromTenor(O1141,"1D","FOLLOWING","TGT")</f>
        <v>44130</v>
      </c>
      <c r="P1142" s="95">
        <f ca="1"/>
        <v>5.866469368498735E-3</v>
      </c>
      <c r="Q1142" s="5" t="s">
        <v>4</v>
      </c>
      <c r="R1142" s="83" t="s">
        <v>4</v>
      </c>
    </row>
    <row r="1143" spans="1:18" x14ac:dyDescent="0.25">
      <c r="A1143" s="88">
        <v>1129</v>
      </c>
      <c r="B1143" s="82"/>
      <c r="C1143" s="97">
        <f ca="1">_xll.meDateFromTenor(C1142,"1D","FOLLOWING","TGT")</f>
        <v>44131</v>
      </c>
      <c r="D1143" s="95">
        <f ca="1"/>
        <v>-8.873062924441566E-5</v>
      </c>
      <c r="E1143" s="92"/>
      <c r="F1143" s="97">
        <f ca="1">_xll.meDateFromTenor(F1142,"1D","FOLLOWING","TGT")</f>
        <v>44131</v>
      </c>
      <c r="G1143" s="95">
        <f ca="1"/>
        <v>8.2437710317576573E-4</v>
      </c>
      <c r="H1143" s="92" t="s">
        <v>4</v>
      </c>
      <c r="I1143" s="97">
        <f ca="1">_xll.meDateFromTenor(I1142,"1D","FOLLOWING","TGT")</f>
        <v>44131</v>
      </c>
      <c r="J1143" s="95">
        <f ca="1"/>
        <v>1.970958056235901E-3</v>
      </c>
      <c r="K1143" s="5" t="s">
        <v>4</v>
      </c>
      <c r="L1143" s="97">
        <f ca="1">_xll.meDateFromTenor(L1142,"1D","FOLLOWING","TGT")</f>
        <v>44131</v>
      </c>
      <c r="M1143" s="95">
        <f ca="1"/>
        <v>3.8631577589176703E-3</v>
      </c>
      <c r="N1143" s="5" t="s">
        <v>4</v>
      </c>
      <c r="O1143" s="97">
        <f ca="1">_xll.meDateFromTenor(O1142,"1D","FOLLOWING","TGT")</f>
        <v>44131</v>
      </c>
      <c r="P1143" s="95">
        <f ca="1"/>
        <v>5.8735119683763423E-3</v>
      </c>
      <c r="Q1143" s="5" t="s">
        <v>4</v>
      </c>
      <c r="R1143" s="83" t="s">
        <v>4</v>
      </c>
    </row>
    <row r="1144" spans="1:18" x14ac:dyDescent="0.25">
      <c r="A1144" s="88">
        <v>1130</v>
      </c>
      <c r="B1144" s="82"/>
      <c r="C1144" s="97">
        <f ca="1">_xll.meDateFromTenor(C1143,"1D","FOLLOWING","TGT")</f>
        <v>44132</v>
      </c>
      <c r="D1144" s="95">
        <f ca="1"/>
        <v>-8.0928670907920441E-5</v>
      </c>
      <c r="E1144" s="92"/>
      <c r="F1144" s="97">
        <f ca="1">_xll.meDateFromTenor(F1143,"1D","FOLLOWING","TGT")</f>
        <v>44132</v>
      </c>
      <c r="G1144" s="95">
        <f ca="1"/>
        <v>8.3148859696572362E-4</v>
      </c>
      <c r="H1144" s="92" t="s">
        <v>4</v>
      </c>
      <c r="I1144" s="97">
        <f ca="1">_xll.meDateFromTenor(I1143,"1D","FOLLOWING","TGT")</f>
        <v>44132</v>
      </c>
      <c r="J1144" s="95">
        <f ca="1"/>
        <v>1.9779866964678315E-3</v>
      </c>
      <c r="K1144" s="5" t="s">
        <v>4</v>
      </c>
      <c r="L1144" s="97">
        <f ca="1">_xll.meDateFromTenor(L1143,"1D","FOLLOWING","TGT")</f>
        <v>44132</v>
      </c>
      <c r="M1144" s="95">
        <f ca="1"/>
        <v>3.8699879927641401E-3</v>
      </c>
      <c r="N1144" s="5" t="s">
        <v>4</v>
      </c>
      <c r="O1144" s="97">
        <f ca="1">_xll.meDateFromTenor(O1143,"1D","FOLLOWING","TGT")</f>
        <v>44132</v>
      </c>
      <c r="P1144" s="95">
        <f ca="1"/>
        <v>5.8805578202436887E-3</v>
      </c>
      <c r="Q1144" s="5" t="s">
        <v>4</v>
      </c>
      <c r="R1144" s="83" t="s">
        <v>4</v>
      </c>
    </row>
    <row r="1145" spans="1:18" x14ac:dyDescent="0.25">
      <c r="A1145" s="88">
        <v>1131</v>
      </c>
      <c r="B1145" s="82"/>
      <c r="C1145" s="97">
        <f ca="1">_xll.meDateFromTenor(C1144,"1D","FOLLOWING","TGT")</f>
        <v>44133</v>
      </c>
      <c r="D1145" s="95">
        <f ca="1"/>
        <v>-7.3131454592312295E-5</v>
      </c>
      <c r="E1145" s="92"/>
      <c r="F1145" s="97">
        <f ca="1">_xll.meDateFromTenor(F1144,"1D","FOLLOWING","TGT")</f>
        <v>44133</v>
      </c>
      <c r="G1145" s="95">
        <f ca="1"/>
        <v>8.386325382353703E-4</v>
      </c>
      <c r="H1145" s="92" t="s">
        <v>4</v>
      </c>
      <c r="I1145" s="97">
        <f ca="1">_xll.meDateFromTenor(I1144,"1D","FOLLOWING","TGT")</f>
        <v>44133</v>
      </c>
      <c r="J1145" s="95">
        <f ca="1"/>
        <v>1.9850199872279498E-3</v>
      </c>
      <c r="K1145" s="5" t="s">
        <v>4</v>
      </c>
      <c r="L1145" s="97">
        <f ca="1">_xll.meDateFromTenor(L1144,"1D","FOLLOWING","TGT")</f>
        <v>44133</v>
      </c>
      <c r="M1145" s="95">
        <f ca="1"/>
        <v>3.8768212881910031E-3</v>
      </c>
      <c r="N1145" s="5" t="s">
        <v>4</v>
      </c>
      <c r="O1145" s="97">
        <f ca="1">_xll.meDateFromTenor(O1144,"1D","FOLLOWING","TGT")</f>
        <v>44133</v>
      </c>
      <c r="P1145" s="95">
        <f ca="1"/>
        <v>5.8876069090862092E-3</v>
      </c>
      <c r="Q1145" s="5" t="s">
        <v>4</v>
      </c>
      <c r="R1145" s="83" t="s">
        <v>4</v>
      </c>
    </row>
    <row r="1146" spans="1:18" x14ac:dyDescent="0.25">
      <c r="A1146" s="88">
        <v>1132</v>
      </c>
      <c r="B1146" s="82"/>
      <c r="C1146" s="97">
        <f ca="1">_xll.meDateFromTenor(C1145,"1D","FOLLOWING","TGT")</f>
        <v>44134</v>
      </c>
      <c r="D1146" s="95">
        <f ca="1"/>
        <v>-6.5338979569729005E-5</v>
      </c>
      <c r="E1146" s="92"/>
      <c r="F1146" s="97">
        <f ca="1">_xll.meDateFromTenor(F1145,"1D","FOLLOWING","TGT")</f>
        <v>44134</v>
      </c>
      <c r="G1146" s="95">
        <f ca="1"/>
        <v>8.4581100925964266E-4</v>
      </c>
      <c r="H1146" s="92" t="s">
        <v>4</v>
      </c>
      <c r="I1146" s="97">
        <f ca="1">_xll.meDateFromTenor(I1145,"1D","FOLLOWING","TGT")</f>
        <v>44134</v>
      </c>
      <c r="J1146" s="95">
        <f ca="1"/>
        <v>1.9920579508708046E-3</v>
      </c>
      <c r="K1146" s="5" t="s">
        <v>4</v>
      </c>
      <c r="L1146" s="97">
        <f ca="1">_xll.meDateFromTenor(L1145,"1D","FOLLOWING","TGT")</f>
        <v>44134</v>
      </c>
      <c r="M1146" s="95">
        <f ca="1"/>
        <v>3.8836576463980349E-3</v>
      </c>
      <c r="N1146" s="5" t="s">
        <v>4</v>
      </c>
      <c r="O1146" s="97">
        <f ca="1">_xll.meDateFromTenor(O1145,"1D","FOLLOWING","TGT")</f>
        <v>44134</v>
      </c>
      <c r="P1146" s="95">
        <f ca="1"/>
        <v>5.8946592198893437E-3</v>
      </c>
      <c r="Q1146" s="5" t="s">
        <v>4</v>
      </c>
      <c r="R1146" s="83" t="s">
        <v>4</v>
      </c>
    </row>
    <row r="1147" spans="1:18" x14ac:dyDescent="0.25">
      <c r="A1147" s="88">
        <v>1133</v>
      </c>
      <c r="B1147" s="82"/>
      <c r="C1147" s="97">
        <f ca="1">_xll.meDateFromTenor(C1146,"1D","FOLLOWING","TGT")</f>
        <v>44137</v>
      </c>
      <c r="D1147" s="95">
        <f ca="1"/>
        <v>-4.1989999458480476E-5</v>
      </c>
      <c r="E1147" s="92"/>
      <c r="F1147" s="97">
        <f ca="1">_xll.meDateFromTenor(F1146,"1D","FOLLOWING","TGT")</f>
        <v>44137</v>
      </c>
      <c r="G1147" s="95">
        <f ca="1"/>
        <v>8.6757442360956244E-4</v>
      </c>
      <c r="H1147" s="92" t="s">
        <v>4</v>
      </c>
      <c r="I1147" s="97">
        <f ca="1">_xll.meDateFromTenor(I1146,"1D","FOLLOWING","TGT")</f>
        <v>44137</v>
      </c>
      <c r="J1147" s="95">
        <f ca="1"/>
        <v>2.0132001026412711E-3</v>
      </c>
      <c r="K1147" s="5" t="s">
        <v>4</v>
      </c>
      <c r="L1147" s="97">
        <f ca="1">_xll.meDateFromTenor(L1146,"1D","FOLLOWING","TGT")</f>
        <v>44137</v>
      </c>
      <c r="M1147" s="95">
        <f ca="1"/>
        <v>3.9041851096978933E-3</v>
      </c>
      <c r="N1147" s="5" t="s">
        <v>4</v>
      </c>
      <c r="O1147" s="97">
        <f ca="1">_xll.meDateFromTenor(O1146,"1D","FOLLOWING","TGT")</f>
        <v>44137</v>
      </c>
      <c r="P1147" s="95">
        <f ca="1"/>
        <v>5.9158353339168286E-3</v>
      </c>
      <c r="Q1147" s="5" t="s">
        <v>4</v>
      </c>
      <c r="R1147" s="83" t="s">
        <v>4</v>
      </c>
    </row>
    <row r="1148" spans="1:18" x14ac:dyDescent="0.25">
      <c r="A1148" s="88">
        <v>1134</v>
      </c>
      <c r="B1148" s="82"/>
      <c r="C1148" s="97">
        <f ca="1">_xll.meDateFromTenor(C1147,"1D","FOLLOWING","TGT")</f>
        <v>44138</v>
      </c>
      <c r="D1148" s="95">
        <f ca="1"/>
        <v>-3.4216486525906475E-5</v>
      </c>
      <c r="E1148" s="92"/>
      <c r="F1148" s="97">
        <f ca="1">_xll.meDateFromTenor(F1147,"1D","FOLLOWING","TGT")</f>
        <v>44138</v>
      </c>
      <c r="G1148" s="95">
        <f ca="1"/>
        <v>8.7491101931182918E-4</v>
      </c>
      <c r="H1148" s="92" t="s">
        <v>4</v>
      </c>
      <c r="I1148" s="97">
        <f ca="1">_xll.meDateFromTenor(I1147,"1D","FOLLOWING","TGT")</f>
        <v>44138</v>
      </c>
      <c r="J1148" s="95">
        <f ca="1"/>
        <v>2.0202569813605499E-3</v>
      </c>
      <c r="K1148" s="5" t="s">
        <v>4</v>
      </c>
      <c r="L1148" s="97">
        <f ca="1">_xll.meDateFromTenor(L1147,"1D","FOLLOWING","TGT")</f>
        <v>44138</v>
      </c>
      <c r="M1148" s="95">
        <f ca="1"/>
        <v>3.9110337310233438E-3</v>
      </c>
      <c r="N1148" s="5" t="s">
        <v>4</v>
      </c>
      <c r="O1148" s="97">
        <f ca="1">_xll.meDateFromTenor(O1147,"1D","FOLLOWING","TGT")</f>
        <v>44138</v>
      </c>
      <c r="P1148" s="95">
        <f ca="1"/>
        <v>5.9229003824168118E-3</v>
      </c>
      <c r="Q1148" s="5" t="s">
        <v>4</v>
      </c>
      <c r="R1148" s="83" t="s">
        <v>4</v>
      </c>
    </row>
    <row r="1149" spans="1:18" x14ac:dyDescent="0.25">
      <c r="A1149" s="88">
        <v>1135</v>
      </c>
      <c r="B1149" s="82"/>
      <c r="C1149" s="97">
        <f ca="1">_xll.meDateFromTenor(C1148,"1D","FOLLOWING","TGT")</f>
        <v>44139</v>
      </c>
      <c r="D1149" s="95">
        <f ca="1"/>
        <v>-2.644771268556223E-5</v>
      </c>
      <c r="E1149" s="92"/>
      <c r="F1149" s="97">
        <f ca="1">_xll.meDateFromTenor(F1148,"1D","FOLLOWING","TGT")</f>
        <v>44139</v>
      </c>
      <c r="G1149" s="95">
        <f ca="1"/>
        <v>8.8228765360428142E-4</v>
      </c>
      <c r="H1149" s="92" t="s">
        <v>4</v>
      </c>
      <c r="I1149" s="97">
        <f ca="1">_xll.meDateFromTenor(I1148,"1D","FOLLOWING","TGT")</f>
        <v>44139</v>
      </c>
      <c r="J1149" s="95">
        <f ca="1"/>
        <v>2.0273186447353031E-3</v>
      </c>
      <c r="K1149" s="5" t="s">
        <v>4</v>
      </c>
      <c r="L1149" s="97">
        <f ca="1">_xll.meDateFromTenor(L1148,"1D","FOLLOWING","TGT")</f>
        <v>44139</v>
      </c>
      <c r="M1149" s="95">
        <f ca="1"/>
        <v>3.9178854211278352E-3</v>
      </c>
      <c r="N1149" s="5" t="s">
        <v>4</v>
      </c>
      <c r="O1149" s="97">
        <f ca="1">_xll.meDateFromTenor(O1148,"1D","FOLLOWING","TGT")</f>
        <v>44139</v>
      </c>
      <c r="P1149" s="95">
        <f ca="1"/>
        <v>5.9299685778046052E-3</v>
      </c>
      <c r="Q1149" s="5" t="s">
        <v>4</v>
      </c>
      <c r="R1149" s="83" t="s">
        <v>4</v>
      </c>
    </row>
    <row r="1150" spans="1:18" x14ac:dyDescent="0.25">
      <c r="A1150" s="88">
        <v>1136</v>
      </c>
      <c r="B1150" s="82"/>
      <c r="C1150" s="97">
        <f ca="1">_xll.meDateFromTenor(C1149,"1D","FOLLOWING","TGT")</f>
        <v>44140</v>
      </c>
      <c r="D1150" s="95">
        <f ca="1"/>
        <v>-1.8683678447928287E-5</v>
      </c>
      <c r="E1150" s="92"/>
      <c r="F1150" s="97">
        <f ca="1">_xll.meDateFromTenor(F1149,"1D","FOLLOWING","TGT")</f>
        <v>44140</v>
      </c>
      <c r="G1150" s="95">
        <f ca="1"/>
        <v>8.8970150622274418E-4</v>
      </c>
      <c r="H1150" s="92" t="s">
        <v>4</v>
      </c>
      <c r="I1150" s="97">
        <f ca="1">_xll.meDateFromTenor(I1149,"1D","FOLLOWING","TGT")</f>
        <v>44140</v>
      </c>
      <c r="J1150" s="95">
        <f ca="1"/>
        <v>2.0343851151200811E-3</v>
      </c>
      <c r="K1150" s="5" t="s">
        <v>4</v>
      </c>
      <c r="L1150" s="97">
        <f ca="1">_xll.meDateFromTenor(L1149,"1D","FOLLOWING","TGT")</f>
        <v>44140</v>
      </c>
      <c r="M1150" s="95">
        <f ca="1"/>
        <v>3.9247401812111437E-3</v>
      </c>
      <c r="N1150" s="5" t="s">
        <v>4</v>
      </c>
      <c r="O1150" s="97">
        <f ca="1">_xll.meDateFromTenor(O1149,"1D","FOLLOWING","TGT")</f>
        <v>44140</v>
      </c>
      <c r="P1150" s="95">
        <f ca="1"/>
        <v>5.9370399050656499E-3</v>
      </c>
      <c r="Q1150" s="5" t="s">
        <v>4</v>
      </c>
      <c r="R1150" s="83" t="s">
        <v>4</v>
      </c>
    </row>
    <row r="1151" spans="1:18" x14ac:dyDescent="0.25">
      <c r="A1151" s="88">
        <v>1137</v>
      </c>
      <c r="B1151" s="82"/>
      <c r="C1151" s="97">
        <f ca="1">_xll.meDateFromTenor(C1150,"1D","FOLLOWING","TGT")</f>
        <v>44141</v>
      </c>
      <c r="D1151" s="95">
        <f ca="1"/>
        <v>-1.0924382405352873E-5</v>
      </c>
      <c r="E1151" s="92"/>
      <c r="F1151" s="97">
        <f ca="1">_xll.meDateFromTenor(F1150,"1D","FOLLOWING","TGT")</f>
        <v>44141</v>
      </c>
      <c r="G1151" s="95">
        <f ca="1"/>
        <v>8.971497569030349E-4</v>
      </c>
      <c r="H1151" s="92" t="s">
        <v>4</v>
      </c>
      <c r="I1151" s="97">
        <f ca="1">_xll.meDateFromTenor(I1150,"1D","FOLLOWING","TGT")</f>
        <v>44141</v>
      </c>
      <c r="J1151" s="95">
        <f ca="1"/>
        <v>2.0414564148694271E-3</v>
      </c>
      <c r="K1151" s="5" t="s">
        <v>4</v>
      </c>
      <c r="L1151" s="97">
        <f ca="1">_xll.meDateFromTenor(L1150,"1D","FOLLOWING","TGT")</f>
        <v>44141</v>
      </c>
      <c r="M1151" s="95">
        <f ca="1"/>
        <v>3.9315980124730388E-3</v>
      </c>
      <c r="N1151" s="5" t="s">
        <v>4</v>
      </c>
      <c r="O1151" s="97">
        <f ca="1">_xll.meDateFromTenor(O1150,"1D","FOLLOWING","TGT")</f>
        <v>44141</v>
      </c>
      <c r="P1151" s="95">
        <f ca="1"/>
        <v>5.9441143491853789E-3</v>
      </c>
      <c r="Q1151" s="5" t="s">
        <v>4</v>
      </c>
      <c r="R1151" s="83" t="s">
        <v>4</v>
      </c>
    </row>
    <row r="1152" spans="1:18" x14ac:dyDescent="0.25">
      <c r="A1152" s="88">
        <v>1138</v>
      </c>
      <c r="B1152" s="82"/>
      <c r="C1152" s="97">
        <f ca="1">_xll.meDateFromTenor(C1151,"1D","FOLLOWING","TGT")</f>
        <v>44144</v>
      </c>
      <c r="D1152" s="95">
        <f ca="1"/>
        <v>1.2325076761854348E-5</v>
      </c>
      <c r="E1152" s="92"/>
      <c r="F1152" s="97">
        <f ca="1">_xll.meDateFromTenor(F1151,"1D","FOLLOWING","TGT")</f>
        <v>44144</v>
      </c>
      <c r="G1152" s="95">
        <f ca="1"/>
        <v>9.1967269467311771E-4</v>
      </c>
      <c r="H1152" s="92" t="s">
        <v>4</v>
      </c>
      <c r="I1152" s="97">
        <f ca="1">_xll.meDateFromTenor(I1151,"1D","FOLLOWING","TGT")</f>
        <v>44144</v>
      </c>
      <c r="J1152" s="95">
        <f ca="1"/>
        <v>2.0626995138503636E-3</v>
      </c>
      <c r="K1152" s="5" t="s">
        <v>4</v>
      </c>
      <c r="L1152" s="97">
        <f ca="1">_xll.meDateFromTenor(L1151,"1D","FOLLOWING","TGT")</f>
        <v>44144</v>
      </c>
      <c r="M1152" s="95">
        <f ca="1"/>
        <v>3.9521899453280008E-3</v>
      </c>
      <c r="N1152" s="5" t="s">
        <v>4</v>
      </c>
      <c r="O1152" s="97">
        <f ca="1">_xll.meDateFromTenor(O1151,"1D","FOLLOWING","TGT")</f>
        <v>44144</v>
      </c>
      <c r="P1152" s="95">
        <f ca="1"/>
        <v>5.9653562325510884E-3</v>
      </c>
      <c r="Q1152" s="5" t="s">
        <v>4</v>
      </c>
      <c r="R1152" s="83" t="s">
        <v>4</v>
      </c>
    </row>
    <row r="1153" spans="1:18" x14ac:dyDescent="0.25">
      <c r="A1153" s="88">
        <v>1139</v>
      </c>
      <c r="B1153" s="82"/>
      <c r="C1153" s="97">
        <f ca="1">_xll.meDateFromTenor(C1152,"1D","FOLLOWING","TGT")</f>
        <v>44145</v>
      </c>
      <c r="D1153" s="95">
        <f ca="1"/>
        <v>2.0065421753479029E-5</v>
      </c>
      <c r="E1153" s="92"/>
      <c r="F1153" s="97">
        <f ca="1">_xll.meDateFromTenor(F1152,"1D","FOLLOWING","TGT")</f>
        <v>44145</v>
      </c>
      <c r="G1153" s="95">
        <f ca="1"/>
        <v>9.2723033495895535E-4</v>
      </c>
      <c r="H1153" s="92" t="s">
        <v>4</v>
      </c>
      <c r="I1153" s="97">
        <f ca="1">_xll.meDateFromTenor(I1152,"1D","FOLLOWING","TGT")</f>
        <v>44145</v>
      </c>
      <c r="J1153" s="95">
        <f ca="1"/>
        <v>2.0697903546034653E-3</v>
      </c>
      <c r="K1153" s="5" t="s">
        <v>4</v>
      </c>
      <c r="L1153" s="97">
        <f ca="1">_xll.meDateFromTenor(L1152,"1D","FOLLOWING","TGT")</f>
        <v>44145</v>
      </c>
      <c r="M1153" s="95">
        <f ca="1"/>
        <v>3.9590600733019924E-3</v>
      </c>
      <c r="N1153" s="5" t="s">
        <v>4</v>
      </c>
      <c r="O1153" s="97">
        <f ca="1">_xll.meDateFromTenor(O1152,"1D","FOLLOWING","TGT")</f>
        <v>44145</v>
      </c>
      <c r="P1153" s="95">
        <f ca="1"/>
        <v>5.9724429939599618E-3</v>
      </c>
      <c r="Q1153" s="5" t="s">
        <v>4</v>
      </c>
      <c r="R1153" s="83" t="s">
        <v>4</v>
      </c>
    </row>
    <row r="1154" spans="1:18" x14ac:dyDescent="0.25">
      <c r="A1154" s="88">
        <v>1140</v>
      </c>
      <c r="B1154" s="82"/>
      <c r="C1154" s="97">
        <f ca="1">_xll.meDateFromTenor(C1153,"1D","FOLLOWING","TGT")</f>
        <v>44146</v>
      </c>
      <c r="D1154" s="95">
        <f ca="1"/>
        <v>2.7801029954366285E-5</v>
      </c>
      <c r="E1154" s="92"/>
      <c r="F1154" s="97">
        <f ca="1">_xll.meDateFromTenor(F1153,"1D","FOLLOWING","TGT")</f>
        <v>44146</v>
      </c>
      <c r="G1154" s="95">
        <f ca="1"/>
        <v>9.3480827198573826E-4</v>
      </c>
      <c r="H1154" s="92" t="s">
        <v>4</v>
      </c>
      <c r="I1154" s="97">
        <f ca="1">_xll.meDateFromTenor(I1153,"1D","FOLLOWING","TGT")</f>
        <v>44146</v>
      </c>
      <c r="J1154" s="95">
        <f ca="1"/>
        <v>2.0768861364938774E-3</v>
      </c>
      <c r="K1154" s="5" t="s">
        <v>4</v>
      </c>
      <c r="L1154" s="97">
        <f ca="1">_xll.meDateFromTenor(L1153,"1D","FOLLOWING","TGT")</f>
        <v>44146</v>
      </c>
      <c r="M1154" s="95">
        <f ca="1"/>
        <v>3.9659332784534474E-3</v>
      </c>
      <c r="N1154" s="5" t="s">
        <v>4</v>
      </c>
      <c r="O1154" s="97">
        <f ca="1">_xll.meDateFromTenor(O1153,"1D","FOLLOWING","TGT")</f>
        <v>44146</v>
      </c>
      <c r="P1154" s="95">
        <f ca="1"/>
        <v>5.9795327971547199E-3</v>
      </c>
      <c r="Q1154" s="5" t="s">
        <v>4</v>
      </c>
      <c r="R1154" s="83" t="s">
        <v>4</v>
      </c>
    </row>
    <row r="1155" spans="1:18" x14ac:dyDescent="0.25">
      <c r="A1155" s="88">
        <v>1141</v>
      </c>
      <c r="B1155" s="82"/>
      <c r="C1155" s="97">
        <f ca="1">_xll.meDateFromTenor(C1154,"1D","FOLLOWING","TGT")</f>
        <v>44147</v>
      </c>
      <c r="D1155" s="95">
        <f ca="1"/>
        <v>3.5531901813934397E-5</v>
      </c>
      <c r="E1155" s="92"/>
      <c r="F1155" s="97">
        <f ca="1">_xll.meDateFromTenor(F1154,"1D","FOLLOWING","TGT")</f>
        <v>44147</v>
      </c>
      <c r="G1155" s="95">
        <f ca="1"/>
        <v>9.424036854892839E-4</v>
      </c>
      <c r="H1155" s="92" t="s">
        <v>4</v>
      </c>
      <c r="I1155" s="97">
        <f ca="1">_xll.meDateFromTenor(I1154,"1D","FOLLOWING","TGT")</f>
        <v>44147</v>
      </c>
      <c r="J1155" s="95">
        <f ca="1"/>
        <v>2.0839868818761432E-3</v>
      </c>
      <c r="K1155" s="5" t="s">
        <v>4</v>
      </c>
      <c r="L1155" s="97">
        <f ca="1">_xll.meDateFromTenor(L1154,"1D","FOLLOWING","TGT")</f>
        <v>44147</v>
      </c>
      <c r="M1155" s="95">
        <f ca="1"/>
        <v>3.9728095619821335E-3</v>
      </c>
      <c r="N1155" s="5" t="s">
        <v>4</v>
      </c>
      <c r="O1155" s="97">
        <f ca="1">_xll.meDateFromTenor(O1154,"1D","FOLLOWING","TGT")</f>
        <v>44147</v>
      </c>
      <c r="P1155" s="95">
        <f ca="1"/>
        <v>5.9866256271207969E-3</v>
      </c>
      <c r="Q1155" s="5" t="s">
        <v>4</v>
      </c>
      <c r="R1155" s="83" t="s">
        <v>4</v>
      </c>
    </row>
    <row r="1156" spans="1:18" x14ac:dyDescent="0.25">
      <c r="A1156" s="88">
        <v>1142</v>
      </c>
      <c r="B1156" s="82"/>
      <c r="C1156" s="97">
        <f ca="1">_xll.meDateFromTenor(C1155,"1D","FOLLOWING","TGT")</f>
        <v>44148</v>
      </c>
      <c r="D1156" s="95">
        <f ca="1"/>
        <v>4.3258037781157554E-5</v>
      </c>
      <c r="E1156" s="92"/>
      <c r="F1156" s="97">
        <f ca="1">_xll.meDateFromTenor(F1155,"1D","FOLLOWING","TGT")</f>
        <v>44148</v>
      </c>
      <c r="G1156" s="95">
        <f ca="1"/>
        <v>9.5001375520542032E-4</v>
      </c>
      <c r="H1156" s="92" t="s">
        <v>4</v>
      </c>
      <c r="I1156" s="97">
        <f ca="1">_xll.meDateFromTenor(I1155,"1D","FOLLOWING","TGT")</f>
        <v>44148</v>
      </c>
      <c r="J1156" s="95">
        <f ca="1"/>
        <v>2.0910926131048144E-3</v>
      </c>
      <c r="K1156" s="5" t="s">
        <v>4</v>
      </c>
      <c r="L1156" s="97">
        <f ca="1">_xll.meDateFromTenor(L1155,"1D","FOLLOWING","TGT")</f>
        <v>44148</v>
      </c>
      <c r="M1156" s="95">
        <f ca="1"/>
        <v>3.9796889250878304E-3</v>
      </c>
      <c r="N1156" s="5" t="s">
        <v>4</v>
      </c>
      <c r="O1156" s="97">
        <f ca="1">_xll.meDateFromTenor(O1155,"1D","FOLLOWING","TGT")</f>
        <v>44148</v>
      </c>
      <c r="P1156" s="95">
        <f ca="1"/>
        <v>5.9937214688436389E-3</v>
      </c>
      <c r="Q1156" s="5" t="s">
        <v>4</v>
      </c>
      <c r="R1156" s="83" t="s">
        <v>4</v>
      </c>
    </row>
    <row r="1157" spans="1:18" x14ac:dyDescent="0.25">
      <c r="A1157" s="88">
        <v>1143</v>
      </c>
      <c r="B1157" s="82"/>
      <c r="C1157" s="97">
        <f ca="1">_xll.meDateFromTenor(C1156,"1D","FOLLOWING","TGT")</f>
        <v>44151</v>
      </c>
      <c r="D1157" s="95">
        <f ca="1"/>
        <v>6.6408033382314713E-5</v>
      </c>
      <c r="E1157" s="92"/>
      <c r="F1157" s="97">
        <f ca="1">_xll.meDateFromTenor(F1156,"1D","FOLLOWING","TGT")</f>
        <v>44151</v>
      </c>
      <c r="G1157" s="95">
        <f ca="1"/>
        <v>9.7290369898757551E-4</v>
      </c>
      <c r="H1157" s="92" t="s">
        <v>4</v>
      </c>
      <c r="I1157" s="97">
        <f ca="1">_xll.meDateFromTenor(I1156,"1D","FOLLOWING","TGT")</f>
        <v>44151</v>
      </c>
      <c r="J1157" s="95">
        <f ca="1"/>
        <v>2.1124399454147177E-3</v>
      </c>
      <c r="K1157" s="5" t="s">
        <v>4</v>
      </c>
      <c r="L1157" s="97">
        <f ca="1">_xll.meDateFromTenor(L1156,"1D","FOLLOWING","TGT")</f>
        <v>44151</v>
      </c>
      <c r="M1157" s="95">
        <f ca="1"/>
        <v>4.0003455038647084E-3</v>
      </c>
      <c r="N1157" s="5" t="s">
        <v>4</v>
      </c>
      <c r="O1157" s="97">
        <f ca="1">_xll.meDateFromTenor(O1156,"1D","FOLLOWING","TGT")</f>
        <v>44151</v>
      </c>
      <c r="P1157" s="95">
        <f ca="1"/>
        <v>6.0150269144071192E-3</v>
      </c>
      <c r="Q1157" s="5" t="s">
        <v>4</v>
      </c>
      <c r="R1157" s="83" t="s">
        <v>4</v>
      </c>
    </row>
    <row r="1158" spans="1:18" x14ac:dyDescent="0.25">
      <c r="A1158" s="88">
        <v>1144</v>
      </c>
      <c r="B1158" s="82"/>
      <c r="C1158" s="97">
        <f ca="1">_xll.meDateFromTenor(C1157,"1D","FOLLOWING","TGT")</f>
        <v>44152</v>
      </c>
      <c r="D1158" s="95">
        <f ca="1"/>
        <v>7.4115229233839841E-5</v>
      </c>
      <c r="E1158" s="92"/>
      <c r="F1158" s="97">
        <f ca="1">_xll.meDateFromTenor(F1157,"1D","FOLLOWING","TGT")</f>
        <v>44152</v>
      </c>
      <c r="G1158" s="95">
        <f ca="1"/>
        <v>9.8054419091228519E-4</v>
      </c>
      <c r="H1158" s="92" t="s">
        <v>4</v>
      </c>
      <c r="I1158" s="97">
        <f ca="1">_xll.meDateFromTenor(I1157,"1D","FOLLOWING","TGT")</f>
        <v>44152</v>
      </c>
      <c r="J1158" s="95">
        <f ca="1"/>
        <v>2.1195658435744754E-3</v>
      </c>
      <c r="K1158" s="5" t="s">
        <v>4</v>
      </c>
      <c r="L1158" s="97">
        <f ca="1">_xll.meDateFromTenor(L1157,"1D","FOLLOWING","TGT")</f>
        <v>44152</v>
      </c>
      <c r="M1158" s="95">
        <f ca="1"/>
        <v>4.0072371972761792E-3</v>
      </c>
      <c r="N1158" s="5" t="s">
        <v>4</v>
      </c>
      <c r="O1158" s="97">
        <f ca="1">_xll.meDateFromTenor(O1157,"1D","FOLLOWING","TGT")</f>
        <v>44152</v>
      </c>
      <c r="P1158" s="95">
        <f ca="1"/>
        <v>6.022134653011396E-3</v>
      </c>
      <c r="Q1158" s="5" t="s">
        <v>4</v>
      </c>
      <c r="R1158" s="83" t="s">
        <v>4</v>
      </c>
    </row>
    <row r="1159" spans="1:18" x14ac:dyDescent="0.25">
      <c r="A1159" s="88">
        <v>1145</v>
      </c>
      <c r="B1159" s="82"/>
      <c r="C1159" s="97">
        <f ca="1">_xll.meDateFromTenor(C1158,"1D","FOLLOWING","TGT")</f>
        <v>44153</v>
      </c>
      <c r="D1159" s="95">
        <f ca="1"/>
        <v>8.1817691039987039E-5</v>
      </c>
      <c r="E1159" s="92"/>
      <c r="F1159" s="97">
        <f ca="1">_xll.meDateFromTenor(F1158,"1D","FOLLOWING","TGT")</f>
        <v>44153</v>
      </c>
      <c r="G1159" s="95">
        <f ca="1"/>
        <v>9.8818523772869755E-4</v>
      </c>
      <c r="H1159" s="92" t="s">
        <v>4</v>
      </c>
      <c r="I1159" s="97">
        <f ca="1">_xll.meDateFromTenor(I1158,"1D","FOLLOWING","TGT")</f>
        <v>44153</v>
      </c>
      <c r="J1159" s="95">
        <f ca="1"/>
        <v>2.1266968393533767E-3</v>
      </c>
      <c r="K1159" s="5" t="s">
        <v>4</v>
      </c>
      <c r="L1159" s="97">
        <f ca="1">_xll.meDateFromTenor(L1158,"1D","FOLLOWING","TGT")</f>
        <v>44153</v>
      </c>
      <c r="M1159" s="95">
        <f ca="1"/>
        <v>4.0141319762635307E-3</v>
      </c>
      <c r="N1159" s="5" t="s">
        <v>4</v>
      </c>
      <c r="O1159" s="97">
        <f ca="1">_xll.meDateFromTenor(O1158,"1D","FOLLOWING","TGT")</f>
        <v>44153</v>
      </c>
      <c r="P1159" s="95">
        <f ca="1"/>
        <v>6.0292453282996313E-3</v>
      </c>
      <c r="Q1159" s="5" t="s">
        <v>4</v>
      </c>
      <c r="R1159" s="83" t="s">
        <v>4</v>
      </c>
    </row>
    <row r="1160" spans="1:18" x14ac:dyDescent="0.25">
      <c r="A1160" s="88">
        <v>1146</v>
      </c>
      <c r="B1160" s="82"/>
      <c r="C1160" s="97">
        <f ca="1">_xll.meDateFromTenor(C1159,"1D","FOLLOWING","TGT")</f>
        <v>44154</v>
      </c>
      <c r="D1160" s="95">
        <f ca="1"/>
        <v>8.951541917068262E-5</v>
      </c>
      <c r="E1160" s="92"/>
      <c r="F1160" s="97">
        <f ca="1">_xll.meDateFromTenor(F1159,"1D","FOLLOWING","TGT")</f>
        <v>44154</v>
      </c>
      <c r="G1160" s="95">
        <f ca="1"/>
        <v>9.9582401917263025E-4</v>
      </c>
      <c r="H1160" s="92" t="s">
        <v>4</v>
      </c>
      <c r="I1160" s="97">
        <f ca="1">_xll.meDateFromTenor(I1159,"1D","FOLLOWING","TGT")</f>
        <v>44154</v>
      </c>
      <c r="J1160" s="95">
        <f ca="1"/>
        <v>2.1338329551059635E-3</v>
      </c>
      <c r="K1160" s="5" t="s">
        <v>4</v>
      </c>
      <c r="L1160" s="97">
        <f ca="1">_xll.meDateFromTenor(L1159,"1D","FOLLOWING","TGT")</f>
        <v>44154</v>
      </c>
      <c r="M1160" s="95">
        <f ca="1"/>
        <v>4.0210298420265351E-3</v>
      </c>
      <c r="N1160" s="5" t="s">
        <v>4</v>
      </c>
      <c r="O1160" s="97">
        <f ca="1">_xll.meDateFromTenor(O1159,"1D","FOLLOWING","TGT")</f>
        <v>44154</v>
      </c>
      <c r="P1160" s="95">
        <f ca="1"/>
        <v>6.0363589252572592E-3</v>
      </c>
      <c r="Q1160" s="5" t="s">
        <v>4</v>
      </c>
      <c r="R1160" s="83" t="s">
        <v>4</v>
      </c>
    </row>
    <row r="1161" spans="1:18" x14ac:dyDescent="0.25">
      <c r="A1161" s="88">
        <v>1147</v>
      </c>
      <c r="B1161" s="82"/>
      <c r="C1161" s="97">
        <f ca="1">_xll.meDateFromTenor(C1160,"1D","FOLLOWING","TGT")</f>
        <v>44155</v>
      </c>
      <c r="D1161" s="95">
        <f ca="1"/>
        <v>9.7208413915694791E-5</v>
      </c>
      <c r="E1161" s="92"/>
      <c r="F1161" s="97">
        <f ca="1">_xll.meDateFromTenor(F1160,"1D","FOLLOWING","TGT")</f>
        <v>44155</v>
      </c>
      <c r="G1161" s="95">
        <f ca="1"/>
        <v>1.0034577149799083E-3</v>
      </c>
      <c r="H1161" s="92" t="s">
        <v>4</v>
      </c>
      <c r="I1161" s="97">
        <f ca="1">_xll.meDateFromTenor(I1160,"1D","FOLLOWING","TGT")</f>
        <v>44155</v>
      </c>
      <c r="J1161" s="95">
        <f ca="1"/>
        <v>2.1409742131867867E-3</v>
      </c>
      <c r="K1161" s="5" t="s">
        <v>4</v>
      </c>
      <c r="L1161" s="97">
        <f ca="1">_xll.meDateFromTenor(L1160,"1D","FOLLOWING","TGT")</f>
        <v>44155</v>
      </c>
      <c r="M1161" s="95">
        <f ca="1"/>
        <v>4.027930795764966E-3</v>
      </c>
      <c r="N1161" s="5" t="s">
        <v>4</v>
      </c>
      <c r="O1161" s="97">
        <f ca="1">_xll.meDateFromTenor(O1160,"1D","FOLLOWING","TGT")</f>
        <v>44155</v>
      </c>
      <c r="P1161" s="95">
        <f ca="1"/>
        <v>6.043475428869724E-3</v>
      </c>
      <c r="Q1161" s="5" t="s">
        <v>4</v>
      </c>
      <c r="R1161" s="83" t="s">
        <v>4</v>
      </c>
    </row>
    <row r="1162" spans="1:18" x14ac:dyDescent="0.25">
      <c r="A1162" s="88">
        <v>1148</v>
      </c>
      <c r="B1162" s="82"/>
      <c r="C1162" s="97">
        <f ca="1">_xll.meDateFromTenor(C1161,"1D","FOLLOWING","TGT")</f>
        <v>44158</v>
      </c>
      <c r="D1162" s="95">
        <f ca="1"/>
        <v>1.2025900225443031E-4</v>
      </c>
      <c r="E1162" s="92"/>
      <c r="F1162" s="97">
        <f ca="1">_xll.meDateFromTenor(F1161,"1D","FOLLOWING","TGT")</f>
        <v>44158</v>
      </c>
      <c r="G1162" s="95">
        <f ca="1"/>
        <v>1.0263000859400424E-3</v>
      </c>
      <c r="H1162" s="92" t="s">
        <v>4</v>
      </c>
      <c r="I1162" s="97">
        <f ca="1">_xll.meDateFromTenor(I1161,"1D","FOLLOWING","TGT")</f>
        <v>44158</v>
      </c>
      <c r="J1162" s="95">
        <f ca="1"/>
        <v>2.1624290649441564E-3</v>
      </c>
      <c r="K1162" s="5" t="s">
        <v>4</v>
      </c>
      <c r="L1162" s="97">
        <f ca="1">_xll.meDateFromTenor(L1161,"1D","FOLLOWING","TGT")</f>
        <v>44158</v>
      </c>
      <c r="M1162" s="95">
        <f ca="1"/>
        <v>4.0486521968305751E-3</v>
      </c>
      <c r="N1162" s="5" t="s">
        <v>4</v>
      </c>
      <c r="O1162" s="97">
        <f ca="1">_xll.meDateFromTenor(O1161,"1D","FOLLOWING","TGT")</f>
        <v>44158</v>
      </c>
      <c r="P1162" s="95">
        <f ca="1"/>
        <v>6.0648422294905186E-3</v>
      </c>
      <c r="Q1162" s="5" t="s">
        <v>4</v>
      </c>
      <c r="R1162" s="83" t="s">
        <v>4</v>
      </c>
    </row>
    <row r="1163" spans="1:18" x14ac:dyDescent="0.25">
      <c r="A1163" s="88">
        <v>1149</v>
      </c>
      <c r="B1163" s="82"/>
      <c r="C1163" s="97">
        <f ca="1">_xll.meDateFromTenor(C1162,"1D","FOLLOWING","TGT")</f>
        <v>44159</v>
      </c>
      <c r="D1163" s="95">
        <f ca="1"/>
        <v>1.2793306779501634E-4</v>
      </c>
      <c r="E1163" s="92"/>
      <c r="F1163" s="97">
        <f ca="1">_xll.meDateFromTenor(F1162,"1D","FOLLOWING","TGT")</f>
        <v>44159</v>
      </c>
      <c r="G1163" s="95">
        <f ca="1"/>
        <v>1.0338852365589257E-3</v>
      </c>
      <c r="H1163" s="92" t="s">
        <v>4</v>
      </c>
      <c r="I1163" s="97">
        <f ca="1">_xll.meDateFromTenor(I1162,"1D","FOLLOWING","TGT")</f>
        <v>44159</v>
      </c>
      <c r="J1163" s="95">
        <f ca="1"/>
        <v>2.1695911158834012E-3</v>
      </c>
      <c r="K1163" s="5" t="s">
        <v>4</v>
      </c>
      <c r="L1163" s="97">
        <f ca="1">_xll.meDateFromTenor(L1162,"1D","FOLLOWING","TGT")</f>
        <v>44159</v>
      </c>
      <c r="M1163" s="95">
        <f ca="1"/>
        <v>4.0555655144684597E-3</v>
      </c>
      <c r="N1163" s="5" t="s">
        <v>4</v>
      </c>
      <c r="O1163" s="97">
        <f ca="1">_xll.meDateFromTenor(O1162,"1D","FOLLOWING","TGT")</f>
        <v>44159</v>
      </c>
      <c r="P1163" s="95">
        <f ca="1"/>
        <v>6.0719702095767122E-3</v>
      </c>
      <c r="Q1163" s="5" t="s">
        <v>4</v>
      </c>
      <c r="R1163" s="83" t="s">
        <v>4</v>
      </c>
    </row>
    <row r="1164" spans="1:18" x14ac:dyDescent="0.25">
      <c r="A1164" s="88">
        <v>1150</v>
      </c>
      <c r="B1164" s="82"/>
      <c r="C1164" s="97">
        <f ca="1">_xll.meDateFromTenor(C1163,"1D","FOLLOWING","TGT")</f>
        <v>44160</v>
      </c>
      <c r="D1164" s="95">
        <f ca="1"/>
        <v>1.3560240163990045E-4</v>
      </c>
      <c r="E1164" s="92"/>
      <c r="F1164" s="97">
        <f ca="1">_xll.meDateFromTenor(F1163,"1D","FOLLOWING","TGT")</f>
        <v>44160</v>
      </c>
      <c r="G1164" s="95">
        <f ca="1"/>
        <v>1.0414512002202662E-3</v>
      </c>
      <c r="H1164" s="92" t="s">
        <v>4</v>
      </c>
      <c r="I1164" s="97">
        <f ca="1">_xll.meDateFromTenor(I1163,"1D","FOLLOWING","TGT")</f>
        <v>44160</v>
      </c>
      <c r="J1164" s="95">
        <f ca="1"/>
        <v>2.1767584209236206E-3</v>
      </c>
      <c r="K1164" s="5" t="s">
        <v>4</v>
      </c>
      <c r="L1164" s="97">
        <f ca="1">_xll.meDateFromTenor(L1163,"1D","FOLLOWING","TGT")</f>
        <v>44160</v>
      </c>
      <c r="M1164" s="95">
        <f ca="1"/>
        <v>4.0624819260806451E-3</v>
      </c>
      <c r="N1164" s="5" t="s">
        <v>4</v>
      </c>
      <c r="O1164" s="97">
        <f ca="1">_xll.meDateFromTenor(O1163,"1D","FOLLOWING","TGT")</f>
        <v>44160</v>
      </c>
      <c r="P1164" s="95">
        <f ca="1"/>
        <v>6.0791010212449372E-3</v>
      </c>
      <c r="Q1164" s="5" t="s">
        <v>4</v>
      </c>
      <c r="R1164" s="83" t="s">
        <v>4</v>
      </c>
    </row>
    <row r="1165" spans="1:18" x14ac:dyDescent="0.25">
      <c r="A1165" s="88">
        <v>1151</v>
      </c>
      <c r="B1165" s="82"/>
      <c r="C1165" s="97">
        <f ca="1">_xll.meDateFromTenor(C1164,"1D","FOLLOWING","TGT")</f>
        <v>44161</v>
      </c>
      <c r="D1165" s="95">
        <f ca="1"/>
        <v>1.4326700447919727E-4</v>
      </c>
      <c r="E1165" s="92"/>
      <c r="F1165" s="97">
        <f ca="1">_xll.meDateFromTenor(F1164,"1D","FOLLOWING","TGT")</f>
        <v>44161</v>
      </c>
      <c r="G1165" s="95">
        <f ca="1"/>
        <v>1.0489951566598874E-3</v>
      </c>
      <c r="H1165" s="92" t="s">
        <v>4</v>
      </c>
      <c r="I1165" s="97">
        <f ca="1">_xll.meDateFromTenor(I1164,"1D","FOLLOWING","TGT")</f>
        <v>44161</v>
      </c>
      <c r="J1165" s="95">
        <f ca="1"/>
        <v>2.1839310024193617E-3</v>
      </c>
      <c r="K1165" s="5" t="s">
        <v>4</v>
      </c>
      <c r="L1165" s="97">
        <f ca="1">_xll.meDateFromTenor(L1164,"1D","FOLLOWING","TGT")</f>
        <v>44161</v>
      </c>
      <c r="M1165" s="95">
        <f ca="1"/>
        <v>4.0694014328669023E-3</v>
      </c>
      <c r="N1165" s="5" t="s">
        <v>4</v>
      </c>
      <c r="O1165" s="97">
        <f ca="1">_xll.meDateFromTenor(O1164,"1D","FOLLOWING","TGT")</f>
        <v>44161</v>
      </c>
      <c r="P1165" s="95">
        <f ca="1"/>
        <v>6.0862346494806293E-3</v>
      </c>
      <c r="Q1165" s="5" t="s">
        <v>4</v>
      </c>
      <c r="R1165" s="83" t="s">
        <v>4</v>
      </c>
    </row>
    <row r="1166" spans="1:18" x14ac:dyDescent="0.25">
      <c r="A1166" s="88">
        <v>1152</v>
      </c>
      <c r="B1166" s="82"/>
      <c r="C1166" s="97">
        <f ca="1">_xll.meDateFromTenor(C1165,"1D","FOLLOWING","TGT")</f>
        <v>44162</v>
      </c>
      <c r="D1166" s="95">
        <f ca="1"/>
        <v>1.5092687684337136E-4</v>
      </c>
      <c r="E1166" s="92"/>
      <c r="F1166" s="97">
        <f ca="1">_xll.meDateFromTenor(F1165,"1D","FOLLOWING","TGT")</f>
        <v>44162</v>
      </c>
      <c r="G1166" s="95">
        <f ca="1"/>
        <v>1.056514285613613E-3</v>
      </c>
      <c r="H1166" s="92" t="s">
        <v>4</v>
      </c>
      <c r="I1166" s="97">
        <f ca="1">_xll.meDateFromTenor(I1165,"1D","FOLLOWING","TGT")</f>
        <v>44162</v>
      </c>
      <c r="J1166" s="95">
        <f ca="1"/>
        <v>2.1911088827251744E-3</v>
      </c>
      <c r="K1166" s="5" t="s">
        <v>4</v>
      </c>
      <c r="L1166" s="97">
        <f ca="1">_xll.meDateFromTenor(L1165,"1D","FOLLOWING","TGT")</f>
        <v>44162</v>
      </c>
      <c r="M1166" s="95">
        <f ca="1"/>
        <v>4.0763240360270087E-3</v>
      </c>
      <c r="N1166" s="5" t="s">
        <v>4</v>
      </c>
      <c r="O1166" s="97">
        <f ca="1">_xll.meDateFromTenor(O1165,"1D","FOLLOWING","TGT")</f>
        <v>44162</v>
      </c>
      <c r="P1166" s="95">
        <f ca="1"/>
        <v>6.0933710792692346E-3</v>
      </c>
      <c r="Q1166" s="5" t="s">
        <v>4</v>
      </c>
      <c r="R1166" s="83" t="s">
        <v>4</v>
      </c>
    </row>
    <row r="1167" spans="1:18" x14ac:dyDescent="0.25">
      <c r="A1167" s="88">
        <v>1153</v>
      </c>
      <c r="B1167" s="82"/>
      <c r="C1167" s="97">
        <f ca="1">_xll.meDateFromTenor(C1166,"1D","FOLLOWING","TGT")</f>
        <v>44165</v>
      </c>
      <c r="D1167" s="95">
        <f ca="1"/>
        <v>1.7387811318814173E-4</v>
      </c>
      <c r="E1167" s="92"/>
      <c r="F1167" s="97">
        <f ca="1">_xll.meDateFromTenor(F1166,"1D","FOLLOWING","TGT")</f>
        <v>44165</v>
      </c>
      <c r="G1167" s="95">
        <f ca="1"/>
        <v>1.0788945049176252E-3</v>
      </c>
      <c r="H1167" s="92" t="s">
        <v>4</v>
      </c>
      <c r="I1167" s="97">
        <f ca="1">_xll.meDateFromTenor(I1166,"1D","FOLLOWING","TGT")</f>
        <v>44165</v>
      </c>
      <c r="J1167" s="95">
        <f ca="1"/>
        <v>2.2126745400485003E-3</v>
      </c>
      <c r="K1167" s="5" t="s">
        <v>4</v>
      </c>
      <c r="L1167" s="97">
        <f ca="1">_xll.meDateFromTenor(L1166,"1D","FOLLOWING","TGT")</f>
        <v>44165</v>
      </c>
      <c r="M1167" s="95">
        <f ca="1"/>
        <v>4.0971104357481539E-3</v>
      </c>
      <c r="N1167" s="5" t="s">
        <v>4</v>
      </c>
      <c r="O1167" s="97">
        <f ca="1">_xll.meDateFromTenor(O1166,"1D","FOLLOWING","TGT")</f>
        <v>44165</v>
      </c>
      <c r="P1167" s="95">
        <f ca="1"/>
        <v>6.1147970278068835E-3</v>
      </c>
      <c r="Q1167" s="5" t="s">
        <v>4</v>
      </c>
      <c r="R1167" s="83" t="s">
        <v>4</v>
      </c>
    </row>
    <row r="1168" spans="1:18" x14ac:dyDescent="0.25">
      <c r="A1168" s="88">
        <v>1154</v>
      </c>
      <c r="B1168" s="82"/>
      <c r="C1168" s="97">
        <f ca="1">_xll.meDateFromTenor(C1167,"1D","FOLLOWING","TGT")</f>
        <v>44166</v>
      </c>
      <c r="D1168" s="95">
        <f ca="1"/>
        <v>1.8151906631591608E-4</v>
      </c>
      <c r="E1168" s="92"/>
      <c r="F1168" s="97">
        <f ca="1">_xll.meDateFromTenor(F1167,"1D","FOLLOWING","TGT")</f>
        <v>44166</v>
      </c>
      <c r="G1168" s="95">
        <f ca="1"/>
        <v>1.0862861212859831E-3</v>
      </c>
      <c r="H1168" s="92" t="s">
        <v>4</v>
      </c>
      <c r="I1168" s="97">
        <f ca="1">_xll.meDateFromTenor(I1167,"1D","FOLLOWING","TGT")</f>
        <v>44166</v>
      </c>
      <c r="J1168" s="95">
        <f ca="1"/>
        <v>2.219873839140065E-3</v>
      </c>
      <c r="K1168" s="5" t="s">
        <v>4</v>
      </c>
      <c r="L1168" s="97">
        <f ca="1">_xll.meDateFromTenor(L1167,"1D","FOLLOWING","TGT")</f>
        <v>44166</v>
      </c>
      <c r="M1168" s="95">
        <f ca="1"/>
        <v>4.1040454364013913E-3</v>
      </c>
      <c r="N1168" s="5" t="s">
        <v>4</v>
      </c>
      <c r="O1168" s="97">
        <f ca="1">_xll.meDateFromTenor(O1167,"1D","FOLLOWING","TGT")</f>
        <v>44166</v>
      </c>
      <c r="P1168" s="95">
        <f ca="1"/>
        <v>6.1219445136615107E-3</v>
      </c>
      <c r="Q1168" s="5" t="s">
        <v>4</v>
      </c>
      <c r="R1168" s="83" t="s">
        <v>4</v>
      </c>
    </row>
    <row r="1169" spans="1:18" x14ac:dyDescent="0.25">
      <c r="A1169" s="88">
        <v>1155</v>
      </c>
      <c r="B1169" s="82"/>
      <c r="C1169" s="97">
        <f ca="1">_xll.meDateFromTenor(C1168,"1D","FOLLOWING","TGT")</f>
        <v>44167</v>
      </c>
      <c r="D1169" s="95">
        <f ca="1"/>
        <v>1.8915034680277998E-4</v>
      </c>
      <c r="E1169" s="92"/>
      <c r="F1169" s="97">
        <f ca="1">_xll.meDateFromTenor(F1168,"1D","FOLLOWING","TGT")</f>
        <v>44167</v>
      </c>
      <c r="G1169" s="95">
        <f ca="1"/>
        <v>1.0936388088475585E-3</v>
      </c>
      <c r="H1169" s="92" t="s">
        <v>4</v>
      </c>
      <c r="I1169" s="97">
        <f ca="1">_xll.meDateFromTenor(I1168,"1D","FOLLOWING","TGT")</f>
        <v>44167</v>
      </c>
      <c r="J1169" s="95">
        <f ca="1"/>
        <v>2.2270785488144387E-3</v>
      </c>
      <c r="K1169" s="5" t="s">
        <v>4</v>
      </c>
      <c r="L1169" s="97">
        <f ca="1">_xll.meDateFromTenor(L1168,"1D","FOLLOWING","TGT")</f>
        <v>44167</v>
      </c>
      <c r="M1169" s="95">
        <f ca="1"/>
        <v>4.1109835394273495E-3</v>
      </c>
      <c r="N1169" s="5" t="s">
        <v>4</v>
      </c>
      <c r="O1169" s="97">
        <f ca="1">_xll.meDateFromTenor(O1168,"1D","FOLLOWING","TGT")</f>
        <v>44167</v>
      </c>
      <c r="P1169" s="95">
        <f ca="1"/>
        <v>6.129094725996243E-3</v>
      </c>
      <c r="Q1169" s="5" t="s">
        <v>4</v>
      </c>
      <c r="R1169" s="83" t="s">
        <v>4</v>
      </c>
    </row>
    <row r="1170" spans="1:18" x14ac:dyDescent="0.25">
      <c r="A1170" s="88">
        <v>1156</v>
      </c>
      <c r="B1170" s="82"/>
      <c r="C1170" s="97">
        <f ca="1">_xll.meDateFromTenor(C1169,"1D","FOLLOWING","TGT")</f>
        <v>44168</v>
      </c>
      <c r="D1170" s="95">
        <f ca="1"/>
        <v>1.9675217892345387E-4</v>
      </c>
      <c r="E1170" s="92"/>
      <c r="F1170" s="97">
        <f ca="1">_xll.meDateFromTenor(F1169,"1D","FOLLOWING","TGT")</f>
        <v>44168</v>
      </c>
      <c r="G1170" s="95">
        <f ca="1"/>
        <v>1.1009504480522776E-3</v>
      </c>
      <c r="H1170" s="92" t="s">
        <v>4</v>
      </c>
      <c r="I1170" s="97">
        <f ca="1">_xll.meDateFromTenor(I1169,"1D","FOLLOWING","TGT")</f>
        <v>44168</v>
      </c>
      <c r="J1170" s="95">
        <f ca="1"/>
        <v>2.2342886789972565E-3</v>
      </c>
      <c r="K1170" s="5" t="s">
        <v>4</v>
      </c>
      <c r="L1170" s="97">
        <f ca="1">_xll.meDateFromTenor(L1169,"1D","FOLLOWING","TGT")</f>
        <v>44168</v>
      </c>
      <c r="M1170" s="95">
        <f ca="1"/>
        <v>4.1179247505539352E-3</v>
      </c>
      <c r="N1170" s="5" t="s">
        <v>4</v>
      </c>
      <c r="O1170" s="97">
        <f ca="1">_xll.meDateFromTenor(O1169,"1D","FOLLOWING","TGT")</f>
        <v>44168</v>
      </c>
      <c r="P1170" s="95">
        <f ca="1"/>
        <v>6.1362476497965153E-3</v>
      </c>
      <c r="Q1170" s="5" t="s">
        <v>4</v>
      </c>
      <c r="R1170" s="83" t="s">
        <v>4</v>
      </c>
    </row>
    <row r="1171" spans="1:18" x14ac:dyDescent="0.25">
      <c r="A1171" s="88">
        <v>1157</v>
      </c>
      <c r="B1171" s="82"/>
      <c r="C1171" s="97">
        <f ca="1">_xll.meDateFromTenor(C1170,"1D","FOLLOWING","TGT")</f>
        <v>44169</v>
      </c>
      <c r="D1171" s="95">
        <f ca="1"/>
        <v>2.0431961807365617E-4</v>
      </c>
      <c r="E1171" s="92"/>
      <c r="F1171" s="97">
        <f ca="1">_xll.meDateFromTenor(F1170,"1D","FOLLOWING","TGT")</f>
        <v>44169</v>
      </c>
      <c r="G1171" s="95">
        <f ca="1"/>
        <v>1.1082217222065109E-3</v>
      </c>
      <c r="H1171" s="92" t="s">
        <v>4</v>
      </c>
      <c r="I1171" s="97">
        <f ca="1">_xll.meDateFromTenor(I1170,"1D","FOLLOWING","TGT")</f>
        <v>44169</v>
      </c>
      <c r="J1171" s="95">
        <f ca="1"/>
        <v>2.2415041898985245E-3</v>
      </c>
      <c r="K1171" s="5" t="s">
        <v>4</v>
      </c>
      <c r="L1171" s="97">
        <f ca="1">_xll.meDateFromTenor(L1170,"1D","FOLLOWING","TGT")</f>
        <v>44169</v>
      </c>
      <c r="M1171" s="95">
        <f ca="1"/>
        <v>4.1248690737981488E-3</v>
      </c>
      <c r="N1171" s="5" t="s">
        <v>4</v>
      </c>
      <c r="O1171" s="97">
        <f ca="1">_xll.meDateFromTenor(O1170,"1D","FOLLOWING","TGT")</f>
        <v>44169</v>
      </c>
      <c r="P1171" s="95">
        <f ca="1"/>
        <v>6.1434032700477719E-3</v>
      </c>
      <c r="Q1171" s="5" t="s">
        <v>4</v>
      </c>
      <c r="R1171" s="83" t="s">
        <v>4</v>
      </c>
    </row>
    <row r="1172" spans="1:18" x14ac:dyDescent="0.25">
      <c r="A1172" s="88">
        <v>1158</v>
      </c>
      <c r="B1172" s="82"/>
      <c r="C1172" s="97">
        <f ca="1">_xll.meDateFromTenor(C1171,"1D","FOLLOWING","TGT")</f>
        <v>44172</v>
      </c>
      <c r="D1172" s="95">
        <f ca="1"/>
        <v>2.268155756053325E-4</v>
      </c>
      <c r="E1172" s="92"/>
      <c r="F1172" s="97">
        <f ca="1">_xll.meDateFromTenor(F1171,"1D","FOLLOWING","TGT")</f>
        <v>44172</v>
      </c>
      <c r="G1172" s="95">
        <f ca="1"/>
        <v>1.1298071945710253E-3</v>
      </c>
      <c r="H1172" s="92" t="s">
        <v>4</v>
      </c>
      <c r="I1172" s="97">
        <f ca="1">_xll.meDateFromTenor(I1171,"1D","FOLLOWING","TGT")</f>
        <v>44172</v>
      </c>
      <c r="J1172" s="95">
        <f ca="1"/>
        <v>2.2631824847239466E-3</v>
      </c>
      <c r="K1172" s="5" t="s">
        <v>4</v>
      </c>
      <c r="L1172" s="97">
        <f ca="1">_xll.meDateFromTenor(L1171,"1D","FOLLOWING","TGT")</f>
        <v>44172</v>
      </c>
      <c r="M1172" s="95">
        <f ca="1"/>
        <v>4.1457207025705481E-3</v>
      </c>
      <c r="N1172" s="5" t="s">
        <v>4</v>
      </c>
      <c r="O1172" s="97">
        <f ca="1">_xll.meDateFromTenor(O1171,"1D","FOLLOWING","TGT")</f>
        <v>44172</v>
      </c>
      <c r="P1172" s="95">
        <f ca="1"/>
        <v>6.1648861593618185E-3</v>
      </c>
      <c r="Q1172" s="5" t="s">
        <v>4</v>
      </c>
      <c r="R1172" s="83" t="s">
        <v>4</v>
      </c>
    </row>
    <row r="1173" spans="1:18" x14ac:dyDescent="0.25">
      <c r="A1173" s="88">
        <v>1159</v>
      </c>
      <c r="B1173" s="82"/>
      <c r="C1173" s="97">
        <f ca="1">_xll.meDateFromTenor(C1172,"1D","FOLLOWING","TGT")</f>
        <v>44173</v>
      </c>
      <c r="D1173" s="95">
        <f ca="1"/>
        <v>2.3424544015426818E-4</v>
      </c>
      <c r="E1173" s="92"/>
      <c r="F1173" s="97">
        <f ca="1">_xll.meDateFromTenor(F1172,"1D","FOLLOWING","TGT")</f>
        <v>44173</v>
      </c>
      <c r="G1173" s="95">
        <f ca="1"/>
        <v>1.1369308487280555E-3</v>
      </c>
      <c r="H1173" s="92" t="s">
        <v>4</v>
      </c>
      <c r="I1173" s="97">
        <f ca="1">_xll.meDateFromTenor(I1172,"1D","FOLLOWING","TGT")</f>
        <v>44173</v>
      </c>
      <c r="J1173" s="95">
        <f ca="1"/>
        <v>2.2704189963099423E-3</v>
      </c>
      <c r="K1173" s="5" t="s">
        <v>4</v>
      </c>
      <c r="L1173" s="97">
        <f ca="1">_xll.meDateFromTenor(L1172,"1D","FOLLOWING","TGT")</f>
        <v>44173</v>
      </c>
      <c r="M1173" s="95">
        <f ca="1"/>
        <v>4.1526774606192741E-3</v>
      </c>
      <c r="N1173" s="5" t="s">
        <v>4</v>
      </c>
      <c r="O1173" s="97">
        <f ca="1">_xll.meDateFromTenor(O1172,"1D","FOLLOWING","TGT")</f>
        <v>44173</v>
      </c>
      <c r="P1173" s="95">
        <f ca="1"/>
        <v>6.1720524152713944E-3</v>
      </c>
      <c r="Q1173" s="5" t="s">
        <v>4</v>
      </c>
      <c r="R1173" s="83" t="s">
        <v>4</v>
      </c>
    </row>
    <row r="1174" spans="1:18" x14ac:dyDescent="0.25">
      <c r="A1174" s="88">
        <v>1160</v>
      </c>
      <c r="B1174" s="82"/>
      <c r="C1174" s="97">
        <f ca="1">_xll.meDateFromTenor(C1173,"1D","FOLLOWING","TGT")</f>
        <v>44174</v>
      </c>
      <c r="D1174" s="95">
        <f ca="1"/>
        <v>2.4164090987088827E-4</v>
      </c>
      <c r="E1174" s="92"/>
      <c r="F1174" s="97">
        <f ca="1">_xll.meDateFromTenor(F1173,"1D","FOLLOWING","TGT")</f>
        <v>44174</v>
      </c>
      <c r="G1174" s="95">
        <f ca="1"/>
        <v>1.1440210579369697E-3</v>
      </c>
      <c r="H1174" s="92" t="s">
        <v>4</v>
      </c>
      <c r="I1174" s="97">
        <f ca="1">_xll.meDateFromTenor(I1173,"1D","FOLLOWING","TGT")</f>
        <v>44174</v>
      </c>
      <c r="J1174" s="95">
        <f ca="1"/>
        <v>2.2776606275198511E-3</v>
      </c>
      <c r="K1174" s="5" t="s">
        <v>4</v>
      </c>
      <c r="L1174" s="97">
        <f ca="1">_xll.meDateFromTenor(L1173,"1D","FOLLOWING","TGT")</f>
        <v>44174</v>
      </c>
      <c r="M1174" s="95">
        <f ca="1"/>
        <v>4.1596373239526285E-3</v>
      </c>
      <c r="N1174" s="5" t="s">
        <v>4</v>
      </c>
      <c r="O1174" s="97">
        <f ca="1">_xll.meDateFromTenor(O1173,"1D","FOLLOWING","TGT")</f>
        <v>44174</v>
      </c>
      <c r="P1174" s="95">
        <f ca="1"/>
        <v>6.1792212925591439E-3</v>
      </c>
      <c r="Q1174" s="5" t="s">
        <v>4</v>
      </c>
      <c r="R1174" s="83" t="s">
        <v>4</v>
      </c>
    </row>
    <row r="1175" spans="1:18" x14ac:dyDescent="0.25">
      <c r="A1175" s="88">
        <v>1161</v>
      </c>
      <c r="B1175" s="82"/>
      <c r="C1175" s="97">
        <f ca="1">_xll.meDateFromTenor(C1174,"1D","FOLLOWING","TGT")</f>
        <v>44175</v>
      </c>
      <c r="D1175" s="95">
        <f ca="1"/>
        <v>2.4900198463306822E-4</v>
      </c>
      <c r="E1175" s="92"/>
      <c r="F1175" s="97">
        <f ca="1">_xll.meDateFromTenor(F1174,"1D","FOLLOWING","TGT")</f>
        <v>44175</v>
      </c>
      <c r="G1175" s="95">
        <f ca="1"/>
        <v>1.1510792062182471E-3</v>
      </c>
      <c r="H1175" s="92" t="s">
        <v>4</v>
      </c>
      <c r="I1175" s="97">
        <f ca="1">_xll.meDateFromTenor(I1174,"1D","FOLLOWING","TGT")</f>
        <v>44175</v>
      </c>
      <c r="J1175" s="95">
        <f ca="1"/>
        <v>2.2849073261347707E-3</v>
      </c>
      <c r="K1175" s="5" t="s">
        <v>4</v>
      </c>
      <c r="L1175" s="97">
        <f ca="1">_xll.meDateFromTenor(L1174,"1D","FOLLOWING","TGT")</f>
        <v>44175</v>
      </c>
      <c r="M1175" s="95">
        <f ca="1"/>
        <v>4.1666002912040161E-3</v>
      </c>
      <c r="N1175" s="5" t="s">
        <v>4</v>
      </c>
      <c r="O1175" s="97">
        <f ca="1">_xll.meDateFromTenor(O1174,"1D","FOLLOWING","TGT")</f>
        <v>44175</v>
      </c>
      <c r="P1175" s="95">
        <f ca="1"/>
        <v>6.1863927762105123E-3</v>
      </c>
      <c r="Q1175" s="5" t="s">
        <v>4</v>
      </c>
      <c r="R1175" s="83" t="s">
        <v>4</v>
      </c>
    </row>
    <row r="1176" spans="1:18" x14ac:dyDescent="0.25">
      <c r="A1176" s="88">
        <v>1162</v>
      </c>
      <c r="B1176" s="82"/>
      <c r="C1176" s="97">
        <f ca="1">_xll.meDateFromTenor(C1175,"1D","FOLLOWING","TGT")</f>
        <v>44176</v>
      </c>
      <c r="D1176" s="95">
        <f ca="1"/>
        <v>2.5632866376268382E-4</v>
      </c>
      <c r="E1176" s="92"/>
      <c r="F1176" s="97">
        <f ca="1">_xll.meDateFromTenor(F1175,"1D","FOLLOWING","TGT")</f>
        <v>44176</v>
      </c>
      <c r="G1176" s="95">
        <f ca="1"/>
        <v>1.1581066775923578E-3</v>
      </c>
      <c r="H1176" s="92" t="s">
        <v>4</v>
      </c>
      <c r="I1176" s="97">
        <f ca="1">_xll.meDateFromTenor(I1175,"1D","FOLLOWING","TGT")</f>
        <v>44176</v>
      </c>
      <c r="J1176" s="95">
        <f ca="1"/>
        <v>2.2921590399357897E-3</v>
      </c>
      <c r="K1176" s="5" t="s">
        <v>4</v>
      </c>
      <c r="L1176" s="97">
        <f ca="1">_xll.meDateFromTenor(L1175,"1D","FOLLOWING","TGT")</f>
        <v>44176</v>
      </c>
      <c r="M1176" s="95">
        <f ca="1"/>
        <v>4.1735663610068339E-3</v>
      </c>
      <c r="N1176" s="5" t="s">
        <v>4</v>
      </c>
      <c r="O1176" s="97">
        <f ca="1">_xll.meDateFromTenor(O1175,"1D","FOLLOWING","TGT")</f>
        <v>44176</v>
      </c>
      <c r="P1176" s="95">
        <f ca="1"/>
        <v>6.1935668512109344E-3</v>
      </c>
      <c r="Q1176" s="5" t="s">
        <v>4</v>
      </c>
      <c r="R1176" s="83" t="s">
        <v>4</v>
      </c>
    </row>
    <row r="1177" spans="1:18" x14ac:dyDescent="0.25">
      <c r="A1177" s="88">
        <v>1163</v>
      </c>
      <c r="B1177" s="82"/>
      <c r="C1177" s="97">
        <f ca="1">_xll.meDateFromTenor(C1176,"1D","FOLLOWING","TGT")</f>
        <v>44179</v>
      </c>
      <c r="D1177" s="95">
        <f ca="1"/>
        <v>2.7810232454594797E-4</v>
      </c>
      <c r="E1177" s="92"/>
      <c r="F1177" s="97">
        <f ca="1">_xll.meDateFromTenor(F1176,"1D","FOLLOWING","TGT")</f>
        <v>44179</v>
      </c>
      <c r="G1177" s="95">
        <f ca="1"/>
        <v>1.1790188704764557E-3</v>
      </c>
      <c r="H1177" s="92" t="s">
        <v>4</v>
      </c>
      <c r="I1177" s="97">
        <f ca="1">_xll.meDateFromTenor(I1176,"1D","FOLLOWING","TGT")</f>
        <v>44179</v>
      </c>
      <c r="J1177" s="95">
        <f ca="1"/>
        <v>2.313943750266396E-3</v>
      </c>
      <c r="K1177" s="5" t="s">
        <v>4</v>
      </c>
      <c r="L1177" s="97">
        <f ca="1">_xll.meDateFromTenor(L1176,"1D","FOLLOWING","TGT")</f>
        <v>44179</v>
      </c>
      <c r="M1177" s="95">
        <f ca="1"/>
        <v>4.1944831720578928E-3</v>
      </c>
      <c r="N1177" s="5" t="s">
        <v>4</v>
      </c>
      <c r="O1177" s="97">
        <f ca="1">_xll.meDateFromTenor(O1176,"1D","FOLLOWING","TGT")</f>
        <v>44179</v>
      </c>
      <c r="P1177" s="95">
        <f ca="1"/>
        <v>6.2151044741609249E-3</v>
      </c>
      <c r="Q1177" s="5" t="s">
        <v>4</v>
      </c>
      <c r="R1177" s="83" t="s">
        <v>4</v>
      </c>
    </row>
    <row r="1178" spans="1:18" x14ac:dyDescent="0.25">
      <c r="A1178" s="88">
        <v>1164</v>
      </c>
      <c r="B1178" s="82"/>
      <c r="C1178" s="97">
        <f ca="1">_xll.meDateFromTenor(C1177,"1D","FOLLOWING","TGT")</f>
        <v>44180</v>
      </c>
      <c r="D1178" s="95">
        <f ca="1"/>
        <v>2.8529141763344867E-4</v>
      </c>
      <c r="E1178" s="92"/>
      <c r="F1178" s="97">
        <f ca="1">_xll.meDateFromTenor(F1177,"1D","FOLLOWING","TGT")</f>
        <v>44180</v>
      </c>
      <c r="G1178" s="95">
        <f ca="1"/>
        <v>1.18593747442666E-3</v>
      </c>
      <c r="H1178" s="92" t="s">
        <v>4</v>
      </c>
      <c r="I1178" s="97">
        <f ca="1">_xll.meDateFromTenor(I1177,"1D","FOLLOWING","TGT")</f>
        <v>44180</v>
      </c>
      <c r="J1178" s="95">
        <f ca="1"/>
        <v>2.3212150026227594E-3</v>
      </c>
      <c r="K1178" s="5" t="s">
        <v>4</v>
      </c>
      <c r="L1178" s="97">
        <f ca="1">_xll.meDateFromTenor(L1177,"1D","FOLLOWING","TGT")</f>
        <v>44180</v>
      </c>
      <c r="M1178" s="95">
        <f ca="1"/>
        <v>4.2014616384004515E-3</v>
      </c>
      <c r="N1178" s="5" t="s">
        <v>4</v>
      </c>
      <c r="O1178" s="97">
        <f ca="1">_xll.meDateFromTenor(O1177,"1D","FOLLOWING","TGT")</f>
        <v>44180</v>
      </c>
      <c r="P1178" s="95">
        <f ca="1"/>
        <v>6.2222887644119602E-3</v>
      </c>
      <c r="Q1178" s="5" t="s">
        <v>4</v>
      </c>
      <c r="R1178" s="83" t="s">
        <v>4</v>
      </c>
    </row>
    <row r="1179" spans="1:18" x14ac:dyDescent="0.25">
      <c r="A1179" s="88">
        <v>1165</v>
      </c>
      <c r="B1179" s="82"/>
      <c r="C1179" s="97">
        <f ca="1">_xll.meDateFromTenor(C1178,"1D","FOLLOWING","TGT")</f>
        <v>44181</v>
      </c>
      <c r="D1179" s="95">
        <f ca="1"/>
        <v>2.9244611327006176E-4</v>
      </c>
      <c r="E1179" s="92"/>
      <c r="F1179" s="97">
        <f ca="1">_xll.meDateFromTenor(F1178,"1D","FOLLOWING","TGT")</f>
        <v>44181</v>
      </c>
      <c r="G1179" s="95">
        <f ca="1"/>
        <v>1.1928323215720721E-3</v>
      </c>
      <c r="H1179" s="92" t="s">
        <v>4</v>
      </c>
      <c r="I1179" s="97">
        <f ca="1">_xll.meDateFromTenor(I1178,"1D","FOLLOWING","TGT")</f>
        <v>44181</v>
      </c>
      <c r="J1179" s="95">
        <f ca="1"/>
        <v>2.3284910090706898E-3</v>
      </c>
      <c r="K1179" s="5" t="s">
        <v>4</v>
      </c>
      <c r="L1179" s="97">
        <f ca="1">_xll.meDateFromTenor(L1178,"1D","FOLLOWING","TGT")</f>
        <v>44181</v>
      </c>
      <c r="M1179" s="95">
        <f ca="1"/>
        <v>4.2084432004614444E-3</v>
      </c>
      <c r="N1179" s="5" t="s">
        <v>4</v>
      </c>
      <c r="O1179" s="97">
        <f ca="1">_xll.meDateFromTenor(O1178,"1D","FOLLOWING","TGT")</f>
        <v>44181</v>
      </c>
      <c r="P1179" s="95">
        <f ca="1"/>
        <v>6.2294755709392472E-3</v>
      </c>
      <c r="Q1179" s="5" t="s">
        <v>4</v>
      </c>
      <c r="R1179" s="83" t="s">
        <v>4</v>
      </c>
    </row>
    <row r="1180" spans="1:18" x14ac:dyDescent="0.25">
      <c r="A1180" s="88">
        <v>1166</v>
      </c>
      <c r="B1180" s="82"/>
      <c r="C1180" s="97">
        <f ca="1">_xll.meDateFromTenor(C1179,"1D","FOLLOWING","TGT")</f>
        <v>44182</v>
      </c>
      <c r="D1180" s="95">
        <f ca="1"/>
        <v>2.9956641095951753E-4</v>
      </c>
      <c r="E1180" s="92"/>
      <c r="F1180" s="97">
        <f ca="1">_xll.meDateFromTenor(F1179,"1D","FOLLOWING","TGT")</f>
        <v>44182</v>
      </c>
      <c r="G1180" s="95">
        <f ca="1"/>
        <v>1.1997047959331688E-3</v>
      </c>
      <c r="H1180" s="92" t="s">
        <v>4</v>
      </c>
      <c r="I1180" s="97">
        <f ca="1">_xll.meDateFromTenor(I1179,"1D","FOLLOWING","TGT")</f>
        <v>44182</v>
      </c>
      <c r="J1180" s="95">
        <f ca="1"/>
        <v>2.3357717173912817E-3</v>
      </c>
      <c r="K1180" s="5" t="s">
        <v>4</v>
      </c>
      <c r="L1180" s="97">
        <f ca="1">_xll.meDateFromTenor(L1179,"1D","FOLLOWING","TGT")</f>
        <v>44182</v>
      </c>
      <c r="M1180" s="95">
        <f ca="1"/>
        <v>4.2154278568742754E-3</v>
      </c>
      <c r="N1180" s="5" t="s">
        <v>4</v>
      </c>
      <c r="O1180" s="97">
        <f ca="1">_xll.meDateFromTenor(O1179,"1D","FOLLOWING","TGT")</f>
        <v>44182</v>
      </c>
      <c r="P1180" s="95">
        <f ca="1"/>
        <v>6.2366648787282198E-3</v>
      </c>
      <c r="Q1180" s="5" t="s">
        <v>4</v>
      </c>
      <c r="R1180" s="83" t="s">
        <v>4</v>
      </c>
    </row>
    <row r="1181" spans="1:18" x14ac:dyDescent="0.25">
      <c r="A1181" s="88">
        <v>1167</v>
      </c>
      <c r="B1181" s="82"/>
      <c r="C1181" s="97">
        <f ca="1">_xll.meDateFromTenor(C1180,"1D","FOLLOWING","TGT")</f>
        <v>44183</v>
      </c>
      <c r="D1181" s="95">
        <f ca="1"/>
        <v>3.066523103674168E-4</v>
      </c>
      <c r="E1181" s="92"/>
      <c r="F1181" s="97">
        <f ca="1">_xll.meDateFromTenor(F1180,"1D","FOLLOWING","TGT")</f>
        <v>44183</v>
      </c>
      <c r="G1181" s="95">
        <f ca="1"/>
        <v>1.2065562815304273E-3</v>
      </c>
      <c r="H1181" s="92" t="s">
        <v>4</v>
      </c>
      <c r="I1181" s="97">
        <f ca="1">_xll.meDateFromTenor(I1180,"1D","FOLLOWING","TGT")</f>
        <v>44183</v>
      </c>
      <c r="J1181" s="95">
        <f ca="1"/>
        <v>2.3430570753656321E-3</v>
      </c>
      <c r="K1181" s="5" t="s">
        <v>4</v>
      </c>
      <c r="L1181" s="97">
        <f ca="1">_xll.meDateFromTenor(L1180,"1D","FOLLOWING","TGT")</f>
        <v>44183</v>
      </c>
      <c r="M1181" s="95">
        <f ca="1"/>
        <v>4.2224156062723485E-3</v>
      </c>
      <c r="N1181" s="5" t="s">
        <v>4</v>
      </c>
      <c r="O1181" s="97">
        <f ca="1">_xll.meDateFromTenor(O1180,"1D","FOLLOWING","TGT")</f>
        <v>44183</v>
      </c>
      <c r="P1181" s="95">
        <f ca="1"/>
        <v>6.2438566727643259E-3</v>
      </c>
      <c r="Q1181" s="5" t="s">
        <v>4</v>
      </c>
      <c r="R1181" s="83" t="s">
        <v>4</v>
      </c>
    </row>
    <row r="1182" spans="1:18" x14ac:dyDescent="0.25">
      <c r="A1182" s="88">
        <v>1168</v>
      </c>
      <c r="B1182" s="82"/>
      <c r="C1182" s="97">
        <f ca="1">_xll.meDateFromTenor(C1181,"1D","FOLLOWING","TGT")</f>
        <v>44186</v>
      </c>
      <c r="D1182" s="95">
        <f ca="1"/>
        <v>3.2770361338596565E-4</v>
      </c>
      <c r="E1182" s="92"/>
      <c r="F1182" s="97">
        <f ca="1">_xll.meDateFromTenor(F1181,"1D","FOLLOWING","TGT")</f>
        <v>44186</v>
      </c>
      <c r="G1182" s="95">
        <f ca="1"/>
        <v>1.2269986459439025E-3</v>
      </c>
      <c r="H1182" s="92" t="s">
        <v>4</v>
      </c>
      <c r="I1182" s="97">
        <f ca="1">_xll.meDateFromTenor(I1181,"1D","FOLLOWING","TGT")</f>
        <v>44186</v>
      </c>
      <c r="J1182" s="95">
        <f ca="1"/>
        <v>2.3649405250221463E-3</v>
      </c>
      <c r="K1182" s="5" t="s">
        <v>4</v>
      </c>
      <c r="L1182" s="97">
        <f ca="1">_xll.meDateFromTenor(L1181,"1D","FOLLOWING","TGT")</f>
        <v>44186</v>
      </c>
      <c r="M1182" s="95">
        <f ca="1"/>
        <v>4.2433973987120021E-3</v>
      </c>
      <c r="N1182" s="5" t="s">
        <v>4</v>
      </c>
      <c r="O1182" s="97">
        <f ca="1">_xll.meDateFromTenor(O1181,"1D","FOLLOWING","TGT")</f>
        <v>44186</v>
      </c>
      <c r="P1182" s="95">
        <f ca="1"/>
        <v>6.2654468222098011E-3</v>
      </c>
      <c r="Q1182" s="5" t="s">
        <v>4</v>
      </c>
      <c r="R1182" s="83" t="s">
        <v>4</v>
      </c>
    </row>
    <row r="1183" spans="1:18" x14ac:dyDescent="0.25">
      <c r="A1183" s="88">
        <v>1169</v>
      </c>
      <c r="B1183" s="82"/>
      <c r="C1183" s="97">
        <f ca="1">_xll.meDateFromTenor(C1182,"1D","FOLLOWING","TGT")</f>
        <v>44187</v>
      </c>
      <c r="D1183" s="95">
        <f ca="1"/>
        <v>3.3465191472736855E-4</v>
      </c>
      <c r="E1183" s="92"/>
      <c r="F1183" s="97">
        <f ca="1">_xll.meDateFromTenor(F1182,"1D","FOLLOWING","TGT")</f>
        <v>44187</v>
      </c>
      <c r="G1183" s="95">
        <f ca="1"/>
        <v>1.2337800166905446E-3</v>
      </c>
      <c r="H1183" s="92" t="s">
        <v>4</v>
      </c>
      <c r="I1183" s="97">
        <f ca="1">_xll.meDateFromTenor(I1182,"1D","FOLLOWING","TGT")</f>
        <v>44187</v>
      </c>
      <c r="J1183" s="95">
        <f ca="1"/>
        <v>2.3722439594224512E-3</v>
      </c>
      <c r="K1183" s="5" t="s">
        <v>4</v>
      </c>
      <c r="L1183" s="97">
        <f ca="1">_xll.meDateFromTenor(L1182,"1D","FOLLOWING","TGT")</f>
        <v>44187</v>
      </c>
      <c r="M1183" s="95">
        <f ca="1"/>
        <v>4.2503975063850358E-3</v>
      </c>
      <c r="N1183" s="5" t="s">
        <v>4</v>
      </c>
      <c r="O1183" s="97">
        <f ca="1">_xll.meDateFromTenor(O1182,"1D","FOLLOWING","TGT")</f>
        <v>44187</v>
      </c>
      <c r="P1183" s="95">
        <f ca="1"/>
        <v>6.2726484110888093E-3</v>
      </c>
      <c r="Q1183" s="5" t="s">
        <v>4</v>
      </c>
      <c r="R1183" s="83" t="s">
        <v>4</v>
      </c>
    </row>
    <row r="1184" spans="1:18" x14ac:dyDescent="0.25">
      <c r="A1184" s="88">
        <v>1170</v>
      </c>
      <c r="B1184" s="82"/>
      <c r="C1184" s="97">
        <f ca="1">_xll.meDateFromTenor(C1183,"1D","FOLLOWING","TGT")</f>
        <v>44188</v>
      </c>
      <c r="D1184" s="95">
        <f ca="1"/>
        <v>3.4156581545419229E-4</v>
      </c>
      <c r="E1184" s="92"/>
      <c r="F1184" s="97">
        <f ca="1">_xll.meDateFromTenor(F1183,"1D","FOLLOWING","TGT")</f>
        <v>44188</v>
      </c>
      <c r="G1184" s="95">
        <f ca="1"/>
        <v>1.2405473187757203E-3</v>
      </c>
      <c r="H1184" s="92" t="s">
        <v>4</v>
      </c>
      <c r="I1184" s="97">
        <f ca="1">_xll.meDateFromTenor(I1183,"1D","FOLLOWING","TGT")</f>
        <v>44188</v>
      </c>
      <c r="J1184" s="95">
        <f ca="1"/>
        <v>2.3795517823819779E-3</v>
      </c>
      <c r="K1184" s="5" t="s">
        <v>4</v>
      </c>
      <c r="L1184" s="97">
        <f ca="1">_xll.meDateFromTenor(L1183,"1D","FOLLOWING","TGT")</f>
        <v>44188</v>
      </c>
      <c r="M1184" s="95">
        <f ca="1"/>
        <v>4.2574007002103139E-3</v>
      </c>
      <c r="N1184" s="5" t="s">
        <v>4</v>
      </c>
      <c r="O1184" s="97">
        <f ca="1">_xll.meDateFromTenor(O1183,"1D","FOLLOWING","TGT")</f>
        <v>44188</v>
      </c>
      <c r="P1184" s="95">
        <f ca="1"/>
        <v>6.2798524111421436E-3</v>
      </c>
      <c r="Q1184" s="5" t="s">
        <v>4</v>
      </c>
      <c r="R1184" s="83" t="s">
        <v>4</v>
      </c>
    </row>
    <row r="1185" spans="1:18" x14ac:dyDescent="0.25">
      <c r="A1185" s="88">
        <v>1171</v>
      </c>
      <c r="B1185" s="82"/>
      <c r="C1185" s="97">
        <f ca="1">_xll.meDateFromTenor(C1184,"1D","FOLLOWING","TGT")</f>
        <v>44189</v>
      </c>
      <c r="D1185" s="95">
        <f ca="1"/>
        <v>3.4844531525424216E-4</v>
      </c>
      <c r="E1185" s="92"/>
      <c r="F1185" s="97">
        <f ca="1">_xll.meDateFromTenor(F1184,"1D","FOLLOWING","TGT")</f>
        <v>44189</v>
      </c>
      <c r="G1185" s="95">
        <f ca="1"/>
        <v>1.2473019362199062E-3</v>
      </c>
      <c r="H1185" s="92" t="s">
        <v>4</v>
      </c>
      <c r="I1185" s="97">
        <f ca="1">_xll.meDateFromTenor(I1184,"1D","FOLLOWING","TGT")</f>
        <v>44189</v>
      </c>
      <c r="J1185" s="95">
        <f ca="1"/>
        <v>2.3868639416818227E-3</v>
      </c>
      <c r="K1185" s="5" t="s">
        <v>4</v>
      </c>
      <c r="L1185" s="97">
        <f ca="1">_xll.meDateFromTenor(L1184,"1D","FOLLOWING","TGT")</f>
        <v>44189</v>
      </c>
      <c r="M1185" s="95">
        <f ca="1"/>
        <v>4.2644069788212386E-3</v>
      </c>
      <c r="N1185" s="5" t="s">
        <v>4</v>
      </c>
      <c r="O1185" s="97">
        <f ca="1">_xll.meDateFromTenor(O1184,"1D","FOLLOWING","TGT")</f>
        <v>44189</v>
      </c>
      <c r="P1185" s="95">
        <f ca="1"/>
        <v>6.2870588073552424E-3</v>
      </c>
      <c r="Q1185" s="5" t="s">
        <v>4</v>
      </c>
      <c r="R1185" s="83" t="s">
        <v>4</v>
      </c>
    </row>
    <row r="1186" spans="1:18" x14ac:dyDescent="0.25">
      <c r="A1186" s="88">
        <v>1172</v>
      </c>
      <c r="B1186" s="82"/>
      <c r="C1186" s="97">
        <f ca="1">_xll.meDateFromTenor(C1185,"1D","FOLLOWING","TGT")</f>
        <v>44193</v>
      </c>
      <c r="D1186" s="95">
        <f ca="1"/>
        <v>3.7561929506946257E-4</v>
      </c>
      <c r="E1186" s="92"/>
      <c r="F1186" s="97">
        <f ca="1">_xll.meDateFromTenor(F1185,"1D","FOLLOWING","TGT")</f>
        <v>44193</v>
      </c>
      <c r="G1186" s="95">
        <f ca="1"/>
        <v>1.2742212399962233E-3</v>
      </c>
      <c r="H1186" s="92" t="s">
        <v>4</v>
      </c>
      <c r="I1186" s="97">
        <f ca="1">_xll.meDateFromTenor(I1185,"1D","FOLLOWING","TGT")</f>
        <v>44193</v>
      </c>
      <c r="J1186" s="95">
        <f ca="1"/>
        <v>2.416154897906224E-3</v>
      </c>
      <c r="K1186" s="5" t="s">
        <v>4</v>
      </c>
      <c r="L1186" s="97">
        <f ca="1">_xll.meDateFromTenor(L1185,"1D","FOLLOWING","TGT")</f>
        <v>44193</v>
      </c>
      <c r="M1186" s="95">
        <f ca="1"/>
        <v>4.2924629137893909E-3</v>
      </c>
      <c r="N1186" s="5" t="s">
        <v>4</v>
      </c>
      <c r="O1186" s="97">
        <f ca="1">_xll.meDateFromTenor(O1185,"1D","FOLLOWING","TGT")</f>
        <v>44193</v>
      </c>
      <c r="P1186" s="95">
        <f ca="1"/>
        <v>6.3159080535140442E-3</v>
      </c>
      <c r="Q1186" s="5" t="s">
        <v>4</v>
      </c>
      <c r="R1186" s="83" t="s">
        <v>4</v>
      </c>
    </row>
    <row r="1187" spans="1:18" x14ac:dyDescent="0.25">
      <c r="A1187" s="88">
        <v>1173</v>
      </c>
      <c r="B1187" s="82"/>
      <c r="C1187" s="97">
        <f ca="1">_xll.meDateFromTenor(C1186,"1D","FOLLOWING","TGT")</f>
        <v>44194</v>
      </c>
      <c r="D1187" s="95">
        <f ca="1"/>
        <v>3.8232678311844737E-4</v>
      </c>
      <c r="E1187" s="92"/>
      <c r="F1187" s="97">
        <f ca="1">_xll.meDateFromTenor(F1186,"1D","FOLLOWING","TGT")</f>
        <v>44194</v>
      </c>
      <c r="G1187" s="95">
        <f ca="1"/>
        <v>1.2809331945425732E-3</v>
      </c>
      <c r="H1187" s="92" t="s">
        <v>4</v>
      </c>
      <c r="I1187" s="97">
        <f ca="1">_xll.meDateFromTenor(I1186,"1D","FOLLOWING","TGT")</f>
        <v>44194</v>
      </c>
      <c r="J1187" s="95">
        <f ca="1"/>
        <v>2.4234879556240493E-3</v>
      </c>
      <c r="K1187" s="5" t="s">
        <v>4</v>
      </c>
      <c r="L1187" s="97">
        <f ca="1">_xll.meDateFromTenor(L1186,"1D","FOLLOWING","TGT")</f>
        <v>44194</v>
      </c>
      <c r="M1187" s="95">
        <f ca="1"/>
        <v>4.2994845958295516E-3</v>
      </c>
      <c r="N1187" s="5" t="s">
        <v>4</v>
      </c>
      <c r="O1187" s="97">
        <f ca="1">_xll.meDateFromTenor(O1186,"1D","FOLLOWING","TGT")</f>
        <v>44194</v>
      </c>
      <c r="P1187" s="95">
        <f ca="1"/>
        <v>6.3231262053075454E-3</v>
      </c>
      <c r="Q1187" s="5" t="s">
        <v>4</v>
      </c>
      <c r="R1187" s="83" t="s">
        <v>4</v>
      </c>
    </row>
    <row r="1188" spans="1:18" x14ac:dyDescent="0.25">
      <c r="A1188" s="88">
        <v>1174</v>
      </c>
      <c r="B1188" s="82"/>
      <c r="C1188" s="97">
        <f ca="1">_xll.meDateFromTenor(C1187,"1D","FOLLOWING","TGT")</f>
        <v>44195</v>
      </c>
      <c r="D1188" s="95">
        <f ca="1"/>
        <v>3.8899986708296197E-4</v>
      </c>
      <c r="E1188" s="92"/>
      <c r="F1188" s="97">
        <f ca="1">_xll.meDateFromTenor(F1187,"1D","FOLLOWING","TGT")</f>
        <v>44195</v>
      </c>
      <c r="G1188" s="95">
        <f ca="1"/>
        <v>1.2876407685707778E-3</v>
      </c>
      <c r="H1188" s="92" t="s">
        <v>4</v>
      </c>
      <c r="I1188" s="97">
        <f ca="1">_xll.meDateFromTenor(I1187,"1D","FOLLOWING","TGT")</f>
        <v>44195</v>
      </c>
      <c r="J1188" s="95">
        <f ca="1"/>
        <v>2.4308250363687485E-3</v>
      </c>
      <c r="K1188" s="5" t="s">
        <v>4</v>
      </c>
      <c r="L1188" s="97">
        <f ca="1">_xll.meDateFromTenor(L1187,"1D","FOLLOWING","TGT")</f>
        <v>44195</v>
      </c>
      <c r="M1188" s="95">
        <f ca="1"/>
        <v>4.3065093544557599E-3</v>
      </c>
      <c r="N1188" s="5" t="s">
        <v>4</v>
      </c>
      <c r="O1188" s="97">
        <f ca="1">_xll.meDateFromTenor(O1187,"1D","FOLLOWING","TGT")</f>
        <v>44195</v>
      </c>
      <c r="P1188" s="95">
        <f ca="1"/>
        <v>6.3303466631734412E-3</v>
      </c>
      <c r="Q1188" s="5" t="s">
        <v>4</v>
      </c>
      <c r="R1188" s="83" t="s">
        <v>4</v>
      </c>
    </row>
    <row r="1189" spans="1:18" x14ac:dyDescent="0.25">
      <c r="A1189" s="88">
        <v>1175</v>
      </c>
      <c r="B1189" s="82"/>
      <c r="C1189" s="97">
        <f ca="1">_xll.meDateFromTenor(C1188,"1D","FOLLOWING","TGT")</f>
        <v>44196</v>
      </c>
      <c r="D1189" s="95">
        <f ca="1"/>
        <v>3.9673179058929975E-4</v>
      </c>
      <c r="E1189" s="92"/>
      <c r="F1189" s="97">
        <f ca="1">_xll.meDateFromTenor(F1188,"1D","FOLLOWING","TGT")</f>
        <v>44196</v>
      </c>
      <c r="G1189" s="95">
        <f ca="1"/>
        <v>1.2943453461013168E-3</v>
      </c>
      <c r="H1189" s="92" t="s">
        <v>4</v>
      </c>
      <c r="I1189" s="97">
        <f ca="1">_xll.meDateFromTenor(I1188,"1D","FOLLOWING","TGT")</f>
        <v>44196</v>
      </c>
      <c r="J1189" s="95">
        <f ca="1"/>
        <v>2.4381660879214204E-3</v>
      </c>
      <c r="K1189" s="5" t="s">
        <v>4</v>
      </c>
      <c r="L1189" s="97">
        <f ca="1">_xll.meDateFromTenor(L1188,"1D","FOLLOWING","TGT")</f>
        <v>44196</v>
      </c>
      <c r="M1189" s="95">
        <f ca="1"/>
        <v>4.3135371883014206E-3</v>
      </c>
      <c r="N1189" s="5" t="s">
        <v>4</v>
      </c>
      <c r="O1189" s="97">
        <f ca="1">_xll.meDateFromTenor(O1188,"1D","FOLLOWING","TGT")</f>
        <v>44196</v>
      </c>
      <c r="P1189" s="95">
        <f ca="1"/>
        <v>6.3375694120971779E-3</v>
      </c>
      <c r="Q1189" s="5" t="s">
        <v>4</v>
      </c>
      <c r="R1189" s="83" t="s">
        <v>4</v>
      </c>
    </row>
    <row r="1190" spans="1:18" x14ac:dyDescent="0.25">
      <c r="A1190" s="88">
        <v>1176</v>
      </c>
      <c r="B1190" s="82"/>
      <c r="C1190" s="97">
        <f ca="1">_xll.meDateFromTenor(C1189,"1D","FOLLOWING","TGT")</f>
        <v>44200</v>
      </c>
      <c r="D1190" s="95">
        <f ca="1"/>
        <v>4.2308535706836459E-4</v>
      </c>
      <c r="E1190" s="92"/>
      <c r="F1190" s="97">
        <f ca="1">_xll.meDateFromTenor(F1189,"1D","FOLLOWING","TGT")</f>
        <v>44200</v>
      </c>
      <c r="G1190" s="95">
        <f ca="1"/>
        <v>1.3212348860059118E-3</v>
      </c>
      <c r="H1190" s="92" t="s">
        <v>4</v>
      </c>
      <c r="I1190" s="97">
        <f ca="1">_xll.meDateFromTenor(I1189,"1D","FOLLOWING","TGT")</f>
        <v>44200</v>
      </c>
      <c r="J1190" s="95">
        <f ca="1"/>
        <v>2.4676495966992119E-3</v>
      </c>
      <c r="K1190" s="5" t="s">
        <v>4</v>
      </c>
      <c r="L1190" s="97">
        <f ca="1">_xll.meDateFromTenor(L1189,"1D","FOLLOWING","TGT")</f>
        <v>44200</v>
      </c>
      <c r="M1190" s="95">
        <f ca="1"/>
        <v>4.3417564175579999E-3</v>
      </c>
      <c r="N1190" s="5" t="s">
        <v>4</v>
      </c>
      <c r="O1190" s="97">
        <f ca="1">_xll.meDateFromTenor(O1189,"1D","FOLLOWING","TGT")</f>
        <v>44200</v>
      </c>
      <c r="P1190" s="95">
        <f ca="1"/>
        <v>6.3665622825794963E-3</v>
      </c>
      <c r="Q1190" s="5" t="s">
        <v>4</v>
      </c>
      <c r="R1190" s="83" t="s">
        <v>4</v>
      </c>
    </row>
    <row r="1191" spans="1:18" x14ac:dyDescent="0.25">
      <c r="A1191" s="88">
        <v>1177</v>
      </c>
      <c r="B1191" s="82"/>
      <c r="C1191" s="97">
        <f ca="1">_xll.meDateFromTenor(C1190,"1D","FOLLOWING","TGT")</f>
        <v>44201</v>
      </c>
      <c r="D1191" s="95">
        <f ca="1"/>
        <v>4.2958702470308197E-4</v>
      </c>
      <c r="E1191" s="92"/>
      <c r="F1191" s="97">
        <f ca="1">_xll.meDateFromTenor(F1190,"1D","FOLLOWING","TGT")</f>
        <v>44201</v>
      </c>
      <c r="G1191" s="95">
        <f ca="1"/>
        <v>1.3279639478158195E-3</v>
      </c>
      <c r="H1191" s="92" t="s">
        <v>4</v>
      </c>
      <c r="I1191" s="97">
        <f ca="1">_xll.meDateFromTenor(I1190,"1D","FOLLOWING","TGT")</f>
        <v>44201</v>
      </c>
      <c r="J1191" s="95">
        <f ca="1"/>
        <v>2.4750299292495529E-3</v>
      </c>
      <c r="K1191" s="5" t="s">
        <v>4</v>
      </c>
      <c r="L1191" s="97">
        <f ca="1">_xll.meDateFromTenor(L1190,"1D","FOLLOWING","TGT")</f>
        <v>44201</v>
      </c>
      <c r="M1191" s="95">
        <f ca="1"/>
        <v>4.3488189413355624E-3</v>
      </c>
      <c r="N1191" s="5" t="s">
        <v>4</v>
      </c>
      <c r="O1191" s="97">
        <f ca="1">_xll.meDateFromTenor(O1190,"1D","FOLLOWING","TGT")</f>
        <v>44201</v>
      </c>
      <c r="P1191" s="95">
        <f ca="1"/>
        <v>6.3738161079923503E-3</v>
      </c>
      <c r="Q1191" s="5" t="s">
        <v>4</v>
      </c>
      <c r="R1191" s="83" t="s">
        <v>4</v>
      </c>
    </row>
    <row r="1192" spans="1:18" x14ac:dyDescent="0.25">
      <c r="A1192" s="88">
        <v>1178</v>
      </c>
      <c r="B1192" s="82"/>
      <c r="C1192" s="97">
        <f ca="1">_xll.meDateFromTenor(C1191,"1D","FOLLOWING","TGT")</f>
        <v>44202</v>
      </c>
      <c r="D1192" s="95">
        <f ca="1"/>
        <v>4.3605400178781117E-4</v>
      </c>
      <c r="E1192" s="92"/>
      <c r="F1192" s="97">
        <f ca="1">_xll.meDateFromTenor(F1191,"1D","FOLLOWING","TGT")</f>
        <v>44202</v>
      </c>
      <c r="G1192" s="95">
        <f ca="1"/>
        <v>1.334699952088119E-3</v>
      </c>
      <c r="H1192" s="92" t="s">
        <v>4</v>
      </c>
      <c r="I1192" s="97">
        <f ca="1">_xll.meDateFromTenor(I1191,"1D","FOLLOWING","TGT")</f>
        <v>44202</v>
      </c>
      <c r="J1192" s="95">
        <f ca="1"/>
        <v>2.4824139386436907E-3</v>
      </c>
      <c r="K1192" s="5" t="s">
        <v>4</v>
      </c>
      <c r="L1192" s="97">
        <f ca="1">_xll.meDateFromTenor(L1191,"1D","FOLLOWING","TGT")</f>
        <v>44202</v>
      </c>
      <c r="M1192" s="95">
        <f ca="1"/>
        <v>4.3558845489427688E-3</v>
      </c>
      <c r="N1192" s="5" t="s">
        <v>4</v>
      </c>
      <c r="O1192" s="97">
        <f ca="1">_xll.meDateFromTenor(O1191,"1D","FOLLOWING","TGT")</f>
        <v>44202</v>
      </c>
      <c r="P1192" s="95">
        <f ca="1"/>
        <v>6.3810721462455007E-3</v>
      </c>
      <c r="Q1192" s="5" t="s">
        <v>4</v>
      </c>
      <c r="R1192" s="83" t="s">
        <v>4</v>
      </c>
    </row>
    <row r="1193" spans="1:18" x14ac:dyDescent="0.25">
      <c r="A1193" s="88">
        <v>1179</v>
      </c>
      <c r="B1193" s="82"/>
      <c r="C1193" s="97">
        <f ca="1">_xll.meDateFromTenor(C1192,"1D","FOLLOWING","TGT")</f>
        <v>44203</v>
      </c>
      <c r="D1193" s="95">
        <f ca="1"/>
        <v>4.4248628773191356E-4</v>
      </c>
      <c r="E1193" s="92"/>
      <c r="F1193" s="97">
        <f ca="1">_xll.meDateFromTenor(F1192,"1D","FOLLOWING","TGT")</f>
        <v>44203</v>
      </c>
      <c r="G1193" s="95">
        <f ca="1"/>
        <v>1.3414458809012716E-3</v>
      </c>
      <c r="H1193" s="92" t="s">
        <v>4</v>
      </c>
      <c r="I1193" s="97">
        <f ca="1">_xll.meDateFromTenor(I1192,"1D","FOLLOWING","TGT")</f>
        <v>44203</v>
      </c>
      <c r="J1193" s="95">
        <f ca="1"/>
        <v>2.4898015722323451E-3</v>
      </c>
      <c r="K1193" s="5" t="s">
        <v>4</v>
      </c>
      <c r="L1193" s="97">
        <f ca="1">_xll.meDateFromTenor(L1192,"1D","FOLLOWING","TGT")</f>
        <v>44203</v>
      </c>
      <c r="M1193" s="95">
        <f ca="1"/>
        <v>4.362953239001756E-3</v>
      </c>
      <c r="N1193" s="5" t="s">
        <v>4</v>
      </c>
      <c r="O1193" s="97">
        <f ca="1">_xll.meDateFromTenor(O1192,"1D","FOLLOWING","TGT")</f>
        <v>44203</v>
      </c>
      <c r="P1193" s="95">
        <f ca="1"/>
        <v>6.3883303822006438E-3</v>
      </c>
      <c r="Q1193" s="5" t="s">
        <v>4</v>
      </c>
      <c r="R1193" s="83" t="s">
        <v>4</v>
      </c>
    </row>
    <row r="1194" spans="1:18" x14ac:dyDescent="0.25">
      <c r="A1194" s="88">
        <v>1180</v>
      </c>
      <c r="B1194" s="82"/>
      <c r="C1194" s="97">
        <f ca="1">_xll.meDateFromTenor(C1193,"1D","FOLLOWING","TGT")</f>
        <v>44204</v>
      </c>
      <c r="D1194" s="95">
        <f ca="1"/>
        <v>4.48883882106621E-4</v>
      </c>
      <c r="E1194" s="92"/>
      <c r="F1194" s="97">
        <f ca="1">_xll.meDateFromTenor(F1193,"1D","FOLLOWING","TGT")</f>
        <v>44204</v>
      </c>
      <c r="G1194" s="95">
        <f ca="1"/>
        <v>1.3482047163337369E-3</v>
      </c>
      <c r="H1194" s="92" t="s">
        <v>4</v>
      </c>
      <c r="I1194" s="97">
        <f ca="1">_xll.meDateFromTenor(I1193,"1D","FOLLOWING","TGT")</f>
        <v>44204</v>
      </c>
      <c r="J1194" s="95">
        <f ca="1"/>
        <v>2.4971927773662366E-3</v>
      </c>
      <c r="K1194" s="5" t="s">
        <v>4</v>
      </c>
      <c r="L1194" s="97">
        <f ca="1">_xll.meDateFromTenor(L1193,"1D","FOLLOWING","TGT")</f>
        <v>44204</v>
      </c>
      <c r="M1194" s="95">
        <f ca="1"/>
        <v>4.3700250101346609E-3</v>
      </c>
      <c r="N1194" s="5" t="s">
        <v>4</v>
      </c>
      <c r="O1194" s="97">
        <f ca="1">_xll.meDateFromTenor(O1193,"1D","FOLLOWING","TGT")</f>
        <v>44204</v>
      </c>
      <c r="P1194" s="95">
        <f ca="1"/>
        <v>6.3955908007194678E-3</v>
      </c>
      <c r="Q1194" s="5" t="s">
        <v>4</v>
      </c>
      <c r="R1194" s="83" t="s">
        <v>4</v>
      </c>
    </row>
    <row r="1195" spans="1:18" x14ac:dyDescent="0.25">
      <c r="A1195" s="88">
        <v>1181</v>
      </c>
      <c r="B1195" s="82"/>
      <c r="C1195" s="97">
        <f ca="1">_xll.meDateFromTenor(C1194,"1D","FOLLOWING","TGT")</f>
        <v>44207</v>
      </c>
      <c r="D1195" s="95">
        <f ca="1"/>
        <v>4.6786851095248494E-4</v>
      </c>
      <c r="E1195" s="92"/>
      <c r="F1195" s="97">
        <f ca="1">_xll.meDateFromTenor(F1194,"1D","FOLLOWING","TGT")</f>
        <v>44207</v>
      </c>
      <c r="G1195" s="95">
        <f ca="1"/>
        <v>1.3685884831316189E-3</v>
      </c>
      <c r="H1195" s="92" t="s">
        <v>4</v>
      </c>
      <c r="I1195" s="97">
        <f ca="1">_xll.meDateFromTenor(I1194,"1D","FOLLOWING","TGT")</f>
        <v>44207</v>
      </c>
      <c r="J1195" s="95">
        <f ca="1"/>
        <v>2.519387295546527E-3</v>
      </c>
      <c r="K1195" s="5" t="s">
        <v>4</v>
      </c>
      <c r="L1195" s="97">
        <f ca="1">_xll.meDateFromTenor(L1194,"1D","FOLLOWING","TGT")</f>
        <v>44207</v>
      </c>
      <c r="M1195" s="95">
        <f ca="1"/>
        <v>4.3912587961982639E-3</v>
      </c>
      <c r="N1195" s="5" t="s">
        <v>4</v>
      </c>
      <c r="O1195" s="97">
        <f ca="1">_xll.meDateFromTenor(O1194,"1D","FOLLOWING","TGT")</f>
        <v>44207</v>
      </c>
      <c r="P1195" s="95">
        <f ca="1"/>
        <v>6.4173850002749696E-3</v>
      </c>
      <c r="Q1195" s="5" t="s">
        <v>4</v>
      </c>
      <c r="R1195" s="83" t="s">
        <v>4</v>
      </c>
    </row>
    <row r="1196" spans="1:18" x14ac:dyDescent="0.25">
      <c r="A1196" s="88">
        <v>1182</v>
      </c>
      <c r="B1196" s="82"/>
      <c r="C1196" s="97">
        <f ca="1">_xll.meDateFromTenor(C1195,"1D","FOLLOWING","TGT")</f>
        <v>44208</v>
      </c>
      <c r="D1196" s="95">
        <f ca="1"/>
        <v>4.7412733404472718E-4</v>
      </c>
      <c r="E1196" s="92"/>
      <c r="F1196" s="97">
        <f ca="1">_xll.meDateFromTenor(F1195,"1D","FOLLOWING","TGT")</f>
        <v>44208</v>
      </c>
      <c r="G1196" s="95">
        <f ca="1"/>
        <v>1.3754287658259451E-3</v>
      </c>
      <c r="H1196" s="92" t="s">
        <v>4</v>
      </c>
      <c r="I1196" s="97">
        <f ca="1">_xll.meDateFromTenor(I1195,"1D","FOLLOWING","TGT")</f>
        <v>44208</v>
      </c>
      <c r="J1196" s="95">
        <f ca="1"/>
        <v>2.5267922603685639E-3</v>
      </c>
      <c r="K1196" s="5" t="s">
        <v>4</v>
      </c>
      <c r="L1196" s="97">
        <f ca="1">_xll.meDateFromTenor(L1195,"1D","FOLLOWING","TGT")</f>
        <v>44208</v>
      </c>
      <c r="M1196" s="95">
        <f ca="1"/>
        <v>4.3983428778482207E-3</v>
      </c>
      <c r="N1196" s="5" t="s">
        <v>4</v>
      </c>
      <c r="O1196" s="97">
        <f ca="1">_xll.meDateFromTenor(O1195,"1D","FOLLOWING","TGT")</f>
        <v>44208</v>
      </c>
      <c r="P1196" s="95">
        <f ca="1"/>
        <v>6.4246539976654613E-3</v>
      </c>
      <c r="Q1196" s="5" t="s">
        <v>4</v>
      </c>
      <c r="R1196" s="83" t="s">
        <v>4</v>
      </c>
    </row>
    <row r="1197" spans="1:18" x14ac:dyDescent="0.25">
      <c r="A1197" s="88">
        <v>1183</v>
      </c>
      <c r="B1197" s="82"/>
      <c r="C1197" s="97">
        <f ca="1">_xll.meDateFromTenor(C1196,"1D","FOLLOWING","TGT")</f>
        <v>44209</v>
      </c>
      <c r="D1197" s="95">
        <f ca="1"/>
        <v>4.8035146308289534E-4</v>
      </c>
      <c r="E1197" s="92"/>
      <c r="F1197" s="97">
        <f ca="1">_xll.meDateFromTenor(F1196,"1D","FOLLOWING","TGT")</f>
        <v>44209</v>
      </c>
      <c r="G1197" s="95">
        <f ca="1"/>
        <v>1.3822968655318889E-3</v>
      </c>
      <c r="H1197" s="92" t="s">
        <v>4</v>
      </c>
      <c r="I1197" s="97">
        <f ca="1">_xll.meDateFromTenor(I1196,"1D","FOLLOWING","TGT")</f>
        <v>44209</v>
      </c>
      <c r="J1197" s="95">
        <f ca="1"/>
        <v>2.5342005334894374E-3</v>
      </c>
      <c r="K1197" s="5" t="s">
        <v>4</v>
      </c>
      <c r="L1197" s="97">
        <f ca="1">_xll.meDateFromTenor(L1196,"1D","FOLLOWING","TGT")</f>
        <v>44209</v>
      </c>
      <c r="M1197" s="95">
        <f ca="1"/>
        <v>4.405430033682785E-3</v>
      </c>
      <c r="N1197" s="5" t="s">
        <v>4</v>
      </c>
      <c r="O1197" s="97">
        <f ca="1">_xll.meDateFromTenor(O1196,"1D","FOLLOWING","TGT")</f>
        <v>44209</v>
      </c>
      <c r="P1197" s="95">
        <f ca="1"/>
        <v>6.4319251019280994E-3</v>
      </c>
      <c r="Q1197" s="5" t="s">
        <v>4</v>
      </c>
      <c r="R1197" s="83" t="s">
        <v>4</v>
      </c>
    </row>
    <row r="1198" spans="1:18" x14ac:dyDescent="0.25">
      <c r="A1198" s="88">
        <v>1184</v>
      </c>
      <c r="B1198" s="82"/>
      <c r="C1198" s="97">
        <f ca="1">_xll.meDateFromTenor(C1197,"1D","FOLLOWING","TGT")</f>
        <v>44210</v>
      </c>
      <c r="D1198" s="95">
        <f ca="1"/>
        <v>4.8654089765998165E-4</v>
      </c>
      <c r="E1198" s="92"/>
      <c r="F1198" s="97">
        <f ca="1">_xll.meDateFromTenor(F1197,"1D","FOLLOWING","TGT")</f>
        <v>44210</v>
      </c>
      <c r="G1198" s="95">
        <f ca="1"/>
        <v>1.3891957643279104E-3</v>
      </c>
      <c r="H1198" s="92" t="s">
        <v>4</v>
      </c>
      <c r="I1198" s="97">
        <f ca="1">_xll.meDateFromTenor(I1197,"1D","FOLLOWING","TGT")</f>
        <v>44210</v>
      </c>
      <c r="J1198" s="95">
        <f ca="1"/>
        <v>2.5416120622598674E-3</v>
      </c>
      <c r="K1198" s="5" t="s">
        <v>4</v>
      </c>
      <c r="L1198" s="97">
        <f ca="1">_xll.meDateFromTenor(L1197,"1D","FOLLOWING","TGT")</f>
        <v>44210</v>
      </c>
      <c r="M1198" s="95">
        <f ca="1"/>
        <v>4.4125202623240952E-3</v>
      </c>
      <c r="N1198" s="5" t="s">
        <v>4</v>
      </c>
      <c r="O1198" s="97">
        <f ca="1">_xll.meDateFromTenor(O1197,"1D","FOLLOWING","TGT")</f>
        <v>44210</v>
      </c>
      <c r="P1198" s="95">
        <f ca="1"/>
        <v>6.4391982979245836E-3</v>
      </c>
      <c r="Q1198" s="5" t="s">
        <v>4</v>
      </c>
      <c r="R1198" s="83" t="s">
        <v>4</v>
      </c>
    </row>
    <row r="1199" spans="1:18" x14ac:dyDescent="0.25">
      <c r="A1199" s="88">
        <v>1185</v>
      </c>
      <c r="B1199" s="82"/>
      <c r="C1199" s="97">
        <f ca="1">_xll.meDateFromTenor(C1198,"1D","FOLLOWING","TGT")</f>
        <v>44211</v>
      </c>
      <c r="D1199" s="95">
        <f ca="1"/>
        <v>4.926956369744051E-4</v>
      </c>
      <c r="E1199" s="92"/>
      <c r="F1199" s="97">
        <f ca="1">_xll.meDateFromTenor(F1198,"1D","FOLLOWING","TGT")</f>
        <v>44211</v>
      </c>
      <c r="G1199" s="95">
        <f ca="1"/>
        <v>1.3961284442924702E-3</v>
      </c>
      <c r="H1199" s="92" t="s">
        <v>4</v>
      </c>
      <c r="I1199" s="97">
        <f ca="1">_xll.meDateFromTenor(I1198,"1D","FOLLOWING","TGT")</f>
        <v>44211</v>
      </c>
      <c r="J1199" s="95">
        <f ca="1"/>
        <v>2.5490267940305729E-3</v>
      </c>
      <c r="K1199" s="5" t="s">
        <v>4</v>
      </c>
      <c r="L1199" s="97">
        <f ca="1">_xll.meDateFromTenor(L1198,"1D","FOLLOWING","TGT")</f>
        <v>44211</v>
      </c>
      <c r="M1199" s="95">
        <f ca="1"/>
        <v>4.4196135623942884E-3</v>
      </c>
      <c r="N1199" s="5" t="s">
        <v>4</v>
      </c>
      <c r="O1199" s="97">
        <f ca="1">_xll.meDateFromTenor(O1198,"1D","FOLLOWING","TGT")</f>
        <v>44211</v>
      </c>
      <c r="P1199" s="95">
        <f ca="1"/>
        <v>6.4464735705166022E-3</v>
      </c>
      <c r="Q1199" s="5" t="s">
        <v>4</v>
      </c>
      <c r="R1199" s="83" t="s">
        <v>4</v>
      </c>
    </row>
    <row r="1200" spans="1:18" x14ac:dyDescent="0.25">
      <c r="A1200" s="88">
        <v>1186</v>
      </c>
      <c r="B1200" s="82"/>
      <c r="C1200" s="97">
        <f ca="1">_xll.meDateFromTenor(C1199,"1D","FOLLOWING","TGT")</f>
        <v>44214</v>
      </c>
      <c r="D1200" s="95">
        <f ca="1"/>
        <v>5.1095167936576757E-4</v>
      </c>
      <c r="E1200" s="92"/>
      <c r="F1200" s="97">
        <f ca="1">_xll.meDateFromTenor(F1199,"1D","FOLLOWING","TGT")</f>
        <v>44214</v>
      </c>
      <c r="G1200" s="95">
        <f ca="1"/>
        <v>1.4171589919819891E-3</v>
      </c>
      <c r="H1200" s="92" t="s">
        <v>4</v>
      </c>
      <c r="I1200" s="97">
        <f ca="1">_xll.meDateFromTenor(I1199,"1D","FOLLOWING","TGT")</f>
        <v>44214</v>
      </c>
      <c r="J1200" s="95">
        <f ca="1"/>
        <v>2.5712896808515466E-3</v>
      </c>
      <c r="K1200" s="5" t="s">
        <v>4</v>
      </c>
      <c r="L1200" s="97">
        <f ca="1">_xll.meDateFromTenor(L1199,"1D","FOLLOWING","TGT")</f>
        <v>44214</v>
      </c>
      <c r="M1200" s="95">
        <f ca="1"/>
        <v>4.4409118773995442E-3</v>
      </c>
      <c r="N1200" s="5" t="s">
        <v>4</v>
      </c>
      <c r="O1200" s="97">
        <f ca="1">_xll.meDateFromTenor(O1199,"1D","FOLLOWING","TGT")</f>
        <v>44214</v>
      </c>
      <c r="P1200" s="95">
        <f ca="1"/>
        <v>6.468311696482809E-3</v>
      </c>
      <c r="Q1200" s="5" t="s">
        <v>4</v>
      </c>
      <c r="R1200" s="83" t="s">
        <v>4</v>
      </c>
    </row>
    <row r="1201" spans="1:18" x14ac:dyDescent="0.25">
      <c r="A1201" s="88">
        <v>1187</v>
      </c>
      <c r="B1201" s="82"/>
      <c r="C1201" s="97">
        <f ca="1">_xll.meDateFromTenor(C1200,"1D","FOLLOWING","TGT")</f>
        <v>44215</v>
      </c>
      <c r="D1201" s="95">
        <f ca="1"/>
        <v>5.1696763311337435E-4</v>
      </c>
      <c r="E1201" s="92"/>
      <c r="F1201" s="97">
        <f ca="1">_xll.meDateFromTenor(F1200,"1D","FOLLOWING","TGT")</f>
        <v>44215</v>
      </c>
      <c r="G1201" s="95">
        <f ca="1"/>
        <v>1.4242566174053088E-3</v>
      </c>
      <c r="H1201" s="92" t="s">
        <v>4</v>
      </c>
      <c r="I1201" s="97">
        <f ca="1">_xll.meDateFromTenor(I1200,"1D","FOLLOWING","TGT")</f>
        <v>44215</v>
      </c>
      <c r="J1201" s="95">
        <f ca="1"/>
        <v>2.5787166981305542E-3</v>
      </c>
      <c r="K1201" s="5" t="s">
        <v>4</v>
      </c>
      <c r="L1201" s="97">
        <f ca="1">_xll.meDateFromTenor(L1200,"1D","FOLLOWING","TGT")</f>
        <v>44215</v>
      </c>
      <c r="M1201" s="95">
        <f ca="1"/>
        <v>4.4480174494066459E-3</v>
      </c>
      <c r="N1201" s="5" t="s">
        <v>4</v>
      </c>
      <c r="O1201" s="97">
        <f ca="1">_xll.meDateFromTenor(O1200,"1D","FOLLOWING","TGT")</f>
        <v>44215</v>
      </c>
      <c r="P1201" s="95">
        <f ca="1"/>
        <v>6.4755951240739046E-3</v>
      </c>
      <c r="Q1201" s="5" t="s">
        <v>4</v>
      </c>
      <c r="R1201" s="83" t="s">
        <v>4</v>
      </c>
    </row>
    <row r="1202" spans="1:18" x14ac:dyDescent="0.25">
      <c r="A1202" s="88">
        <v>1188</v>
      </c>
      <c r="B1202" s="82"/>
      <c r="C1202" s="97">
        <f ca="1">_xll.meDateFromTenor(C1201,"1D","FOLLOWING","TGT")</f>
        <v>44216</v>
      </c>
      <c r="D1202" s="95">
        <f ca="1"/>
        <v>5.2294888923820615E-4</v>
      </c>
      <c r="E1202" s="92"/>
      <c r="F1202" s="97">
        <f ca="1">_xll.meDateFromTenor(F1201,"1D","FOLLOWING","TGT")</f>
        <v>44216</v>
      </c>
      <c r="G1202" s="95">
        <f ca="1"/>
        <v>1.4314029343894725E-3</v>
      </c>
      <c r="H1202" s="92" t="s">
        <v>4</v>
      </c>
      <c r="I1202" s="97">
        <f ca="1">_xll.meDateFromTenor(I1201,"1D","FOLLOWING","TGT")</f>
        <v>44216</v>
      </c>
      <c r="J1202" s="95">
        <f ca="1"/>
        <v>2.5861466551634401E-3</v>
      </c>
      <c r="K1202" s="5" t="s">
        <v>4</v>
      </c>
      <c r="L1202" s="97">
        <f ca="1">_xll.meDateFromTenor(L1201,"1D","FOLLOWING","TGT")</f>
        <v>44216</v>
      </c>
      <c r="M1202" s="95">
        <f ca="1"/>
        <v>4.4551260859533219E-3</v>
      </c>
      <c r="N1202" s="5" t="s">
        <v>4</v>
      </c>
      <c r="O1202" s="97">
        <f ca="1">_xll.meDateFromTenor(O1201,"1D","FOLLOWING","TGT")</f>
        <v>44216</v>
      </c>
      <c r="P1202" s="95">
        <f ca="1"/>
        <v>6.4828805525690043E-3</v>
      </c>
      <c r="Q1202" s="5" t="s">
        <v>4</v>
      </c>
      <c r="R1202" s="83" t="s">
        <v>4</v>
      </c>
    </row>
    <row r="1203" spans="1:18" x14ac:dyDescent="0.25">
      <c r="A1203" s="88">
        <v>1189</v>
      </c>
      <c r="B1203" s="82"/>
      <c r="C1203" s="97">
        <f ca="1">_xll.meDateFromTenor(C1202,"1D","FOLLOWING","TGT")</f>
        <v>44217</v>
      </c>
      <c r="D1203" s="95">
        <f ca="1"/>
        <v>5.288954472002505E-4</v>
      </c>
      <c r="E1203" s="92"/>
      <c r="F1203" s="97">
        <f ca="1">_xll.meDateFromTenor(F1202,"1D","FOLLOWING","TGT")</f>
        <v>44217</v>
      </c>
      <c r="G1203" s="95">
        <f ca="1"/>
        <v>1.4386009250129401E-3</v>
      </c>
      <c r="H1203" s="92" t="s">
        <v>4</v>
      </c>
      <c r="I1203" s="97">
        <f ca="1">_xll.meDateFromTenor(I1202,"1D","FOLLOWING","TGT")</f>
        <v>44217</v>
      </c>
      <c r="J1203" s="95">
        <f ca="1"/>
        <v>2.5935794993009213E-3</v>
      </c>
      <c r="K1203" s="5" t="s">
        <v>4</v>
      </c>
      <c r="L1203" s="97">
        <f ca="1">_xll.meDateFromTenor(L1202,"1D","FOLLOWING","TGT")</f>
        <v>44217</v>
      </c>
      <c r="M1203" s="95">
        <f ca="1"/>
        <v>4.4622377856617075E-3</v>
      </c>
      <c r="N1203" s="5" t="s">
        <v>4</v>
      </c>
      <c r="O1203" s="97">
        <f ca="1">_xll.meDateFromTenor(O1202,"1D","FOLLOWING","TGT")</f>
        <v>44217</v>
      </c>
      <c r="P1203" s="95">
        <f ca="1"/>
        <v>6.4901679668298009E-3</v>
      </c>
      <c r="Q1203" s="5" t="s">
        <v>4</v>
      </c>
      <c r="R1203" s="83" t="s">
        <v>4</v>
      </c>
    </row>
    <row r="1204" spans="1:18" x14ac:dyDescent="0.25">
      <c r="A1204" s="88">
        <v>1190</v>
      </c>
      <c r="B1204" s="82"/>
      <c r="C1204" s="97">
        <f ca="1">_xll.meDateFromTenor(C1203,"1D","FOLLOWING","TGT")</f>
        <v>44218</v>
      </c>
      <c r="D1204" s="95">
        <f ca="1"/>
        <v>5.3480730630095508E-4</v>
      </c>
      <c r="E1204" s="92"/>
      <c r="F1204" s="97">
        <f ca="1">_xll.meDateFromTenor(F1203,"1D","FOLLOWING","TGT")</f>
        <v>44218</v>
      </c>
      <c r="G1204" s="95">
        <f ca="1"/>
        <v>1.4458535713541712E-3</v>
      </c>
      <c r="H1204" s="92" t="s">
        <v>4</v>
      </c>
      <c r="I1204" s="97">
        <f ca="1">_xll.meDateFromTenor(I1203,"1D","FOLLOWING","TGT")</f>
        <v>44218</v>
      </c>
      <c r="J1204" s="95">
        <f ca="1"/>
        <v>2.6010151778937183E-3</v>
      </c>
      <c r="K1204" s="5" t="s">
        <v>4</v>
      </c>
      <c r="L1204" s="97">
        <f ca="1">_xll.meDateFromTenor(L1203,"1D","FOLLOWING","TGT")</f>
        <v>44218</v>
      </c>
      <c r="M1204" s="95">
        <f ca="1"/>
        <v>4.4693525471539413E-3</v>
      </c>
      <c r="N1204" s="5" t="s">
        <v>4</v>
      </c>
      <c r="O1204" s="97">
        <f ca="1">_xll.meDateFromTenor(O1203,"1D","FOLLOWING","TGT")</f>
        <v>44218</v>
      </c>
      <c r="P1204" s="95">
        <f ca="1"/>
        <v>6.4974573517179862E-3</v>
      </c>
      <c r="Q1204" s="5" t="s">
        <v>4</v>
      </c>
      <c r="R1204" s="83" t="s">
        <v>4</v>
      </c>
    </row>
    <row r="1205" spans="1:18" x14ac:dyDescent="0.25">
      <c r="A1205" s="88">
        <v>1191</v>
      </c>
      <c r="B1205" s="82"/>
      <c r="C1205" s="97">
        <f ca="1">_xll.meDateFromTenor(C1204,"1D","FOLLOWING","TGT")</f>
        <v>44221</v>
      </c>
      <c r="D1205" s="95">
        <f ca="1"/>
        <v>5.5233468592019719E-4</v>
      </c>
      <c r="E1205" s="92"/>
      <c r="F1205" s="97">
        <f ca="1">_xll.meDateFromTenor(F1204,"1D","FOLLOWING","TGT")</f>
        <v>44221</v>
      </c>
      <c r="G1205" s="95">
        <f ca="1"/>
        <v>1.4679692654690549E-3</v>
      </c>
      <c r="H1205" s="92" t="s">
        <v>4</v>
      </c>
      <c r="I1205" s="97">
        <f ca="1">_xll.meDateFromTenor(I1204,"1D","FOLLOWING","TGT")</f>
        <v>44221</v>
      </c>
      <c r="J1205" s="95">
        <f ca="1"/>
        <v>2.623338693911203E-3</v>
      </c>
      <c r="K1205" s="5" t="s">
        <v>4</v>
      </c>
      <c r="L1205" s="97">
        <f ca="1">_xll.meDateFromTenor(L1204,"1D","FOLLOWING","TGT")</f>
        <v>44221</v>
      </c>
      <c r="M1205" s="95">
        <f ca="1"/>
        <v>4.4907151885551066E-3</v>
      </c>
      <c r="N1205" s="5" t="s">
        <v>4</v>
      </c>
      <c r="O1205" s="97">
        <f ca="1">_xll.meDateFromTenor(O1204,"1D","FOLLOWING","TGT")</f>
        <v>44221</v>
      </c>
      <c r="P1205" s="95">
        <f ca="1"/>
        <v>6.519337178763812E-3</v>
      </c>
      <c r="Q1205" s="5" t="s">
        <v>4</v>
      </c>
      <c r="R1205" s="83" t="s">
        <v>4</v>
      </c>
    </row>
    <row r="1206" spans="1:18" x14ac:dyDescent="0.25">
      <c r="A1206" s="88">
        <v>1192</v>
      </c>
      <c r="B1206" s="82"/>
      <c r="C1206" s="97">
        <f ca="1">_xll.meDateFromTenor(C1205,"1D","FOLLOWING","TGT")</f>
        <v>44222</v>
      </c>
      <c r="D1206" s="95">
        <f ca="1"/>
        <v>5.5810774491615867E-4</v>
      </c>
      <c r="E1206" s="92"/>
      <c r="F1206" s="97">
        <f ca="1">_xll.meDateFromTenor(F1205,"1D","FOLLOWING","TGT")</f>
        <v>44222</v>
      </c>
      <c r="G1206" s="95">
        <f ca="1"/>
        <v>1.4754703554659488E-3</v>
      </c>
      <c r="H1206" s="92" t="s">
        <v>4</v>
      </c>
      <c r="I1206" s="97">
        <f ca="1">_xll.meDateFromTenor(I1205,"1D","FOLLOWING","TGT")</f>
        <v>44222</v>
      </c>
      <c r="J1206" s="95">
        <f ca="1"/>
        <v>2.6307851838324619E-3</v>
      </c>
      <c r="K1206" s="5" t="s">
        <v>4</v>
      </c>
      <c r="L1206" s="97">
        <f ca="1">_xll.meDateFromTenor(L1205,"1D","FOLLOWING","TGT")</f>
        <v>44222</v>
      </c>
      <c r="M1206" s="95">
        <f ca="1"/>
        <v>4.4978421834041089E-3</v>
      </c>
      <c r="N1206" s="5" t="s">
        <v>4</v>
      </c>
      <c r="O1206" s="97">
        <f ca="1">_xll.meDateFromTenor(O1205,"1D","FOLLOWING","TGT")</f>
        <v>44222</v>
      </c>
      <c r="P1206" s="95">
        <f ca="1"/>
        <v>6.5266342947784889E-3</v>
      </c>
      <c r="Q1206" s="5" t="s">
        <v>4</v>
      </c>
      <c r="R1206" s="83" t="s">
        <v>4</v>
      </c>
    </row>
    <row r="1207" spans="1:18" x14ac:dyDescent="0.25">
      <c r="A1207" s="88">
        <v>1193</v>
      </c>
      <c r="B1207" s="82"/>
      <c r="C1207" s="97">
        <f ca="1">_xll.meDateFromTenor(C1206,"1D","FOLLOWING","TGT")</f>
        <v>44223</v>
      </c>
      <c r="D1207" s="95">
        <f ca="1"/>
        <v>5.638461022587915E-4</v>
      </c>
      <c r="E1207" s="92"/>
      <c r="F1207" s="97">
        <f ca="1">_xll.meDateFromTenor(F1206,"1D","FOLLOWING","TGT")</f>
        <v>44223</v>
      </c>
      <c r="G1207" s="95">
        <f ca="1"/>
        <v>1.4830410115729102E-3</v>
      </c>
      <c r="H1207" s="92" t="s">
        <v>4</v>
      </c>
      <c r="I1207" s="97">
        <f ca="1">_xll.meDateFromTenor(I1206,"1D","FOLLOWING","TGT")</f>
        <v>44223</v>
      </c>
      <c r="J1207" s="95">
        <f ca="1"/>
        <v>2.6382342449626363E-3</v>
      </c>
      <c r="K1207" s="5" t="s">
        <v>4</v>
      </c>
      <c r="L1207" s="97">
        <f ca="1">_xll.meDateFromTenor(L1206,"1D","FOLLOWING","TGT")</f>
        <v>44223</v>
      </c>
      <c r="M1207" s="95">
        <f ca="1"/>
        <v>4.5049722331476491E-3</v>
      </c>
      <c r="N1207" s="5" t="s">
        <v>4</v>
      </c>
      <c r="O1207" s="97">
        <f ca="1">_xll.meDateFromTenor(O1206,"1D","FOLLOWING","TGT")</f>
        <v>44223</v>
      </c>
      <c r="P1207" s="95">
        <f ca="1"/>
        <v>6.5339333057290207E-3</v>
      </c>
      <c r="Q1207" s="5" t="s">
        <v>4</v>
      </c>
      <c r="R1207" s="83" t="s">
        <v>4</v>
      </c>
    </row>
    <row r="1208" spans="1:18" x14ac:dyDescent="0.25">
      <c r="A1208" s="88">
        <v>1194</v>
      </c>
      <c r="B1208" s="82"/>
      <c r="C1208" s="97">
        <f ca="1">_xll.meDateFromTenor(C1207,"1D","FOLLOWING","TGT")</f>
        <v>44224</v>
      </c>
      <c r="D1208" s="95">
        <f ca="1"/>
        <v>5.6954975783152229E-4</v>
      </c>
      <c r="E1208" s="92"/>
      <c r="F1208" s="97">
        <f ca="1">_xll.meDateFromTenor(F1207,"1D","FOLLOWING","TGT")</f>
        <v>44224</v>
      </c>
      <c r="G1208" s="95">
        <f ca="1"/>
        <v>1.4906842158683977E-3</v>
      </c>
      <c r="H1208" s="92" t="s">
        <v>4</v>
      </c>
      <c r="I1208" s="97">
        <f ca="1">_xll.meDateFromTenor(I1207,"1D","FOLLOWING","TGT")</f>
        <v>44224</v>
      </c>
      <c r="J1208" s="95">
        <f ca="1"/>
        <v>2.645685824652444E-3</v>
      </c>
      <c r="K1208" s="5" t="s">
        <v>4</v>
      </c>
      <c r="L1208" s="97">
        <f ca="1">_xll.meDateFromTenor(L1207,"1D","FOLLOWING","TGT")</f>
        <v>44224</v>
      </c>
      <c r="M1208" s="95">
        <f ca="1"/>
        <v>4.5121053364078605E-3</v>
      </c>
      <c r="N1208" s="5" t="s">
        <v>4</v>
      </c>
      <c r="O1208" s="97">
        <f ca="1">_xll.meDateFromTenor(O1207,"1D","FOLLOWING","TGT")</f>
        <v>44224</v>
      </c>
      <c r="P1208" s="95">
        <f ca="1"/>
        <v>6.5412341964771002E-3</v>
      </c>
      <c r="Q1208" s="5" t="s">
        <v>4</v>
      </c>
      <c r="R1208" s="83" t="s">
        <v>4</v>
      </c>
    </row>
    <row r="1209" spans="1:18" x14ac:dyDescent="0.25">
      <c r="A1209" s="88">
        <v>1195</v>
      </c>
      <c r="B1209" s="82"/>
      <c r="C1209" s="97">
        <f ca="1">_xll.meDateFromTenor(C1208,"1D","FOLLOWING","TGT")</f>
        <v>44225</v>
      </c>
      <c r="D1209" s="95">
        <f ca="1"/>
        <v>5.7521871072307995E-4</v>
      </c>
      <c r="E1209" s="92"/>
      <c r="F1209" s="97">
        <f ca="1">_xll.meDateFromTenor(F1208,"1D","FOLLOWING","TGT")</f>
        <v>44225</v>
      </c>
      <c r="G1209" s="95">
        <f ca="1"/>
        <v>1.4984029504308766E-3</v>
      </c>
      <c r="H1209" s="92" t="s">
        <v>4</v>
      </c>
      <c r="I1209" s="97">
        <f ca="1">_xll.meDateFromTenor(I1208,"1D","FOLLOWING","TGT")</f>
        <v>44225</v>
      </c>
      <c r="J1209" s="95">
        <f ca="1"/>
        <v>2.6531398702526088E-3</v>
      </c>
      <c r="K1209" s="5" t="s">
        <v>4</v>
      </c>
      <c r="L1209" s="97">
        <f ca="1">_xll.meDateFromTenor(L1208,"1D","FOLLOWING","TGT")</f>
        <v>44225</v>
      </c>
      <c r="M1209" s="95">
        <f ca="1"/>
        <v>4.519241491806888E-3</v>
      </c>
      <c r="N1209" s="5" t="s">
        <v>4</v>
      </c>
      <c r="O1209" s="97">
        <f ca="1">_xll.meDateFromTenor(O1208,"1D","FOLLOWING","TGT")</f>
        <v>44225</v>
      </c>
      <c r="P1209" s="95">
        <f ca="1"/>
        <v>6.5485369518844235E-3</v>
      </c>
      <c r="Q1209" s="5" t="s">
        <v>4</v>
      </c>
      <c r="R1209" s="83" t="s">
        <v>4</v>
      </c>
    </row>
    <row r="1210" spans="1:18" x14ac:dyDescent="0.25">
      <c r="A1210" s="88">
        <v>1196</v>
      </c>
      <c r="B1210" s="82"/>
      <c r="C1210" s="97">
        <f ca="1">_xll.meDateFromTenor(C1209,"1D","FOLLOWING","TGT")</f>
        <v>44228</v>
      </c>
      <c r="D1210" s="95">
        <f ca="1"/>
        <v>5.9201734927927241E-4</v>
      </c>
      <c r="E1210" s="92"/>
      <c r="F1210" s="97">
        <f ca="1">_xll.meDateFromTenor(F1209,"1D","FOLLOWING","TGT")</f>
        <v>44228</v>
      </c>
      <c r="G1210" s="95">
        <f ca="1"/>
        <v>1.522042156504855E-3</v>
      </c>
      <c r="H1210" s="92" t="s">
        <v>4</v>
      </c>
      <c r="I1210" s="97">
        <f ca="1">_xll.meDateFromTenor(I1209,"1D","FOLLOWING","TGT")</f>
        <v>44228</v>
      </c>
      <c r="J1210" s="95">
        <f ca="1"/>
        <v>2.6755162760224334E-3</v>
      </c>
      <c r="K1210" s="5" t="s">
        <v>4</v>
      </c>
      <c r="L1210" s="97">
        <f ca="1">_xll.meDateFromTenor(L1209,"1D","FOLLOWING","TGT")</f>
        <v>44228</v>
      </c>
      <c r="M1210" s="95">
        <f ca="1"/>
        <v>4.5406682570582196E-3</v>
      </c>
      <c r="N1210" s="5" t="s">
        <v>4</v>
      </c>
      <c r="O1210" s="97">
        <f ca="1">_xll.meDateFromTenor(O1209,"1D","FOLLOWING","TGT")</f>
        <v>44228</v>
      </c>
      <c r="P1210" s="95">
        <f ca="1"/>
        <v>6.5704562546787847E-3</v>
      </c>
      <c r="Q1210" s="5" t="s">
        <v>4</v>
      </c>
      <c r="R1210" s="83" t="s">
        <v>4</v>
      </c>
    </row>
    <row r="1211" spans="1:18" x14ac:dyDescent="0.25">
      <c r="A1211" s="88">
        <v>1197</v>
      </c>
      <c r="B1211" s="82"/>
      <c r="C1211" s="97">
        <f ca="1">_xll.meDateFromTenor(C1210,"1D","FOLLOWING","TGT")</f>
        <v>44229</v>
      </c>
      <c r="D1211" s="95">
        <f ca="1"/>
        <v>5.9754748695417526E-4</v>
      </c>
      <c r="E1211" s="92"/>
      <c r="F1211" s="97">
        <f ca="1">_xll.meDateFromTenor(F1210,"1D","FOLLOWING","TGT")</f>
        <v>44229</v>
      </c>
      <c r="G1211" s="95">
        <f ca="1"/>
        <v>1.5300928329198976E-3</v>
      </c>
      <c r="H1211" s="92" t="s">
        <v>4</v>
      </c>
      <c r="I1211" s="97">
        <f ca="1">_xll.meDateFromTenor(I1210,"1D","FOLLOWING","TGT")</f>
        <v>44229</v>
      </c>
      <c r="J1211" s="95">
        <f ca="1"/>
        <v>2.682979658771218E-3</v>
      </c>
      <c r="K1211" s="5" t="s">
        <v>4</v>
      </c>
      <c r="L1211" s="97">
        <f ca="1">_xll.meDateFromTenor(L1210,"1D","FOLLOWING","TGT")</f>
        <v>44229</v>
      </c>
      <c r="M1211" s="95">
        <f ca="1"/>
        <v>4.5478166072338748E-3</v>
      </c>
      <c r="N1211" s="5" t="s">
        <v>4</v>
      </c>
      <c r="O1211" s="97">
        <f ca="1">_xll.meDateFromTenor(O1210,"1D","FOLLOWING","TGT")</f>
        <v>44229</v>
      </c>
      <c r="P1211" s="95">
        <f ca="1"/>
        <v>6.5777663173400133E-3</v>
      </c>
      <c r="Q1211" s="5" t="s">
        <v>4</v>
      </c>
      <c r="R1211" s="83" t="s">
        <v>4</v>
      </c>
    </row>
    <row r="1212" spans="1:18" x14ac:dyDescent="0.25">
      <c r="A1212" s="88">
        <v>1198</v>
      </c>
      <c r="B1212" s="82"/>
      <c r="C1212" s="97">
        <f ca="1">_xll.meDateFromTenor(C1211,"1D","FOLLOWING","TGT")</f>
        <v>44230</v>
      </c>
      <c r="D1212" s="95">
        <f ca="1"/>
        <v>6.0304291920054709E-4</v>
      </c>
      <c r="E1212" s="92"/>
      <c r="F1212" s="97">
        <f ca="1">_xll.meDateFromTenor(F1211,"1D","FOLLOWING","TGT")</f>
        <v>44230</v>
      </c>
      <c r="G1212" s="95">
        <f ca="1"/>
        <v>1.5382321206273556E-3</v>
      </c>
      <c r="H1212" s="92" t="s">
        <v>4</v>
      </c>
      <c r="I1212" s="97">
        <f ca="1">_xll.meDateFromTenor(I1211,"1D","FOLLOWING","TGT")</f>
        <v>44230</v>
      </c>
      <c r="J1212" s="95">
        <f ca="1"/>
        <v>2.6904452441839583E-3</v>
      </c>
      <c r="K1212" s="5" t="s">
        <v>4</v>
      </c>
      <c r="L1212" s="97">
        <f ca="1">_xll.meDateFromTenor(L1211,"1D","FOLLOWING","TGT")</f>
        <v>44230</v>
      </c>
      <c r="M1212" s="95">
        <f ca="1"/>
        <v>4.5549680026590305E-3</v>
      </c>
      <c r="N1212" s="5" t="s">
        <v>4</v>
      </c>
      <c r="O1212" s="97">
        <f ca="1">_xll.meDateFromTenor(O1211,"1D","FOLLOWING","TGT")</f>
        <v>44230</v>
      </c>
      <c r="P1212" s="95">
        <f ca="1"/>
        <v>6.5850781689689494E-3</v>
      </c>
      <c r="Q1212" s="5" t="s">
        <v>4</v>
      </c>
      <c r="R1212" s="83" t="s">
        <v>4</v>
      </c>
    </row>
    <row r="1213" spans="1:18" x14ac:dyDescent="0.25">
      <c r="A1213" s="88">
        <v>1199</v>
      </c>
      <c r="B1213" s="82"/>
      <c r="C1213" s="97">
        <f ca="1">_xll.meDateFromTenor(C1212,"1D","FOLLOWING","TGT")</f>
        <v>44231</v>
      </c>
      <c r="D1213" s="95">
        <f ca="1"/>
        <v>6.0850364568776349E-4</v>
      </c>
      <c r="E1213" s="92"/>
      <c r="F1213" s="97">
        <f ca="1">_xll.meDateFromTenor(F1212,"1D","FOLLOWING","TGT")</f>
        <v>44231</v>
      </c>
      <c r="G1213" s="95">
        <f ca="1"/>
        <v>1.5464538548713015E-3</v>
      </c>
      <c r="H1213" s="92" t="s">
        <v>4</v>
      </c>
      <c r="I1213" s="97">
        <f ca="1">_xll.meDateFromTenor(I1212,"1D","FOLLOWING","TGT")</f>
        <v>44231</v>
      </c>
      <c r="J1213" s="95">
        <f ca="1"/>
        <v>2.6979129796113727E-3</v>
      </c>
      <c r="K1213" s="5" t="s">
        <v>4</v>
      </c>
      <c r="L1213" s="97">
        <f ca="1">_xll.meDateFromTenor(L1212,"1D","FOLLOWING","TGT")</f>
        <v>44231</v>
      </c>
      <c r="M1213" s="95">
        <f ca="1"/>
        <v>4.5621224419558262E-3</v>
      </c>
      <c r="N1213" s="5" t="s">
        <v>4</v>
      </c>
      <c r="O1213" s="97">
        <f ca="1">_xll.meDateFromTenor(O1212,"1D","FOLLOWING","TGT")</f>
        <v>44231</v>
      </c>
      <c r="P1213" s="95">
        <f ca="1"/>
        <v>6.5923917944272891E-3</v>
      </c>
      <c r="Q1213" s="5" t="s">
        <v>4</v>
      </c>
      <c r="R1213" s="83" t="s">
        <v>4</v>
      </c>
    </row>
    <row r="1214" spans="1:18" x14ac:dyDescent="0.25">
      <c r="A1214" s="88">
        <v>1200</v>
      </c>
      <c r="B1214" s="82"/>
      <c r="C1214" s="97">
        <f ca="1">_xll.meDateFromTenor(C1213,"1D","FOLLOWING","TGT")</f>
        <v>44232</v>
      </c>
      <c r="D1214" s="95">
        <f ca="1"/>
        <v>6.139296659291027E-4</v>
      </c>
      <c r="E1214" s="92"/>
      <c r="F1214" s="97">
        <f ca="1">_xll.meDateFromTenor(F1213,"1D","FOLLOWING","TGT")</f>
        <v>44232</v>
      </c>
      <c r="G1214" s="95">
        <f ca="1"/>
        <v>1.554750041528931E-3</v>
      </c>
      <c r="H1214" s="92" t="s">
        <v>4</v>
      </c>
      <c r="I1214" s="97">
        <f ca="1">_xll.meDateFromTenor(I1213,"1D","FOLLOWING","TGT")</f>
        <v>44232</v>
      </c>
      <c r="J1214" s="95">
        <f ca="1"/>
        <v>2.7053828124041814E-3</v>
      </c>
      <c r="K1214" s="5" t="s">
        <v>4</v>
      </c>
      <c r="L1214" s="97">
        <f ca="1">_xll.meDateFromTenor(L1213,"1D","FOLLOWING","TGT")</f>
        <v>44232</v>
      </c>
      <c r="M1214" s="95">
        <f ca="1"/>
        <v>4.5692799237463978E-3</v>
      </c>
      <c r="N1214" s="5" t="s">
        <v>4</v>
      </c>
      <c r="O1214" s="97">
        <f ca="1">_xll.meDateFromTenor(O1213,"1D","FOLLOWING","TGT")</f>
        <v>44232</v>
      </c>
      <c r="P1214" s="95">
        <f ca="1"/>
        <v>6.5997071785767226E-3</v>
      </c>
      <c r="Q1214" s="5" t="s">
        <v>4</v>
      </c>
      <c r="R1214" s="83" t="s">
        <v>4</v>
      </c>
    </row>
    <row r="1215" spans="1:18" x14ac:dyDescent="0.25">
      <c r="A1215" s="88">
        <v>1201</v>
      </c>
      <c r="B1215" s="82"/>
      <c r="C1215" s="97">
        <f ca="1">_xll.meDateFromTenor(C1214,"1D","FOLLOWING","TGT")</f>
        <v>44235</v>
      </c>
      <c r="D1215" s="95">
        <f ca="1"/>
        <v>6.2999948292019603E-4</v>
      </c>
      <c r="E1215" s="92"/>
      <c r="F1215" s="97">
        <f ca="1">_xll.meDateFromTenor(F1214,"1D","FOLLOWING","TGT")</f>
        <v>44235</v>
      </c>
      <c r="G1215" s="95">
        <f ca="1"/>
        <v>1.58000537475587E-3</v>
      </c>
      <c r="H1215" s="92" t="s">
        <v>4</v>
      </c>
      <c r="I1215" s="97">
        <f ca="1">_xll.meDateFromTenor(I1214,"1D","FOLLOWING","TGT")</f>
        <v>44235</v>
      </c>
      <c r="J1215" s="95">
        <f ca="1"/>
        <v>2.7278043684821744E-3</v>
      </c>
      <c r="K1215" s="5" t="s">
        <v>4</v>
      </c>
      <c r="L1215" s="97">
        <f ca="1">_xll.meDateFromTenor(L1214,"1D","FOLLOWING","TGT")</f>
        <v>44235</v>
      </c>
      <c r="M1215" s="95">
        <f ca="1"/>
        <v>4.5907706103021535E-3</v>
      </c>
      <c r="N1215" s="5" t="s">
        <v>4</v>
      </c>
      <c r="O1215" s="97">
        <f ca="1">_xll.meDateFromTenor(O1214,"1D","FOLLOWING","TGT")</f>
        <v>44235</v>
      </c>
      <c r="P1215" s="95">
        <f ca="1"/>
        <v>6.6216637317885324E-3</v>
      </c>
      <c r="Q1215" s="5" t="s">
        <v>4</v>
      </c>
      <c r="R1215" s="83" t="s">
        <v>4</v>
      </c>
    </row>
    <row r="1216" spans="1:18" x14ac:dyDescent="0.25">
      <c r="A1216" s="88">
        <v>1202</v>
      </c>
      <c r="B1216" s="82"/>
      <c r="C1216" s="97">
        <f ca="1">_xll.meDateFromTenor(C1215,"1D","FOLLOWING","TGT")</f>
        <v>44236</v>
      </c>
      <c r="D1216" s="95">
        <f ca="1"/>
        <v>6.3528667225942748E-4</v>
      </c>
      <c r="E1216" s="92"/>
      <c r="F1216" s="97">
        <f ca="1">_xll.meDateFromTenor(F1215,"1D","FOLLOWING","TGT")</f>
        <v>44236</v>
      </c>
      <c r="G1216" s="95">
        <f ca="1"/>
        <v>1.5885194298401858E-3</v>
      </c>
      <c r="H1216" s="92" t="s">
        <v>4</v>
      </c>
      <c r="I1216" s="97">
        <f ca="1">_xll.meDateFromTenor(I1215,"1D","FOLLOWING","TGT")</f>
        <v>44236</v>
      </c>
      <c r="J1216" s="95">
        <f ca="1"/>
        <v>2.7352820642437617E-3</v>
      </c>
      <c r="K1216" s="5" t="s">
        <v>4</v>
      </c>
      <c r="L1216" s="97">
        <f ca="1">_xll.meDateFromTenor(L1215,"1D","FOLLOWING","TGT")</f>
        <v>44236</v>
      </c>
      <c r="M1216" s="95">
        <f ca="1"/>
        <v>4.5979402482892121E-3</v>
      </c>
      <c r="N1216" s="5" t="s">
        <v>4</v>
      </c>
      <c r="O1216" s="97">
        <f ca="1">_xll.meDateFromTenor(O1215,"1D","FOLLOWING","TGT")</f>
        <v>44236</v>
      </c>
      <c r="P1216" s="95">
        <f ca="1"/>
        <v>6.6289859993192831E-3</v>
      </c>
      <c r="Q1216" s="5" t="s">
        <v>4</v>
      </c>
      <c r="R1216" s="83" t="s">
        <v>4</v>
      </c>
    </row>
    <row r="1217" spans="1:18" x14ac:dyDescent="0.25">
      <c r="A1217" s="88">
        <v>1203</v>
      </c>
      <c r="B1217" s="82"/>
      <c r="C1217" s="97">
        <f ca="1">_xll.meDateFromTenor(C1216,"1D","FOLLOWING","TGT")</f>
        <v>44237</v>
      </c>
      <c r="D1217" s="95">
        <f ca="1"/>
        <v>6.4053915233164282E-4</v>
      </c>
      <c r="E1217" s="92"/>
      <c r="F1217" s="97">
        <f ca="1">_xll.meDateFromTenor(F1216,"1D","FOLLOWING","TGT")</f>
        <v>44237</v>
      </c>
      <c r="G1217" s="95">
        <f ca="1"/>
        <v>1.5970679667241621E-3</v>
      </c>
      <c r="H1217" s="92" t="s">
        <v>4</v>
      </c>
      <c r="I1217" s="97">
        <f ca="1">_xll.meDateFromTenor(I1216,"1D","FOLLOWING","TGT")</f>
        <v>44237</v>
      </c>
      <c r="J1217" s="95">
        <f ca="1"/>
        <v>2.7427615941243433E-3</v>
      </c>
      <c r="K1217" s="5" t="s">
        <v>4</v>
      </c>
      <c r="L1217" s="97">
        <f ca="1">_xll.meDateFromTenor(L1216,"1D","FOLLOWING","TGT")</f>
        <v>44237</v>
      </c>
      <c r="M1217" s="95">
        <f ca="1"/>
        <v>4.6051129218807373E-3</v>
      </c>
      <c r="N1217" s="5" t="s">
        <v>4</v>
      </c>
      <c r="O1217" s="97">
        <f ca="1">_xll.meDateFromTenor(O1216,"1D","FOLLOWING","TGT")</f>
        <v>44237</v>
      </c>
      <c r="P1217" s="95">
        <f ca="1"/>
        <v>6.6363099498495956E-3</v>
      </c>
      <c r="Q1217" s="5" t="s">
        <v>4</v>
      </c>
      <c r="R1217" s="83" t="s">
        <v>4</v>
      </c>
    </row>
    <row r="1218" spans="1:18" x14ac:dyDescent="0.25">
      <c r="A1218" s="88">
        <v>1204</v>
      </c>
      <c r="B1218" s="82"/>
      <c r="C1218" s="97">
        <f ca="1">_xll.meDateFromTenor(C1217,"1D","FOLLOWING","TGT")</f>
        <v>44238</v>
      </c>
      <c r="D1218" s="95">
        <f ca="1"/>
        <v>6.4575692283197483E-4</v>
      </c>
      <c r="E1218" s="92"/>
      <c r="F1218" s="97">
        <f ca="1">_xll.meDateFromTenor(F1217,"1D","FOLLOWING","TGT")</f>
        <v>44238</v>
      </c>
      <c r="G1218" s="95">
        <f ca="1"/>
        <v>1.6056429912849935E-3</v>
      </c>
      <c r="H1218" s="92" t="s">
        <v>4</v>
      </c>
      <c r="I1218" s="97">
        <f ca="1">_xll.meDateFromTenor(I1217,"1D","FOLLOWING","TGT")</f>
        <v>44238</v>
      </c>
      <c r="J1218" s="95">
        <f ca="1"/>
        <v>2.7502429054746392E-3</v>
      </c>
      <c r="K1218" s="5" t="s">
        <v>4</v>
      </c>
      <c r="L1218" s="97">
        <f ca="1">_xll.meDateFromTenor(L1217,"1D","FOLLOWING","TGT")</f>
        <v>44238</v>
      </c>
      <c r="M1218" s="95">
        <f ca="1"/>
        <v>4.6122886296988668E-3</v>
      </c>
      <c r="N1218" s="5" t="s">
        <v>4</v>
      </c>
      <c r="O1218" s="97">
        <f ca="1">_xll.meDateFromTenor(O1217,"1D","FOLLOWING","TGT")</f>
        <v>44238</v>
      </c>
      <c r="P1218" s="95">
        <f ca="1"/>
        <v>6.6436355682411635E-3</v>
      </c>
      <c r="Q1218" s="5" t="s">
        <v>4</v>
      </c>
      <c r="R1218" s="83" t="s">
        <v>4</v>
      </c>
    </row>
    <row r="1219" spans="1:18" x14ac:dyDescent="0.25">
      <c r="A1219" s="88">
        <v>1205</v>
      </c>
      <c r="B1219" s="82"/>
      <c r="C1219" s="97">
        <f ca="1">_xll.meDateFromTenor(C1218,"1D","FOLLOWING","TGT")</f>
        <v>44239</v>
      </c>
      <c r="D1219" s="95">
        <f ca="1"/>
        <v>6.5093998297793831E-4</v>
      </c>
      <c r="E1219" s="92"/>
      <c r="F1219" s="97">
        <f ca="1">_xll.meDateFromTenor(F1218,"1D","FOLLOWING","TGT")</f>
        <v>44239</v>
      </c>
      <c r="G1219" s="95">
        <f ca="1"/>
        <v>1.6142365093998752E-3</v>
      </c>
      <c r="H1219" s="92" t="s">
        <v>4</v>
      </c>
      <c r="I1219" s="97">
        <f ca="1">_xll.meDateFromTenor(I1218,"1D","FOLLOWING","TGT")</f>
        <v>44239</v>
      </c>
      <c r="J1219" s="95">
        <f ca="1"/>
        <v>2.7577259456453697E-3</v>
      </c>
      <c r="K1219" s="5" t="s">
        <v>4</v>
      </c>
      <c r="L1219" s="97">
        <f ca="1">_xll.meDateFromTenor(L1218,"1D","FOLLOWING","TGT")</f>
        <v>44239</v>
      </c>
      <c r="M1219" s="95">
        <f ca="1"/>
        <v>4.6194673703657367E-3</v>
      </c>
      <c r="N1219" s="5" t="s">
        <v>4</v>
      </c>
      <c r="O1219" s="97">
        <f ca="1">_xll.meDateFromTenor(O1218,"1D","FOLLOWING","TGT")</f>
        <v>44239</v>
      </c>
      <c r="P1219" s="95">
        <f ca="1"/>
        <v>6.650962839355682E-3</v>
      </c>
      <c r="Q1219" s="5" t="s">
        <v>4</v>
      </c>
      <c r="R1219" s="83" t="s">
        <v>4</v>
      </c>
    </row>
    <row r="1220" spans="1:18" x14ac:dyDescent="0.25">
      <c r="A1220" s="88">
        <v>1206</v>
      </c>
      <c r="B1220" s="82"/>
      <c r="C1220" s="97">
        <f ca="1">_xll.meDateFromTenor(C1219,"1D","FOLLOWING","TGT")</f>
        <v>44242</v>
      </c>
      <c r="D1220" s="95">
        <f ca="1"/>
        <v>6.6628089640952126E-4</v>
      </c>
      <c r="E1220" s="92"/>
      <c r="F1220" s="97">
        <f ca="1">_xll.meDateFromTenor(F1219,"1D","FOLLOWING","TGT")</f>
        <v>44242</v>
      </c>
      <c r="G1220" s="95">
        <f ca="1"/>
        <v>1.640048083840774E-3</v>
      </c>
      <c r="H1220" s="92" t="s">
        <v>4</v>
      </c>
      <c r="I1220" s="97">
        <f ca="1">_xll.meDateFromTenor(I1219,"1D","FOLLOWING","TGT")</f>
        <v>44242</v>
      </c>
      <c r="J1220" s="95">
        <f ca="1"/>
        <v>2.7801849125873614E-3</v>
      </c>
      <c r="K1220" s="5" t="s">
        <v>4</v>
      </c>
      <c r="L1220" s="97">
        <f ca="1">_xll.meDateFromTenor(L1219,"1D","FOLLOWING","TGT")</f>
        <v>44242</v>
      </c>
      <c r="M1220" s="95">
        <f ca="1"/>
        <v>4.641021775680175E-3</v>
      </c>
      <c r="N1220" s="5" t="s">
        <v>4</v>
      </c>
      <c r="O1220" s="97">
        <f ca="1">_xll.meDateFromTenor(O1219,"1D","FOLLOWING","TGT")</f>
        <v>44242</v>
      </c>
      <c r="P1220" s="95">
        <f ca="1"/>
        <v>6.6729544176538568E-3</v>
      </c>
      <c r="Q1220" s="5" t="s">
        <v>4</v>
      </c>
      <c r="R1220" s="83" t="s">
        <v>4</v>
      </c>
    </row>
    <row r="1221" spans="1:18" x14ac:dyDescent="0.25">
      <c r="A1221" s="88">
        <v>1207</v>
      </c>
      <c r="B1221" s="82"/>
      <c r="C1221" s="97">
        <f ca="1">_xll.meDateFromTenor(C1220,"1D","FOLLOWING","TGT")</f>
        <v>44243</v>
      </c>
      <c r="D1221" s="95">
        <f ca="1"/>
        <v>6.7132510987422123E-4</v>
      </c>
      <c r="E1221" s="92"/>
      <c r="F1221" s="97">
        <f ca="1">_xll.meDateFromTenor(F1220,"1D","FOLLOWING","TGT")</f>
        <v>44243</v>
      </c>
      <c r="G1221" s="95">
        <f ca="1"/>
        <v>1.6486356349438109E-3</v>
      </c>
      <c r="H1221" s="92" t="s">
        <v>4</v>
      </c>
      <c r="I1221" s="97">
        <f ca="1">_xll.meDateFromTenor(I1220,"1D","FOLLOWING","TGT")</f>
        <v>44243</v>
      </c>
      <c r="J1221" s="95">
        <f ca="1"/>
        <v>2.787674341547028E-3</v>
      </c>
      <c r="K1221" s="5" t="s">
        <v>4</v>
      </c>
      <c r="L1221" s="97">
        <f ca="1">_xll.meDateFromTenor(L1220,"1D","FOLLOWING","TGT")</f>
        <v>44243</v>
      </c>
      <c r="M1221" s="95">
        <f ca="1"/>
        <v>4.648212633963391E-3</v>
      </c>
      <c r="N1221" s="5" t="s">
        <v>4</v>
      </c>
      <c r="O1221" s="97">
        <f ca="1">_xll.meDateFromTenor(O1220,"1D","FOLLOWING","TGT")</f>
        <v>44243</v>
      </c>
      <c r="P1221" s="95">
        <f ca="1"/>
        <v>6.6802881482771036E-3</v>
      </c>
      <c r="Q1221" s="5" t="s">
        <v>4</v>
      </c>
      <c r="R1221" s="83" t="s">
        <v>4</v>
      </c>
    </row>
    <row r="1222" spans="1:18" x14ac:dyDescent="0.25">
      <c r="A1222" s="88">
        <v>1208</v>
      </c>
      <c r="B1222" s="82"/>
      <c r="C1222" s="97">
        <f ca="1">_xll.meDateFromTenor(C1221,"1D","FOLLOWING","TGT")</f>
        <v>44244</v>
      </c>
      <c r="D1222" s="95">
        <f ca="1"/>
        <v>6.7633461025051744E-4</v>
      </c>
      <c r="E1222" s="92"/>
      <c r="F1222" s="97">
        <f ca="1">_xll.meDateFromTenor(F1221,"1D","FOLLOWING","TGT")</f>
        <v>44244</v>
      </c>
      <c r="G1222" s="95">
        <f ca="1"/>
        <v>1.6572017089868751E-3</v>
      </c>
      <c r="H1222" s="92" t="s">
        <v>4</v>
      </c>
      <c r="I1222" s="97">
        <f ca="1">_xll.meDateFromTenor(I1221,"1D","FOLLOWING","TGT")</f>
        <v>44244</v>
      </c>
      <c r="J1222" s="95">
        <f ca="1"/>
        <v>2.7951652360807279E-3</v>
      </c>
      <c r="K1222" s="5" t="s">
        <v>4</v>
      </c>
      <c r="L1222" s="97">
        <f ca="1">_xll.meDateFromTenor(L1221,"1D","FOLLOWING","TGT")</f>
        <v>44244</v>
      </c>
      <c r="M1222" s="95">
        <f ca="1"/>
        <v>4.6554065182060379E-3</v>
      </c>
      <c r="N1222" s="5" t="s">
        <v>4</v>
      </c>
      <c r="O1222" s="97">
        <f ca="1">_xll.meDateFromTenor(O1221,"1D","FOLLOWING","TGT")</f>
        <v>44244</v>
      </c>
      <c r="P1222" s="95">
        <f ca="1"/>
        <v>6.6876234559317647E-3</v>
      </c>
      <c r="Q1222" s="5" t="s">
        <v>4</v>
      </c>
      <c r="R1222" s="83" t="s">
        <v>4</v>
      </c>
    </row>
    <row r="1223" spans="1:18" x14ac:dyDescent="0.25">
      <c r="A1223" s="88">
        <v>1209</v>
      </c>
      <c r="B1223" s="82"/>
      <c r="C1223" s="97">
        <f ca="1">_xll.meDateFromTenor(C1222,"1D","FOLLOWING","TGT")</f>
        <v>44245</v>
      </c>
      <c r="D1223" s="95">
        <f ca="1"/>
        <v>6.8130939693777925E-4</v>
      </c>
      <c r="E1223" s="92"/>
      <c r="F1223" s="97">
        <f ca="1">_xll.meDateFromTenor(F1222,"1D","FOLLOWING","TGT")</f>
        <v>44245</v>
      </c>
      <c r="G1223" s="95">
        <f ca="1"/>
        <v>1.6657383118471613E-3</v>
      </c>
      <c r="H1223" s="92" t="s">
        <v>4</v>
      </c>
      <c r="I1223" s="97">
        <f ca="1">_xll.meDateFromTenor(I1222,"1D","FOLLOWING","TGT")</f>
        <v>44245</v>
      </c>
      <c r="J1223" s="95">
        <f ca="1"/>
        <v>2.8026575435391816E-3</v>
      </c>
      <c r="K1223" s="5" t="s">
        <v>4</v>
      </c>
      <c r="L1223" s="97">
        <f ca="1">_xll.meDateFromTenor(L1222,"1D","FOLLOWING","TGT")</f>
        <v>44245</v>
      </c>
      <c r="M1223" s="95">
        <f ca="1"/>
        <v>4.6626034270302527E-3</v>
      </c>
      <c r="N1223" s="5" t="s">
        <v>4</v>
      </c>
      <c r="O1223" s="97">
        <f ca="1">_xll.meDateFromTenor(O1222,"1D","FOLLOWING","TGT")</f>
        <v>44245</v>
      </c>
      <c r="P1223" s="95">
        <f ca="1"/>
        <v>6.6949603254795346E-3</v>
      </c>
      <c r="Q1223" s="5" t="s">
        <v>4</v>
      </c>
      <c r="R1223" s="83" t="s">
        <v>4</v>
      </c>
    </row>
    <row r="1224" spans="1:18" x14ac:dyDescent="0.25">
      <c r="A1224" s="88">
        <v>1210</v>
      </c>
      <c r="B1224" s="82"/>
      <c r="C1224" s="97">
        <f ca="1">_xll.meDateFromTenor(C1223,"1D","FOLLOWING","TGT")</f>
        <v>44246</v>
      </c>
      <c r="D1224" s="95">
        <f ca="1"/>
        <v>6.86249469419975E-4</v>
      </c>
      <c r="E1224" s="92"/>
      <c r="F1224" s="97">
        <f ca="1">_xll.meDateFromTenor(F1223,"1D","FOLLOWING","TGT")</f>
        <v>44246</v>
      </c>
      <c r="G1224" s="95">
        <f ca="1"/>
        <v>1.6742374494018654E-3</v>
      </c>
      <c r="H1224" s="92" t="s">
        <v>4</v>
      </c>
      <c r="I1224" s="97">
        <f ca="1">_xll.meDateFromTenor(I1223,"1D","FOLLOWING","TGT")</f>
        <v>44246</v>
      </c>
      <c r="J1224" s="95">
        <f ca="1"/>
        <v>2.8101512112731091E-3</v>
      </c>
      <c r="K1224" s="5" t="s">
        <v>4</v>
      </c>
      <c r="L1224" s="97">
        <f ca="1">_xll.meDateFromTenor(L1223,"1D","FOLLOWING","TGT")</f>
        <v>44246</v>
      </c>
      <c r="M1224" s="95">
        <f ca="1"/>
        <v>4.669803359058174E-3</v>
      </c>
      <c r="N1224" s="5" t="s">
        <v>4</v>
      </c>
      <c r="O1224" s="97">
        <f ca="1">_xll.meDateFromTenor(O1223,"1D","FOLLOWING","TGT")</f>
        <v>44246</v>
      </c>
      <c r="P1224" s="95">
        <f ca="1"/>
        <v>6.702298741782106E-3</v>
      </c>
      <c r="Q1224" s="5" t="s">
        <v>4</v>
      </c>
      <c r="R1224" s="83" t="s">
        <v>4</v>
      </c>
    </row>
    <row r="1225" spans="1:18" x14ac:dyDescent="0.25">
      <c r="A1225" s="88">
        <v>1211</v>
      </c>
      <c r="B1225" s="82"/>
      <c r="C1225" s="97">
        <f ca="1">_xll.meDateFromTenor(C1224,"1D","FOLLOWING","TGT")</f>
        <v>44249</v>
      </c>
      <c r="D1225" s="95">
        <f ca="1"/>
        <v>7.008613954826437E-4</v>
      </c>
      <c r="E1225" s="92"/>
      <c r="F1225" s="97">
        <f ca="1">_xll.meDateFromTenor(F1224,"1D","FOLLOWING","TGT")</f>
        <v>44249</v>
      </c>
      <c r="G1225" s="95">
        <f ca="1"/>
        <v>1.6994301290044363E-3</v>
      </c>
      <c r="H1225" s="92" t="s">
        <v>4</v>
      </c>
      <c r="I1225" s="97">
        <f ca="1">_xll.meDateFromTenor(I1224,"1D","FOLLOWING","TGT")</f>
        <v>44249</v>
      </c>
      <c r="J1225" s="95">
        <f ca="1"/>
        <v>2.8326398496349332E-3</v>
      </c>
      <c r="K1225" s="5" t="s">
        <v>4</v>
      </c>
      <c r="L1225" s="97">
        <f ca="1">_xll.meDateFromTenor(L1224,"1D","FOLLOWING","TGT")</f>
        <v>44249</v>
      </c>
      <c r="M1225" s="95">
        <f ca="1"/>
        <v>4.691421280585556E-3</v>
      </c>
      <c r="N1225" s="5" t="s">
        <v>4</v>
      </c>
      <c r="O1225" s="97">
        <f ca="1">_xll.meDateFromTenor(O1224,"1D","FOLLOWING","TGT")</f>
        <v>44249</v>
      </c>
      <c r="P1225" s="95">
        <f ca="1"/>
        <v>6.7243231198355676E-3</v>
      </c>
      <c r="Q1225" s="5" t="s">
        <v>4</v>
      </c>
      <c r="R1225" s="83" t="s">
        <v>4</v>
      </c>
    </row>
    <row r="1226" spans="1:18" x14ac:dyDescent="0.25">
      <c r="A1226" s="88">
        <v>1212</v>
      </c>
      <c r="B1226" s="82"/>
      <c r="C1226" s="97">
        <f ca="1">_xll.meDateFromTenor(C1225,"1D","FOLLOWING","TGT")</f>
        <v>44250</v>
      </c>
      <c r="D1226" s="95">
        <f ca="1"/>
        <v>7.0566260517046508E-4</v>
      </c>
      <c r="E1226" s="92"/>
      <c r="F1226" s="97">
        <f ca="1">_xll.meDateFromTenor(F1225,"1D","FOLLOWING","TGT")</f>
        <v>44250</v>
      </c>
      <c r="G1226" s="95">
        <f ca="1"/>
        <v>1.7076994641087638E-3</v>
      </c>
      <c r="H1226" s="92" t="s">
        <v>4</v>
      </c>
      <c r="I1226" s="97">
        <f ca="1">_xll.meDateFromTenor(I1225,"1D","FOLLOWING","TGT")</f>
        <v>44250</v>
      </c>
      <c r="J1226" s="95">
        <f ca="1"/>
        <v>2.8401384319779554E-3</v>
      </c>
      <c r="K1226" s="5" t="s">
        <v>4</v>
      </c>
      <c r="L1226" s="97">
        <f ca="1">_xll.meDateFromTenor(L1225,"1D","FOLLOWING","TGT")</f>
        <v>44250</v>
      </c>
      <c r="M1226" s="95">
        <f ca="1"/>
        <v>4.6986332916496808E-3</v>
      </c>
      <c r="N1226" s="5" t="s">
        <v>4</v>
      </c>
      <c r="O1226" s="97">
        <f ca="1">_xll.meDateFromTenor(O1225,"1D","FOLLOWING","TGT")</f>
        <v>44250</v>
      </c>
      <c r="P1226" s="95">
        <f ca="1"/>
        <v>6.7316675717742809E-3</v>
      </c>
      <c r="Q1226" s="5" t="s">
        <v>4</v>
      </c>
      <c r="R1226" s="83" t="s">
        <v>4</v>
      </c>
    </row>
    <row r="1227" spans="1:18" x14ac:dyDescent="0.25">
      <c r="A1227" s="88">
        <v>1213</v>
      </c>
      <c r="B1227" s="82"/>
      <c r="C1227" s="97">
        <f ca="1">_xll.meDateFromTenor(C1226,"1D","FOLLOWING","TGT")</f>
        <v>44251</v>
      </c>
      <c r="D1227" s="95">
        <f ca="1"/>
        <v>7.1042909780372199E-4</v>
      </c>
      <c r="E1227" s="92"/>
      <c r="F1227" s="97">
        <f ca="1">_xll.meDateFromTenor(F1226,"1D","FOLLOWING","TGT")</f>
        <v>44251</v>
      </c>
      <c r="G1227" s="95">
        <f ca="1"/>
        <v>1.715891363293483E-3</v>
      </c>
      <c r="H1227" s="92" t="s">
        <v>4</v>
      </c>
      <c r="I1227" s="97">
        <f ca="1">_xll.meDateFromTenor(I1226,"1D","FOLLOWING","TGT")</f>
        <v>44251</v>
      </c>
      <c r="J1227" s="95">
        <f ca="1"/>
        <v>2.8476381113500477E-3</v>
      </c>
      <c r="K1227" s="5" t="s">
        <v>4</v>
      </c>
      <c r="L1227" s="97">
        <f ca="1">_xll.meDateFromTenor(L1226,"1D","FOLLOWING","TGT")</f>
        <v>44251</v>
      </c>
      <c r="M1227" s="95">
        <f ca="1"/>
        <v>4.7058483190282E-3</v>
      </c>
      <c r="N1227" s="5" t="s">
        <v>4</v>
      </c>
      <c r="O1227" s="97">
        <f ca="1">_xll.meDateFromTenor(O1226,"1D","FOLLOWING","TGT")</f>
        <v>44251</v>
      </c>
      <c r="P1227" s="95">
        <f ca="1"/>
        <v>6.7390134947762602E-3</v>
      </c>
      <c r="Q1227" s="5" t="s">
        <v>4</v>
      </c>
      <c r="R1227" s="83" t="s">
        <v>4</v>
      </c>
    </row>
    <row r="1228" spans="1:18" x14ac:dyDescent="0.25">
      <c r="A1228" s="88">
        <v>1214</v>
      </c>
      <c r="B1228" s="82"/>
      <c r="C1228" s="97">
        <f ca="1">_xll.meDateFromTenor(C1227,"1D","FOLLOWING","TGT")</f>
        <v>44252</v>
      </c>
      <c r="D1228" s="95">
        <f ca="1"/>
        <v>7.1516087256862093E-4</v>
      </c>
      <c r="E1228" s="92"/>
      <c r="F1228" s="97">
        <f ca="1">_xll.meDateFromTenor(F1227,"1D","FOLLOWING","TGT")</f>
        <v>44252</v>
      </c>
      <c r="G1228" s="95">
        <f ca="1"/>
        <v>1.723997832435794E-3</v>
      </c>
      <c r="H1228" s="92" t="s">
        <v>4</v>
      </c>
      <c r="I1228" s="97">
        <f ca="1">_xll.meDateFromTenor(I1227,"1D","FOLLOWING","TGT")</f>
        <v>44252</v>
      </c>
      <c r="J1228" s="95">
        <f ca="1"/>
        <v>2.8551388351019361E-3</v>
      </c>
      <c r="K1228" s="5" t="s">
        <v>4</v>
      </c>
      <c r="L1228" s="97">
        <f ca="1">_xll.meDateFromTenor(L1227,"1D","FOLLOWING","TGT")</f>
        <v>44252</v>
      </c>
      <c r="M1228" s="95">
        <f ca="1"/>
        <v>4.7130663613432541E-3</v>
      </c>
      <c r="N1228" s="5" t="s">
        <v>4</v>
      </c>
      <c r="O1228" s="97">
        <f ca="1">_xll.meDateFromTenor(O1227,"1D","FOLLOWING","TGT")</f>
        <v>44252</v>
      </c>
      <c r="P1228" s="95">
        <f ca="1"/>
        <v>6.7463608737032025E-3</v>
      </c>
      <c r="Q1228" s="5" t="s">
        <v>4</v>
      </c>
      <c r="R1228" s="83" t="s">
        <v>4</v>
      </c>
    </row>
    <row r="1229" spans="1:18" x14ac:dyDescent="0.25">
      <c r="A1229" s="88">
        <v>1215</v>
      </c>
      <c r="B1229" s="82"/>
      <c r="C1229" s="97">
        <f ca="1">_xll.meDateFromTenor(C1228,"1D","FOLLOWING","TGT")</f>
        <v>44253</v>
      </c>
      <c r="D1229" s="95">
        <f ca="1"/>
        <v>7.1985792905282509E-4</v>
      </c>
      <c r="E1229" s="92"/>
      <c r="F1229" s="97">
        <f ca="1">_xll.meDateFromTenor(F1228,"1D","FOLLOWING","TGT")</f>
        <v>44253</v>
      </c>
      <c r="G1229" s="95">
        <f ca="1"/>
        <v>1.7320108774128904E-3</v>
      </c>
      <c r="H1229" s="92" t="s">
        <v>4</v>
      </c>
      <c r="I1229" s="97">
        <f ca="1">_xll.meDateFromTenor(I1228,"1D","FOLLOWING","TGT")</f>
        <v>44253</v>
      </c>
      <c r="J1229" s="95">
        <f ca="1"/>
        <v>2.8626405505843369E-3</v>
      </c>
      <c r="K1229" s="5" t="s">
        <v>4</v>
      </c>
      <c r="L1229" s="97">
        <f ca="1">_xll.meDateFromTenor(L1228,"1D","FOLLOWING","TGT")</f>
        <v>44253</v>
      </c>
      <c r="M1229" s="95">
        <f ca="1"/>
        <v>4.7202874172169789E-3</v>
      </c>
      <c r="N1229" s="5" t="s">
        <v>4</v>
      </c>
      <c r="O1229" s="97">
        <f ca="1">_xll.meDateFromTenor(O1228,"1D","FOLLOWING","TGT")</f>
        <v>44253</v>
      </c>
      <c r="P1229" s="95">
        <f ca="1"/>
        <v>6.7537096934168024E-3</v>
      </c>
      <c r="Q1229" s="5" t="s">
        <v>4</v>
      </c>
      <c r="R1229" s="83" t="s">
        <v>4</v>
      </c>
    </row>
    <row r="1230" spans="1:18" x14ac:dyDescent="0.25">
      <c r="A1230" s="88">
        <v>1216</v>
      </c>
      <c r="B1230" s="82"/>
      <c r="C1230" s="97">
        <f ca="1">_xll.meDateFromTenor(C1229,"1D","FOLLOWING","TGT")</f>
        <v>44256</v>
      </c>
      <c r="D1230" s="95">
        <f ca="1"/>
        <v>7.3374078308585666E-4</v>
      </c>
      <c r="E1230" s="92"/>
      <c r="F1230" s="97">
        <f ca="1">_xll.meDateFromTenor(F1229,"1D","FOLLOWING","TGT")</f>
        <v>44256</v>
      </c>
      <c r="G1230" s="95">
        <f ca="1"/>
        <v>1.75540952612484E-3</v>
      </c>
      <c r="H1230" s="92" t="s">
        <v>4</v>
      </c>
      <c r="I1230" s="97">
        <f ca="1">_xll.meDateFromTenor(I1229,"1D","FOLLOWING","TGT")</f>
        <v>44256</v>
      </c>
      <c r="J1230" s="95">
        <f ca="1"/>
        <v>2.8851511209218206E-3</v>
      </c>
      <c r="K1230" s="5" t="s">
        <v>4</v>
      </c>
      <c r="L1230" s="97">
        <f ca="1">_xll.meDateFromTenor(L1229,"1D","FOLLOWING","TGT")</f>
        <v>44256</v>
      </c>
      <c r="M1230" s="95">
        <f ca="1"/>
        <v>4.7419686524115597E-3</v>
      </c>
      <c r="N1230" s="5" t="s">
        <v>4</v>
      </c>
      <c r="O1230" s="97">
        <f ca="1">_xll.meDateFromTenor(O1229,"1D","FOLLOWING","TGT")</f>
        <v>44256</v>
      </c>
      <c r="P1230" s="95">
        <f ca="1"/>
        <v>6.775764645894463E-3</v>
      </c>
      <c r="Q1230" s="5" t="s">
        <v>4</v>
      </c>
      <c r="R1230" s="83" t="s">
        <v>4</v>
      </c>
    </row>
    <row r="1231" spans="1:18" x14ac:dyDescent="0.25">
      <c r="A1231" s="88">
        <v>1217</v>
      </c>
      <c r="B1231" s="82"/>
      <c r="C1231" s="97">
        <f ca="1">_xll.meDateFromTenor(C1230,"1D","FOLLOWING","TGT")</f>
        <v>44257</v>
      </c>
      <c r="D1231" s="95">
        <f ca="1"/>
        <v>7.3831441942484588E-4</v>
      </c>
      <c r="E1231" s="92"/>
      <c r="F1231" s="97">
        <f ca="1">_xll.meDateFromTenor(F1230,"1D","FOLLOWING","TGT")</f>
        <v>44257</v>
      </c>
      <c r="G1231" s="95">
        <f ca="1"/>
        <v>1.7629689332130279E-3</v>
      </c>
      <c r="H1231" s="92" t="s">
        <v>4</v>
      </c>
      <c r="I1231" s="97">
        <f ca="1">_xll.meDateFromTenor(I1230,"1D","FOLLOWING","TGT")</f>
        <v>44257</v>
      </c>
      <c r="J1231" s="95">
        <f ca="1"/>
        <v>2.8926562768334741E-3</v>
      </c>
      <c r="K1231" s="5" t="s">
        <v>4</v>
      </c>
      <c r="L1231" s="97">
        <f ca="1">_xll.meDateFromTenor(L1230,"1D","FOLLOWING","TGT")</f>
        <v>44257</v>
      </c>
      <c r="M1231" s="95">
        <f ca="1"/>
        <v>4.7492017487413465E-3</v>
      </c>
      <c r="N1231" s="5" t="s">
        <v>4</v>
      </c>
      <c r="O1231" s="97">
        <f ca="1">_xll.meDateFromTenor(O1230,"1D","FOLLOWING","TGT")</f>
        <v>44257</v>
      </c>
      <c r="P1231" s="95">
        <f ca="1"/>
        <v>6.7831190773716141E-3</v>
      </c>
      <c r="Q1231" s="5" t="s">
        <v>4</v>
      </c>
      <c r="R1231" s="83" t="s">
        <v>4</v>
      </c>
    </row>
    <row r="1232" spans="1:18" x14ac:dyDescent="0.25">
      <c r="A1232" s="88">
        <v>1218</v>
      </c>
      <c r="B1232" s="82"/>
      <c r="C1232" s="97">
        <f ca="1">_xll.meDateFromTenor(C1231,"1D","FOLLOWING","TGT")</f>
        <v>44258</v>
      </c>
      <c r="D1232" s="95">
        <f ca="1"/>
        <v>7.4293062953700861E-4</v>
      </c>
      <c r="E1232" s="92"/>
      <c r="F1232" s="97">
        <f ca="1">_xll.meDateFromTenor(F1231,"1D","FOLLOWING","TGT")</f>
        <v>44258</v>
      </c>
      <c r="G1232" s="95">
        <f ca="1"/>
        <v>1.7703974546228909E-3</v>
      </c>
      <c r="H1232" s="92" t="s">
        <v>4</v>
      </c>
      <c r="I1232" s="97">
        <f ca="1">_xll.meDateFromTenor(I1231,"1D","FOLLOWING","TGT")</f>
        <v>44258</v>
      </c>
      <c r="J1232" s="95">
        <f ca="1"/>
        <v>2.9001621737294492E-3</v>
      </c>
      <c r="K1232" s="5" t="s">
        <v>4</v>
      </c>
      <c r="L1232" s="97">
        <f ca="1">_xll.meDateFromTenor(L1231,"1D","FOLLOWING","TGT")</f>
        <v>44258</v>
      </c>
      <c r="M1232" s="95">
        <f ca="1"/>
        <v>4.7564378517404929E-3</v>
      </c>
      <c r="N1232" s="5" t="s">
        <v>4</v>
      </c>
      <c r="O1232" s="97">
        <f ca="1">_xll.meDateFromTenor(O1231,"1D","FOLLOWING","TGT")</f>
        <v>44258</v>
      </c>
      <c r="P1232" s="95">
        <f ca="1"/>
        <v>6.7904748739438872E-3</v>
      </c>
      <c r="Q1232" s="5" t="s">
        <v>4</v>
      </c>
      <c r="R1232" s="83" t="s">
        <v>4</v>
      </c>
    </row>
    <row r="1233" spans="1:18" x14ac:dyDescent="0.25">
      <c r="A1233" s="88">
        <v>1219</v>
      </c>
      <c r="B1233" s="82"/>
      <c r="C1233" s="97">
        <f ca="1">_xll.meDateFromTenor(C1232,"1D","FOLLOWING","TGT")</f>
        <v>44259</v>
      </c>
      <c r="D1233" s="95">
        <f ca="1"/>
        <v>7.4760487380864937E-4</v>
      </c>
      <c r="E1233" s="92"/>
      <c r="F1233" s="97">
        <f ca="1">_xll.meDateFromTenor(F1232,"1D","FOLLOWING","TGT")</f>
        <v>44259</v>
      </c>
      <c r="G1233" s="95">
        <f ca="1"/>
        <v>1.7776996417362119E-3</v>
      </c>
      <c r="H1233" s="92" t="s">
        <v>4</v>
      </c>
      <c r="I1233" s="97">
        <f ca="1">_xll.meDateFromTenor(I1232,"1D","FOLLOWING","TGT")</f>
        <v>44259</v>
      </c>
      <c r="J1233" s="95">
        <f ca="1"/>
        <v>2.9076688214615264E-3</v>
      </c>
      <c r="K1233" s="5" t="s">
        <v>4</v>
      </c>
      <c r="L1233" s="97">
        <f ca="1">_xll.meDateFromTenor(L1232,"1D","FOLLOWING","TGT")</f>
        <v>44259</v>
      </c>
      <c r="M1233" s="95">
        <f ca="1"/>
        <v>4.7636769600311402E-3</v>
      </c>
      <c r="N1233" s="5" t="s">
        <v>4</v>
      </c>
      <c r="O1233" s="97">
        <f ca="1">_xll.meDateFromTenor(O1232,"1D","FOLLOWING","TGT")</f>
        <v>44259</v>
      </c>
      <c r="P1233" s="95">
        <f ca="1"/>
        <v>6.7978320204729777E-3</v>
      </c>
      <c r="Q1233" s="5" t="s">
        <v>4</v>
      </c>
      <c r="R1233" s="83" t="s">
        <v>4</v>
      </c>
    </row>
    <row r="1234" spans="1:18" x14ac:dyDescent="0.25">
      <c r="A1234" s="88">
        <v>1220</v>
      </c>
      <c r="B1234" s="82"/>
      <c r="C1234" s="97">
        <f ca="1">_xll.meDateFromTenor(C1233,"1D","FOLLOWING","TGT")</f>
        <v>44260</v>
      </c>
      <c r="D1234" s="95">
        <f ca="1"/>
        <v>7.5233715329137141E-4</v>
      </c>
      <c r="E1234" s="92"/>
      <c r="F1234" s="97">
        <f ca="1">_xll.meDateFromTenor(F1233,"1D","FOLLOWING","TGT")</f>
        <v>44260</v>
      </c>
      <c r="G1234" s="95">
        <f ca="1"/>
        <v>1.7848825550356732E-3</v>
      </c>
      <c r="H1234" s="92" t="s">
        <v>4</v>
      </c>
      <c r="I1234" s="97">
        <f ca="1">_xll.meDateFromTenor(I1233,"1D","FOLLOWING","TGT")</f>
        <v>44260</v>
      </c>
      <c r="J1234" s="95">
        <f ca="1"/>
        <v>2.9151762423816814E-3</v>
      </c>
      <c r="K1234" s="5" t="s">
        <v>4</v>
      </c>
      <c r="L1234" s="97">
        <f ca="1">_xll.meDateFromTenor(L1233,"1D","FOLLOWING","TGT")</f>
        <v>44260</v>
      </c>
      <c r="M1234" s="95">
        <f ca="1"/>
        <v>4.7709190722354192E-3</v>
      </c>
      <c r="N1234" s="5" t="s">
        <v>4</v>
      </c>
      <c r="O1234" s="97">
        <f ca="1">_xll.meDateFromTenor(O1233,"1D","FOLLOWING","TGT")</f>
        <v>44260</v>
      </c>
      <c r="P1234" s="95">
        <f ca="1"/>
        <v>6.8051905018205738E-3</v>
      </c>
      <c r="Q1234" s="5" t="s">
        <v>4</v>
      </c>
      <c r="R1234" s="83" t="s">
        <v>4</v>
      </c>
    </row>
    <row r="1235" spans="1:18" x14ac:dyDescent="0.25">
      <c r="A1235" s="88">
        <v>1221</v>
      </c>
      <c r="B1235" s="82"/>
      <c r="C1235" s="97">
        <f ca="1">_xll.meDateFromTenor(C1234,"1D","FOLLOWING","TGT")</f>
        <v>44263</v>
      </c>
      <c r="D1235" s="95">
        <f ca="1"/>
        <v>7.6688221974041682E-4</v>
      </c>
      <c r="E1235" s="92"/>
      <c r="F1235" s="97">
        <f ca="1">_xll.meDateFromTenor(F1234,"1D","FOLLOWING","TGT")</f>
        <v>44263</v>
      </c>
      <c r="G1235" s="95">
        <f ca="1"/>
        <v>1.8057862568778551E-3</v>
      </c>
      <c r="H1235" s="92" t="s">
        <v>4</v>
      </c>
      <c r="I1235" s="97">
        <f ca="1">_xll.meDateFromTenor(I1234,"1D","FOLLOWING","TGT")</f>
        <v>44263</v>
      </c>
      <c r="J1235" s="95">
        <f ca="1"/>
        <v>2.9377033677904932E-3</v>
      </c>
      <c r="K1235" s="5" t="s">
        <v>4</v>
      </c>
      <c r="L1235" s="97">
        <f ca="1">_xll.meDateFromTenor(L1234,"1D","FOLLOWING","TGT")</f>
        <v>44263</v>
      </c>
      <c r="M1235" s="95">
        <f ca="1"/>
        <v>4.7926634185514565E-3</v>
      </c>
      <c r="N1235" s="5" t="s">
        <v>4</v>
      </c>
      <c r="O1235" s="97">
        <f ca="1">_xll.meDateFromTenor(O1234,"1D","FOLLOWING","TGT")</f>
        <v>44263</v>
      </c>
      <c r="P1235" s="95">
        <f ca="1"/>
        <v>6.8272738033913483E-3</v>
      </c>
      <c r="Q1235" s="5" t="s">
        <v>4</v>
      </c>
      <c r="R1235" s="83" t="s">
        <v>4</v>
      </c>
    </row>
    <row r="1236" spans="1:18" x14ac:dyDescent="0.25">
      <c r="A1236" s="88">
        <v>1222</v>
      </c>
      <c r="B1236" s="82"/>
      <c r="C1236" s="97">
        <f ca="1">_xll.meDateFromTenor(C1235,"1D","FOLLOWING","TGT")</f>
        <v>44264</v>
      </c>
      <c r="D1236" s="95">
        <f ca="1"/>
        <v>7.7184665621410353E-4</v>
      </c>
      <c r="E1236" s="92"/>
      <c r="F1236" s="97">
        <f ca="1">_xll.meDateFromTenor(F1235,"1D","FOLLOWING","TGT")</f>
        <v>44264</v>
      </c>
      <c r="G1236" s="95">
        <f ca="1"/>
        <v>1.8125626797488184E-3</v>
      </c>
      <c r="H1236" s="92" t="s">
        <v>4</v>
      </c>
      <c r="I1236" s="97">
        <f ca="1">_xll.meDateFromTenor(I1235,"1D","FOLLOWING","TGT")</f>
        <v>44264</v>
      </c>
      <c r="J1236" s="95">
        <f ca="1"/>
        <v>2.9452141049828269E-3</v>
      </c>
      <c r="K1236" s="5" t="s">
        <v>4</v>
      </c>
      <c r="L1236" s="97">
        <f ca="1">_xll.meDateFromTenor(L1235,"1D","FOLLOWING","TGT")</f>
        <v>44264</v>
      </c>
      <c r="M1236" s="95">
        <f ca="1"/>
        <v>4.7999175326316583E-3</v>
      </c>
      <c r="N1236" s="5" t="s">
        <v>4</v>
      </c>
      <c r="O1236" s="97">
        <f ca="1">_xll.meDateFromTenor(O1235,"1D","FOLLOWING","TGT")</f>
        <v>44264</v>
      </c>
      <c r="P1236" s="95">
        <f ca="1"/>
        <v>6.8346374726299119E-3</v>
      </c>
      <c r="Q1236" s="5" t="s">
        <v>4</v>
      </c>
      <c r="R1236" s="83" t="s">
        <v>4</v>
      </c>
    </row>
    <row r="1237" spans="1:18" x14ac:dyDescent="0.25">
      <c r="A1237" s="88">
        <v>1223</v>
      </c>
      <c r="B1237" s="82"/>
      <c r="C1237" s="97">
        <f ca="1">_xll.meDateFromTenor(C1236,"1D","FOLLOWING","TGT")</f>
        <v>44265</v>
      </c>
      <c r="D1237" s="95">
        <f ca="1"/>
        <v>7.7686913578278727E-4</v>
      </c>
      <c r="E1237" s="92"/>
      <c r="F1237" s="97">
        <f ca="1">_xll.meDateFromTenor(F1236,"1D","FOLLOWING","TGT")</f>
        <v>44265</v>
      </c>
      <c r="G1237" s="95">
        <f ca="1"/>
        <v>1.8192551312193872E-3</v>
      </c>
      <c r="H1237" s="92" t="s">
        <v>4</v>
      </c>
      <c r="I1237" s="97">
        <f ca="1">_xll.meDateFromTenor(I1236,"1D","FOLLOWING","TGT")</f>
        <v>44265</v>
      </c>
      <c r="J1237" s="95">
        <f ca="1"/>
        <v>2.9527257271231657E-3</v>
      </c>
      <c r="K1237" s="5" t="s">
        <v>4</v>
      </c>
      <c r="L1237" s="97">
        <f ca="1">_xll.meDateFromTenor(L1236,"1D","FOLLOWING","TGT")</f>
        <v>44265</v>
      </c>
      <c r="M1237" s="95">
        <f ca="1"/>
        <v>4.807174643736185E-3</v>
      </c>
      <c r="N1237" s="5" t="s">
        <v>4</v>
      </c>
      <c r="O1237" s="97">
        <f ca="1">_xll.meDateFromTenor(O1236,"1D","FOLLOWING","TGT")</f>
        <v>44265</v>
      </c>
      <c r="P1237" s="95">
        <f ca="1"/>
        <v>6.8420024009954511E-3</v>
      </c>
      <c r="Q1237" s="5" t="s">
        <v>4</v>
      </c>
      <c r="R1237" s="83" t="s">
        <v>4</v>
      </c>
    </row>
    <row r="1238" spans="1:18" x14ac:dyDescent="0.25">
      <c r="A1238" s="88">
        <v>1224</v>
      </c>
      <c r="B1238" s="82"/>
      <c r="C1238" s="97">
        <f ca="1">_xll.meDateFromTenor(C1237,"1D","FOLLOWING","TGT")</f>
        <v>44266</v>
      </c>
      <c r="D1238" s="95">
        <f ca="1"/>
        <v>7.8194966003830579E-4</v>
      </c>
      <c r="E1238" s="92"/>
      <c r="F1238" s="97">
        <f ca="1">_xll.meDateFromTenor(F1237,"1D","FOLLOWING","TGT")</f>
        <v>44266</v>
      </c>
      <c r="G1238" s="95">
        <f ca="1"/>
        <v>1.8258706717722522E-3</v>
      </c>
      <c r="H1238" s="92" t="s">
        <v>4</v>
      </c>
      <c r="I1238" s="97">
        <f ca="1">_xll.meDateFromTenor(I1237,"1D","FOLLOWING","TGT")</f>
        <v>44266</v>
      </c>
      <c r="J1238" s="95">
        <f ca="1"/>
        <v>2.9602382565634957E-3</v>
      </c>
      <c r="K1238" s="5" t="s">
        <v>4</v>
      </c>
      <c r="L1238" s="97">
        <f ca="1">_xll.meDateFromTenor(L1237,"1D","FOLLOWING","TGT")</f>
        <v>44266</v>
      </c>
      <c r="M1238" s="95">
        <f ca="1"/>
        <v>4.8144347504871753E-3</v>
      </c>
      <c r="N1238" s="5" t="s">
        <v>4</v>
      </c>
      <c r="O1238" s="97">
        <f ca="1">_xll.meDateFromTenor(O1237,"1D","FOLLOWING","TGT")</f>
        <v>44266</v>
      </c>
      <c r="P1238" s="95">
        <f ca="1"/>
        <v>6.8493685733496575E-3</v>
      </c>
      <c r="Q1238" s="5" t="s">
        <v>4</v>
      </c>
      <c r="R1238" s="83" t="s">
        <v>4</v>
      </c>
    </row>
    <row r="1239" spans="1:18" x14ac:dyDescent="0.25">
      <c r="A1239" s="88">
        <v>1225</v>
      </c>
      <c r="B1239" s="82"/>
      <c r="C1239" s="97">
        <f ca="1">_xll.meDateFromTenor(C1238,"1D","FOLLOWING","TGT")</f>
        <v>44267</v>
      </c>
      <c r="D1239" s="95">
        <f ca="1"/>
        <v>7.8708823058137867E-4</v>
      </c>
      <c r="E1239" s="92"/>
      <c r="F1239" s="97">
        <f ca="1">_xll.meDateFromTenor(F1238,"1D","FOLLOWING","TGT")</f>
        <v>44267</v>
      </c>
      <c r="G1239" s="95">
        <f ca="1"/>
        <v>1.8324163618901042E-3</v>
      </c>
      <c r="H1239" s="92" t="s">
        <v>4</v>
      </c>
      <c r="I1239" s="97">
        <f ca="1">_xll.meDateFromTenor(I1238,"1D","FOLLOWING","TGT")</f>
        <v>44267</v>
      </c>
      <c r="J1239" s="95">
        <f ca="1"/>
        <v>2.9677517156557979E-3</v>
      </c>
      <c r="K1239" s="5" t="s">
        <v>4</v>
      </c>
      <c r="L1239" s="97">
        <f ca="1">_xll.meDateFromTenor(L1238,"1D","FOLLOWING","TGT")</f>
        <v>44267</v>
      </c>
      <c r="M1239" s="95">
        <f ca="1"/>
        <v>4.8216978515067633E-3</v>
      </c>
      <c r="N1239" s="5" t="s">
        <v>4</v>
      </c>
      <c r="O1239" s="97">
        <f ca="1">_xll.meDateFromTenor(O1238,"1D","FOLLOWING","TGT")</f>
        <v>44267</v>
      </c>
      <c r="P1239" s="95">
        <f ca="1"/>
        <v>6.856735974554223E-3</v>
      </c>
      <c r="Q1239" s="5" t="s">
        <v>4</v>
      </c>
      <c r="R1239" s="83" t="s">
        <v>4</v>
      </c>
    </row>
    <row r="1240" spans="1:18" x14ac:dyDescent="0.25">
      <c r="A1240" s="88">
        <v>1226</v>
      </c>
      <c r="B1240" s="82"/>
      <c r="C1240" s="97">
        <f ca="1">_xll.meDateFromTenor(C1239,"1D","FOLLOWING","TGT")</f>
        <v>44270</v>
      </c>
      <c r="D1240" s="95">
        <f ca="1"/>
        <v>8.0285223602194478E-4</v>
      </c>
      <c r="E1240" s="92"/>
      <c r="F1240" s="97">
        <f ca="1">_xll.meDateFromTenor(F1239,"1D","FOLLOWING","TGT")</f>
        <v>44270</v>
      </c>
      <c r="G1240" s="95">
        <f ca="1"/>
        <v>1.8517049344605175E-3</v>
      </c>
      <c r="H1240" s="92" t="s">
        <v>4</v>
      </c>
      <c r="I1240" s="97">
        <f ca="1">_xll.meDateFromTenor(I1239,"1D","FOLLOWING","TGT")</f>
        <v>44270</v>
      </c>
      <c r="J1240" s="95">
        <f ca="1"/>
        <v>2.9902978943644109E-3</v>
      </c>
      <c r="K1240" s="5" t="s">
        <v>4</v>
      </c>
      <c r="L1240" s="97">
        <f ca="1">_xll.meDateFromTenor(L1239,"1D","FOLLOWING","TGT")</f>
        <v>44270</v>
      </c>
      <c r="M1240" s="95">
        <f ca="1"/>
        <v>4.8435051063985147E-3</v>
      </c>
      <c r="N1240" s="5" t="s">
        <v>4</v>
      </c>
      <c r="O1240" s="97">
        <f ca="1">_xll.meDateFromTenor(O1239,"1D","FOLLOWING","TGT")</f>
        <v>44270</v>
      </c>
      <c r="P1240" s="95">
        <f ca="1"/>
        <v>6.8788453998870286E-3</v>
      </c>
      <c r="Q1240" s="5" t="s">
        <v>4</v>
      </c>
      <c r="R1240" s="83" t="s">
        <v>4</v>
      </c>
    </row>
    <row r="1241" spans="1:18" x14ac:dyDescent="0.25">
      <c r="A1241" s="88">
        <v>1227</v>
      </c>
      <c r="B1241" s="82"/>
      <c r="C1241" s="97">
        <f ca="1">_xll.meDateFromTenor(C1240,"1D","FOLLOWING","TGT")</f>
        <v>44271</v>
      </c>
      <c r="D1241" s="95">
        <f ca="1"/>
        <v>8.0822300785077239E-4</v>
      </c>
      <c r="E1241" s="92"/>
      <c r="F1241" s="97">
        <f ca="1">_xll.meDateFromTenor(F1240,"1D","FOLLOWING","TGT")</f>
        <v>44271</v>
      </c>
      <c r="G1241" s="95">
        <f ca="1"/>
        <v>1.8580418276652455E-3</v>
      </c>
      <c r="H1241" s="92" t="s">
        <v>4</v>
      </c>
      <c r="I1241" s="97">
        <f ca="1">_xll.meDateFromTenor(I1240,"1D","FOLLOWING","TGT")</f>
        <v>44271</v>
      </c>
      <c r="J1241" s="95">
        <f ca="1"/>
        <v>2.9978152955844641E-3</v>
      </c>
      <c r="K1241" s="5" t="s">
        <v>4</v>
      </c>
      <c r="L1241" s="97">
        <f ca="1">_xll.meDateFromTenor(L1240,"1D","FOLLOWING","TGT")</f>
        <v>44271</v>
      </c>
      <c r="M1241" s="95">
        <f ca="1"/>
        <v>4.8507801707138839E-3</v>
      </c>
      <c r="N1241" s="5" t="s">
        <v>4</v>
      </c>
      <c r="O1241" s="97">
        <f ca="1">_xll.meDateFromTenor(O1240,"1D","FOLLOWING","TGT")</f>
        <v>44271</v>
      </c>
      <c r="P1241" s="95">
        <f ca="1"/>
        <v>6.8862175651099753E-3</v>
      </c>
      <c r="Q1241" s="5" t="s">
        <v>4</v>
      </c>
      <c r="R1241" s="83" t="s">
        <v>4</v>
      </c>
    </row>
    <row r="1242" spans="1:18" x14ac:dyDescent="0.25">
      <c r="A1242" s="88">
        <v>1228</v>
      </c>
      <c r="B1242" s="82"/>
      <c r="C1242" s="97">
        <f ca="1">_xll.meDateFromTenor(C1241,"1D","FOLLOWING","TGT")</f>
        <v>44272</v>
      </c>
      <c r="D1242" s="95">
        <f ca="1"/>
        <v>8.1365183460535562E-4</v>
      </c>
      <c r="E1242" s="92"/>
      <c r="F1242" s="97">
        <f ca="1">_xll.meDateFromTenor(F1241,"1D","FOLLOWING","TGT")</f>
        <v>44272</v>
      </c>
      <c r="G1242" s="95">
        <f ca="1"/>
        <v>1.864344172848422E-3</v>
      </c>
      <c r="H1242" s="92" t="s">
        <v>4</v>
      </c>
      <c r="I1242" s="97">
        <f ca="1">_xll.meDateFromTenor(I1241,"1D","FOLLOWING","TGT")</f>
        <v>44272</v>
      </c>
      <c r="J1242" s="95">
        <f ca="1"/>
        <v>3.0053337382164153E-3</v>
      </c>
      <c r="K1242" s="5" t="s">
        <v>4</v>
      </c>
      <c r="L1242" s="97">
        <f ca="1">_xll.meDateFromTenor(L1241,"1D","FOLLOWING","TGT")</f>
        <v>44272</v>
      </c>
      <c r="M1242" s="95">
        <f ca="1"/>
        <v>4.858058222408544E-3</v>
      </c>
      <c r="N1242" s="5" t="s">
        <v>4</v>
      </c>
      <c r="O1242" s="97">
        <f ca="1">_xll.meDateFromTenor(O1241,"1D","FOLLOWING","TGT")</f>
        <v>44272</v>
      </c>
      <c r="P1242" s="95">
        <f ca="1"/>
        <v>6.8935908834917509E-3</v>
      </c>
      <c r="Q1242" s="5" t="s">
        <v>4</v>
      </c>
      <c r="R1242" s="83" t="s">
        <v>4</v>
      </c>
    </row>
    <row r="1243" spans="1:18" x14ac:dyDescent="0.25">
      <c r="A1243" s="88">
        <v>1229</v>
      </c>
      <c r="B1243" s="82"/>
      <c r="C1243" s="97">
        <f ca="1">_xll.meDateFromTenor(C1242,"1D","FOLLOWING","TGT")</f>
        <v>44273</v>
      </c>
      <c r="D1243" s="95">
        <f ca="1"/>
        <v>8.1913871730709964E-4</v>
      </c>
      <c r="E1243" s="92"/>
      <c r="F1243" s="97">
        <f ca="1">_xll.meDateFromTenor(F1242,"1D","FOLLOWING","TGT")</f>
        <v>44273</v>
      </c>
      <c r="G1243" s="95">
        <f ca="1"/>
        <v>1.8706190304927388E-3</v>
      </c>
      <c r="H1243" s="92" t="s">
        <v>4</v>
      </c>
      <c r="I1243" s="97">
        <f ca="1">_xll.meDateFromTenor(I1242,"1D","FOLLOWING","TGT")</f>
        <v>44273</v>
      </c>
      <c r="J1243" s="95">
        <f ca="1"/>
        <v>3.0128532446122504E-3</v>
      </c>
      <c r="K1243" s="5" t="s">
        <v>4</v>
      </c>
      <c r="L1243" s="97">
        <f ca="1">_xll.meDateFromTenor(L1242,"1D","FOLLOWING","TGT")</f>
        <v>44273</v>
      </c>
      <c r="M1243" s="95">
        <f ca="1"/>
        <v>4.8653392601046303E-3</v>
      </c>
      <c r="N1243" s="5" t="s">
        <v>4</v>
      </c>
      <c r="O1243" s="97">
        <f ca="1">_xll.meDateFromTenor(O1242,"1D","FOLLOWING","TGT")</f>
        <v>44273</v>
      </c>
      <c r="P1243" s="95">
        <f ca="1"/>
        <v>6.9009653398940472E-3</v>
      </c>
      <c r="Q1243" s="5" t="s">
        <v>4</v>
      </c>
      <c r="R1243" s="83" t="s">
        <v>4</v>
      </c>
    </row>
    <row r="1244" spans="1:18" x14ac:dyDescent="0.25">
      <c r="A1244" s="88">
        <v>1230</v>
      </c>
      <c r="B1244" s="82"/>
      <c r="C1244" s="97">
        <f ca="1">_xll.meDateFromTenor(C1243,"1D","FOLLOWING","TGT")</f>
        <v>44274</v>
      </c>
      <c r="D1244" s="95">
        <f ca="1"/>
        <v>8.2468365810850486E-4</v>
      </c>
      <c r="E1244" s="92"/>
      <c r="F1244" s="97">
        <f ca="1">_xll.meDateFromTenor(F1243,"1D","FOLLOWING","TGT")</f>
        <v>44274</v>
      </c>
      <c r="G1244" s="95">
        <f ca="1"/>
        <v>1.8768734610808875E-3</v>
      </c>
      <c r="H1244" s="92" t="s">
        <v>4</v>
      </c>
      <c r="I1244" s="97">
        <f ca="1">_xll.meDateFromTenor(I1243,"1D","FOLLOWING","TGT")</f>
        <v>44274</v>
      </c>
      <c r="J1244" s="95">
        <f ca="1"/>
        <v>3.0203738371239537E-3</v>
      </c>
      <c r="K1244" s="5" t="s">
        <v>4</v>
      </c>
      <c r="L1244" s="97">
        <f ca="1">_xll.meDateFromTenor(L1243,"1D","FOLLOWING","TGT")</f>
        <v>44274</v>
      </c>
      <c r="M1244" s="95">
        <f ca="1"/>
        <v>4.8726232824242823E-3</v>
      </c>
      <c r="N1244" s="5" t="s">
        <v>4</v>
      </c>
      <c r="O1244" s="97">
        <f ca="1">_xll.meDateFromTenor(O1243,"1D","FOLLOWING","TGT")</f>
        <v>44274</v>
      </c>
      <c r="P1244" s="95">
        <f ca="1"/>
        <v>6.9083409191785586E-3</v>
      </c>
      <c r="Q1244" s="5" t="s">
        <v>4</v>
      </c>
      <c r="R1244" s="83" t="s">
        <v>4</v>
      </c>
    </row>
    <row r="1245" spans="1:18" x14ac:dyDescent="0.25">
      <c r="A1245" s="88">
        <v>1231</v>
      </c>
      <c r="B1245" s="82"/>
      <c r="C1245" s="97">
        <f ca="1">_xll.meDateFromTenor(C1244,"1D","FOLLOWING","TGT")</f>
        <v>44277</v>
      </c>
      <c r="D1245" s="95">
        <f ca="1"/>
        <v>8.4166684621789223E-4</v>
      </c>
      <c r="E1245" s="92"/>
      <c r="F1245" s="97">
        <f ca="1">_xll.meDateFromTenor(F1244,"1D","FOLLOWING","TGT")</f>
        <v>44277</v>
      </c>
      <c r="G1245" s="95">
        <f ca="1"/>
        <v>1.8955847953352452E-3</v>
      </c>
      <c r="H1245" s="92" t="s">
        <v>4</v>
      </c>
      <c r="I1245" s="97">
        <f ca="1">_xll.meDateFromTenor(I1244,"1D","FOLLOWING","TGT")</f>
        <v>44277</v>
      </c>
      <c r="J1245" s="95">
        <f ca="1"/>
        <v>3.0429423548741169E-3</v>
      </c>
      <c r="K1245" s="5" t="s">
        <v>4</v>
      </c>
      <c r="L1245" s="97">
        <f ca="1">_xll.meDateFromTenor(L1244,"1D","FOLLOWING","TGT")</f>
        <v>44277</v>
      </c>
      <c r="M1245" s="95">
        <f ca="1"/>
        <v>4.8944932433460037E-3</v>
      </c>
      <c r="N1245" s="5" t="s">
        <v>4</v>
      </c>
      <c r="O1245" s="97">
        <f ca="1">_xll.meDateFromTenor(O1244,"1D","FOLLOWING","TGT")</f>
        <v>44277</v>
      </c>
      <c r="P1245" s="95">
        <f ca="1"/>
        <v>6.9304742429423093E-3</v>
      </c>
      <c r="Q1245" s="5" t="s">
        <v>4</v>
      </c>
      <c r="R1245" s="83" t="s">
        <v>4</v>
      </c>
    </row>
    <row r="1246" spans="1:18" x14ac:dyDescent="0.25">
      <c r="A1246" s="88">
        <v>1232</v>
      </c>
      <c r="B1246" s="82"/>
      <c r="C1246" s="97">
        <f ca="1">_xll.meDateFromTenor(C1245,"1D","FOLLOWING","TGT")</f>
        <v>44278</v>
      </c>
      <c r="D1246" s="95">
        <f ca="1"/>
        <v>8.4744403657666112E-4</v>
      </c>
      <c r="E1246" s="92"/>
      <c r="F1246" s="97">
        <f ca="1">_xll.meDateFromTenor(F1245,"1D","FOLLOWING","TGT")</f>
        <v>44278</v>
      </c>
      <c r="G1246" s="95">
        <f ca="1"/>
        <v>1.9018281225256423E-3</v>
      </c>
      <c r="H1246" s="92" t="s">
        <v>4</v>
      </c>
      <c r="I1246" s="97">
        <f ca="1">_xll.meDateFromTenor(I1245,"1D","FOLLOWING","TGT")</f>
        <v>44278</v>
      </c>
      <c r="J1246" s="95">
        <f ca="1"/>
        <v>3.0504675153691396E-3</v>
      </c>
      <c r="K1246" s="5" t="s">
        <v>4</v>
      </c>
      <c r="L1246" s="97">
        <f ca="1">_xll.meDateFromTenor(L1245,"1D","FOLLOWING","TGT")</f>
        <v>44278</v>
      </c>
      <c r="M1246" s="95">
        <f ca="1"/>
        <v>4.9017891903812925E-3</v>
      </c>
      <c r="N1246" s="5" t="s">
        <v>4</v>
      </c>
      <c r="O1246" s="97">
        <f ca="1">_xll.meDateFromTenor(O1245,"1D","FOLLOWING","TGT")</f>
        <v>44278</v>
      </c>
      <c r="P1246" s="95">
        <f ca="1"/>
        <v>6.9378541623726113E-3</v>
      </c>
      <c r="Q1246" s="5" t="s">
        <v>4</v>
      </c>
      <c r="R1246" s="83" t="s">
        <v>4</v>
      </c>
    </row>
    <row r="1247" spans="1:18" x14ac:dyDescent="0.25">
      <c r="A1247" s="88">
        <v>1233</v>
      </c>
      <c r="B1247" s="82"/>
      <c r="C1247" s="97">
        <f ca="1">_xll.meDateFromTenor(C1246,"1D","FOLLOWING","TGT")</f>
        <v>44279</v>
      </c>
      <c r="D1247" s="95">
        <f ca="1"/>
        <v>8.5327929410627945E-4</v>
      </c>
      <c r="E1247" s="92"/>
      <c r="F1247" s="97">
        <f ca="1">_xll.meDateFromTenor(F1246,"1D","FOLLOWING","TGT")</f>
        <v>44279</v>
      </c>
      <c r="G1247" s="95">
        <f ca="1"/>
        <v>1.9080863250733313E-3</v>
      </c>
      <c r="H1247" s="92" t="s">
        <v>4</v>
      </c>
      <c r="I1247" s="97">
        <f ca="1">_xll.meDateFromTenor(I1246,"1D","FOLLOWING","TGT")</f>
        <v>44279</v>
      </c>
      <c r="J1247" s="95">
        <f ca="1"/>
        <v>3.0579938737399538E-3</v>
      </c>
      <c r="K1247" s="5" t="s">
        <v>4</v>
      </c>
      <c r="L1247" s="97">
        <f ca="1">_xll.meDateFromTenor(L1246,"1D","FOLLOWING","TGT")</f>
        <v>44279</v>
      </c>
      <c r="M1247" s="95">
        <f ca="1"/>
        <v>4.9090881151508375E-3</v>
      </c>
      <c r="N1247" s="5" t="s">
        <v>4</v>
      </c>
      <c r="O1247" s="97">
        <f ca="1">_xll.meDateFromTenor(O1246,"1D","FOLLOWING","TGT")</f>
        <v>44279</v>
      </c>
      <c r="P1247" s="95">
        <f ca="1"/>
        <v>6.9452351289935954E-3</v>
      </c>
      <c r="Q1247" s="5" t="s">
        <v>4</v>
      </c>
      <c r="R1247" s="83" t="s">
        <v>4</v>
      </c>
    </row>
    <row r="1248" spans="1:18" x14ac:dyDescent="0.25">
      <c r="A1248" s="88">
        <v>1234</v>
      </c>
      <c r="B1248" s="82"/>
      <c r="C1248" s="97">
        <f ca="1">_xll.meDateFromTenor(C1247,"1D","FOLLOWING","TGT")</f>
        <v>44280</v>
      </c>
      <c r="D1248" s="95">
        <f ca="1"/>
        <v>8.5917262029799879E-4</v>
      </c>
      <c r="E1248" s="92"/>
      <c r="F1248" s="97">
        <f ca="1">_xll.meDateFromTenor(F1247,"1D","FOLLOWING","TGT")</f>
        <v>44280</v>
      </c>
      <c r="G1248" s="95">
        <f ca="1"/>
        <v>1.9143664634610044E-3</v>
      </c>
      <c r="H1248" s="92" t="s">
        <v>4</v>
      </c>
      <c r="I1248" s="97">
        <f ca="1">_xll.meDateFromTenor(I1247,"1D","FOLLOWING","TGT")</f>
        <v>44280</v>
      </c>
      <c r="J1248" s="95">
        <f ca="1"/>
        <v>3.065521452338545E-3</v>
      </c>
      <c r="K1248" s="5" t="s">
        <v>4</v>
      </c>
      <c r="L1248" s="97">
        <f ca="1">_xll.meDateFromTenor(L1247,"1D","FOLLOWING","TGT")</f>
        <v>44280</v>
      </c>
      <c r="M1248" s="95">
        <f ca="1"/>
        <v>4.916390016276773E-3</v>
      </c>
      <c r="N1248" s="5" t="s">
        <v>4</v>
      </c>
      <c r="O1248" s="97">
        <f ca="1">_xll.meDateFromTenor(O1247,"1D","FOLLOWING","TGT")</f>
        <v>44280</v>
      </c>
      <c r="P1248" s="95">
        <f ca="1"/>
        <v>6.952617127666952E-3</v>
      </c>
      <c r="Q1248" s="5" t="s">
        <v>4</v>
      </c>
      <c r="R1248" s="83" t="s">
        <v>4</v>
      </c>
    </row>
    <row r="1249" spans="1:18" x14ac:dyDescent="0.25">
      <c r="A1249" s="88">
        <v>1235</v>
      </c>
      <c r="B1249" s="82"/>
      <c r="C1249" s="97">
        <f ca="1">_xll.meDateFromTenor(C1248,"1D","FOLLOWING","TGT")</f>
        <v>44281</v>
      </c>
      <c r="D1249" s="95">
        <f ca="1"/>
        <v>8.6512401721572374E-4</v>
      </c>
      <c r="E1249" s="92"/>
      <c r="F1249" s="97">
        <f ca="1">_xll.meDateFromTenor(F1248,"1D","FOLLOWING","TGT")</f>
        <v>44281</v>
      </c>
      <c r="G1249" s="95">
        <f ca="1"/>
        <v>1.9206755981713527E-3</v>
      </c>
      <c r="H1249" s="92" t="s">
        <v>4</v>
      </c>
      <c r="I1249" s="97">
        <f ca="1">_xll.meDateFromTenor(I1248,"1D","FOLLOWING","TGT")</f>
        <v>44281</v>
      </c>
      <c r="J1249" s="95">
        <f ca="1"/>
        <v>3.0730502735168974E-3</v>
      </c>
      <c r="K1249" s="5" t="s">
        <v>4</v>
      </c>
      <c r="L1249" s="97">
        <f ca="1">_xll.meDateFromTenor(L1248,"1D","FOLLOWING","TGT")</f>
        <v>44281</v>
      </c>
      <c r="M1249" s="95">
        <f ca="1"/>
        <v>4.9236948923812394E-3</v>
      </c>
      <c r="N1249" s="5" t="s">
        <v>4</v>
      </c>
      <c r="O1249" s="97">
        <f ca="1">_xll.meDateFromTenor(O1248,"1D","FOLLOWING","TGT")</f>
        <v>44281</v>
      </c>
      <c r="P1249" s="95">
        <f ca="1"/>
        <v>6.9600001432543772E-3</v>
      </c>
      <c r="Q1249" s="5" t="s">
        <v>4</v>
      </c>
      <c r="R1249" s="83" t="s">
        <v>4</v>
      </c>
    </row>
    <row r="1250" spans="1:18" x14ac:dyDescent="0.25">
      <c r="A1250" s="88">
        <v>1236</v>
      </c>
      <c r="B1250" s="82"/>
      <c r="C1250" s="97">
        <f ca="1">_xll.meDateFromTenor(C1249,"1D","FOLLOWING","TGT")</f>
        <v>44284</v>
      </c>
      <c r="D1250" s="95">
        <f ca="1"/>
        <v>8.8332665069645877E-4</v>
      </c>
      <c r="E1250" s="92"/>
      <c r="F1250" s="97">
        <f ca="1">_xll.meDateFromTenor(F1249,"1D","FOLLOWING","TGT")</f>
        <v>44284</v>
      </c>
      <c r="G1250" s="95">
        <f ca="1"/>
        <v>1.9398475850653733E-3</v>
      </c>
      <c r="H1250" s="92" t="s">
        <v>4</v>
      </c>
      <c r="I1250" s="97">
        <f ca="1">_xll.meDateFromTenor(I1249,"1D","FOLLOWING","TGT")</f>
        <v>44284</v>
      </c>
      <c r="J1250" s="95">
        <f ca="1"/>
        <v>3.0956444160503667E-3</v>
      </c>
      <c r="K1250" s="5" t="s">
        <v>4</v>
      </c>
      <c r="L1250" s="97">
        <f ca="1">_xll.meDateFromTenor(L1249,"1D","FOLLOWING","TGT")</f>
        <v>44284</v>
      </c>
      <c r="M1250" s="95">
        <f ca="1"/>
        <v>4.9456273567871929E-3</v>
      </c>
      <c r="N1250" s="5" t="s">
        <v>4</v>
      </c>
      <c r="O1250" s="97">
        <f ca="1">_xll.meDateFromTenor(O1249,"1D","FOLLOWING","TGT")</f>
        <v>44284</v>
      </c>
      <c r="P1250" s="95">
        <f ca="1"/>
        <v>6.9821551401179948E-3</v>
      </c>
      <c r="Q1250" s="5" t="s">
        <v>4</v>
      </c>
      <c r="R1250" s="83" t="s">
        <v>4</v>
      </c>
    </row>
    <row r="1251" spans="1:18" x14ac:dyDescent="0.25">
      <c r="A1251" s="88">
        <v>1237</v>
      </c>
      <c r="B1251" s="82"/>
      <c r="C1251" s="97">
        <f ca="1">_xll.meDateFromTenor(C1250,"1D","FOLLOWING","TGT")</f>
        <v>44285</v>
      </c>
      <c r="D1251" s="95">
        <f ca="1"/>
        <v>8.8951034918305361E-4</v>
      </c>
      <c r="E1251" s="92"/>
      <c r="F1251" s="97">
        <f ca="1">_xll.meDateFromTenor(F1250,"1D","FOLLOWING","TGT")</f>
        <v>44285</v>
      </c>
      <c r="G1251" s="95">
        <f ca="1"/>
        <v>1.9463433098933422E-3</v>
      </c>
      <c r="H1251" s="92" t="s">
        <v>4</v>
      </c>
      <c r="I1251" s="97">
        <f ca="1">_xll.meDateFromTenor(I1250,"1D","FOLLOWING","TGT")</f>
        <v>44285</v>
      </c>
      <c r="J1251" s="95">
        <f ca="1"/>
        <v>3.1031784310676081E-3</v>
      </c>
      <c r="K1251" s="5" t="s">
        <v>4</v>
      </c>
      <c r="L1251" s="97">
        <f ca="1">_xll.meDateFromTenor(L1250,"1D","FOLLOWING","TGT")</f>
        <v>44285</v>
      </c>
      <c r="M1251" s="95">
        <f ca="1"/>
        <v>4.9529441190271526E-3</v>
      </c>
      <c r="N1251" s="5" t="s">
        <v>4</v>
      </c>
      <c r="O1251" s="97">
        <f ca="1">_xll.meDateFromTenor(O1250,"1D","FOLLOWING","TGT")</f>
        <v>44285</v>
      </c>
      <c r="P1251" s="95">
        <f ca="1"/>
        <v>6.9895420719786223E-3</v>
      </c>
      <c r="Q1251" s="5" t="s">
        <v>4</v>
      </c>
      <c r="R1251" s="83" t="s">
        <v>4</v>
      </c>
    </row>
    <row r="1252" spans="1:18" x14ac:dyDescent="0.25">
      <c r="A1252" s="88">
        <v>1238</v>
      </c>
      <c r="B1252" s="82"/>
      <c r="C1252" s="97">
        <f ca="1">_xll.meDateFromTenor(C1251,"1D","FOLLOWING","TGT")</f>
        <v>44286</v>
      </c>
      <c r="D1252" s="95">
        <f ca="1"/>
        <v>8.9575212813897132E-4</v>
      </c>
      <c r="E1252" s="92"/>
      <c r="F1252" s="97">
        <f ca="1">_xll.meDateFromTenor(F1251,"1D","FOLLOWING","TGT")</f>
        <v>44286</v>
      </c>
      <c r="G1252" s="95">
        <f ca="1"/>
        <v>1.9529033334574487E-3</v>
      </c>
      <c r="H1252" s="92" t="s">
        <v>4</v>
      </c>
      <c r="I1252" s="97">
        <f ca="1">_xll.meDateFromTenor(I1251,"1D","FOLLOWING","TGT")</f>
        <v>44286</v>
      </c>
      <c r="J1252" s="95">
        <f ca="1"/>
        <v>3.1107138004245359E-3</v>
      </c>
      <c r="K1252" s="5" t="s">
        <v>4</v>
      </c>
      <c r="L1252" s="97">
        <f ca="1">_xll.meDateFromTenor(L1251,"1D","FOLLOWING","TGT")</f>
        <v>44286</v>
      </c>
      <c r="M1252" s="95">
        <f ca="1"/>
        <v>4.9602638493563347E-3</v>
      </c>
      <c r="N1252" s="5" t="s">
        <v>4</v>
      </c>
      <c r="O1252" s="97">
        <f ca="1">_xll.meDateFromTenor(O1251,"1D","FOLLOWING","TGT")</f>
        <v>44286</v>
      </c>
      <c r="P1252" s="95">
        <f ca="1"/>
        <v>6.9969299450617873E-3</v>
      </c>
      <c r="Q1252" s="5" t="s">
        <v>4</v>
      </c>
      <c r="R1252" s="83" t="s">
        <v>4</v>
      </c>
    </row>
    <row r="1253" spans="1:18" x14ac:dyDescent="0.25">
      <c r="A1253" s="88">
        <v>1239</v>
      </c>
      <c r="B1253" s="82"/>
      <c r="C1253" s="97">
        <f ca="1">_xll.meDateFromTenor(C1252,"1D","FOLLOWING","TGT")</f>
        <v>44287</v>
      </c>
      <c r="D1253" s="95">
        <f ca="1"/>
        <v>9.0205198920823015E-4</v>
      </c>
      <c r="E1253" s="92"/>
      <c r="F1253" s="97">
        <f ca="1">_xll.meDateFromTenor(F1252,"1D","FOLLOWING","TGT")</f>
        <v>44287</v>
      </c>
      <c r="G1253" s="95">
        <f ca="1"/>
        <v>1.9595347162403827E-3</v>
      </c>
      <c r="H1253" s="92" t="s">
        <v>4</v>
      </c>
      <c r="I1253" s="97">
        <f ca="1">_xll.meDateFromTenor(I1252,"1D","FOLLOWING","TGT")</f>
        <v>44287</v>
      </c>
      <c r="J1253" s="95">
        <f ca="1"/>
        <v>3.1182505464731332E-3</v>
      </c>
      <c r="K1253" s="5" t="s">
        <v>4</v>
      </c>
      <c r="L1253" s="97">
        <f ca="1">_xll.meDateFromTenor(L1252,"1D","FOLLOWING","TGT")</f>
        <v>44287</v>
      </c>
      <c r="M1253" s="95">
        <f ca="1"/>
        <v>4.9675865463968726E-3</v>
      </c>
      <c r="N1253" s="5" t="s">
        <v>4</v>
      </c>
      <c r="O1253" s="97">
        <f ca="1">_xll.meDateFromTenor(O1252,"1D","FOLLOWING","TGT")</f>
        <v>44287</v>
      </c>
      <c r="P1253" s="95">
        <f ca="1"/>
        <v>7.0043187442291781E-3</v>
      </c>
      <c r="Q1253" s="5" t="s">
        <v>4</v>
      </c>
      <c r="R1253" s="83" t="s">
        <v>4</v>
      </c>
    </row>
    <row r="1254" spans="1:18" x14ac:dyDescent="0.25">
      <c r="A1254" s="88">
        <v>1240</v>
      </c>
      <c r="B1254" s="82"/>
      <c r="C1254" s="97">
        <f ca="1">_xll.meDateFromTenor(C1253,"1D","FOLLOWING","TGT")</f>
        <v>44292</v>
      </c>
      <c r="D1254" s="95">
        <f ca="1"/>
        <v>9.3442259966636243E-4</v>
      </c>
      <c r="E1254" s="92"/>
      <c r="F1254" s="97">
        <f ca="1">_xll.meDateFromTenor(F1253,"1D","FOLLOWING","TGT")</f>
        <v>44292</v>
      </c>
      <c r="G1254" s="95">
        <f ca="1"/>
        <v>1.9940091353316813E-3</v>
      </c>
      <c r="H1254" s="92" t="s">
        <v>4</v>
      </c>
      <c r="I1254" s="97">
        <f ca="1">_xll.meDateFromTenor(I1253,"1D","FOLLOWING","TGT")</f>
        <v>44292</v>
      </c>
      <c r="J1254" s="95">
        <f ca="1"/>
        <v>3.1559557094106255E-3</v>
      </c>
      <c r="K1254" s="5" t="s">
        <v>4</v>
      </c>
      <c r="L1254" s="97">
        <f ca="1">_xll.meDateFromTenor(L1253,"1D","FOLLOWING","TGT")</f>
        <v>44292</v>
      </c>
      <c r="M1254" s="95">
        <f ca="1"/>
        <v>5.0042444840447354E-3</v>
      </c>
      <c r="N1254" s="5" t="s">
        <v>4</v>
      </c>
      <c r="O1254" s="97">
        <f ca="1">_xll.meDateFromTenor(O1253,"1D","FOLLOWING","TGT")</f>
        <v>44292</v>
      </c>
      <c r="P1254" s="95">
        <f ca="1"/>
        <v>7.0412761014888147E-3</v>
      </c>
      <c r="Q1254" s="5" t="s">
        <v>4</v>
      </c>
      <c r="R1254" s="83" t="s">
        <v>4</v>
      </c>
    </row>
    <row r="1255" spans="1:18" x14ac:dyDescent="0.25">
      <c r="A1255" s="88">
        <v>1241</v>
      </c>
      <c r="B1255" s="82"/>
      <c r="C1255" s="97">
        <f ca="1">_xll.meDateFromTenor(C1254,"1D","FOLLOWING","TGT")</f>
        <v>44293</v>
      </c>
      <c r="D1255" s="95">
        <f ca="1"/>
        <v>9.4107099712648079E-4</v>
      </c>
      <c r="E1255" s="92"/>
      <c r="F1255" s="97">
        <f ca="1">_xll.meDateFromTenor(F1254,"1D","FOLLOWING","TGT")</f>
        <v>44293</v>
      </c>
      <c r="G1255" s="95">
        <f ca="1"/>
        <v>2.0012147392402938E-3</v>
      </c>
      <c r="H1255" s="92" t="s">
        <v>4</v>
      </c>
      <c r="I1255" s="97">
        <f ca="1">_xll.meDateFromTenor(I1254,"1D","FOLLOWING","TGT")</f>
        <v>44293</v>
      </c>
      <c r="J1255" s="95">
        <f ca="1"/>
        <v>3.1635011850009173E-3</v>
      </c>
      <c r="K1255" s="5" t="s">
        <v>4</v>
      </c>
      <c r="L1255" s="97">
        <f ca="1">_xll.meDateFromTenor(L1254,"1D","FOLLOWING","TGT")</f>
        <v>44293</v>
      </c>
      <c r="M1255" s="95">
        <f ca="1"/>
        <v>5.0115849524183069E-3</v>
      </c>
      <c r="N1255" s="5" t="s">
        <v>4</v>
      </c>
      <c r="O1255" s="97">
        <f ca="1">_xll.meDateFromTenor(O1254,"1D","FOLLOWING","TGT")</f>
        <v>44293</v>
      </c>
      <c r="P1255" s="95">
        <f ca="1"/>
        <v>7.0486701392571327E-3</v>
      </c>
      <c r="Q1255" s="5" t="s">
        <v>4</v>
      </c>
      <c r="R1255" s="83" t="s">
        <v>4</v>
      </c>
    </row>
    <row r="1256" spans="1:18" x14ac:dyDescent="0.25">
      <c r="A1256" s="88">
        <v>1242</v>
      </c>
      <c r="B1256" s="82"/>
      <c r="C1256" s="97">
        <f ca="1">_xll.meDateFromTenor(C1255,"1D","FOLLOWING","TGT")</f>
        <v>44294</v>
      </c>
      <c r="D1256" s="95">
        <f ca="1"/>
        <v>9.4777749160468439E-4</v>
      </c>
      <c r="E1256" s="92"/>
      <c r="F1256" s="97">
        <f ca="1">_xll.meDateFromTenor(F1255,"1D","FOLLOWING","TGT")</f>
        <v>44294</v>
      </c>
      <c r="G1256" s="95">
        <f ca="1"/>
        <v>2.0085278998036768E-3</v>
      </c>
      <c r="H1256" s="92" t="s">
        <v>4</v>
      </c>
      <c r="I1256" s="97">
        <f ca="1">_xll.meDateFromTenor(I1255,"1D","FOLLOWING","TGT")</f>
        <v>44294</v>
      </c>
      <c r="J1256" s="95">
        <f ca="1"/>
        <v>3.17104819374677E-3</v>
      </c>
      <c r="K1256" s="5" t="s">
        <v>4</v>
      </c>
      <c r="L1256" s="97">
        <f ca="1">_xll.meDateFromTenor(L1255,"1D","FOLLOWING","TGT")</f>
        <v>44294</v>
      </c>
      <c r="M1256" s="95">
        <f ca="1"/>
        <v>5.0189283778581967E-3</v>
      </c>
      <c r="N1256" s="5" t="s">
        <v>4</v>
      </c>
      <c r="O1256" s="97">
        <f ca="1">_xll.meDateFromTenor(O1255,"1D","FOLLOWING","TGT")</f>
        <v>44294</v>
      </c>
      <c r="P1256" s="95">
        <f ca="1"/>
        <v>7.0560649971415264E-3</v>
      </c>
      <c r="Q1256" s="5" t="s">
        <v>4</v>
      </c>
      <c r="R1256" s="83" t="s">
        <v>4</v>
      </c>
    </row>
    <row r="1257" spans="1:18" x14ac:dyDescent="0.25">
      <c r="A1257" s="88">
        <v>1243</v>
      </c>
      <c r="B1257" s="82"/>
      <c r="C1257" s="97">
        <f ca="1">_xll.meDateFromTenor(C1256,"1D","FOLLOWING","TGT")</f>
        <v>44295</v>
      </c>
      <c r="D1257" s="95">
        <f ca="1"/>
        <v>9.545420847456576E-4</v>
      </c>
      <c r="E1257" s="92"/>
      <c r="F1257" s="97">
        <f ca="1">_xll.meDateFromTenor(F1256,"1D","FOLLOWING","TGT")</f>
        <v>44295</v>
      </c>
      <c r="G1257" s="95">
        <f ca="1"/>
        <v>2.015942451561629E-3</v>
      </c>
      <c r="H1257" s="92" t="s">
        <v>4</v>
      </c>
      <c r="I1257" s="97">
        <f ca="1">_xll.meDateFromTenor(I1256,"1D","FOLLOWING","TGT")</f>
        <v>44295</v>
      </c>
      <c r="J1257" s="95">
        <f ca="1"/>
        <v>3.1785967580001714E-3</v>
      </c>
      <c r="K1257" s="5" t="s">
        <v>4</v>
      </c>
      <c r="L1257" s="97">
        <f ca="1">_xll.meDateFromTenor(L1256,"1D","FOLLOWING","TGT")</f>
        <v>44295</v>
      </c>
      <c r="M1257" s="95">
        <f ca="1"/>
        <v>5.0262747589865488E-3</v>
      </c>
      <c r="N1257" s="5" t="s">
        <v>4</v>
      </c>
      <c r="O1257" s="97">
        <f ca="1">_xll.meDateFromTenor(O1256,"1D","FOLLOWING","TGT")</f>
        <v>44295</v>
      </c>
      <c r="P1257" s="95">
        <f ca="1"/>
        <v>7.0634606600036972E-3</v>
      </c>
      <c r="Q1257" s="5" t="s">
        <v>4</v>
      </c>
      <c r="R1257" s="83" t="s">
        <v>4</v>
      </c>
    </row>
    <row r="1258" spans="1:18" x14ac:dyDescent="0.25">
      <c r="A1258" s="88">
        <v>1244</v>
      </c>
      <c r="B1258" s="82"/>
      <c r="C1258" s="97">
        <f ca="1">_xll.meDateFromTenor(C1257,"1D","FOLLOWING","TGT")</f>
        <v>44298</v>
      </c>
      <c r="D1258" s="95">
        <f ca="1"/>
        <v>9.7518447945521558E-4</v>
      </c>
      <c r="E1258" s="92"/>
      <c r="F1258" s="97">
        <f ca="1">_xll.meDateFromTenor(F1257,"1D","FOLLOWING","TGT")</f>
        <v>44298</v>
      </c>
      <c r="G1258" s="95">
        <f ca="1"/>
        <v>2.03873279940082E-3</v>
      </c>
      <c r="H1258" s="92" t="s">
        <v>4</v>
      </c>
      <c r="I1258" s="97">
        <f ca="1">_xll.meDateFromTenor(I1257,"1D","FOLLOWING","TGT")</f>
        <v>44298</v>
      </c>
      <c r="J1258" s="95">
        <f ca="1"/>
        <v>3.2012520073255056E-3</v>
      </c>
      <c r="K1258" s="5" t="s">
        <v>4</v>
      </c>
      <c r="L1258" s="97">
        <f ca="1">_xll.meDateFromTenor(L1257,"1D","FOLLOWING","TGT")</f>
        <v>44298</v>
      </c>
      <c r="M1258" s="95">
        <f ca="1"/>
        <v>5.0483316227237359E-3</v>
      </c>
      <c r="N1258" s="5" t="s">
        <v>4</v>
      </c>
      <c r="O1258" s="97">
        <f ca="1">_xll.meDateFromTenor(O1257,"1D","FOLLOWING","TGT")</f>
        <v>44298</v>
      </c>
      <c r="P1258" s="95">
        <f ca="1"/>
        <v>7.0856523270737895E-3</v>
      </c>
      <c r="Q1258" s="5" t="s">
        <v>4</v>
      </c>
      <c r="R1258" s="83" t="s">
        <v>4</v>
      </c>
    </row>
    <row r="1259" spans="1:18" x14ac:dyDescent="0.25">
      <c r="A1259" s="88">
        <v>1245</v>
      </c>
      <c r="B1259" s="82"/>
      <c r="C1259" s="97">
        <f ca="1">_xll.meDateFromTenor(C1258,"1D","FOLLOWING","TGT")</f>
        <v>44299</v>
      </c>
      <c r="D1259" s="95">
        <f ca="1"/>
        <v>9.8218149012962996E-4</v>
      </c>
      <c r="E1259" s="92"/>
      <c r="F1259" s="97">
        <f ca="1">_xll.meDateFromTenor(F1258,"1D","FOLLOWING","TGT")</f>
        <v>44299</v>
      </c>
      <c r="G1259" s="95">
        <f ca="1"/>
        <v>2.0464912613349755E-3</v>
      </c>
      <c r="H1259" s="92" t="s">
        <v>4</v>
      </c>
      <c r="I1259" s="97">
        <f ca="1">_xll.meDateFromTenor(I1258,"1D","FOLLOWING","TGT")</f>
        <v>44299</v>
      </c>
      <c r="J1259" s="95">
        <f ca="1"/>
        <v>3.2088070171289416E-3</v>
      </c>
      <c r="K1259" s="5" t="s">
        <v>4</v>
      </c>
      <c r="L1259" s="97">
        <f ca="1">_xll.meDateFromTenor(L1258,"1D","FOLLOWING","TGT")</f>
        <v>44299</v>
      </c>
      <c r="M1259" s="95">
        <f ca="1"/>
        <v>5.0556898128273024E-3</v>
      </c>
      <c r="N1259" s="5" t="s">
        <v>4</v>
      </c>
      <c r="O1259" s="97">
        <f ca="1">_xll.meDateFromTenor(O1258,"1D","FOLLOWING","TGT")</f>
        <v>44299</v>
      </c>
      <c r="P1259" s="95">
        <f ca="1"/>
        <v>7.0930510584639892E-3</v>
      </c>
      <c r="Q1259" s="5" t="s">
        <v>4</v>
      </c>
      <c r="R1259" s="83" t="s">
        <v>4</v>
      </c>
    </row>
    <row r="1260" spans="1:18" x14ac:dyDescent="0.25">
      <c r="A1260" s="88">
        <v>1246</v>
      </c>
      <c r="B1260" s="82"/>
      <c r="C1260" s="97">
        <f ca="1">_xll.meDateFromTenor(C1259,"1D","FOLLOWING","TGT")</f>
        <v>44300</v>
      </c>
      <c r="D1260" s="95">
        <f ca="1"/>
        <v>9.8923661071803615E-4</v>
      </c>
      <c r="E1260" s="92"/>
      <c r="F1260" s="97">
        <f ca="1">_xll.meDateFromTenor(F1259,"1D","FOLLOWING","TGT")</f>
        <v>44300</v>
      </c>
      <c r="G1260" s="95">
        <f ca="1"/>
        <v>2.0543202871626661E-3</v>
      </c>
      <c r="H1260" s="92" t="s">
        <v>4</v>
      </c>
      <c r="I1260" s="97">
        <f ca="1">_xll.meDateFromTenor(I1259,"1D","FOLLOWING","TGT")</f>
        <v>44300</v>
      </c>
      <c r="J1260" s="95">
        <f ca="1"/>
        <v>3.2163636941998485E-3</v>
      </c>
      <c r="K1260" s="5" t="s">
        <v>4</v>
      </c>
      <c r="L1260" s="97">
        <f ca="1">_xll.meDateFromTenor(L1259,"1D","FOLLOWING","TGT")</f>
        <v>44300</v>
      </c>
      <c r="M1260" s="95">
        <f ca="1"/>
        <v>5.0630509517300172E-3</v>
      </c>
      <c r="N1260" s="5" t="s">
        <v>4</v>
      </c>
      <c r="O1260" s="97">
        <f ca="1">_xll.meDateFromTenor(O1259,"1D","FOLLOWING","TGT")</f>
        <v>44300</v>
      </c>
      <c r="P1260" s="95">
        <f ca="1"/>
        <v>7.1004505191404306E-3</v>
      </c>
      <c r="Q1260" s="5" t="s">
        <v>4</v>
      </c>
      <c r="R1260" s="83" t="s">
        <v>4</v>
      </c>
    </row>
    <row r="1261" spans="1:18" x14ac:dyDescent="0.25">
      <c r="A1261" s="88">
        <v>1247</v>
      </c>
      <c r="B1261" s="82"/>
      <c r="C1261" s="97">
        <f ca="1">_xll.meDateFromTenor(C1260,"1D","FOLLOWING","TGT")</f>
        <v>44301</v>
      </c>
      <c r="D1261" s="95">
        <f ca="1"/>
        <v>9.9634984356655742E-4</v>
      </c>
      <c r="E1261" s="92"/>
      <c r="F1261" s="97">
        <f ca="1">_xll.meDateFromTenor(F1260,"1D","FOLLOWING","TGT")</f>
        <v>44301</v>
      </c>
      <c r="G1261" s="95">
        <f ca="1"/>
        <v>2.0622137114236854E-3</v>
      </c>
      <c r="H1261" s="92" t="s">
        <v>4</v>
      </c>
      <c r="I1261" s="97">
        <f ca="1">_xll.meDateFromTenor(I1260,"1D","FOLLOWING","TGT")</f>
        <v>44301</v>
      </c>
      <c r="J1261" s="95">
        <f ca="1"/>
        <v>3.2239220608902106E-3</v>
      </c>
      <c r="K1261" s="5" t="s">
        <v>4</v>
      </c>
      <c r="L1261" s="97">
        <f ca="1">_xll.meDateFromTenor(L1260,"1D","FOLLOWING","TGT")</f>
        <v>44301</v>
      </c>
      <c r="M1261" s="95">
        <f ca="1"/>
        <v>5.0704150380540174E-3</v>
      </c>
      <c r="N1261" s="5" t="s">
        <v>4</v>
      </c>
      <c r="O1261" s="97">
        <f ca="1">_xll.meDateFromTenor(O1260,"1D","FOLLOWING","TGT")</f>
        <v>44301</v>
      </c>
      <c r="P1261" s="95">
        <f ca="1"/>
        <v>7.1078506939648047E-3</v>
      </c>
      <c r="Q1261" s="5" t="s">
        <v>4</v>
      </c>
      <c r="R1261" s="83" t="s">
        <v>4</v>
      </c>
    </row>
    <row r="1262" spans="1:18" x14ac:dyDescent="0.25">
      <c r="A1262" s="88">
        <v>1248</v>
      </c>
      <c r="B1262" s="82"/>
      <c r="C1262" s="97">
        <f ca="1">_xll.meDateFromTenor(C1261,"1D","FOLLOWING","TGT")</f>
        <v>44302</v>
      </c>
      <c r="D1262" s="95">
        <f ca="1"/>
        <v>1.0035211910290887E-3</v>
      </c>
      <c r="E1262" s="92"/>
      <c r="F1262" s="97">
        <f ca="1">_xll.meDateFromTenor(F1261,"1D","FOLLOWING","TGT")</f>
        <v>44302</v>
      </c>
      <c r="G1262" s="95">
        <f ca="1"/>
        <v>2.0701653686578275E-3</v>
      </c>
      <c r="H1262" s="92" t="s">
        <v>4</v>
      </c>
      <c r="I1262" s="97">
        <f ca="1">_xll.meDateFromTenor(I1261,"1D","FOLLOWING","TGT")</f>
        <v>44302</v>
      </c>
      <c r="J1262" s="95">
        <f ca="1"/>
        <v>3.2314821395520131E-3</v>
      </c>
      <c r="K1262" s="5" t="s">
        <v>4</v>
      </c>
      <c r="L1262" s="97">
        <f ca="1">_xll.meDateFromTenor(L1261,"1D","FOLLOWING","TGT")</f>
        <v>44302</v>
      </c>
      <c r="M1262" s="95">
        <f ca="1"/>
        <v>5.0777820704214398E-3</v>
      </c>
      <c r="N1262" s="5" t="s">
        <v>4</v>
      </c>
      <c r="O1262" s="97">
        <f ca="1">_xll.meDateFromTenor(O1261,"1D","FOLLOWING","TGT")</f>
        <v>44302</v>
      </c>
      <c r="P1262" s="95">
        <f ca="1"/>
        <v>7.1152515677988075E-3</v>
      </c>
      <c r="Q1262" s="5" t="s">
        <v>4</v>
      </c>
      <c r="R1262" s="83" t="s">
        <v>4</v>
      </c>
    </row>
    <row r="1263" spans="1:18" x14ac:dyDescent="0.25">
      <c r="A1263" s="88">
        <v>1249</v>
      </c>
      <c r="B1263" s="82"/>
      <c r="C1263" s="97">
        <f ca="1">_xll.meDateFromTenor(C1262,"1D","FOLLOWING","TGT")</f>
        <v>44305</v>
      </c>
      <c r="D1263" s="95">
        <f ca="1"/>
        <v>1.025383943685787E-3</v>
      </c>
      <c r="E1263" s="92"/>
      <c r="F1263" s="97">
        <f ca="1">_xll.meDateFromTenor(F1262,"1D","FOLLOWING","TGT")</f>
        <v>44305</v>
      </c>
      <c r="G1263" s="95">
        <f ca="1"/>
        <v>2.0943080835969245E-3</v>
      </c>
      <c r="H1263" s="92" t="s">
        <v>4</v>
      </c>
      <c r="I1263" s="97">
        <f ca="1">_xll.meDateFromTenor(I1262,"1D","FOLLOWING","TGT")</f>
        <v>44305</v>
      </c>
      <c r="J1263" s="95">
        <f ca="1"/>
        <v>3.2541728708859034E-3</v>
      </c>
      <c r="K1263" s="5" t="s">
        <v>4</v>
      </c>
      <c r="L1263" s="97">
        <f ca="1">_xll.meDateFromTenor(L1262,"1D","FOLLOWING","TGT")</f>
        <v>44305</v>
      </c>
      <c r="M1263" s="95">
        <f ca="1"/>
        <v>5.0999008300056294E-3</v>
      </c>
      <c r="N1263" s="5" t="s">
        <v>4</v>
      </c>
      <c r="O1263" s="97">
        <f ca="1">_xll.meDateFromTenor(O1262,"1D","FOLLOWING","TGT")</f>
        <v>44305</v>
      </c>
      <c r="P1263" s="95">
        <f ca="1"/>
        <v>7.1374582319755084E-3</v>
      </c>
      <c r="Q1263" s="5" t="s">
        <v>4</v>
      </c>
      <c r="R1263" s="83" t="s">
        <v>4</v>
      </c>
    </row>
    <row r="1264" spans="1:18" x14ac:dyDescent="0.25">
      <c r="A1264" s="88">
        <v>1250</v>
      </c>
      <c r="B1264" s="82"/>
      <c r="C1264" s="97">
        <f ca="1">_xll.meDateFromTenor(C1263,"1D","FOLLOWING","TGT")</f>
        <v>44306</v>
      </c>
      <c r="D1264" s="95">
        <f ca="1"/>
        <v>1.0327877727180912E-3</v>
      </c>
      <c r="E1264" s="92"/>
      <c r="F1264" s="97">
        <f ca="1">_xll.meDateFromTenor(F1263,"1D","FOLLOWING","TGT")</f>
        <v>44306</v>
      </c>
      <c r="G1264" s="95">
        <f ca="1"/>
        <v>2.102431018121494E-3</v>
      </c>
      <c r="H1264" s="92" t="s">
        <v>4</v>
      </c>
      <c r="I1264" s="97">
        <f ca="1">_xll.meDateFromTenor(I1263,"1D","FOLLOWING","TGT")</f>
        <v>44306</v>
      </c>
      <c r="J1264" s="95">
        <f ca="1"/>
        <v>3.2617400209533124E-3</v>
      </c>
      <c r="K1264" s="5" t="s">
        <v>4</v>
      </c>
      <c r="L1264" s="97">
        <f ca="1">_xll.meDateFromTenor(L1263,"1D","FOLLOWING","TGT")</f>
        <v>44306</v>
      </c>
      <c r="M1264" s="95">
        <f ca="1"/>
        <v>5.1072796327681262E-3</v>
      </c>
      <c r="N1264" s="5" t="s">
        <v>4</v>
      </c>
      <c r="O1264" s="97">
        <f ca="1">_xll.meDateFromTenor(O1263,"1D","FOLLOWING","TGT")</f>
        <v>44306</v>
      </c>
      <c r="P1264" s="95">
        <f ca="1"/>
        <v>7.1448617504649521E-3</v>
      </c>
      <c r="Q1264" s="5" t="s">
        <v>4</v>
      </c>
      <c r="R1264" s="83" t="s">
        <v>4</v>
      </c>
    </row>
    <row r="1265" spans="1:18" x14ac:dyDescent="0.25">
      <c r="A1265" s="88">
        <v>1251</v>
      </c>
      <c r="B1265" s="82"/>
      <c r="C1265" s="97">
        <f ca="1">_xll.meDateFromTenor(C1264,"1D","FOLLOWING","TGT")</f>
        <v>44307</v>
      </c>
      <c r="D1265" s="95">
        <f ca="1"/>
        <v>1.0402497279720091E-3</v>
      </c>
      <c r="E1265" s="92"/>
      <c r="F1265" s="97">
        <f ca="1">_xll.meDateFromTenor(F1264,"1D","FOLLOWING","TGT")</f>
        <v>44307</v>
      </c>
      <c r="G1265" s="95">
        <f ca="1"/>
        <v>2.1105813583181562E-3</v>
      </c>
      <c r="H1265" s="92" t="s">
        <v>4</v>
      </c>
      <c r="I1265" s="97">
        <f ca="1">_xll.meDateFromTenor(I1264,"1D","FOLLOWING","TGT")</f>
        <v>44307</v>
      </c>
      <c r="J1265" s="95">
        <f ca="1"/>
        <v>3.2693089947520848E-3</v>
      </c>
      <c r="K1265" s="5" t="s">
        <v>4</v>
      </c>
      <c r="L1265" s="97">
        <f ca="1">_xll.meDateFromTenor(L1264,"1D","FOLLOWING","TGT")</f>
        <v>44307</v>
      </c>
      <c r="M1265" s="95">
        <f ca="1"/>
        <v>5.1146613746847359E-3</v>
      </c>
      <c r="N1265" s="5" t="s">
        <v>4</v>
      </c>
      <c r="O1265" s="97">
        <f ca="1">_xll.meDateFromTenor(O1264,"1D","FOLLOWING","TGT")</f>
        <v>44307</v>
      </c>
      <c r="P1265" s="95">
        <f ca="1"/>
        <v>7.1522658922724891E-3</v>
      </c>
      <c r="Q1265" s="5" t="s">
        <v>4</v>
      </c>
      <c r="R1265" s="83" t="s">
        <v>4</v>
      </c>
    </row>
    <row r="1266" spans="1:18" x14ac:dyDescent="0.25">
      <c r="A1266" s="88">
        <v>1252</v>
      </c>
      <c r="B1266" s="82"/>
      <c r="C1266" s="97">
        <f ca="1">_xll.meDateFromTenor(C1265,"1D","FOLLOWING","TGT")</f>
        <v>44308</v>
      </c>
      <c r="D1266" s="95">
        <f ca="1"/>
        <v>1.0477698121822421E-3</v>
      </c>
      <c r="E1266" s="92"/>
      <c r="F1266" s="97">
        <f ca="1">_xll.meDateFromTenor(F1265,"1D","FOLLOWING","TGT")</f>
        <v>44308</v>
      </c>
      <c r="G1266" s="95">
        <f ca="1"/>
        <v>2.1187529387267025E-3</v>
      </c>
      <c r="H1266" s="92" t="s">
        <v>4</v>
      </c>
      <c r="I1266" s="97">
        <f ca="1">_xll.meDateFromTenor(I1265,"1D","FOLLOWING","TGT")</f>
        <v>44308</v>
      </c>
      <c r="J1266" s="95">
        <f ca="1"/>
        <v>3.2768798146342059E-3</v>
      </c>
      <c r="K1266" s="5" t="s">
        <v>4</v>
      </c>
      <c r="L1266" s="97">
        <f ca="1">_xll.meDateFromTenor(L1265,"1D","FOLLOWING","TGT")</f>
        <v>44308</v>
      </c>
      <c r="M1266" s="95">
        <f ca="1"/>
        <v>5.1220460543775952E-3</v>
      </c>
      <c r="N1266" s="5" t="s">
        <v>4</v>
      </c>
      <c r="O1266" s="97">
        <f ca="1">_xll.meDateFromTenor(O1265,"1D","FOLLOWING","TGT")</f>
        <v>44308</v>
      </c>
      <c r="P1266" s="95">
        <f ca="1"/>
        <v>7.1596706422598147E-3</v>
      </c>
      <c r="Q1266" s="5" t="s">
        <v>4</v>
      </c>
      <c r="R1266" s="83" t="s">
        <v>4</v>
      </c>
    </row>
    <row r="1267" spans="1:18" x14ac:dyDescent="0.25">
      <c r="A1267" s="88">
        <v>1253</v>
      </c>
      <c r="B1267" s="82"/>
      <c r="C1267" s="97">
        <f ca="1">_xll.meDateFromTenor(C1266,"1D","FOLLOWING","TGT")</f>
        <v>44309</v>
      </c>
      <c r="D1267" s="95">
        <f ca="1"/>
        <v>1.0553480275357074E-3</v>
      </c>
      <c r="E1267" s="92"/>
      <c r="F1267" s="97">
        <f ca="1">_xll.meDateFromTenor(F1266,"1D","FOLLOWING","TGT")</f>
        <v>44309</v>
      </c>
      <c r="G1267" s="95">
        <f ca="1"/>
        <v>2.1269395938869284E-3</v>
      </c>
      <c r="H1267" s="92" t="s">
        <v>4</v>
      </c>
      <c r="I1267" s="97">
        <f ca="1">_xll.meDateFromTenor(I1266,"1D","FOLLOWING","TGT")</f>
        <v>44309</v>
      </c>
      <c r="J1267" s="95">
        <f ca="1"/>
        <v>3.2844525029516588E-3</v>
      </c>
      <c r="K1267" s="5" t="s">
        <v>4</v>
      </c>
      <c r="L1267" s="97">
        <f ca="1">_xll.meDateFromTenor(L1266,"1D","FOLLOWING","TGT")</f>
        <v>44309</v>
      </c>
      <c r="M1267" s="95">
        <f ca="1"/>
        <v>5.1294336704688437E-3</v>
      </c>
      <c r="N1267" s="5" t="s">
        <v>4</v>
      </c>
      <c r="O1267" s="97">
        <f ca="1">_xll.meDateFromTenor(O1266,"1D","FOLLOWING","TGT")</f>
        <v>44309</v>
      </c>
      <c r="P1267" s="95">
        <f ca="1"/>
        <v>7.16707598528862E-3</v>
      </c>
      <c r="Q1267" s="5" t="s">
        <v>4</v>
      </c>
      <c r="R1267" s="83" t="s">
        <v>4</v>
      </c>
    </row>
    <row r="1268" spans="1:18" x14ac:dyDescent="0.25">
      <c r="A1268" s="88">
        <v>1254</v>
      </c>
      <c r="B1268" s="82"/>
      <c r="C1268" s="97">
        <f ca="1">_xll.meDateFromTenor(C1267,"1D","FOLLOWING","TGT")</f>
        <v>44312</v>
      </c>
      <c r="D1268" s="95">
        <f ca="1"/>
        <v>1.0784314858214294E-3</v>
      </c>
      <c r="E1268" s="92"/>
      <c r="F1268" s="97">
        <f ca="1">_xll.meDateFromTenor(F1267,"1D","FOLLOWING","TGT")</f>
        <v>44312</v>
      </c>
      <c r="G1268" s="95">
        <f ca="1"/>
        <v>2.151528353275613E-3</v>
      </c>
      <c r="H1268" s="92" t="s">
        <v>4</v>
      </c>
      <c r="I1268" s="97">
        <f ca="1">_xll.meDateFromTenor(I1267,"1D","FOLLOWING","TGT")</f>
        <v>44312</v>
      </c>
      <c r="J1268" s="95">
        <f ca="1"/>
        <v>3.3071820020358616E-3</v>
      </c>
      <c r="K1268" s="5" t="s">
        <v>4</v>
      </c>
      <c r="L1268" s="97">
        <f ca="1">_xll.meDateFromTenor(L1267,"1D","FOLLOWING","TGT")</f>
        <v>44312</v>
      </c>
      <c r="M1268" s="95">
        <f ca="1"/>
        <v>5.1516141233542943E-3</v>
      </c>
      <c r="N1268" s="5" t="s">
        <v>4</v>
      </c>
      <c r="O1268" s="97">
        <f ca="1">_xll.meDateFromTenor(O1267,"1D","FOLLOWING","TGT")</f>
        <v>44312</v>
      </c>
      <c r="P1268" s="95">
        <f ca="1"/>
        <v>7.189295421240847E-3</v>
      </c>
      <c r="Q1268" s="5" t="s">
        <v>4</v>
      </c>
      <c r="R1268" s="83" t="s">
        <v>4</v>
      </c>
    </row>
    <row r="1269" spans="1:18" x14ac:dyDescent="0.25">
      <c r="A1269" s="88">
        <v>1255</v>
      </c>
      <c r="B1269" s="82"/>
      <c r="C1269" s="97">
        <f ca="1">_xll.meDateFromTenor(C1268,"1D","FOLLOWING","TGT")</f>
        <v>44313</v>
      </c>
      <c r="D1269" s="95">
        <f ca="1"/>
        <v>1.0862422513269188E-3</v>
      </c>
      <c r="E1269" s="92"/>
      <c r="F1269" s="97">
        <f ca="1">_xll.meDateFromTenor(F1268,"1D","FOLLOWING","TGT")</f>
        <v>44313</v>
      </c>
      <c r="G1269" s="95">
        <f ca="1"/>
        <v>2.1597136528404919E-3</v>
      </c>
      <c r="H1269" s="92" t="s">
        <v>4</v>
      </c>
      <c r="I1269" s="97">
        <f ca="1">_xll.meDateFromTenor(I1268,"1D","FOLLOWING","TGT")</f>
        <v>44313</v>
      </c>
      <c r="J1269" s="95">
        <f ca="1"/>
        <v>3.3147623876144936E-3</v>
      </c>
      <c r="K1269" s="5" t="s">
        <v>4</v>
      </c>
      <c r="L1269" s="97">
        <f ca="1">_xll.meDateFromTenor(L1268,"1D","FOLLOWING","TGT")</f>
        <v>44313</v>
      </c>
      <c r="M1269" s="95">
        <f ca="1"/>
        <v>5.1590134712604747E-3</v>
      </c>
      <c r="N1269" s="5" t="s">
        <v>4</v>
      </c>
      <c r="O1269" s="97">
        <f ca="1">_xll.meDateFromTenor(O1268,"1D","FOLLOWING","TGT")</f>
        <v>44313</v>
      </c>
      <c r="P1269" s="95">
        <f ca="1"/>
        <v>7.1967029850525076E-3</v>
      </c>
      <c r="Q1269" s="5" t="s">
        <v>4</v>
      </c>
      <c r="R1269" s="83" t="s">
        <v>4</v>
      </c>
    </row>
    <row r="1270" spans="1:18" x14ac:dyDescent="0.25">
      <c r="A1270" s="88">
        <v>1256</v>
      </c>
      <c r="B1270" s="82"/>
      <c r="C1270" s="97">
        <f ca="1">_xll.meDateFromTenor(C1269,"1D","FOLLOWING","TGT")</f>
        <v>44314</v>
      </c>
      <c r="D1270" s="95">
        <f ca="1"/>
        <v>1.0941111604156895E-3</v>
      </c>
      <c r="E1270" s="92"/>
      <c r="F1270" s="97">
        <f ca="1">_xll.meDateFromTenor(F1269,"1D","FOLLOWING","TGT")</f>
        <v>44314</v>
      </c>
      <c r="G1270" s="95">
        <f ca="1"/>
        <v>2.1678831998560174E-3</v>
      </c>
      <c r="H1270" s="92" t="s">
        <v>4</v>
      </c>
      <c r="I1270" s="97">
        <f ca="1">_xll.meDateFromTenor(I1269,"1D","FOLLOWING","TGT")</f>
        <v>44314</v>
      </c>
      <c r="J1270" s="95">
        <f ca="1"/>
        <v>3.3223447533883817E-3</v>
      </c>
      <c r="K1270" s="5" t="s">
        <v>4</v>
      </c>
      <c r="L1270" s="97">
        <f ca="1">_xll.meDateFromTenor(L1269,"1D","FOLLOWING","TGT")</f>
        <v>44314</v>
      </c>
      <c r="M1270" s="95">
        <f ca="1"/>
        <v>5.1664157486757322E-3</v>
      </c>
      <c r="N1270" s="5" t="s">
        <v>4</v>
      </c>
      <c r="O1270" s="97">
        <f ca="1">_xll.meDateFromTenor(O1269,"1D","FOLLOWING","TGT")</f>
        <v>44314</v>
      </c>
      <c r="P1270" s="95">
        <f ca="1"/>
        <v>7.2041110662141123E-3</v>
      </c>
      <c r="Q1270" s="5" t="s">
        <v>4</v>
      </c>
      <c r="R1270" s="83" t="s">
        <v>4</v>
      </c>
    </row>
    <row r="1271" spans="1:18" x14ac:dyDescent="0.25">
      <c r="A1271" s="88">
        <v>1257</v>
      </c>
      <c r="B1271" s="82"/>
      <c r="C1271" s="97">
        <f ca="1">_xll.meDateFromTenor(C1270,"1D","FOLLOWING","TGT")</f>
        <v>44315</v>
      </c>
      <c r="D1271" s="95">
        <f ca="1"/>
        <v>1.1020382160558118E-3</v>
      </c>
      <c r="E1271" s="92"/>
      <c r="F1271" s="97">
        <f ca="1">_xll.meDateFromTenor(F1270,"1D","FOLLOWING","TGT")</f>
        <v>44315</v>
      </c>
      <c r="G1271" s="95">
        <f ca="1"/>
        <v>2.1760308288619854E-3</v>
      </c>
      <c r="H1271" s="92" t="s">
        <v>4</v>
      </c>
      <c r="I1271" s="97">
        <f ca="1">_xll.meDateFromTenor(I1270,"1D","FOLLOWING","TGT")</f>
        <v>44315</v>
      </c>
      <c r="J1271" s="95">
        <f ca="1"/>
        <v>3.3299291217095111E-3</v>
      </c>
      <c r="K1271" s="5" t="s">
        <v>4</v>
      </c>
      <c r="L1271" s="97">
        <f ca="1">_xll.meDateFromTenor(L1270,"1D","FOLLOWING","TGT")</f>
        <v>44315</v>
      </c>
      <c r="M1271" s="95">
        <f ca="1"/>
        <v>5.1738209542222038E-3</v>
      </c>
      <c r="N1271" s="5" t="s">
        <v>4</v>
      </c>
      <c r="O1271" s="97">
        <f ca="1">_xll.meDateFromTenor(O1270,"1D","FOLLOWING","TGT")</f>
        <v>44315</v>
      </c>
      <c r="P1271" s="95">
        <f ca="1"/>
        <v>7.2115196495873592E-3</v>
      </c>
      <c r="Q1271" s="5" t="s">
        <v>4</v>
      </c>
      <c r="R1271" s="83" t="s">
        <v>4</v>
      </c>
    </row>
    <row r="1272" spans="1:18" x14ac:dyDescent="0.25">
      <c r="A1272" s="88">
        <v>1258</v>
      </c>
      <c r="B1272" s="82"/>
      <c r="C1272" s="97">
        <f ca="1">_xll.meDateFromTenor(C1271,"1D","FOLLOWING","TGT")</f>
        <v>44316</v>
      </c>
      <c r="D1272" s="95">
        <f ca="1"/>
        <v>1.1100234206626869E-3</v>
      </c>
      <c r="E1272" s="92"/>
      <c r="F1272" s="97">
        <f ca="1">_xll.meDateFromTenor(F1271,"1D","FOLLOWING","TGT")</f>
        <v>44316</v>
      </c>
      <c r="G1272" s="95">
        <f ca="1"/>
        <v>2.1841503743981875E-3</v>
      </c>
      <c r="H1272" s="92" t="s">
        <v>4</v>
      </c>
      <c r="I1272" s="97">
        <f ca="1">_xll.meDateFromTenor(I1271,"1D","FOLLOWING","TGT")</f>
        <v>44316</v>
      </c>
      <c r="J1272" s="95">
        <f ca="1"/>
        <v>3.3375155149298662E-3</v>
      </c>
      <c r="K1272" s="5" t="s">
        <v>4</v>
      </c>
      <c r="L1272" s="97">
        <f ca="1">_xll.meDateFromTenor(L1271,"1D","FOLLOWING","TGT")</f>
        <v>44316</v>
      </c>
      <c r="M1272" s="95">
        <f ca="1"/>
        <v>5.1812290865220299E-3</v>
      </c>
      <c r="N1272" s="5" t="s">
        <v>4</v>
      </c>
      <c r="O1272" s="97">
        <f ca="1">_xll.meDateFromTenor(O1271,"1D","FOLLOWING","TGT")</f>
        <v>44316</v>
      </c>
      <c r="P1272" s="95">
        <f ca="1"/>
        <v>7.218928720033939E-3</v>
      </c>
      <c r="Q1272" s="5" t="s">
        <v>4</v>
      </c>
      <c r="R1272" s="83" t="s">
        <v>4</v>
      </c>
    </row>
    <row r="1273" spans="1:18" x14ac:dyDescent="0.25">
      <c r="A1273" s="88">
        <v>1259</v>
      </c>
      <c r="B1273" s="82"/>
      <c r="C1273" s="97">
        <f ca="1">_xll.meDateFromTenor(C1272,"1D","FOLLOWING","TGT")</f>
        <v>44319</v>
      </c>
      <c r="D1273" s="95">
        <f ca="1"/>
        <v>1.1343279553310825E-3</v>
      </c>
      <c r="E1273" s="92"/>
      <c r="F1273" s="97">
        <f ca="1">_xll.meDateFromTenor(F1272,"1D","FOLLOWING","TGT")</f>
        <v>44319</v>
      </c>
      <c r="G1273" s="95">
        <f ca="1"/>
        <v>2.2082788555861433E-3</v>
      </c>
      <c r="H1273" s="92" t="s">
        <v>4</v>
      </c>
      <c r="I1273" s="97">
        <f ca="1">_xll.meDateFromTenor(I1272,"1D","FOLLOWING","TGT")</f>
        <v>44319</v>
      </c>
      <c r="J1273" s="95">
        <f ca="1"/>
        <v>3.3602870675061339E-3</v>
      </c>
      <c r="K1273" s="5" t="s">
        <v>4</v>
      </c>
      <c r="L1273" s="97">
        <f ca="1">_xll.meDateFromTenor(L1272,"1D","FOLLOWING","TGT")</f>
        <v>44319</v>
      </c>
      <c r="M1273" s="95">
        <f ca="1"/>
        <v>5.2034710301630026E-3</v>
      </c>
      <c r="N1273" s="5" t="s">
        <v>4</v>
      </c>
      <c r="O1273" s="97">
        <f ca="1">_xll.meDateFromTenor(O1272,"1D","FOLLOWING","TGT")</f>
        <v>44319</v>
      </c>
      <c r="P1273" s="95">
        <f ca="1"/>
        <v>7.241158702430613E-3</v>
      </c>
      <c r="Q1273" s="5" t="s">
        <v>4</v>
      </c>
      <c r="R1273" s="83" t="s">
        <v>4</v>
      </c>
    </row>
    <row r="1274" spans="1:18" x14ac:dyDescent="0.25">
      <c r="A1274" s="88">
        <v>1260</v>
      </c>
      <c r="B1274" s="82"/>
      <c r="C1274" s="97">
        <f ca="1">_xll.meDateFromTenor(C1273,"1D","FOLLOWING","TGT")</f>
        <v>44320</v>
      </c>
      <c r="D1274" s="95">
        <f ca="1"/>
        <v>1.1425457826594876E-3</v>
      </c>
      <c r="E1274" s="92"/>
      <c r="F1274" s="97">
        <f ca="1">_xll.meDateFromTenor(F1273,"1D","FOLLOWING","TGT")</f>
        <v>44320</v>
      </c>
      <c r="G1274" s="95">
        <f ca="1"/>
        <v>2.216225874561527E-3</v>
      </c>
      <c r="H1274" s="92" t="s">
        <v>4</v>
      </c>
      <c r="I1274" s="97">
        <f ca="1">_xll.meDateFromTenor(I1273,"1D","FOLLOWING","TGT")</f>
        <v>44320</v>
      </c>
      <c r="J1274" s="95">
        <f ca="1"/>
        <v>3.3678817838432387E-3</v>
      </c>
      <c r="K1274" s="5" t="s">
        <v>4</v>
      </c>
      <c r="L1274" s="97">
        <f ca="1">_xll.meDateFromTenor(L1273,"1D","FOLLOWING","TGT")</f>
        <v>44320</v>
      </c>
      <c r="M1274" s="95">
        <f ca="1"/>
        <v>5.2108908556976188E-3</v>
      </c>
      <c r="N1274" s="5" t="s">
        <v>4</v>
      </c>
      <c r="O1274" s="97">
        <f ca="1">_xll.meDateFromTenor(O1273,"1D","FOLLOWING","TGT")</f>
        <v>44320</v>
      </c>
      <c r="P1274" s="95">
        <f ca="1"/>
        <v>7.2485695697874601E-3</v>
      </c>
      <c r="Q1274" s="5" t="s">
        <v>4</v>
      </c>
      <c r="R1274" s="83" t="s">
        <v>4</v>
      </c>
    </row>
    <row r="1275" spans="1:18" x14ac:dyDescent="0.25">
      <c r="A1275" s="88">
        <v>1261</v>
      </c>
      <c r="B1275" s="82"/>
      <c r="C1275" s="97">
        <f ca="1">_xll.meDateFromTenor(C1274,"1D","FOLLOWING","TGT")</f>
        <v>44321</v>
      </c>
      <c r="D1275" s="95">
        <f ca="1"/>
        <v>1.150821772552435E-3</v>
      </c>
      <c r="E1275" s="92"/>
      <c r="F1275" s="97">
        <f ca="1">_xll.meDateFromTenor(F1274,"1D","FOLLOWING","TGT")</f>
        <v>44321</v>
      </c>
      <c r="G1275" s="95">
        <f ca="1"/>
        <v>2.2241227542879323E-3</v>
      </c>
      <c r="H1275" s="92" t="s">
        <v>4</v>
      </c>
      <c r="I1275" s="97">
        <f ca="1">_xll.meDateFromTenor(I1274,"1D","FOLLOWING","TGT")</f>
        <v>44321</v>
      </c>
      <c r="J1275" s="95">
        <f ca="1"/>
        <v>3.3754786368394912E-3</v>
      </c>
      <c r="K1275" s="5" t="s">
        <v>4</v>
      </c>
      <c r="L1275" s="97">
        <f ca="1">_xll.meDateFromTenor(L1274,"1D","FOLLOWING","TGT")</f>
        <v>44321</v>
      </c>
      <c r="M1275" s="95">
        <f ca="1"/>
        <v>5.2183136010962739E-3</v>
      </c>
      <c r="N1275" s="5" t="s">
        <v>4</v>
      </c>
      <c r="O1275" s="97">
        <f ca="1">_xll.meDateFromTenor(O1274,"1D","FOLLOWING","TGT")</f>
        <v>44321</v>
      </c>
      <c r="P1275" s="95">
        <f ca="1"/>
        <v>7.2559808485261048E-3</v>
      </c>
      <c r="Q1275" s="5" t="s">
        <v>4</v>
      </c>
      <c r="R1275" s="83" t="s">
        <v>4</v>
      </c>
    </row>
    <row r="1276" spans="1:18" x14ac:dyDescent="0.25">
      <c r="A1276" s="88">
        <v>1262</v>
      </c>
      <c r="B1276" s="82"/>
      <c r="C1276" s="97">
        <f ca="1">_xll.meDateFromTenor(C1275,"1D","FOLLOWING","TGT")</f>
        <v>44322</v>
      </c>
      <c r="D1276" s="95">
        <f ca="1"/>
        <v>1.1591559275674346E-3</v>
      </c>
      <c r="E1276" s="92"/>
      <c r="F1276" s="97">
        <f ca="1">_xll.meDateFromTenor(F1275,"1D","FOLLOWING","TGT")</f>
        <v>44322</v>
      </c>
      <c r="G1276" s="95">
        <f ca="1"/>
        <v>2.2319721008269783E-3</v>
      </c>
      <c r="H1276" s="92" t="s">
        <v>4</v>
      </c>
      <c r="I1276" s="97">
        <f ca="1">_xll.meDateFromTenor(I1275,"1D","FOLLOWING","TGT")</f>
        <v>44322</v>
      </c>
      <c r="J1276" s="95">
        <f ca="1"/>
        <v>3.3830776488468798E-3</v>
      </c>
      <c r="K1276" s="5" t="s">
        <v>4</v>
      </c>
      <c r="L1276" s="97">
        <f ca="1">_xll.meDateFromTenor(L1275,"1D","FOLLOWING","TGT")</f>
        <v>44322</v>
      </c>
      <c r="M1276" s="95">
        <f ca="1"/>
        <v>5.2257392649811109E-3</v>
      </c>
      <c r="N1276" s="5" t="s">
        <v>4</v>
      </c>
      <c r="O1276" s="97">
        <f ca="1">_xll.meDateFromTenor(O1275,"1D","FOLLOWING","TGT")</f>
        <v>44322</v>
      </c>
      <c r="P1276" s="95">
        <f ca="1"/>
        <v>7.2633925235082459E-3</v>
      </c>
      <c r="Q1276" s="5" t="s">
        <v>4</v>
      </c>
      <c r="R1276" s="83" t="s">
        <v>4</v>
      </c>
    </row>
    <row r="1277" spans="1:18" x14ac:dyDescent="0.25">
      <c r="A1277" s="88">
        <v>1263</v>
      </c>
      <c r="B1277" s="82"/>
      <c r="C1277" s="97">
        <f ca="1">_xll.meDateFromTenor(C1276,"1D","FOLLOWING","TGT")</f>
        <v>44323</v>
      </c>
      <c r="D1277" s="95">
        <f ca="1"/>
        <v>1.1675482505113521E-3</v>
      </c>
      <c r="E1277" s="92"/>
      <c r="F1277" s="97">
        <f ca="1">_xll.meDateFromTenor(F1276,"1D","FOLLOWING","TGT")</f>
        <v>44323</v>
      </c>
      <c r="G1277" s="95">
        <f ca="1"/>
        <v>2.2397765202402764E-3</v>
      </c>
      <c r="H1277" s="92" t="s">
        <v>4</v>
      </c>
      <c r="I1277" s="97">
        <f ca="1">_xll.meDateFromTenor(I1276,"1D","FOLLOWING","TGT")</f>
        <v>44323</v>
      </c>
      <c r="J1277" s="95">
        <f ca="1"/>
        <v>3.3906788422173877E-3</v>
      </c>
      <c r="K1277" s="5" t="s">
        <v>4</v>
      </c>
      <c r="L1277" s="97">
        <f ca="1">_xll.meDateFromTenor(L1276,"1D","FOLLOWING","TGT")</f>
        <v>44323</v>
      </c>
      <c r="M1277" s="95">
        <f ca="1"/>
        <v>5.2331678459742667E-3</v>
      </c>
      <c r="N1277" s="5" t="s">
        <v>4</v>
      </c>
      <c r="O1277" s="97">
        <f ca="1">_xll.meDateFromTenor(O1276,"1D","FOLLOWING","TGT")</f>
        <v>44323</v>
      </c>
      <c r="P1277" s="95">
        <f ca="1"/>
        <v>7.2708045795955717E-3</v>
      </c>
      <c r="Q1277" s="5" t="s">
        <v>4</v>
      </c>
      <c r="R1277" s="83" t="s">
        <v>4</v>
      </c>
    </row>
    <row r="1278" spans="1:18" x14ac:dyDescent="0.25">
      <c r="A1278" s="88">
        <v>1264</v>
      </c>
      <c r="B1278" s="82"/>
      <c r="C1278" s="97">
        <f ca="1">_xll.meDateFromTenor(C1277,"1D","FOLLOWING","TGT")</f>
        <v>44326</v>
      </c>
      <c r="D1278" s="95">
        <f ca="1"/>
        <v>1.1930742554742135E-3</v>
      </c>
      <c r="E1278" s="92"/>
      <c r="F1278" s="97">
        <f ca="1">_xll.meDateFromTenor(F1277,"1D","FOLLOWING","TGT")</f>
        <v>44326</v>
      </c>
      <c r="G1278" s="95">
        <f ca="1"/>
        <v>2.2629462763418253E-3</v>
      </c>
      <c r="H1278" s="92" t="s">
        <v>4</v>
      </c>
      <c r="I1278" s="97">
        <f ca="1">_xll.meDateFromTenor(I1277,"1D","FOLLOWING","TGT")</f>
        <v>44326</v>
      </c>
      <c r="J1278" s="95">
        <f ca="1"/>
        <v>3.4134957340274702E-3</v>
      </c>
      <c r="K1278" s="5" t="s">
        <v>4</v>
      </c>
      <c r="L1278" s="97">
        <f ca="1">_xll.meDateFromTenor(L1277,"1D","FOLLOWING","TGT")</f>
        <v>44326</v>
      </c>
      <c r="M1278" s="95">
        <f ca="1"/>
        <v>5.2554710778250167E-3</v>
      </c>
      <c r="N1278" s="5" t="s">
        <v>4</v>
      </c>
      <c r="O1278" s="97">
        <f ca="1">_xll.meDateFromTenor(O1277,"1D","FOLLOWING","TGT")</f>
        <v>44326</v>
      </c>
      <c r="P1278" s="95">
        <f ca="1"/>
        <v>7.2930428831056047E-3</v>
      </c>
      <c r="Q1278" s="5" t="s">
        <v>4</v>
      </c>
      <c r="R1278" s="83" t="s">
        <v>4</v>
      </c>
    </row>
    <row r="1279" spans="1:18" x14ac:dyDescent="0.25">
      <c r="A1279" s="88">
        <v>1265</v>
      </c>
      <c r="B1279" s="82"/>
      <c r="C1279" s="97">
        <f ca="1">_xll.meDateFromTenor(C1278,"1D","FOLLOWING","TGT")</f>
        <v>44327</v>
      </c>
      <c r="D1279" s="95">
        <f ca="1"/>
        <v>1.2016992786589853E-3</v>
      </c>
      <c r="E1279" s="92"/>
      <c r="F1279" s="97">
        <f ca="1">_xll.meDateFromTenor(F1278,"1D","FOLLOWING","TGT")</f>
        <v>44327</v>
      </c>
      <c r="G1279" s="95">
        <f ca="1"/>
        <v>2.2705970478682732E-3</v>
      </c>
      <c r="H1279" s="92" t="s">
        <v>4</v>
      </c>
      <c r="I1279" s="97">
        <f ca="1">_xll.meDateFromTenor(I1278,"1D","FOLLOWING","TGT")</f>
        <v>44327</v>
      </c>
      <c r="J1279" s="95">
        <f ca="1"/>
        <v>3.4211058763702995E-3</v>
      </c>
      <c r="K1279" s="5" t="s">
        <v>4</v>
      </c>
      <c r="L1279" s="97">
        <f ca="1">_xll.meDateFromTenor(L1278,"1D","FOLLOWING","TGT")</f>
        <v>44327</v>
      </c>
      <c r="M1279" s="95">
        <f ca="1"/>
        <v>5.2629113134728218E-3</v>
      </c>
      <c r="N1279" s="5" t="s">
        <v>4</v>
      </c>
      <c r="O1279" s="97">
        <f ca="1">_xll.meDateFromTenor(O1278,"1D","FOLLOWING","TGT")</f>
        <v>44327</v>
      </c>
      <c r="P1279" s="95">
        <f ca="1"/>
        <v>7.3004563122306123E-3</v>
      </c>
      <c r="Q1279" s="5" t="s">
        <v>4</v>
      </c>
      <c r="R1279" s="83" t="s">
        <v>4</v>
      </c>
    </row>
    <row r="1280" spans="1:18" x14ac:dyDescent="0.25">
      <c r="A1280" s="88">
        <v>1266</v>
      </c>
      <c r="B1280" s="82"/>
      <c r="C1280" s="97">
        <f ca="1">_xll.meDateFromTenor(C1279,"1D","FOLLOWING","TGT")</f>
        <v>44328</v>
      </c>
      <c r="D1280" s="95">
        <f ca="1"/>
        <v>1.2103824838063382E-3</v>
      </c>
      <c r="E1280" s="92"/>
      <c r="F1280" s="97">
        <f ca="1">_xll.meDateFromTenor(F1279,"1D","FOLLOWING","TGT")</f>
        <v>44328</v>
      </c>
      <c r="G1280" s="95">
        <f ca="1"/>
        <v>2.2782159225770439E-3</v>
      </c>
      <c r="H1280" s="92" t="s">
        <v>4</v>
      </c>
      <c r="I1280" s="97">
        <f ca="1">_xll.meDateFromTenor(I1279,"1D","FOLLOWING","TGT")</f>
        <v>44328</v>
      </c>
      <c r="J1280" s="95">
        <f ca="1"/>
        <v>3.4287183118361718E-3</v>
      </c>
      <c r="K1280" s="5" t="s">
        <v>4</v>
      </c>
      <c r="L1280" s="97">
        <f ca="1">_xll.meDateFromTenor(L1279,"1D","FOLLOWING","TGT")</f>
        <v>44328</v>
      </c>
      <c r="M1280" s="95">
        <f ca="1"/>
        <v>5.270354459339632E-3</v>
      </c>
      <c r="N1280" s="5" t="s">
        <v>4</v>
      </c>
      <c r="O1280" s="97">
        <f ca="1">_xll.meDateFromTenor(O1279,"1D","FOLLOWING","TGT")</f>
        <v>44328</v>
      </c>
      <c r="P1280" s="95">
        <f ca="1"/>
        <v>7.3078700467692709E-3</v>
      </c>
      <c r="Q1280" s="5" t="s">
        <v>4</v>
      </c>
      <c r="R1280" s="83" t="s">
        <v>4</v>
      </c>
    </row>
    <row r="1281" spans="1:18" x14ac:dyDescent="0.25">
      <c r="A1281" s="88">
        <v>1267</v>
      </c>
      <c r="B1281" s="82"/>
      <c r="C1281" s="97">
        <f ca="1">_xll.meDateFromTenor(C1280,"1D","FOLLOWING","TGT")</f>
        <v>44329</v>
      </c>
      <c r="D1281" s="95">
        <f ca="1"/>
        <v>1.2191238744234667E-3</v>
      </c>
      <c r="E1281" s="92"/>
      <c r="F1281" s="97">
        <f ca="1">_xll.meDateFromTenor(F1280,"1D","FOLLOWING","TGT")</f>
        <v>44329</v>
      </c>
      <c r="G1281" s="95">
        <f ca="1"/>
        <v>2.2858055065297506E-3</v>
      </c>
      <c r="H1281" s="92" t="s">
        <v>4</v>
      </c>
      <c r="I1281" s="97">
        <f ca="1">_xll.meDateFromTenor(I1280,"1D","FOLLOWING","TGT")</f>
        <v>44329</v>
      </c>
      <c r="J1281" s="95">
        <f ca="1"/>
        <v>3.4363330627770711E-3</v>
      </c>
      <c r="K1281" s="5" t="s">
        <v>4</v>
      </c>
      <c r="L1281" s="97">
        <f ca="1">_xll.meDateFromTenor(L1280,"1D","FOLLOWING","TGT")</f>
        <v>44329</v>
      </c>
      <c r="M1281" s="95">
        <f ca="1"/>
        <v>5.2778005140475875E-3</v>
      </c>
      <c r="N1281" s="5" t="s">
        <v>4</v>
      </c>
      <c r="O1281" s="97">
        <f ca="1">_xll.meDateFromTenor(O1280,"1D","FOLLOWING","TGT")</f>
        <v>44329</v>
      </c>
      <c r="P1281" s="95">
        <f ca="1"/>
        <v>7.3152840715832784E-3</v>
      </c>
      <c r="Q1281" s="5" t="s">
        <v>4</v>
      </c>
      <c r="R1281" s="83" t="s">
        <v>4</v>
      </c>
    </row>
    <row r="1282" spans="1:18" x14ac:dyDescent="0.25">
      <c r="A1282" s="88">
        <v>1268</v>
      </c>
      <c r="B1282" s="82"/>
      <c r="C1282" s="97">
        <f ca="1">_xll.meDateFromTenor(C1281,"1D","FOLLOWING","TGT")</f>
        <v>44330</v>
      </c>
      <c r="D1282" s="95">
        <f ca="1"/>
        <v>1.2279234529108951E-3</v>
      </c>
      <c r="E1282" s="92"/>
      <c r="F1282" s="97">
        <f ca="1">_xll.meDateFromTenor(F1281,"1D","FOLLOWING","TGT")</f>
        <v>44330</v>
      </c>
      <c r="G1282" s="95">
        <f ca="1"/>
        <v>2.2933684057880066E-3</v>
      </c>
      <c r="H1282" s="92" t="s">
        <v>4</v>
      </c>
      <c r="I1282" s="97">
        <f ca="1">_xll.meDateFromTenor(I1281,"1D","FOLLOWING","TGT")</f>
        <v>44330</v>
      </c>
      <c r="J1282" s="95">
        <f ca="1"/>
        <v>3.4439501515449787E-3</v>
      </c>
      <c r="K1282" s="5" t="s">
        <v>4</v>
      </c>
      <c r="L1282" s="97">
        <f ca="1">_xll.meDateFromTenor(L1281,"1D","FOLLOWING","TGT")</f>
        <v>44330</v>
      </c>
      <c r="M1282" s="95">
        <f ca="1"/>
        <v>5.2852494762188227E-3</v>
      </c>
      <c r="N1282" s="5" t="s">
        <v>4</v>
      </c>
      <c r="O1282" s="97">
        <f ca="1">_xll.meDateFromTenor(O1281,"1D","FOLLOWING","TGT")</f>
        <v>44330</v>
      </c>
      <c r="P1282" s="95">
        <f ca="1"/>
        <v>7.3226983715343206E-3</v>
      </c>
      <c r="Q1282" s="5" t="s">
        <v>4</v>
      </c>
      <c r="R1282" s="83" t="s">
        <v>4</v>
      </c>
    </row>
    <row r="1283" spans="1:18" x14ac:dyDescent="0.25">
      <c r="A1283" s="88">
        <v>1269</v>
      </c>
      <c r="B1283" s="82"/>
      <c r="C1283" s="97">
        <f ca="1">_xll.meDateFromTenor(C1282,"1D","FOLLOWING","TGT")</f>
        <v>44333</v>
      </c>
      <c r="D1283" s="95">
        <f ca="1"/>
        <v>1.2546713464527404E-3</v>
      </c>
      <c r="E1283" s="92"/>
      <c r="F1283" s="97">
        <f ca="1">_xll.meDateFromTenor(F1282,"1D","FOLLOWING","TGT")</f>
        <v>44333</v>
      </c>
      <c r="G1283" s="95">
        <f ca="1"/>
        <v>2.3159230560122249E-3</v>
      </c>
      <c r="H1283" s="92" t="s">
        <v>4</v>
      </c>
      <c r="I1283" s="97">
        <f ca="1">_xll.meDateFromTenor(I1282,"1D","FOLLOWING","TGT")</f>
        <v>44333</v>
      </c>
      <c r="J1283" s="95">
        <f ca="1"/>
        <v>3.4668156683306281E-3</v>
      </c>
      <c r="K1283" s="5" t="s">
        <v>4</v>
      </c>
      <c r="L1283" s="97">
        <f ca="1">_xll.meDateFromTenor(L1282,"1D","FOLLOWING","TGT")</f>
        <v>44333</v>
      </c>
      <c r="M1283" s="95">
        <f ca="1"/>
        <v>5.3076137937336084E-3</v>
      </c>
      <c r="N1283" s="5" t="s">
        <v>4</v>
      </c>
      <c r="O1283" s="97">
        <f ca="1">_xll.meDateFromTenor(O1282,"1D","FOLLOWING","TGT")</f>
        <v>44333</v>
      </c>
      <c r="P1283" s="95">
        <f ca="1"/>
        <v>7.3449427708266301E-3</v>
      </c>
      <c r="Q1283" s="5" t="s">
        <v>4</v>
      </c>
      <c r="R1283" s="83" t="s">
        <v>4</v>
      </c>
    </row>
    <row r="1284" spans="1:18" x14ac:dyDescent="0.25">
      <c r="A1284" s="88">
        <v>1270</v>
      </c>
      <c r="B1284" s="82"/>
      <c r="C1284" s="97">
        <f ca="1">_xll.meDateFromTenor(C1283,"1D","FOLLOWING","TGT")</f>
        <v>44334</v>
      </c>
      <c r="D1284" s="95">
        <f ca="1"/>
        <v>1.2637037070128976E-3</v>
      </c>
      <c r="E1284" s="92"/>
      <c r="F1284" s="97">
        <f ca="1">_xll.meDateFromTenor(F1283,"1D","FOLLOWING","TGT")</f>
        <v>44334</v>
      </c>
      <c r="G1284" s="95">
        <f ca="1"/>
        <v>2.3234052771088261E-3</v>
      </c>
      <c r="H1284" s="92" t="s">
        <v>4</v>
      </c>
      <c r="I1284" s="97">
        <f ca="1">_xll.meDateFromTenor(I1283,"1D","FOLLOWING","TGT")</f>
        <v>44334</v>
      </c>
      <c r="J1284" s="95">
        <f ca="1"/>
        <v>3.4744423319264324E-3</v>
      </c>
      <c r="K1284" s="5" t="s">
        <v>4</v>
      </c>
      <c r="L1284" s="97">
        <f ca="1">_xll.meDateFromTenor(L1283,"1D","FOLLOWING","TGT")</f>
        <v>44334</v>
      </c>
      <c r="M1284" s="95">
        <f ca="1"/>
        <v>5.3150743719793539E-3</v>
      </c>
      <c r="N1284" s="5" t="s">
        <v>4</v>
      </c>
      <c r="O1284" s="97">
        <f ca="1">_xll.meDateFromTenor(O1283,"1D","FOLLOWING","TGT")</f>
        <v>44334</v>
      </c>
      <c r="P1284" s="95">
        <f ca="1"/>
        <v>7.3523580199427686E-3</v>
      </c>
      <c r="Q1284" s="5" t="s">
        <v>4</v>
      </c>
      <c r="R1284" s="83" t="s">
        <v>4</v>
      </c>
    </row>
    <row r="1285" spans="1:18" x14ac:dyDescent="0.25">
      <c r="A1285" s="88">
        <v>1271</v>
      </c>
      <c r="B1285" s="82"/>
      <c r="C1285" s="97">
        <f ca="1">_xll.meDateFromTenor(C1284,"1D","FOLLOWING","TGT")</f>
        <v>44335</v>
      </c>
      <c r="D1285" s="95">
        <f ca="1"/>
        <v>1.2727942708699036E-3</v>
      </c>
      <c r="E1285" s="92"/>
      <c r="F1285" s="97">
        <f ca="1">_xll.meDateFromTenor(F1284,"1D","FOLLOWING","TGT")</f>
        <v>44335</v>
      </c>
      <c r="G1285" s="95">
        <f ca="1"/>
        <v>2.3308738438190487E-3</v>
      </c>
      <c r="H1285" s="92" t="s">
        <v>4</v>
      </c>
      <c r="I1285" s="97">
        <f ca="1">_xll.meDateFromTenor(I1284,"1D","FOLLOWING","TGT")</f>
        <v>44335</v>
      </c>
      <c r="J1285" s="95">
        <f ca="1"/>
        <v>3.4820714451091724E-3</v>
      </c>
      <c r="K1285" s="5" t="s">
        <v>4</v>
      </c>
      <c r="L1285" s="97">
        <f ca="1">_xll.meDateFromTenor(L1284,"1D","FOLLOWING","TGT")</f>
        <v>44335</v>
      </c>
      <c r="M1285" s="95">
        <f ca="1"/>
        <v>5.3225378507990697E-3</v>
      </c>
      <c r="N1285" s="5" t="s">
        <v>4</v>
      </c>
      <c r="O1285" s="97">
        <f ca="1">_xll.meDateFromTenor(O1284,"1D","FOLLOWING","TGT")</f>
        <v>44335</v>
      </c>
      <c r="P1285" s="95">
        <f ca="1"/>
        <v>7.3597734685044115E-3</v>
      </c>
      <c r="Q1285" s="5" t="s">
        <v>4</v>
      </c>
      <c r="R1285" s="83" t="s">
        <v>4</v>
      </c>
    </row>
    <row r="1286" spans="1:18" x14ac:dyDescent="0.25">
      <c r="A1286" s="88">
        <v>1272</v>
      </c>
      <c r="B1286" s="82"/>
      <c r="C1286" s="97">
        <f ca="1">_xll.meDateFromTenor(C1285,"1D","FOLLOWING","TGT")</f>
        <v>44336</v>
      </c>
      <c r="D1286" s="95">
        <f ca="1"/>
        <v>1.2819430408852472E-3</v>
      </c>
      <c r="E1286" s="92"/>
      <c r="F1286" s="97">
        <f ca="1">_xll.meDateFromTenor(F1285,"1D","FOLLOWING","TGT")</f>
        <v>44336</v>
      </c>
      <c r="G1286" s="95">
        <f ca="1"/>
        <v>2.3383313622045059E-3</v>
      </c>
      <c r="H1286" s="92" t="s">
        <v>4</v>
      </c>
      <c r="I1286" s="97">
        <f ca="1">_xll.meDateFromTenor(I1285,"1D","FOLLOWING","TGT")</f>
        <v>44336</v>
      </c>
      <c r="J1286" s="95">
        <f ca="1"/>
        <v>3.4897030302308315E-3</v>
      </c>
      <c r="K1286" s="5" t="s">
        <v>4</v>
      </c>
      <c r="L1286" s="97">
        <f ca="1">_xll.meDateFromTenor(L1285,"1D","FOLLOWING","TGT")</f>
        <v>44336</v>
      </c>
      <c r="M1286" s="95">
        <f ca="1"/>
        <v>5.330004228814896E-3</v>
      </c>
      <c r="N1286" s="5" t="s">
        <v>4</v>
      </c>
      <c r="O1286" s="97">
        <f ca="1">_xll.meDateFromTenor(O1285,"1D","FOLLOWING","TGT")</f>
        <v>44336</v>
      </c>
      <c r="P1286" s="95">
        <f ca="1"/>
        <v>7.3671891013732567E-3</v>
      </c>
      <c r="Q1286" s="5" t="s">
        <v>4</v>
      </c>
      <c r="R1286" s="83" t="s">
        <v>4</v>
      </c>
    </row>
    <row r="1287" spans="1:18" x14ac:dyDescent="0.25">
      <c r="A1287" s="88">
        <v>1273</v>
      </c>
      <c r="B1287" s="82"/>
      <c r="C1287" s="97">
        <f ca="1">_xll.meDateFromTenor(C1286,"1D","FOLLOWING","TGT")</f>
        <v>44337</v>
      </c>
      <c r="D1287" s="95">
        <f ca="1"/>
        <v>1.2911500201679971E-3</v>
      </c>
      <c r="E1287" s="92"/>
      <c r="F1287" s="97">
        <f ca="1">_xll.meDateFromTenor(F1286,"1D","FOLLOWING","TGT")</f>
        <v>44337</v>
      </c>
      <c r="G1287" s="95">
        <f ca="1"/>
        <v>2.3457804383268128E-3</v>
      </c>
      <c r="H1287" s="92" t="s">
        <v>4</v>
      </c>
      <c r="I1287" s="97">
        <f ca="1">_xll.meDateFromTenor(I1286,"1D","FOLLOWING","TGT")</f>
        <v>44337</v>
      </c>
      <c r="J1287" s="95">
        <f ca="1"/>
        <v>3.4973371096433956E-3</v>
      </c>
      <c r="K1287" s="5" t="s">
        <v>4</v>
      </c>
      <c r="L1287" s="97">
        <f ca="1">_xll.meDateFromTenor(L1286,"1D","FOLLOWING","TGT")</f>
        <v>44337</v>
      </c>
      <c r="M1287" s="95">
        <f ca="1"/>
        <v>5.337473504648969E-3</v>
      </c>
      <c r="N1287" s="5" t="s">
        <v>4</v>
      </c>
      <c r="O1287" s="97">
        <f ca="1">_xll.meDateFromTenor(O1286,"1D","FOLLOWING","TGT")</f>
        <v>44337</v>
      </c>
      <c r="P1287" s="95">
        <f ca="1"/>
        <v>7.3746049034109935E-3</v>
      </c>
      <c r="Q1287" s="5" t="s">
        <v>4</v>
      </c>
      <c r="R1287" s="83" t="s">
        <v>4</v>
      </c>
    </row>
    <row r="1288" spans="1:18" x14ac:dyDescent="0.25">
      <c r="A1288" s="88">
        <v>1274</v>
      </c>
      <c r="B1288" s="82"/>
      <c r="C1288" s="97">
        <f ca="1">_xll.meDateFromTenor(C1287,"1D","FOLLOWING","TGT")</f>
        <v>44340</v>
      </c>
      <c r="D1288" s="95">
        <f ca="1"/>
        <v>1.3191202457618623E-3</v>
      </c>
      <c r="E1288" s="92"/>
      <c r="F1288" s="97">
        <f ca="1">_xll.meDateFromTenor(F1287,"1D","FOLLOWING","TGT")</f>
        <v>44340</v>
      </c>
      <c r="G1288" s="95">
        <f ca="1"/>
        <v>2.3681030737309657E-3</v>
      </c>
      <c r="H1288" s="92" t="s">
        <v>4</v>
      </c>
      <c r="I1288" s="97">
        <f ca="1">_xll.meDateFromTenor(I1287,"1D","FOLLOWING","TGT")</f>
        <v>44340</v>
      </c>
      <c r="J1288" s="95">
        <f ca="1"/>
        <v>3.5202545371463604E-3</v>
      </c>
      <c r="K1288" s="5" t="s">
        <v>4</v>
      </c>
      <c r="L1288" s="97">
        <f ca="1">_xll.meDateFromTenor(L1287,"1D","FOLLOWING","TGT")</f>
        <v>44340</v>
      </c>
      <c r="M1288" s="95">
        <f ca="1"/>
        <v>5.3598987052820455E-3</v>
      </c>
      <c r="N1288" s="5" t="s">
        <v>4</v>
      </c>
      <c r="O1288" s="97">
        <f ca="1">_xll.meDateFromTenor(O1287,"1D","FOLLOWING","TGT")</f>
        <v>44340</v>
      </c>
      <c r="P1288" s="95">
        <f ca="1"/>
        <v>7.3968531731544917E-3</v>
      </c>
      <c r="Q1288" s="5" t="s">
        <v>4</v>
      </c>
      <c r="R1288" s="83" t="s">
        <v>4</v>
      </c>
    </row>
    <row r="1289" spans="1:18" x14ac:dyDescent="0.25">
      <c r="A1289" s="88">
        <v>1275</v>
      </c>
      <c r="B1289" s="82"/>
      <c r="C1289" s="97">
        <f ca="1">_xll.meDateFromTenor(C1288,"1D","FOLLOWING","TGT")</f>
        <v>44341</v>
      </c>
      <c r="D1289" s="95">
        <f ca="1"/>
        <v>1.328560094143727E-3</v>
      </c>
      <c r="E1289" s="92"/>
      <c r="F1289" s="97">
        <f ca="1">_xll.meDateFromTenor(F1288,"1D","FOLLOWING","TGT")</f>
        <v>44341</v>
      </c>
      <c r="G1289" s="95">
        <f ca="1"/>
        <v>2.3755444414168092E-3</v>
      </c>
      <c r="H1289" s="92" t="s">
        <v>4</v>
      </c>
      <c r="I1289" s="97">
        <f ca="1">_xll.meDateFromTenor(I1288,"1D","FOLLOWING","TGT")</f>
        <v>44341</v>
      </c>
      <c r="J1289" s="95">
        <f ca="1"/>
        <v>3.5278988172423903E-3</v>
      </c>
      <c r="K1289" s="5" t="s">
        <v>4</v>
      </c>
      <c r="L1289" s="97">
        <f ca="1">_xll.meDateFromTenor(L1288,"1D","FOLLOWING","TGT")</f>
        <v>44341</v>
      </c>
      <c r="M1289" s="95">
        <f ca="1"/>
        <v>5.3673795586104845E-3</v>
      </c>
      <c r="N1289" s="5" t="s">
        <v>4</v>
      </c>
      <c r="O1289" s="97">
        <f ca="1">_xll.meDateFromTenor(O1288,"1D","FOLLOWING","TGT")</f>
        <v>44341</v>
      </c>
      <c r="P1289" s="95">
        <f ca="1"/>
        <v>7.4042695004847333E-3</v>
      </c>
      <c r="Q1289" s="5" t="s">
        <v>4</v>
      </c>
      <c r="R1289" s="83" t="s">
        <v>4</v>
      </c>
    </row>
    <row r="1290" spans="1:18" x14ac:dyDescent="0.25">
      <c r="A1290" s="88">
        <v>1276</v>
      </c>
      <c r="B1290" s="82"/>
      <c r="C1290" s="97">
        <f ca="1">_xll.meDateFromTenor(C1289,"1D","FOLLOWING","TGT")</f>
        <v>44342</v>
      </c>
      <c r="D1290" s="95">
        <f ca="1"/>
        <v>1.3380581678188452E-3</v>
      </c>
      <c r="E1290" s="92"/>
      <c r="F1290" s="97">
        <f ca="1">_xll.meDateFromTenor(F1289,"1D","FOLLOWING","TGT")</f>
        <v>44342</v>
      </c>
      <c r="G1290" s="95">
        <f ca="1"/>
        <v>2.3829903971475724E-3</v>
      </c>
      <c r="H1290" s="92" t="s">
        <v>4</v>
      </c>
      <c r="I1290" s="97">
        <f ca="1">_xll.meDateFromTenor(I1289,"1D","FOLLOWING","TGT")</f>
        <v>44342</v>
      </c>
      <c r="J1290" s="95">
        <f ca="1"/>
        <v>3.5355457033892481E-3</v>
      </c>
      <c r="K1290" s="5" t="s">
        <v>4</v>
      </c>
      <c r="L1290" s="97">
        <f ca="1">_xll.meDateFromTenor(L1289,"1D","FOLLOWING","TGT")</f>
        <v>44342</v>
      </c>
      <c r="M1290" s="95">
        <f ca="1"/>
        <v>5.374863302867859E-3</v>
      </c>
      <c r="N1290" s="5" t="s">
        <v>4</v>
      </c>
      <c r="O1290" s="97">
        <f ca="1">_xll.meDateFromTenor(O1289,"1D","FOLLOWING","TGT")</f>
        <v>44342</v>
      </c>
      <c r="P1290" s="95">
        <f ca="1"/>
        <v>7.4116859212923344E-3</v>
      </c>
      <c r="Q1290" s="5" t="s">
        <v>4</v>
      </c>
      <c r="R1290" s="83" t="s">
        <v>4</v>
      </c>
    </row>
    <row r="1291" spans="1:18" x14ac:dyDescent="0.25">
      <c r="A1291" s="88">
        <v>1277</v>
      </c>
      <c r="B1291" s="82"/>
      <c r="C1291" s="97">
        <f ca="1">_xll.meDateFromTenor(C1290,"1D","FOLLOWING","TGT")</f>
        <v>44343</v>
      </c>
      <c r="D1291" s="95">
        <f ca="1"/>
        <v>1.3476144699571257E-3</v>
      </c>
      <c r="E1291" s="92"/>
      <c r="F1291" s="97">
        <f ca="1">_xll.meDateFromTenor(F1290,"1D","FOLLOWING","TGT")</f>
        <v>44343</v>
      </c>
      <c r="G1291" s="95">
        <f ca="1"/>
        <v>2.3904435469848701E-3</v>
      </c>
      <c r="H1291" s="92" t="s">
        <v>4</v>
      </c>
      <c r="I1291" s="97">
        <f ca="1">_xll.meDateFromTenor(I1290,"1D","FOLLOWING","TGT")</f>
        <v>44343</v>
      </c>
      <c r="J1291" s="95">
        <f ca="1"/>
        <v>3.5431952179389185E-3</v>
      </c>
      <c r="K1291" s="5" t="s">
        <v>4</v>
      </c>
      <c r="L1291" s="97">
        <f ca="1">_xll.meDateFromTenor(L1290,"1D","FOLLOWING","TGT")</f>
        <v>44343</v>
      </c>
      <c r="M1291" s="95">
        <f ca="1"/>
        <v>5.3823499366763084E-3</v>
      </c>
      <c r="N1291" s="5" t="s">
        <v>4</v>
      </c>
      <c r="O1291" s="97">
        <f ca="1">_xll.meDateFromTenor(O1290,"1D","FOLLOWING","TGT")</f>
        <v>44343</v>
      </c>
      <c r="P1291" s="95">
        <f ca="1"/>
        <v>7.4191024204389878E-3</v>
      </c>
      <c r="Q1291" s="5" t="s">
        <v>4</v>
      </c>
      <c r="R1291" s="83" t="s">
        <v>4</v>
      </c>
    </row>
    <row r="1292" spans="1:18" x14ac:dyDescent="0.25">
      <c r="A1292" s="88">
        <v>1278</v>
      </c>
      <c r="B1292" s="82"/>
      <c r="C1292" s="97">
        <f ca="1">_xll.meDateFromTenor(C1291,"1D","FOLLOWING","TGT")</f>
        <v>44344</v>
      </c>
      <c r="D1292" s="95">
        <f ca="1"/>
        <v>1.3572290039818302E-3</v>
      </c>
      <c r="E1292" s="92"/>
      <c r="F1292" s="97">
        <f ca="1">_xll.meDateFromTenor(F1291,"1D","FOLLOWING","TGT")</f>
        <v>44344</v>
      </c>
      <c r="G1292" s="95">
        <f ca="1"/>
        <v>2.3979064969903143E-3</v>
      </c>
      <c r="H1292" s="92" t="s">
        <v>4</v>
      </c>
      <c r="I1292" s="97">
        <f ca="1">_xll.meDateFromTenor(I1291,"1D","FOLLOWING","TGT")</f>
        <v>44344</v>
      </c>
      <c r="J1292" s="95">
        <f ca="1"/>
        <v>3.5508473832433873E-3</v>
      </c>
      <c r="K1292" s="5" t="s">
        <v>4</v>
      </c>
      <c r="L1292" s="97">
        <f ca="1">_xll.meDateFromTenor(L1291,"1D","FOLLOWING","TGT")</f>
        <v>44344</v>
      </c>
      <c r="M1292" s="95">
        <f ca="1"/>
        <v>5.3898394586579688E-3</v>
      </c>
      <c r="N1292" s="5" t="s">
        <v>4</v>
      </c>
      <c r="O1292" s="97">
        <f ca="1">_xll.meDateFromTenor(O1291,"1D","FOLLOWING","TGT")</f>
        <v>44344</v>
      </c>
      <c r="P1292" s="95">
        <f ca="1"/>
        <v>7.4265189827863887E-3</v>
      </c>
      <c r="Q1292" s="5" t="s">
        <v>4</v>
      </c>
      <c r="R1292" s="83" t="s">
        <v>4</v>
      </c>
    </row>
    <row r="1293" spans="1:18" x14ac:dyDescent="0.25">
      <c r="A1293" s="88">
        <v>1279</v>
      </c>
      <c r="B1293" s="82"/>
      <c r="C1293" s="97">
        <f ca="1">_xll.meDateFromTenor(C1292,"1D","FOLLOWING","TGT")</f>
        <v>44347</v>
      </c>
      <c r="D1293" s="95">
        <f ca="1"/>
        <v>1.3864220305377373E-3</v>
      </c>
      <c r="E1293" s="92"/>
      <c r="F1293" s="97">
        <f ca="1">_xll.meDateFromTenor(F1292,"1D","FOLLOWING","TGT")</f>
        <v>44347</v>
      </c>
      <c r="G1293" s="95">
        <f ca="1"/>
        <v>2.4203802086316742E-3</v>
      </c>
      <c r="H1293" s="92" t="s">
        <v>4</v>
      </c>
      <c r="I1293" s="97">
        <f ca="1">_xll.meDateFromTenor(I1292,"1D","FOLLOWING","TGT")</f>
        <v>44347</v>
      </c>
      <c r="J1293" s="95">
        <f ca="1"/>
        <v>3.5738200072054243E-3</v>
      </c>
      <c r="K1293" s="5" t="s">
        <v>4</v>
      </c>
      <c r="L1293" s="97">
        <f ca="1">_xll.meDateFromTenor(L1292,"1D","FOLLOWING","TGT")</f>
        <v>44347</v>
      </c>
      <c r="M1293" s="95">
        <f ca="1"/>
        <v>5.4123253398635982E-3</v>
      </c>
      <c r="N1293" s="5" t="s">
        <v>4</v>
      </c>
      <c r="O1293" s="97">
        <f ca="1">_xll.meDateFromTenor(O1292,"1D","FOLLOWING","TGT")</f>
        <v>44347</v>
      </c>
      <c r="P1293" s="95">
        <f ca="1"/>
        <v>7.4487688976499966E-3</v>
      </c>
      <c r="Q1293" s="5" t="s">
        <v>4</v>
      </c>
      <c r="R1293" s="83" t="s">
        <v>4</v>
      </c>
    </row>
    <row r="1294" spans="1:18" x14ac:dyDescent="0.25">
      <c r="A1294" s="88">
        <v>1280</v>
      </c>
      <c r="B1294" s="82"/>
      <c r="C1294" s="97">
        <f ca="1">_xll.meDateFromTenor(C1293,"1D","FOLLOWING","TGT")</f>
        <v>44348</v>
      </c>
      <c r="D1294" s="95">
        <f ca="1"/>
        <v>1.3962695254057245E-3</v>
      </c>
      <c r="E1294" s="92"/>
      <c r="F1294" s="97">
        <f ca="1">_xll.meDateFromTenor(F1293,"1D","FOLLOWING","TGT")</f>
        <v>44348</v>
      </c>
      <c r="G1294" s="95">
        <f ca="1"/>
        <v>2.4279084199258479E-3</v>
      </c>
      <c r="H1294" s="92" t="s">
        <v>4</v>
      </c>
      <c r="I1294" s="97">
        <f ca="1">_xll.meDateFromTenor(I1293,"1D","FOLLOWING","TGT")</f>
        <v>44348</v>
      </c>
      <c r="J1294" s="95">
        <f ca="1"/>
        <v>3.5814829990489278E-3</v>
      </c>
      <c r="K1294" s="5" t="s">
        <v>4</v>
      </c>
      <c r="L1294" s="97">
        <f ca="1">_xll.meDateFromTenor(L1293,"1D","FOLLOWING","TGT")</f>
        <v>44348</v>
      </c>
      <c r="M1294" s="95">
        <f ca="1"/>
        <v>5.419826400759482E-3</v>
      </c>
      <c r="N1294" s="5" t="s">
        <v>4</v>
      </c>
      <c r="O1294" s="97">
        <f ca="1">_xll.meDateFromTenor(O1293,"1D","FOLLOWING","TGT")</f>
        <v>44348</v>
      </c>
      <c r="P1294" s="95">
        <f ca="1"/>
        <v>7.4561855614173117E-3</v>
      </c>
      <c r="Q1294" s="5" t="s">
        <v>4</v>
      </c>
      <c r="R1294" s="83" t="s">
        <v>4</v>
      </c>
    </row>
    <row r="1295" spans="1:18" x14ac:dyDescent="0.25">
      <c r="A1295" s="88">
        <v>1281</v>
      </c>
      <c r="B1295" s="82"/>
      <c r="C1295" s="97">
        <f ca="1">_xll.meDateFromTenor(C1294,"1D","FOLLOWING","TGT")</f>
        <v>44349</v>
      </c>
      <c r="D1295" s="95">
        <f ca="1"/>
        <v>1.4061643510125954E-3</v>
      </c>
      <c r="E1295" s="92"/>
      <c r="F1295" s="97">
        <f ca="1">_xll.meDateFromTenor(F1294,"1D","FOLLOWING","TGT")</f>
        <v>44349</v>
      </c>
      <c r="G1295" s="95">
        <f ca="1"/>
        <v>2.4354594616962416E-3</v>
      </c>
      <c r="H1295" s="92" t="s">
        <v>4</v>
      </c>
      <c r="I1295" s="97">
        <f ca="1">_xll.meDateFromTenor(I1294,"1D","FOLLOWING","TGT")</f>
        <v>44349</v>
      </c>
      <c r="J1295" s="95">
        <f ca="1"/>
        <v>3.5891487534071547E-3</v>
      </c>
      <c r="K1295" s="5" t="s">
        <v>4</v>
      </c>
      <c r="L1295" s="97">
        <f ca="1">_xll.meDateFromTenor(L1294,"1D","FOLLOWING","TGT")</f>
        <v>44349</v>
      </c>
      <c r="M1295" s="95">
        <f ca="1"/>
        <v>5.4273303429392674E-3</v>
      </c>
      <c r="N1295" s="5" t="s">
        <v>4</v>
      </c>
      <c r="O1295" s="97">
        <f ca="1">_xll.meDateFromTenor(O1294,"1D","FOLLOWING","TGT")</f>
        <v>44349</v>
      </c>
      <c r="P1295" s="95">
        <f ca="1"/>
        <v>7.4636022126938414E-3</v>
      </c>
      <c r="Q1295" s="5" t="s">
        <v>4</v>
      </c>
      <c r="R1295" s="83" t="s">
        <v>4</v>
      </c>
    </row>
    <row r="1296" spans="1:18" x14ac:dyDescent="0.25">
      <c r="A1296" s="88">
        <v>1282</v>
      </c>
      <c r="B1296" s="82"/>
      <c r="C1296" s="97">
        <f ca="1">_xll.meDateFromTenor(C1295,"1D","FOLLOWING","TGT")</f>
        <v>44350</v>
      </c>
      <c r="D1296" s="95">
        <f ca="1"/>
        <v>1.4160628385391227E-3</v>
      </c>
      <c r="E1296" s="92"/>
      <c r="F1296" s="97">
        <f ca="1">_xll.meDateFromTenor(F1295,"1D","FOLLOWING","TGT")</f>
        <v>44350</v>
      </c>
      <c r="G1296" s="95">
        <f ca="1"/>
        <v>2.4430352748617767E-3</v>
      </c>
      <c r="H1296" s="92" t="s">
        <v>4</v>
      </c>
      <c r="I1296" s="97">
        <f ca="1">_xll.meDateFromTenor(I1295,"1D","FOLLOWING","TGT")</f>
        <v>44350</v>
      </c>
      <c r="J1296" s="95">
        <f ca="1"/>
        <v>3.5968172872243337E-3</v>
      </c>
      <c r="K1296" s="5" t="s">
        <v>4</v>
      </c>
      <c r="L1296" s="97">
        <f ca="1">_xll.meDateFromTenor(L1295,"1D","FOLLOWING","TGT")</f>
        <v>44350</v>
      </c>
      <c r="M1296" s="95">
        <f ca="1"/>
        <v>5.4348373697458534E-3</v>
      </c>
      <c r="N1296" s="5" t="s">
        <v>4</v>
      </c>
      <c r="O1296" s="97">
        <f ca="1">_xll.meDateFromTenor(O1295,"1D","FOLLOWING","TGT")</f>
        <v>44350</v>
      </c>
      <c r="P1296" s="95">
        <f ca="1"/>
        <v>7.471018838372671E-3</v>
      </c>
      <c r="Q1296" s="5" t="s">
        <v>4</v>
      </c>
      <c r="R1296" s="83" t="s">
        <v>4</v>
      </c>
    </row>
    <row r="1297" spans="1:18" x14ac:dyDescent="0.25">
      <c r="A1297" s="88">
        <v>1283</v>
      </c>
      <c r="B1297" s="82"/>
      <c r="C1297" s="97">
        <f ca="1">_xll.meDateFromTenor(C1296,"1D","FOLLOWING","TGT")</f>
        <v>44351</v>
      </c>
      <c r="D1297" s="95">
        <f ca="1"/>
        <v>1.425954070667812E-3</v>
      </c>
      <c r="E1297" s="92"/>
      <c r="F1297" s="97">
        <f ca="1">_xll.meDateFromTenor(F1296,"1D","FOLLOWING","TGT")</f>
        <v>44351</v>
      </c>
      <c r="G1297" s="95">
        <f ca="1"/>
        <v>2.4506351397706157E-3</v>
      </c>
      <c r="H1297" s="92" t="s">
        <v>4</v>
      </c>
      <c r="I1297" s="97">
        <f ca="1">_xll.meDateFromTenor(I1296,"1D","FOLLOWING","TGT")</f>
        <v>44351</v>
      </c>
      <c r="J1297" s="95">
        <f ca="1"/>
        <v>3.6044885958136869E-3</v>
      </c>
      <c r="K1297" s="5" t="s">
        <v>4</v>
      </c>
      <c r="L1297" s="97">
        <f ca="1">_xll.meDateFromTenor(L1296,"1D","FOLLOWING","TGT")</f>
        <v>44351</v>
      </c>
      <c r="M1297" s="95">
        <f ca="1"/>
        <v>5.4423476818645762E-3</v>
      </c>
      <c r="N1297" s="5" t="s">
        <v>4</v>
      </c>
      <c r="O1297" s="97">
        <f ca="1">_xll.meDateFromTenor(O1296,"1D","FOLLOWING","TGT")</f>
        <v>44351</v>
      </c>
      <c r="P1297" s="95">
        <f ca="1"/>
        <v>7.4784354334724631E-3</v>
      </c>
      <c r="Q1297" s="5" t="s">
        <v>4</v>
      </c>
      <c r="R1297" s="83" t="s">
        <v>4</v>
      </c>
    </row>
    <row r="1298" spans="1:18" x14ac:dyDescent="0.25">
      <c r="A1298" s="88">
        <v>1284</v>
      </c>
      <c r="B1298" s="82"/>
      <c r="C1298" s="97">
        <f ca="1">_xll.meDateFromTenor(C1297,"1D","FOLLOWING","TGT")</f>
        <v>44354</v>
      </c>
      <c r="D1298" s="95">
        <f ca="1"/>
        <v>1.4555842393959573E-3</v>
      </c>
      <c r="E1298" s="92"/>
      <c r="F1298" s="97">
        <f ca="1">_xll.meDateFromTenor(F1297,"1D","FOLLOWING","TGT")</f>
        <v>44354</v>
      </c>
      <c r="G1298" s="95">
        <f ca="1"/>
        <v>2.4735651970116753E-3</v>
      </c>
      <c r="H1298" s="92" t="s">
        <v>4</v>
      </c>
      <c r="I1298" s="97">
        <f ca="1">_xll.meDateFromTenor(I1297,"1D","FOLLOWING","TGT")</f>
        <v>44354</v>
      </c>
      <c r="J1298" s="95">
        <f ca="1"/>
        <v>3.6275190692694622E-3</v>
      </c>
      <c r="K1298" s="5" t="s">
        <v>4</v>
      </c>
      <c r="L1298" s="97">
        <f ca="1">_xll.meDateFromTenor(L1297,"1D","FOLLOWING","TGT")</f>
        <v>44354</v>
      </c>
      <c r="M1298" s="95">
        <f ca="1"/>
        <v>5.4648982764515441E-3</v>
      </c>
      <c r="N1298" s="5" t="s">
        <v>4</v>
      </c>
      <c r="O1298" s="97">
        <f ca="1">_xll.meDateFromTenor(O1297,"1D","FOLLOWING","TGT")</f>
        <v>44354</v>
      </c>
      <c r="P1298" s="95">
        <f ca="1"/>
        <v>7.5006850057981718E-3</v>
      </c>
      <c r="Q1298" s="5" t="s">
        <v>4</v>
      </c>
      <c r="R1298" s="83" t="s">
        <v>4</v>
      </c>
    </row>
    <row r="1299" spans="1:18" x14ac:dyDescent="0.25">
      <c r="A1299" s="88">
        <v>1285</v>
      </c>
      <c r="B1299" s="82"/>
      <c r="C1299" s="97">
        <f ca="1">_xll.meDateFromTenor(C1298,"1D","FOLLOWING","TGT")</f>
        <v>44355</v>
      </c>
      <c r="D1299" s="95">
        <f ca="1"/>
        <v>1.4654464547401158E-3</v>
      </c>
      <c r="E1299" s="92"/>
      <c r="F1299" s="97">
        <f ca="1">_xll.meDateFromTenor(F1298,"1D","FOLLOWING","TGT")</f>
        <v>44355</v>
      </c>
      <c r="G1299" s="95">
        <f ca="1"/>
        <v>2.4812474209484486E-3</v>
      </c>
      <c r="H1299" s="92" t="s">
        <v>4</v>
      </c>
      <c r="I1299" s="97">
        <f ca="1">_xll.meDateFromTenor(I1298,"1D","FOLLOWING","TGT")</f>
        <v>44355</v>
      </c>
      <c r="J1299" s="95">
        <f ca="1"/>
        <v>3.6352013760021845E-3</v>
      </c>
      <c r="K1299" s="5" t="s">
        <v>4</v>
      </c>
      <c r="L1299" s="97">
        <f ca="1">_xll.meDateFromTenor(L1298,"1D","FOLLOWING","TGT")</f>
        <v>44355</v>
      </c>
      <c r="M1299" s="95">
        <f ca="1"/>
        <v>5.4724216761767881E-3</v>
      </c>
      <c r="N1299" s="5" t="s">
        <v>4</v>
      </c>
      <c r="O1299" s="97">
        <f ca="1">_xll.meDateFromTenor(O1298,"1D","FOLLOWING","TGT")</f>
        <v>44355</v>
      </c>
      <c r="P1299" s="95">
        <f ca="1"/>
        <v>7.5081014490823725E-3</v>
      </c>
      <c r="Q1299" s="5" t="s">
        <v>4</v>
      </c>
      <c r="R1299" s="83" t="s">
        <v>4</v>
      </c>
    </row>
    <row r="1300" spans="1:18" x14ac:dyDescent="0.25">
      <c r="A1300" s="88">
        <v>1286</v>
      </c>
      <c r="B1300" s="82"/>
      <c r="C1300" s="97">
        <f ca="1">_xll.meDateFromTenor(C1299,"1D","FOLLOWING","TGT")</f>
        <v>44356</v>
      </c>
      <c r="D1300" s="95">
        <f ca="1"/>
        <v>1.475301416890451E-3</v>
      </c>
      <c r="E1300" s="92"/>
      <c r="F1300" s="97">
        <f ca="1">_xll.meDateFromTenor(F1299,"1D","FOLLOWING","TGT")</f>
        <v>44356</v>
      </c>
      <c r="G1300" s="95">
        <f ca="1"/>
        <v>2.4889467726558847E-3</v>
      </c>
      <c r="H1300" s="92" t="s">
        <v>4</v>
      </c>
      <c r="I1300" s="97">
        <f ca="1">_xll.meDateFromTenor(I1299,"1D","FOLLOWING","TGT")</f>
        <v>44356</v>
      </c>
      <c r="J1300" s="95">
        <f ca="1"/>
        <v>3.6428864070344167E-3</v>
      </c>
      <c r="K1300" s="5" t="s">
        <v>4</v>
      </c>
      <c r="L1300" s="97">
        <f ca="1">_xll.meDateFromTenor(L1299,"1D","FOLLOWING","TGT")</f>
        <v>44356</v>
      </c>
      <c r="M1300" s="95">
        <f ca="1"/>
        <v>5.4799483343931539E-3</v>
      </c>
      <c r="N1300" s="5" t="s">
        <v>4</v>
      </c>
      <c r="O1300" s="97">
        <f ca="1">_xll.meDateFromTenor(O1299,"1D","FOLLOWING","TGT")</f>
        <v>44356</v>
      </c>
      <c r="P1300" s="95">
        <f ca="1"/>
        <v>7.5155178470378177E-3</v>
      </c>
      <c r="Q1300" s="5" t="s">
        <v>4</v>
      </c>
      <c r="R1300" s="83" t="s">
        <v>4</v>
      </c>
    </row>
    <row r="1301" spans="1:18" x14ac:dyDescent="0.25">
      <c r="A1301" s="88">
        <v>1287</v>
      </c>
      <c r="B1301" s="82"/>
      <c r="C1301" s="97">
        <f ca="1">_xll.meDateFromTenor(C1300,"1D","FOLLOWING","TGT")</f>
        <v>44357</v>
      </c>
      <c r="D1301" s="95">
        <f ca="1"/>
        <v>1.4851491268303985E-3</v>
      </c>
      <c r="E1301" s="92"/>
      <c r="F1301" s="97">
        <f ca="1">_xll.meDateFromTenor(F1300,"1D","FOLLOWING","TGT")</f>
        <v>44357</v>
      </c>
      <c r="G1301" s="95">
        <f ca="1"/>
        <v>2.496661867339454E-3</v>
      </c>
      <c r="H1301" s="92" t="s">
        <v>4</v>
      </c>
      <c r="I1301" s="97">
        <f ca="1">_xll.meDateFromTenor(I1300,"1D","FOLLOWING","TGT")</f>
        <v>44357</v>
      </c>
      <c r="J1301" s="95">
        <f ca="1"/>
        <v>3.650574152271626E-3</v>
      </c>
      <c r="K1301" s="5" t="s">
        <v>4</v>
      </c>
      <c r="L1301" s="97">
        <f ca="1">_xll.meDateFromTenor(L1300,"1D","FOLLOWING","TGT")</f>
        <v>44357</v>
      </c>
      <c r="M1301" s="95">
        <f ca="1"/>
        <v>5.4874782457364378E-3</v>
      </c>
      <c r="N1301" s="5" t="s">
        <v>4</v>
      </c>
      <c r="O1301" s="97">
        <f ca="1">_xll.meDateFromTenor(O1300,"1D","FOLLOWING","TGT")</f>
        <v>44357</v>
      </c>
      <c r="P1301" s="95">
        <f ca="1"/>
        <v>7.5229341967145581E-3</v>
      </c>
      <c r="Q1301" s="5" t="s">
        <v>4</v>
      </c>
      <c r="R1301" s="83" t="s">
        <v>4</v>
      </c>
    </row>
    <row r="1302" spans="1:18" x14ac:dyDescent="0.25">
      <c r="A1302" s="88">
        <v>1288</v>
      </c>
      <c r="B1302" s="82"/>
      <c r="C1302" s="97">
        <f ca="1">_xll.meDateFromTenor(C1301,"1D","FOLLOWING","TGT")</f>
        <v>44358</v>
      </c>
      <c r="D1302" s="95">
        <f ca="1"/>
        <v>1.4949895844271754E-3</v>
      </c>
      <c r="E1302" s="92"/>
      <c r="F1302" s="97">
        <f ca="1">_xll.meDateFromTenor(F1301,"1D","FOLLOWING","TGT")</f>
        <v>44358</v>
      </c>
      <c r="G1302" s="95">
        <f ca="1"/>
        <v>2.5043913202046322E-3</v>
      </c>
      <c r="H1302" s="92" t="s">
        <v>4</v>
      </c>
      <c r="I1302" s="97">
        <f ca="1">_xll.meDateFromTenor(I1301,"1D","FOLLOWING","TGT")</f>
        <v>44358</v>
      </c>
      <c r="J1302" s="95">
        <f ca="1"/>
        <v>3.658264601619284E-3</v>
      </c>
      <c r="K1302" s="5" t="s">
        <v>4</v>
      </c>
      <c r="L1302" s="97">
        <f ca="1">_xll.meDateFromTenor(L1301,"1D","FOLLOWING","TGT")</f>
        <v>44358</v>
      </c>
      <c r="M1302" s="95">
        <f ca="1"/>
        <v>5.4950114048424393E-3</v>
      </c>
      <c r="N1302" s="5" t="s">
        <v>4</v>
      </c>
      <c r="O1302" s="97">
        <f ca="1">_xll.meDateFromTenor(O1301,"1D","FOLLOWING","TGT")</f>
        <v>44358</v>
      </c>
      <c r="P1302" s="95">
        <f ca="1"/>
        <v>7.5303504951626564E-3</v>
      </c>
      <c r="Q1302" s="5" t="s">
        <v>4</v>
      </c>
      <c r="R1302" s="83" t="s">
        <v>4</v>
      </c>
    </row>
    <row r="1303" spans="1:18" x14ac:dyDescent="0.25">
      <c r="A1303" s="88">
        <v>1289</v>
      </c>
      <c r="B1303" s="82"/>
      <c r="C1303" s="97">
        <f ca="1">_xll.meDateFromTenor(C1302,"1D","FOLLOWING","TGT")</f>
        <v>44361</v>
      </c>
      <c r="D1303" s="95">
        <f ca="1"/>
        <v>1.5244674497250088E-3</v>
      </c>
      <c r="E1303" s="92"/>
      <c r="F1303" s="97">
        <f ca="1">_xll.meDateFromTenor(F1302,"1D","FOLLOWING","TGT")</f>
        <v>44361</v>
      </c>
      <c r="G1303" s="95">
        <f ca="1"/>
        <v>2.5276519799445276E-3</v>
      </c>
      <c r="H1303" s="92" t="s">
        <v>4</v>
      </c>
      <c r="I1303" s="97">
        <f ca="1">_xll.meDateFromTenor(I1302,"1D","FOLLOWING","TGT")</f>
        <v>44361</v>
      </c>
      <c r="J1303" s="95">
        <f ca="1"/>
        <v>3.6813520733796103E-3</v>
      </c>
      <c r="K1303" s="5" t="s">
        <v>4</v>
      </c>
      <c r="L1303" s="97">
        <f ca="1">_xll.meDateFromTenor(L1302,"1D","FOLLOWING","TGT")</f>
        <v>44361</v>
      </c>
      <c r="M1303" s="95">
        <f ca="1"/>
        <v>5.5176303150947141E-3</v>
      </c>
      <c r="N1303" s="5" t="s">
        <v>4</v>
      </c>
      <c r="O1303" s="97">
        <f ca="1">_xll.meDateFromTenor(O1302,"1D","FOLLOWING","TGT")</f>
        <v>44361</v>
      </c>
      <c r="P1303" s="95">
        <f ca="1"/>
        <v>7.5525990536356473E-3</v>
      </c>
      <c r="Q1303" s="5" t="s">
        <v>4</v>
      </c>
      <c r="R1303" s="83" t="s">
        <v>4</v>
      </c>
    </row>
    <row r="1304" spans="1:18" x14ac:dyDescent="0.25">
      <c r="A1304" s="88">
        <v>1290</v>
      </c>
      <c r="B1304" s="82"/>
      <c r="C1304" s="97">
        <f ca="1">_xll.meDateFromTenor(C1303,"1D","FOLLOWING","TGT")</f>
        <v>44362</v>
      </c>
      <c r="D1304" s="95">
        <f ca="1"/>
        <v>1.5342789039609617E-3</v>
      </c>
      <c r="E1304" s="92"/>
      <c r="F1304" s="97">
        <f ca="1">_xll.meDateFromTenor(F1303,"1D","FOLLOWING","TGT")</f>
        <v>44362</v>
      </c>
      <c r="G1304" s="95">
        <f ca="1"/>
        <v>2.535425017590852E-3</v>
      </c>
      <c r="H1304" s="92" t="s">
        <v>4</v>
      </c>
      <c r="I1304" s="97">
        <f ca="1">_xll.meDateFromTenor(I1303,"1D","FOLLOWING","TGT")</f>
        <v>44362</v>
      </c>
      <c r="J1304" s="95">
        <f ca="1"/>
        <v>3.6890532382237284E-3</v>
      </c>
      <c r="K1304" s="5" t="s">
        <v>4</v>
      </c>
      <c r="L1304" s="97">
        <f ca="1">_xll.meDateFromTenor(L1303,"1D","FOLLOWING","TGT")</f>
        <v>44362</v>
      </c>
      <c r="M1304" s="95">
        <f ca="1"/>
        <v>5.52517641160955E-3</v>
      </c>
      <c r="N1304" s="5" t="s">
        <v>4</v>
      </c>
      <c r="O1304" s="97">
        <f ca="1">_xll.meDateFromTenor(O1303,"1D","FOLLOWING","TGT")</f>
        <v>44362</v>
      </c>
      <c r="P1304" s="95">
        <f ca="1"/>
        <v>7.5600151176697279E-3</v>
      </c>
      <c r="Q1304" s="5" t="s">
        <v>4</v>
      </c>
      <c r="R1304" s="83" t="s">
        <v>4</v>
      </c>
    </row>
    <row r="1305" spans="1:18" x14ac:dyDescent="0.25">
      <c r="A1305" s="88">
        <v>1291</v>
      </c>
      <c r="B1305" s="82"/>
      <c r="C1305" s="97">
        <f ca="1">_xll.meDateFromTenor(C1304,"1D","FOLLOWING","TGT")</f>
        <v>44363</v>
      </c>
      <c r="D1305" s="95">
        <f ca="1"/>
        <v>1.5440831082202955E-3</v>
      </c>
      <c r="E1305" s="92"/>
      <c r="F1305" s="97">
        <f ca="1">_xll.meDateFromTenor(F1304,"1D","FOLLOWING","TGT")</f>
        <v>44363</v>
      </c>
      <c r="G1305" s="95">
        <f ca="1"/>
        <v>2.5432054894461427E-3</v>
      </c>
      <c r="H1305" s="92" t="s">
        <v>4</v>
      </c>
      <c r="I1305" s="97">
        <f ca="1">_xll.meDateFromTenor(I1304,"1D","FOLLOWING","TGT")</f>
        <v>44363</v>
      </c>
      <c r="J1305" s="95">
        <f ca="1"/>
        <v>3.6967570567056304E-3</v>
      </c>
      <c r="K1305" s="5" t="s">
        <v>4</v>
      </c>
      <c r="L1305" s="97">
        <f ca="1">_xll.meDateFromTenor(L1304,"1D","FOLLOWING","TGT")</f>
        <v>44363</v>
      </c>
      <c r="M1305" s="95">
        <f ca="1"/>
        <v>5.5327257290660875E-3</v>
      </c>
      <c r="N1305" s="5" t="s">
        <v>4</v>
      </c>
      <c r="O1305" s="97">
        <f ca="1">_xll.meDateFromTenor(O1304,"1D","FOLLOWING","TGT")</f>
        <v>44363</v>
      </c>
      <c r="P1305" s="95">
        <f ca="1"/>
        <v>7.5674311157254452E-3</v>
      </c>
      <c r="Q1305" s="5" t="s">
        <v>4</v>
      </c>
      <c r="R1305" s="83" t="s">
        <v>4</v>
      </c>
    </row>
    <row r="1306" spans="1:18" x14ac:dyDescent="0.25">
      <c r="A1306" s="88">
        <v>1292</v>
      </c>
      <c r="B1306" s="82"/>
      <c r="C1306" s="97">
        <f ca="1">_xll.meDateFromTenor(C1305,"1D","FOLLOWING","TGT")</f>
        <v>44364</v>
      </c>
      <c r="D1306" s="95">
        <f ca="1"/>
        <v>1.5538800632515226E-3</v>
      </c>
      <c r="E1306" s="92"/>
      <c r="F1306" s="97">
        <f ca="1">_xll.meDateFromTenor(F1305,"1D","FOLLOWING","TGT")</f>
        <v>44364</v>
      </c>
      <c r="G1306" s="95">
        <f ca="1"/>
        <v>2.550992010715872E-3</v>
      </c>
      <c r="H1306" s="92" t="s">
        <v>4</v>
      </c>
      <c r="I1306" s="97">
        <f ca="1">_xll.meDateFromTenor(I1305,"1D","FOLLOWING","TGT")</f>
        <v>44364</v>
      </c>
      <c r="J1306" s="95">
        <f ca="1"/>
        <v>3.7044635187307843E-3</v>
      </c>
      <c r="K1306" s="5" t="s">
        <v>4</v>
      </c>
      <c r="L1306" s="97">
        <f ca="1">_xll.meDateFromTenor(L1305,"1D","FOLLOWING","TGT")</f>
        <v>44364</v>
      </c>
      <c r="M1306" s="95">
        <f ca="1"/>
        <v>5.5402782621001229E-3</v>
      </c>
      <c r="N1306" s="5" t="s">
        <v>4</v>
      </c>
      <c r="O1306" s="97">
        <f ca="1">_xll.meDateFromTenor(O1305,"1D","FOLLOWING","TGT")</f>
        <v>44364</v>
      </c>
      <c r="P1306" s="95">
        <f ca="1"/>
        <v>7.5748470448528549E-3</v>
      </c>
      <c r="Q1306" s="5" t="s">
        <v>4</v>
      </c>
      <c r="R1306" s="83" t="s">
        <v>4</v>
      </c>
    </row>
    <row r="1307" spans="1:18" x14ac:dyDescent="0.25">
      <c r="A1307" s="88">
        <v>1293</v>
      </c>
      <c r="B1307" s="82"/>
      <c r="C1307" s="97">
        <f ca="1">_xll.meDateFromTenor(C1306,"1D","FOLLOWING","TGT")</f>
        <v>44365</v>
      </c>
      <c r="D1307" s="95">
        <f ca="1"/>
        <v>1.5636697695593504E-3</v>
      </c>
      <c r="E1307" s="92"/>
      <c r="F1307" s="97">
        <f ca="1">_xll.meDateFromTenor(F1306,"1D","FOLLOWING","TGT")</f>
        <v>44365</v>
      </c>
      <c r="G1307" s="95">
        <f ca="1"/>
        <v>2.5587831966055112E-3</v>
      </c>
      <c r="H1307" s="92" t="s">
        <v>4</v>
      </c>
      <c r="I1307" s="97">
        <f ca="1">_xll.meDateFromTenor(I1306,"1D","FOLLOWING","TGT")</f>
        <v>44365</v>
      </c>
      <c r="J1307" s="95">
        <f ca="1"/>
        <v>3.7121726142046569E-3</v>
      </c>
      <c r="K1307" s="5" t="s">
        <v>4</v>
      </c>
      <c r="L1307" s="97">
        <f ca="1">_xll.meDateFromTenor(L1306,"1D","FOLLOWING","TGT")</f>
        <v>44365</v>
      </c>
      <c r="M1307" s="95">
        <f ca="1"/>
        <v>5.5478340053474531E-3</v>
      </c>
      <c r="N1307" s="5" t="s">
        <v>4</v>
      </c>
      <c r="O1307" s="97">
        <f ca="1">_xll.meDateFromTenor(O1306,"1D","FOLLOWING","TGT")</f>
        <v>44365</v>
      </c>
      <c r="P1307" s="95">
        <f ca="1"/>
        <v>7.582262902102014E-3</v>
      </c>
      <c r="Q1307" s="5" t="s">
        <v>4</v>
      </c>
      <c r="R1307" s="83" t="s">
        <v>4</v>
      </c>
    </row>
    <row r="1308" spans="1:18" x14ac:dyDescent="0.25">
      <c r="A1308" s="88">
        <v>1294</v>
      </c>
      <c r="B1308" s="82"/>
      <c r="C1308" s="97">
        <f ca="1">_xll.meDateFromTenor(C1307,"1D","FOLLOWING","TGT")</f>
        <v>44368</v>
      </c>
      <c r="D1308" s="95">
        <f ca="1"/>
        <v>1.592995399696262E-3</v>
      </c>
      <c r="E1308" s="92"/>
      <c r="F1308" s="97">
        <f ca="1">_xll.meDateFromTenor(F1307,"1D","FOLLOWING","TGT")</f>
        <v>44368</v>
      </c>
      <c r="G1308" s="95">
        <f ca="1"/>
        <v>2.5821708940486033E-3</v>
      </c>
      <c r="H1308" s="92" t="s">
        <v>4</v>
      </c>
      <c r="I1308" s="97">
        <f ca="1">_xll.meDateFromTenor(I1307,"1D","FOLLOWING","TGT")</f>
        <v>44368</v>
      </c>
      <c r="J1308" s="95">
        <f ca="1"/>
        <v>3.7353156003732623E-3</v>
      </c>
      <c r="K1308" s="5" t="s">
        <v>4</v>
      </c>
      <c r="L1308" s="97">
        <f ca="1">_xll.meDateFromTenor(L1307,"1D","FOLLOWING","TGT")</f>
        <v>44368</v>
      </c>
      <c r="M1308" s="95">
        <f ca="1"/>
        <v>5.5705204427271794E-3</v>
      </c>
      <c r="N1308" s="5" t="s">
        <v>4</v>
      </c>
      <c r="O1308" s="97">
        <f ca="1">_xll.meDateFromTenor(O1307,"1D","FOLLOWING","TGT")</f>
        <v>44368</v>
      </c>
      <c r="P1308" s="95">
        <f ca="1"/>
        <v>7.6045100130805385E-3</v>
      </c>
      <c r="Q1308" s="5" t="s">
        <v>4</v>
      </c>
      <c r="R1308" s="83" t="s">
        <v>4</v>
      </c>
    </row>
    <row r="1309" spans="1:18" x14ac:dyDescent="0.25">
      <c r="A1309" s="88">
        <v>1295</v>
      </c>
      <c r="B1309" s="82"/>
      <c r="C1309" s="97">
        <f ca="1">_xll.meDateFromTenor(C1308,"1D","FOLLOWING","TGT")</f>
        <v>44369</v>
      </c>
      <c r="D1309" s="95">
        <f ca="1"/>
        <v>1.6027561150633307E-3</v>
      </c>
      <c r="E1309" s="92"/>
      <c r="F1309" s="97">
        <f ca="1">_xll.meDateFromTenor(F1308,"1D","FOLLOWING","TGT")</f>
        <v>44369</v>
      </c>
      <c r="G1309" s="95">
        <f ca="1"/>
        <v>2.5899668904726001E-3</v>
      </c>
      <c r="H1309" s="92" t="s">
        <v>4</v>
      </c>
      <c r="I1309" s="97">
        <f ca="1">_xll.meDateFromTenor(I1308,"1D","FOLLOWING","TGT")</f>
        <v>44369</v>
      </c>
      <c r="J1309" s="95">
        <f ca="1"/>
        <v>3.7430351286966866E-3</v>
      </c>
      <c r="K1309" s="5" t="s">
        <v>4</v>
      </c>
      <c r="L1309" s="97">
        <f ca="1">_xll.meDateFromTenor(L1308,"1D","FOLLOWING","TGT")</f>
        <v>44369</v>
      </c>
      <c r="M1309" s="95">
        <f ca="1"/>
        <v>5.5780889731856572E-3</v>
      </c>
      <c r="N1309" s="5" t="s">
        <v>4</v>
      </c>
      <c r="O1309" s="97">
        <f ca="1">_xll.meDateFromTenor(O1308,"1D","FOLLOWING","TGT")</f>
        <v>44369</v>
      </c>
      <c r="P1309" s="95">
        <f ca="1"/>
        <v>7.6119255533172517E-3</v>
      </c>
      <c r="Q1309" s="5" t="s">
        <v>4</v>
      </c>
      <c r="R1309" s="83" t="s">
        <v>4</v>
      </c>
    </row>
    <row r="1310" spans="1:18" x14ac:dyDescent="0.25">
      <c r="A1310" s="88">
        <v>1296</v>
      </c>
      <c r="B1310" s="82"/>
      <c r="C1310" s="97">
        <f ca="1">_xll.meDateFromTenor(C1309,"1D","FOLLOWING","TGT")</f>
        <v>44370</v>
      </c>
      <c r="D1310" s="95">
        <f ca="1"/>
        <v>1.6125095839221171E-3</v>
      </c>
      <c r="E1310" s="92"/>
      <c r="F1310" s="97">
        <f ca="1">_xll.meDateFromTenor(F1309,"1D","FOLLOWING","TGT")</f>
        <v>44370</v>
      </c>
      <c r="G1310" s="95">
        <f ca="1"/>
        <v>2.5977606275438669E-3</v>
      </c>
      <c r="H1310" s="92" t="s">
        <v>4</v>
      </c>
      <c r="I1310" s="97">
        <f ca="1">_xll.meDateFromTenor(I1309,"1D","FOLLOWING","TGT")</f>
        <v>44370</v>
      </c>
      <c r="J1310" s="95">
        <f ca="1"/>
        <v>3.7507572399961679E-3</v>
      </c>
      <c r="K1310" s="5" t="s">
        <v>4</v>
      </c>
      <c r="L1310" s="97">
        <f ca="1">_xll.meDateFromTenor(L1309,"1D","FOLLOWING","TGT")</f>
        <v>44370</v>
      </c>
      <c r="M1310" s="95">
        <f ca="1"/>
        <v>5.5856606870364148E-3</v>
      </c>
      <c r="N1310" s="5" t="s">
        <v>4</v>
      </c>
      <c r="O1310" s="97">
        <f ca="1">_xll.meDateFromTenor(O1309,"1D","FOLLOWING","TGT")</f>
        <v>44370</v>
      </c>
      <c r="P1310" s="95">
        <f ca="1"/>
        <v>7.6193410069259945E-3</v>
      </c>
      <c r="Q1310" s="5" t="s">
        <v>4</v>
      </c>
      <c r="R1310" s="83" t="s">
        <v>4</v>
      </c>
    </row>
    <row r="1311" spans="1:18" x14ac:dyDescent="0.25">
      <c r="A1311" s="88">
        <v>1297</v>
      </c>
      <c r="B1311" s="82"/>
      <c r="C1311" s="97">
        <f ca="1">_xll.meDateFromTenor(C1310,"1D","FOLLOWING","TGT")</f>
        <v>44371</v>
      </c>
      <c r="D1311" s="95">
        <f ca="1"/>
        <v>1.6222558066218973E-3</v>
      </c>
      <c r="E1311" s="92"/>
      <c r="F1311" s="97">
        <f ca="1">_xll.meDateFromTenor(F1310,"1D","FOLLOWING","TGT")</f>
        <v>44371</v>
      </c>
      <c r="G1311" s="95">
        <f ca="1"/>
        <v>2.6055507204678745E-3</v>
      </c>
      <c r="H1311" s="92" t="s">
        <v>4</v>
      </c>
      <c r="I1311" s="97">
        <f ca="1">_xll.meDateFromTenor(I1310,"1D","FOLLOWING","TGT")</f>
        <v>44371</v>
      </c>
      <c r="J1311" s="95">
        <f ca="1"/>
        <v>3.7584819241771733E-3</v>
      </c>
      <c r="K1311" s="5" t="s">
        <v>4</v>
      </c>
      <c r="L1311" s="97">
        <f ca="1">_xll.meDateFromTenor(L1310,"1D","FOLLOWING","TGT")</f>
        <v>44371</v>
      </c>
      <c r="M1311" s="95">
        <f ca="1"/>
        <v>5.5932355789152493E-3</v>
      </c>
      <c r="N1311" s="5" t="s">
        <v>4</v>
      </c>
      <c r="O1311" s="97">
        <f ca="1">_xll.meDateFromTenor(O1310,"1D","FOLLOWING","TGT")</f>
        <v>44371</v>
      </c>
      <c r="P1311" s="95">
        <f ca="1"/>
        <v>7.6267563709568227E-3</v>
      </c>
      <c r="Q1311" s="5" t="s">
        <v>4</v>
      </c>
      <c r="R1311" s="83" t="s">
        <v>4</v>
      </c>
    </row>
    <row r="1312" spans="1:18" x14ac:dyDescent="0.25">
      <c r="A1312" s="88">
        <v>1298</v>
      </c>
      <c r="B1312" s="82"/>
      <c r="C1312" s="97">
        <f ca="1">_xll.meDateFromTenor(C1311,"1D","FOLLOWING","TGT")</f>
        <v>44372</v>
      </c>
      <c r="D1312" s="95">
        <f ca="1"/>
        <v>1.6319947837488691E-3</v>
      </c>
      <c r="E1312" s="92"/>
      <c r="F1312" s="97">
        <f ca="1">_xll.meDateFromTenor(F1311,"1D","FOLLOWING","TGT")</f>
        <v>44372</v>
      </c>
      <c r="G1312" s="95">
        <f ca="1"/>
        <v>2.6133357844500952E-3</v>
      </c>
      <c r="H1312" s="92" t="s">
        <v>4</v>
      </c>
      <c r="I1312" s="97">
        <f ca="1">_xll.meDateFromTenor(I1311,"1D","FOLLOWING","TGT")</f>
        <v>44372</v>
      </c>
      <c r="J1312" s="95">
        <f ca="1"/>
        <v>3.7662091711451709E-3</v>
      </c>
      <c r="K1312" s="5" t="s">
        <v>4</v>
      </c>
      <c r="L1312" s="97">
        <f ca="1">_xll.meDateFromTenor(L1311,"1D","FOLLOWING","TGT")</f>
        <v>44372</v>
      </c>
      <c r="M1312" s="95">
        <f ca="1"/>
        <v>5.6008136434579567E-3</v>
      </c>
      <c r="N1312" s="5" t="s">
        <v>4</v>
      </c>
      <c r="O1312" s="97">
        <f ca="1">_xll.meDateFromTenor(O1311,"1D","FOLLOWING","TGT")</f>
        <v>44372</v>
      </c>
      <c r="P1312" s="95">
        <f ca="1"/>
        <v>7.6341716424597923E-3</v>
      </c>
      <c r="Q1312" s="5" t="s">
        <v>4</v>
      </c>
      <c r="R1312" s="83" t="s">
        <v>4</v>
      </c>
    </row>
    <row r="1313" spans="1:18" x14ac:dyDescent="0.25">
      <c r="A1313" s="88">
        <v>1299</v>
      </c>
      <c r="B1313" s="82"/>
      <c r="C1313" s="97">
        <f ca="1">_xll.meDateFromTenor(C1312,"1D","FOLLOWING","TGT")</f>
        <v>44375</v>
      </c>
      <c r="D1313" s="95">
        <f ca="1"/>
        <v>1.6611682450196064E-3</v>
      </c>
      <c r="E1313" s="92"/>
      <c r="F1313" s="97">
        <f ca="1">_xll.meDateFromTenor(F1312,"1D","FOLLOWING","TGT")</f>
        <v>44375</v>
      </c>
      <c r="G1313" s="95">
        <f ca="1"/>
        <v>2.6366469548007509E-3</v>
      </c>
      <c r="H1313" s="92" t="s">
        <v>4</v>
      </c>
      <c r="I1313" s="97">
        <f ca="1">_xll.meDateFromTenor(I1312,"1D","FOLLOWING","TGT")</f>
        <v>44375</v>
      </c>
      <c r="J1313" s="95">
        <f ca="1"/>
        <v>3.7894061878257878E-3</v>
      </c>
      <c r="K1313" s="5" t="s">
        <v>4</v>
      </c>
      <c r="L1313" s="97">
        <f ca="1">_xll.meDateFromTenor(L1312,"1D","FOLLOWING","TGT")</f>
        <v>44375</v>
      </c>
      <c r="M1313" s="95">
        <f ca="1"/>
        <v>5.6235668194272847E-3</v>
      </c>
      <c r="N1313" s="5" t="s">
        <v>4</v>
      </c>
      <c r="O1313" s="97">
        <f ca="1">_xll.meDateFromTenor(O1312,"1D","FOLLOWING","TGT")</f>
        <v>44375</v>
      </c>
      <c r="P1313" s="95">
        <f ca="1"/>
        <v>7.6564168723021108E-3</v>
      </c>
      <c r="Q1313" s="5" t="s">
        <v>4</v>
      </c>
      <c r="R1313" s="83" t="s">
        <v>4</v>
      </c>
    </row>
    <row r="1314" spans="1:18" x14ac:dyDescent="0.25">
      <c r="A1314" s="88">
        <v>1300</v>
      </c>
      <c r="B1314" s="82"/>
      <c r="C1314" s="97">
        <f ca="1">_xll.meDateFromTenor(C1313,"1D","FOLLOWING","TGT")</f>
        <v>44376</v>
      </c>
      <c r="D1314" s="95">
        <f ca="1"/>
        <v>1.6708782437397929E-3</v>
      </c>
      <c r="E1314" s="92"/>
      <c r="F1314" s="97">
        <f ca="1">_xll.meDateFromTenor(F1313,"1D","FOLLOWING","TGT")</f>
        <v>44376</v>
      </c>
      <c r="G1314" s="95">
        <f ca="1"/>
        <v>2.6443980550705424E-3</v>
      </c>
      <c r="H1314" s="92" t="s">
        <v>4</v>
      </c>
      <c r="I1314" s="97">
        <f ca="1">_xll.meDateFromTenor(I1313,"1D","FOLLOWING","TGT")</f>
        <v>44376</v>
      </c>
      <c r="J1314" s="95">
        <f ca="1"/>
        <v>3.7971435849964278E-3</v>
      </c>
      <c r="K1314" s="5" t="s">
        <v>4</v>
      </c>
      <c r="L1314" s="97">
        <f ca="1">_xll.meDateFromTenor(L1313,"1D","FOLLOWING","TGT")</f>
        <v>44376</v>
      </c>
      <c r="M1314" s="95">
        <f ca="1"/>
        <v>5.6311575209834538E-3</v>
      </c>
      <c r="N1314" s="5" t="s">
        <v>4</v>
      </c>
      <c r="O1314" s="97">
        <f ca="1">_xll.meDateFromTenor(O1313,"1D","FOLLOWING","TGT")</f>
        <v>44376</v>
      </c>
      <c r="P1314" s="95">
        <f ca="1"/>
        <v>7.6638317441942083E-3</v>
      </c>
      <c r="Q1314" s="5" t="s">
        <v>4</v>
      </c>
      <c r="R1314" s="83" t="s">
        <v>4</v>
      </c>
    </row>
    <row r="1315" spans="1:18" x14ac:dyDescent="0.25">
      <c r="A1315" s="88">
        <v>1301</v>
      </c>
      <c r="B1315" s="82"/>
      <c r="C1315" s="97">
        <f ca="1">_xll.meDateFromTenor(C1314,"1D","FOLLOWING","TGT")</f>
        <v>44377</v>
      </c>
      <c r="D1315" s="95">
        <f ca="1"/>
        <v>1.6805809987900933E-3</v>
      </c>
      <c r="E1315" s="92"/>
      <c r="F1315" s="97">
        <f ca="1">_xll.meDateFromTenor(F1314,"1D","FOLLOWING","TGT")</f>
        <v>44377</v>
      </c>
      <c r="G1315" s="95">
        <f ca="1"/>
        <v>2.6521372024259056E-3</v>
      </c>
      <c r="H1315" s="92" t="s">
        <v>4</v>
      </c>
      <c r="I1315" s="97">
        <f ca="1">_xll.meDateFromTenor(I1314,"1D","FOLLOWING","TGT")</f>
        <v>44377</v>
      </c>
      <c r="J1315" s="95">
        <f ca="1"/>
        <v>3.8048834944813979E-3</v>
      </c>
      <c r="K1315" s="5" t="s">
        <v>4</v>
      </c>
      <c r="L1315" s="97">
        <f ca="1">_xll.meDateFromTenor(L1314,"1D","FOLLOWING","TGT")</f>
        <v>44377</v>
      </c>
      <c r="M1315" s="95">
        <f ca="1"/>
        <v>5.6387513683824808E-3</v>
      </c>
      <c r="N1315" s="5" t="s">
        <v>4</v>
      </c>
      <c r="O1315" s="97">
        <f ca="1">_xll.meDateFromTenor(O1314,"1D","FOLLOWING","TGT")</f>
        <v>44377</v>
      </c>
      <c r="P1315" s="95">
        <f ca="1"/>
        <v>7.6712465088087291E-3</v>
      </c>
      <c r="Q1315" s="5" t="s">
        <v>4</v>
      </c>
      <c r="R1315" s="83" t="s">
        <v>4</v>
      </c>
    </row>
    <row r="1316" spans="1:18" x14ac:dyDescent="0.25">
      <c r="A1316" s="88">
        <v>1302</v>
      </c>
      <c r="B1316" s="82"/>
      <c r="C1316" s="97">
        <f ca="1">_xll.meDateFromTenor(C1315,"1D","FOLLOWING","TGT")</f>
        <v>44378</v>
      </c>
      <c r="D1316" s="95">
        <f ca="1"/>
        <v>1.6902765109980677E-3</v>
      </c>
      <c r="E1316" s="92"/>
      <c r="F1316" s="97">
        <f ca="1">_xll.meDateFromTenor(F1315,"1D","FOLLOWING","TGT")</f>
        <v>44378</v>
      </c>
      <c r="G1316" s="95">
        <f ca="1"/>
        <v>2.6598630120723134E-3</v>
      </c>
      <c r="H1316" s="92" t="s">
        <v>4</v>
      </c>
      <c r="I1316" s="97">
        <f ca="1">_xll.meDateFromTenor(I1315,"1D","FOLLOWING","TGT")</f>
        <v>44378</v>
      </c>
      <c r="J1316" s="95">
        <f ca="1"/>
        <v>3.8126259061861656E-3</v>
      </c>
      <c r="K1316" s="5" t="s">
        <v>4</v>
      </c>
      <c r="L1316" s="97">
        <f ca="1">_xll.meDateFromTenor(L1315,"1D","FOLLOWING","TGT")</f>
        <v>44378</v>
      </c>
      <c r="M1316" s="95">
        <f ca="1"/>
        <v>5.6463483562601627E-3</v>
      </c>
      <c r="N1316" s="5" t="s">
        <v>4</v>
      </c>
      <c r="O1316" s="97">
        <f ca="1">_xll.meDateFromTenor(O1315,"1D","FOLLOWING","TGT")</f>
        <v>44378</v>
      </c>
      <c r="P1316" s="95">
        <f ca="1"/>
        <v>7.6786611631957285E-3</v>
      </c>
      <c r="Q1316" s="5" t="s">
        <v>4</v>
      </c>
      <c r="R1316" s="83" t="s">
        <v>4</v>
      </c>
    </row>
    <row r="1317" spans="1:18" x14ac:dyDescent="0.25">
      <c r="A1317" s="88">
        <v>1303</v>
      </c>
      <c r="B1317" s="82"/>
      <c r="C1317" s="97">
        <f ca="1">_xll.meDateFromTenor(C1316,"1D","FOLLOWING","TGT")</f>
        <v>44379</v>
      </c>
      <c r="D1317" s="95">
        <f ca="1"/>
        <v>1.6999647803943585E-3</v>
      </c>
      <c r="E1317" s="92"/>
      <c r="F1317" s="97">
        <f ca="1">_xll.meDateFromTenor(F1316,"1D","FOLLOWING","TGT")</f>
        <v>44379</v>
      </c>
      <c r="G1317" s="95">
        <f ca="1"/>
        <v>2.6675740992152365E-3</v>
      </c>
      <c r="H1317" s="92" t="s">
        <v>4</v>
      </c>
      <c r="I1317" s="97">
        <f ca="1">_xll.meDateFromTenor(I1316,"1D","FOLLOWING","TGT")</f>
        <v>44379</v>
      </c>
      <c r="J1317" s="95">
        <f ca="1"/>
        <v>3.8203708100161978E-3</v>
      </c>
      <c r="K1317" s="5" t="s">
        <v>4</v>
      </c>
      <c r="L1317" s="97">
        <f ca="1">_xll.meDateFromTenor(L1316,"1D","FOLLOWING","TGT")</f>
        <v>44379</v>
      </c>
      <c r="M1317" s="95">
        <f ca="1"/>
        <v>5.6539484792522956E-3</v>
      </c>
      <c r="N1317" s="5" t="s">
        <v>4</v>
      </c>
      <c r="O1317" s="97">
        <f ca="1">_xll.meDateFromTenor(O1316,"1D","FOLLOWING","TGT")</f>
        <v>44379</v>
      </c>
      <c r="P1317" s="95">
        <f ca="1"/>
        <v>7.6860757044052621E-3</v>
      </c>
      <c r="Q1317" s="5" t="s">
        <v>4</v>
      </c>
      <c r="R1317" s="83" t="s">
        <v>4</v>
      </c>
    </row>
    <row r="1318" spans="1:18" x14ac:dyDescent="0.25">
      <c r="A1318" s="88">
        <v>1304</v>
      </c>
      <c r="B1318" s="82"/>
      <c r="C1318" s="97">
        <f ca="1">_xll.meDateFromTenor(C1317,"1D","FOLLOWING","TGT")</f>
        <v>44382</v>
      </c>
      <c r="D1318" s="95">
        <f ca="1"/>
        <v>1.7289861373581683E-3</v>
      </c>
      <c r="E1318" s="92"/>
      <c r="F1318" s="97">
        <f ca="1">_xll.meDateFromTenor(F1317,"1D","FOLLOWING","TGT")</f>
        <v>44382</v>
      </c>
      <c r="G1318" s="95">
        <f ca="1"/>
        <v>2.690616721420268E-3</v>
      </c>
      <c r="H1318" s="92" t="s">
        <v>4</v>
      </c>
      <c r="I1318" s="97">
        <f ca="1">_xll.meDateFromTenor(I1317,"1D","FOLLOWING","TGT")</f>
        <v>44382</v>
      </c>
      <c r="J1318" s="95">
        <f ca="1"/>
        <v>3.8436203733125574E-3</v>
      </c>
      <c r="K1318" s="5" t="s">
        <v>4</v>
      </c>
      <c r="L1318" s="97">
        <f ca="1">_xll.meDateFromTenor(L1317,"1D","FOLLOWING","TGT")</f>
        <v>44382</v>
      </c>
      <c r="M1318" s="95">
        <f ca="1"/>
        <v>5.6767676052733758E-3</v>
      </c>
      <c r="N1318" s="5" t="s">
        <v>4</v>
      </c>
      <c r="O1318" s="97">
        <f ca="1">_xll.meDateFromTenor(O1317,"1D","FOLLOWING","TGT")</f>
        <v>44382</v>
      </c>
      <c r="P1318" s="95">
        <f ca="1"/>
        <v>7.7083186194696332E-3</v>
      </c>
      <c r="Q1318" s="5" t="s">
        <v>4</v>
      </c>
      <c r="R1318" s="83" t="s">
        <v>4</v>
      </c>
    </row>
    <row r="1319" spans="1:18" x14ac:dyDescent="0.25">
      <c r="A1319" s="88">
        <v>1305</v>
      </c>
      <c r="B1319" s="82"/>
      <c r="C1319" s="97">
        <f ca="1">_xll.meDateFromTenor(C1318,"1D","FOLLOWING","TGT")</f>
        <v>44383</v>
      </c>
      <c r="D1319" s="95">
        <f ca="1"/>
        <v>1.7386454406780327E-3</v>
      </c>
      <c r="E1319" s="92"/>
      <c r="F1319" s="97">
        <f ca="1">_xll.meDateFromTenor(F1318,"1D","FOLLOWING","TGT")</f>
        <v>44383</v>
      </c>
      <c r="G1319" s="95">
        <f ca="1"/>
        <v>2.6982708898065856E-3</v>
      </c>
      <c r="H1319" s="92" t="s">
        <v>4</v>
      </c>
      <c r="I1319" s="97">
        <f ca="1">_xll.meDateFromTenor(I1318,"1D","FOLLOWING","TGT")</f>
        <v>44383</v>
      </c>
      <c r="J1319" s="95">
        <f ca="1"/>
        <v>3.8513751446983243E-3</v>
      </c>
      <c r="K1319" s="5" t="s">
        <v>4</v>
      </c>
      <c r="L1319" s="97">
        <f ca="1">_xll.meDateFromTenor(L1318,"1D","FOLLOWING","TGT")</f>
        <v>44383</v>
      </c>
      <c r="M1319" s="95">
        <f ca="1"/>
        <v>5.6843802150812845E-3</v>
      </c>
      <c r="N1319" s="5" t="s">
        <v>4</v>
      </c>
      <c r="O1319" s="97">
        <f ca="1">_xll.meDateFromTenor(O1318,"1D","FOLLOWING","TGT")</f>
        <v>44383</v>
      </c>
      <c r="P1319" s="95">
        <f ca="1"/>
        <v>7.7157326784698674E-3</v>
      </c>
      <c r="Q1319" s="5" t="s">
        <v>4</v>
      </c>
      <c r="R1319" s="83" t="s">
        <v>4</v>
      </c>
    </row>
    <row r="1320" spans="1:18" x14ac:dyDescent="0.25">
      <c r="A1320" s="88">
        <v>1306</v>
      </c>
      <c r="B1320" s="82"/>
      <c r="C1320" s="97">
        <f ca="1">_xll.meDateFromTenor(C1319,"1D","FOLLOWING","TGT")</f>
        <v>44384</v>
      </c>
      <c r="D1320" s="95">
        <f ca="1"/>
        <v>1.7482975033316084E-3</v>
      </c>
      <c r="E1320" s="92"/>
      <c r="F1320" s="97">
        <f ca="1">_xll.meDateFromTenor(F1319,"1D","FOLLOWING","TGT")</f>
        <v>44384</v>
      </c>
      <c r="G1320" s="95">
        <f ca="1"/>
        <v>2.7059136728211728E-3</v>
      </c>
      <c r="H1320" s="92" t="s">
        <v>4</v>
      </c>
      <c r="I1320" s="97">
        <f ca="1">_xll.meDateFromTenor(I1319,"1D","FOLLOWING","TGT")</f>
        <v>44384</v>
      </c>
      <c r="J1320" s="95">
        <f ca="1"/>
        <v>3.85913235773669E-3</v>
      </c>
      <c r="K1320" s="5" t="s">
        <v>4</v>
      </c>
      <c r="L1320" s="97">
        <f ca="1">_xll.meDateFromTenor(L1319,"1D","FOLLOWING","TGT")</f>
        <v>44384</v>
      </c>
      <c r="M1320" s="95">
        <f ca="1"/>
        <v>5.6919959331826284E-3</v>
      </c>
      <c r="N1320" s="5" t="s">
        <v>4</v>
      </c>
      <c r="O1320" s="97">
        <f ca="1">_xll.meDateFromTenor(O1319,"1D","FOLLOWING","TGT")</f>
        <v>44384</v>
      </c>
      <c r="P1320" s="95">
        <f ca="1"/>
        <v>7.7231466095429155E-3</v>
      </c>
      <c r="Q1320" s="5" t="s">
        <v>4</v>
      </c>
      <c r="R1320" s="83" t="s">
        <v>4</v>
      </c>
    </row>
    <row r="1321" spans="1:18" x14ac:dyDescent="0.25">
      <c r="A1321" s="88">
        <v>1307</v>
      </c>
      <c r="B1321" s="82"/>
      <c r="C1321" s="97">
        <f ca="1">_xll.meDateFromTenor(C1320,"1D","FOLLOWING","TGT")</f>
        <v>44385</v>
      </c>
      <c r="D1321" s="95">
        <f ca="1"/>
        <v>1.7579423260718485E-3</v>
      </c>
      <c r="E1321" s="92"/>
      <c r="F1321" s="97">
        <f ca="1">_xll.meDateFromTenor(F1320,"1D","FOLLOWING","TGT")</f>
        <v>44385</v>
      </c>
      <c r="G1321" s="95">
        <f ca="1"/>
        <v>2.7135462509456053E-3</v>
      </c>
      <c r="H1321" s="92" t="s">
        <v>4</v>
      </c>
      <c r="I1321" s="97">
        <f ca="1">_xll.meDateFromTenor(I1320,"1D","FOLLOWING","TGT")</f>
        <v>44385</v>
      </c>
      <c r="J1321" s="95">
        <f ca="1"/>
        <v>3.8668920023331296E-3</v>
      </c>
      <c r="K1321" s="5" t="s">
        <v>4</v>
      </c>
      <c r="L1321" s="97">
        <f ca="1">_xll.meDateFromTenor(L1320,"1D","FOLLOWING","TGT")</f>
        <v>44385</v>
      </c>
      <c r="M1321" s="95">
        <f ca="1"/>
        <v>5.6996147542132079E-3</v>
      </c>
      <c r="N1321" s="5" t="s">
        <v>4</v>
      </c>
      <c r="O1321" s="97">
        <f ca="1">_xll.meDateFromTenor(O1320,"1D","FOLLOWING","TGT")</f>
        <v>44385</v>
      </c>
      <c r="P1321" s="95">
        <f ca="1"/>
        <v>7.7305604097388366E-3</v>
      </c>
      <c r="Q1321" s="5" t="s">
        <v>4</v>
      </c>
      <c r="R1321" s="83" t="s">
        <v>4</v>
      </c>
    </row>
    <row r="1322" spans="1:18" x14ac:dyDescent="0.25">
      <c r="A1322" s="88">
        <v>1308</v>
      </c>
      <c r="B1322" s="82"/>
      <c r="C1322" s="97">
        <f ca="1">_xll.meDateFromTenor(C1321,"1D","FOLLOWING","TGT")</f>
        <v>44386</v>
      </c>
      <c r="D1322" s="95">
        <f ca="1"/>
        <v>1.7675799090064448E-3</v>
      </c>
      <c r="E1322" s="92"/>
      <c r="F1322" s="97">
        <f ca="1">_xll.meDateFromTenor(F1321,"1D","FOLLOWING","TGT")</f>
        <v>44386</v>
      </c>
      <c r="G1322" s="95">
        <f ca="1"/>
        <v>2.7211698046614523E-3</v>
      </c>
      <c r="H1322" s="92" t="s">
        <v>4</v>
      </c>
      <c r="I1322" s="97">
        <f ca="1">_xll.meDateFromTenor(I1321,"1D","FOLLOWING","TGT")</f>
        <v>44386</v>
      </c>
      <c r="J1322" s="95">
        <f ca="1"/>
        <v>3.8746540683931058E-3</v>
      </c>
      <c r="K1322" s="5" t="s">
        <v>4</v>
      </c>
      <c r="L1322" s="97">
        <f ca="1">_xll.meDateFromTenor(L1321,"1D","FOLLOWING","TGT")</f>
        <v>44386</v>
      </c>
      <c r="M1322" s="95">
        <f ca="1"/>
        <v>5.7072366728088166E-3</v>
      </c>
      <c r="N1322" s="5" t="s">
        <v>4</v>
      </c>
      <c r="O1322" s="97">
        <f ca="1">_xll.meDateFromTenor(O1321,"1D","FOLLOWING","TGT")</f>
        <v>44386</v>
      </c>
      <c r="P1322" s="95">
        <f ca="1"/>
        <v>7.7379740761076869E-3</v>
      </c>
      <c r="Q1322" s="5" t="s">
        <v>4</v>
      </c>
      <c r="R1322" s="83" t="s">
        <v>4</v>
      </c>
    </row>
    <row r="1323" spans="1:18" x14ac:dyDescent="0.25">
      <c r="A1323" s="88">
        <v>1309</v>
      </c>
      <c r="B1323" s="82"/>
      <c r="C1323" s="97">
        <f ca="1">_xll.meDateFromTenor(C1322,"1D","FOLLOWING","TGT")</f>
        <v>44389</v>
      </c>
      <c r="D1323" s="95">
        <f ca="1"/>
        <v>1.7964492240913899E-3</v>
      </c>
      <c r="E1323" s="92"/>
      <c r="F1323" s="97">
        <f ca="1">_xll.meDateFromTenor(F1322,"1D","FOLLOWING","TGT")</f>
        <v>44389</v>
      </c>
      <c r="G1323" s="95">
        <f ca="1"/>
        <v>2.7439981241731862E-3</v>
      </c>
      <c r="H1323" s="92" t="s">
        <v>4</v>
      </c>
      <c r="I1323" s="97">
        <f ca="1">_xll.meDateFromTenor(I1322,"1D","FOLLOWING","TGT")</f>
        <v>44389</v>
      </c>
      <c r="J1323" s="95">
        <f ca="1"/>
        <v>3.897954694408937E-3</v>
      </c>
      <c r="K1323" s="5" t="s">
        <v>4</v>
      </c>
      <c r="L1323" s="97">
        <f ca="1">_xll.meDateFromTenor(L1322,"1D","FOLLOWING","TGT")</f>
        <v>44389</v>
      </c>
      <c r="M1323" s="95">
        <f ca="1"/>
        <v>5.7301209603437932E-3</v>
      </c>
      <c r="N1323" s="5" t="s">
        <v>4</v>
      </c>
      <c r="O1323" s="97">
        <f ca="1">_xll.meDateFromTenor(O1322,"1D","FOLLOWING","TGT")</f>
        <v>44389</v>
      </c>
      <c r="P1323" s="95">
        <f ca="1"/>
        <v>7.7602142427523665E-3</v>
      </c>
      <c r="Q1323" s="5" t="s">
        <v>4</v>
      </c>
      <c r="R1323" s="83" t="s">
        <v>4</v>
      </c>
    </row>
    <row r="1324" spans="1:18" x14ac:dyDescent="0.25">
      <c r="A1324" s="88">
        <v>1310</v>
      </c>
      <c r="B1324" s="82"/>
      <c r="C1324" s="97">
        <f ca="1">_xll.meDateFromTenor(C1323,"1D","FOLLOWING","TGT")</f>
        <v>44390</v>
      </c>
      <c r="D1324" s="95">
        <f ca="1"/>
        <v>1.8060578525946891E-3</v>
      </c>
      <c r="E1324" s="92"/>
      <c r="F1324" s="97">
        <f ca="1">_xll.meDateFromTenor(F1323,"1D","FOLLOWING","TGT")</f>
        <v>44390</v>
      </c>
      <c r="G1324" s="95">
        <f ca="1"/>
        <v>2.7515973850703989E-3</v>
      </c>
      <c r="H1324" s="92" t="s">
        <v>4</v>
      </c>
      <c r="I1324" s="97">
        <f ca="1">_xll.meDateFromTenor(I1323,"1D","FOLLOWING","TGT")</f>
        <v>44390</v>
      </c>
      <c r="J1324" s="95">
        <f ca="1"/>
        <v>3.9057263453777394E-3</v>
      </c>
      <c r="K1324" s="5" t="s">
        <v>4</v>
      </c>
      <c r="L1324" s="97">
        <f ca="1">_xll.meDateFromTenor(L1323,"1D","FOLLOWING","TGT")</f>
        <v>44390</v>
      </c>
      <c r="M1324" s="95">
        <f ca="1"/>
        <v>5.7377552155574918E-3</v>
      </c>
      <c r="N1324" s="5" t="s">
        <v>4</v>
      </c>
      <c r="O1324" s="97">
        <f ca="1">_xll.meDateFromTenor(O1323,"1D","FOLLOWING","TGT")</f>
        <v>44390</v>
      </c>
      <c r="P1324" s="95">
        <f ca="1"/>
        <v>7.7676273443134892E-3</v>
      </c>
      <c r="Q1324" s="5" t="s">
        <v>4</v>
      </c>
      <c r="R1324" s="83" t="s">
        <v>4</v>
      </c>
    </row>
    <row r="1325" spans="1:18" x14ac:dyDescent="0.25">
      <c r="A1325" s="88">
        <v>1311</v>
      </c>
      <c r="B1325" s="82"/>
      <c r="C1325" s="97">
        <f ca="1">_xll.meDateFromTenor(C1324,"1D","FOLLOWING","TGT")</f>
        <v>44391</v>
      </c>
      <c r="D1325" s="95">
        <f ca="1"/>
        <v>1.8156592435287777E-3</v>
      </c>
      <c r="E1325" s="92"/>
      <c r="F1325" s="97">
        <f ca="1">_xll.meDateFromTenor(F1324,"1D","FOLLOWING","TGT")</f>
        <v>44391</v>
      </c>
      <c r="G1325" s="95">
        <f ca="1"/>
        <v>2.7591935239668782E-3</v>
      </c>
      <c r="H1325" s="92" t="s">
        <v>4</v>
      </c>
      <c r="I1325" s="97">
        <f ca="1">_xll.meDateFromTenor(I1324,"1D","FOLLOWING","TGT")</f>
        <v>44391</v>
      </c>
      <c r="J1325" s="95">
        <f ca="1"/>
        <v>3.9135003673374143E-3</v>
      </c>
      <c r="K1325" s="5" t="s">
        <v>4</v>
      </c>
      <c r="L1325" s="97">
        <f ca="1">_xll.meDateFromTenor(L1324,"1D","FOLLOWING","TGT")</f>
        <v>44391</v>
      </c>
      <c r="M1325" s="95">
        <f ca="1"/>
        <v>5.7453925415152035E-3</v>
      </c>
      <c r="N1325" s="5" t="s">
        <v>4</v>
      </c>
      <c r="O1325" s="97">
        <f ca="1">_xll.meDateFromTenor(O1324,"1D","FOLLOWING","TGT")</f>
        <v>44391</v>
      </c>
      <c r="P1325" s="95">
        <f ca="1"/>
        <v>7.7750402972978187E-3</v>
      </c>
      <c r="Q1325" s="5" t="s">
        <v>4</v>
      </c>
      <c r="R1325" s="83" t="s">
        <v>4</v>
      </c>
    </row>
    <row r="1326" spans="1:18" x14ac:dyDescent="0.25">
      <c r="A1326" s="88">
        <v>1312</v>
      </c>
      <c r="B1326" s="82"/>
      <c r="C1326" s="97">
        <f ca="1">_xll.meDateFromTenor(C1325,"1D","FOLLOWING","TGT")</f>
        <v>44392</v>
      </c>
      <c r="D1326" s="95">
        <f ca="1"/>
        <v>1.825253397322868E-3</v>
      </c>
      <c r="E1326" s="92"/>
      <c r="F1326" s="97">
        <f ca="1">_xll.meDateFromTenor(F1325,"1D","FOLLOWING","TGT")</f>
        <v>44392</v>
      </c>
      <c r="G1326" s="95">
        <f ca="1"/>
        <v>2.7667877213442024E-3</v>
      </c>
      <c r="H1326" s="92" t="s">
        <v>4</v>
      </c>
      <c r="I1326" s="97">
        <f ca="1">_xll.meDateFromTenor(I1325,"1D","FOLLOWING","TGT")</f>
        <v>44392</v>
      </c>
      <c r="J1326" s="95">
        <f ca="1"/>
        <v>3.9212767501934373E-3</v>
      </c>
      <c r="K1326" s="5" t="s">
        <v>4</v>
      </c>
      <c r="L1326" s="97">
        <f ca="1">_xll.meDateFromTenor(L1325,"1D","FOLLOWING","TGT")</f>
        <v>44392</v>
      </c>
      <c r="M1326" s="95">
        <f ca="1"/>
        <v>5.7530329328527308E-3</v>
      </c>
      <c r="N1326" s="5" t="s">
        <v>4</v>
      </c>
      <c r="O1326" s="97">
        <f ca="1">_xll.meDateFromTenor(O1325,"1D","FOLLOWING","TGT")</f>
        <v>44392</v>
      </c>
      <c r="P1326" s="95">
        <f ca="1"/>
        <v>7.7824530987554178E-3</v>
      </c>
      <c r="Q1326" s="5" t="s">
        <v>4</v>
      </c>
      <c r="R1326" s="83" t="s">
        <v>4</v>
      </c>
    </row>
    <row r="1327" spans="1:18" x14ac:dyDescent="0.25">
      <c r="A1327" s="88">
        <v>1313</v>
      </c>
      <c r="B1327" s="82"/>
      <c r="C1327" s="97">
        <f ca="1">_xll.meDateFromTenor(C1326,"1D","FOLLOWING","TGT")</f>
        <v>44393</v>
      </c>
      <c r="D1327" s="95">
        <f ca="1"/>
        <v>1.8348403142505187E-3</v>
      </c>
      <c r="E1327" s="92"/>
      <c r="F1327" s="97">
        <f ca="1">_xll.meDateFromTenor(F1326,"1D","FOLLOWING","TGT")</f>
        <v>44393</v>
      </c>
      <c r="G1327" s="95">
        <f ca="1"/>
        <v>2.7743811576839334E-3</v>
      </c>
      <c r="H1327" s="92" t="s">
        <v>4</v>
      </c>
      <c r="I1327" s="97">
        <f ca="1">_xll.meDateFromTenor(I1326,"1D","FOLLOWING","TGT")</f>
        <v>44393</v>
      </c>
      <c r="J1327" s="95">
        <f ca="1"/>
        <v>3.9290554838512662E-3</v>
      </c>
      <c r="K1327" s="5" t="s">
        <v>4</v>
      </c>
      <c r="L1327" s="97">
        <f ca="1">_xll.meDateFromTenor(L1326,"1D","FOLLOWING","TGT")</f>
        <v>44393</v>
      </c>
      <c r="M1327" s="95">
        <f ca="1"/>
        <v>5.7606763842058617E-3</v>
      </c>
      <c r="N1327" s="5" t="s">
        <v>4</v>
      </c>
      <c r="O1327" s="97">
        <f ca="1">_xll.meDateFromTenor(O1326,"1D","FOLLOWING","TGT")</f>
        <v>44393</v>
      </c>
      <c r="P1327" s="95">
        <f ca="1"/>
        <v>7.7898657457363338E-3</v>
      </c>
      <c r="Q1327" s="5" t="s">
        <v>4</v>
      </c>
      <c r="R1327" s="83" t="s">
        <v>4</v>
      </c>
    </row>
    <row r="1328" spans="1:18" x14ac:dyDescent="0.25">
      <c r="A1328" s="88">
        <v>1314</v>
      </c>
      <c r="B1328" s="82"/>
      <c r="C1328" s="97">
        <f ca="1">_xll.meDateFromTenor(C1327,"1D","FOLLOWING","TGT")</f>
        <v>44396</v>
      </c>
      <c r="D1328" s="95">
        <f ca="1"/>
        <v>1.8635576484642424E-3</v>
      </c>
      <c r="E1328" s="92"/>
      <c r="F1328" s="97">
        <f ca="1">_xll.meDateFromTenor(F1327,"1D","FOLLOWING","TGT")</f>
        <v>44396</v>
      </c>
      <c r="G1328" s="95">
        <f ca="1"/>
        <v>2.7971687052933095E-3</v>
      </c>
      <c r="H1328" s="92" t="s">
        <v>4</v>
      </c>
      <c r="I1328" s="97">
        <f ca="1">_xll.meDateFromTenor(I1327,"1D","FOLLOWING","TGT")</f>
        <v>44396</v>
      </c>
      <c r="J1328" s="95">
        <f ca="1"/>
        <v>3.9524056886902975E-3</v>
      </c>
      <c r="K1328" s="5" t="s">
        <v>4</v>
      </c>
      <c r="L1328" s="97">
        <f ca="1">_xll.meDateFromTenor(L1327,"1D","FOLLOWING","TGT")</f>
        <v>44396</v>
      </c>
      <c r="M1328" s="95">
        <f ca="1"/>
        <v>5.7836250447168835E-3</v>
      </c>
      <c r="N1328" s="5" t="s">
        <v>4</v>
      </c>
      <c r="O1328" s="97">
        <f ca="1">_xll.meDateFromTenor(O1327,"1D","FOLLOWING","TGT")</f>
        <v>44396</v>
      </c>
      <c r="P1328" s="95">
        <f ca="1"/>
        <v>7.8121027303195761E-3</v>
      </c>
      <c r="Q1328" s="5" t="s">
        <v>4</v>
      </c>
      <c r="R1328" s="83" t="s">
        <v>4</v>
      </c>
    </row>
    <row r="1329" spans="1:18" x14ac:dyDescent="0.25">
      <c r="A1329" s="88">
        <v>1315</v>
      </c>
      <c r="B1329" s="82"/>
      <c r="C1329" s="97">
        <f ca="1">_xll.meDateFromTenor(C1328,"1D","FOLLOWING","TGT")</f>
        <v>44397</v>
      </c>
      <c r="D1329" s="95">
        <f ca="1"/>
        <v>1.8731156222409062E-3</v>
      </c>
      <c r="E1329" s="92"/>
      <c r="F1329" s="97">
        <f ca="1">_xll.meDateFromTenor(F1328,"1D","FOLLOWING","TGT")</f>
        <v>44397</v>
      </c>
      <c r="G1329" s="95">
        <f ca="1"/>
        <v>2.8047709022983973E-3</v>
      </c>
      <c r="H1329" s="92" t="s">
        <v>4</v>
      </c>
      <c r="I1329" s="97">
        <f ca="1">_xll.meDateFromTenor(I1328,"1D","FOLLOWING","TGT")</f>
        <v>44397</v>
      </c>
      <c r="J1329" s="95">
        <f ca="1"/>
        <v>3.9601937246100463E-3</v>
      </c>
      <c r="K1329" s="5" t="s">
        <v>4</v>
      </c>
      <c r="L1329" s="97">
        <f ca="1">_xll.meDateFromTenor(L1328,"1D","FOLLOWING","TGT")</f>
        <v>44397</v>
      </c>
      <c r="M1329" s="95">
        <f ca="1"/>
        <v>5.7912806824904203E-3</v>
      </c>
      <c r="N1329" s="5" t="s">
        <v>4</v>
      </c>
      <c r="O1329" s="97">
        <f ca="1">_xll.meDateFromTenor(O1328,"1D","FOLLOWING","TGT")</f>
        <v>44397</v>
      </c>
      <c r="P1329" s="95">
        <f ca="1"/>
        <v>7.8195147298943408E-3</v>
      </c>
      <c r="Q1329" s="5" t="s">
        <v>4</v>
      </c>
      <c r="R1329" s="83" t="s">
        <v>4</v>
      </c>
    </row>
    <row r="1330" spans="1:18" x14ac:dyDescent="0.25">
      <c r="A1330" s="88">
        <v>1316</v>
      </c>
      <c r="B1330" s="82"/>
      <c r="C1330" s="97">
        <f ca="1">_xll.meDateFromTenor(C1329,"1D","FOLLOWING","TGT")</f>
        <v>44398</v>
      </c>
      <c r="D1330" s="95">
        <f ca="1"/>
        <v>1.8826663613893402E-3</v>
      </c>
      <c r="E1330" s="92"/>
      <c r="F1330" s="97">
        <f ca="1">_xll.meDateFromTenor(F1329,"1D","FOLLOWING","TGT")</f>
        <v>44398</v>
      </c>
      <c r="G1330" s="95">
        <f ca="1"/>
        <v>2.8123782406737517E-3</v>
      </c>
      <c r="H1330" s="92" t="s">
        <v>4</v>
      </c>
      <c r="I1330" s="97">
        <f ca="1">_xll.meDateFromTenor(I1329,"1D","FOLLOWING","TGT")</f>
        <v>44398</v>
      </c>
      <c r="J1330" s="95">
        <f ca="1"/>
        <v>3.9679840608589428E-3</v>
      </c>
      <c r="K1330" s="5" t="s">
        <v>4</v>
      </c>
      <c r="L1330" s="97">
        <f ca="1">_xll.meDateFromTenor(L1329,"1D","FOLLOWING","TGT")</f>
        <v>44398</v>
      </c>
      <c r="M1330" s="95">
        <f ca="1"/>
        <v>5.7989393534585518E-3</v>
      </c>
      <c r="N1330" s="5" t="s">
        <v>4</v>
      </c>
      <c r="O1330" s="97">
        <f ca="1">_xll.meDateFromTenor(O1329,"1D","FOLLOWING","TGT")</f>
        <v>44398</v>
      </c>
      <c r="P1330" s="95">
        <f ca="1"/>
        <v>7.8269265602427078E-3</v>
      </c>
      <c r="Q1330" s="5" t="s">
        <v>4</v>
      </c>
      <c r="R1330" s="83" t="s">
        <v>4</v>
      </c>
    </row>
    <row r="1331" spans="1:18" x14ac:dyDescent="0.25">
      <c r="A1331" s="88">
        <v>1317</v>
      </c>
      <c r="B1331" s="82"/>
      <c r="C1331" s="97">
        <f ca="1">_xll.meDateFromTenor(C1330,"1D","FOLLOWING","TGT")</f>
        <v>44399</v>
      </c>
      <c r="D1331" s="95">
        <f ca="1"/>
        <v>1.8922098660243414E-3</v>
      </c>
      <c r="E1331" s="92"/>
      <c r="F1331" s="97">
        <f ca="1">_xll.meDateFromTenor(F1330,"1D","FOLLOWING","TGT")</f>
        <v>44399</v>
      </c>
      <c r="G1331" s="95">
        <f ca="1"/>
        <v>2.8199919009009428E-3</v>
      </c>
      <c r="H1331" s="92" t="s">
        <v>4</v>
      </c>
      <c r="I1331" s="97">
        <f ca="1">_xll.meDateFromTenor(I1330,"1D","FOLLOWING","TGT")</f>
        <v>44399</v>
      </c>
      <c r="J1331" s="95">
        <f ca="1"/>
        <v>3.975776687342455E-3</v>
      </c>
      <c r="K1331" s="5" t="s">
        <v>4</v>
      </c>
      <c r="L1331" s="97">
        <f ca="1">_xll.meDateFromTenor(L1330,"1D","FOLLOWING","TGT")</f>
        <v>44399</v>
      </c>
      <c r="M1331" s="95">
        <f ca="1"/>
        <v>5.8066010522570717E-3</v>
      </c>
      <c r="N1331" s="5" t="s">
        <v>4</v>
      </c>
      <c r="O1331" s="97">
        <f ca="1">_xll.meDateFromTenor(O1330,"1D","FOLLOWING","TGT")</f>
        <v>44399</v>
      </c>
      <c r="P1331" s="95">
        <f ca="1"/>
        <v>7.8343382184147305E-3</v>
      </c>
      <c r="Q1331" s="5" t="s">
        <v>4</v>
      </c>
      <c r="R1331" s="83" t="s">
        <v>4</v>
      </c>
    </row>
    <row r="1332" spans="1:18" x14ac:dyDescent="0.25">
      <c r="A1332" s="88">
        <v>1318</v>
      </c>
      <c r="B1332" s="82"/>
      <c r="C1332" s="97">
        <f ca="1">_xll.meDateFromTenor(C1331,"1D","FOLLOWING","TGT")</f>
        <v>44400</v>
      </c>
      <c r="D1332" s="95">
        <f ca="1"/>
        <v>1.9017461367363264E-3</v>
      </c>
      <c r="E1332" s="92"/>
      <c r="F1332" s="97">
        <f ca="1">_xll.meDateFromTenor(F1331,"1D","FOLLOWING","TGT")</f>
        <v>44400</v>
      </c>
      <c r="G1332" s="95">
        <f ca="1"/>
        <v>2.8276130634615399E-3</v>
      </c>
      <c r="H1332" s="92" t="s">
        <v>4</v>
      </c>
      <c r="I1332" s="97">
        <f ca="1">_xll.meDateFromTenor(I1331,"1D","FOLLOWING","TGT")</f>
        <v>44400</v>
      </c>
      <c r="J1332" s="95">
        <f ca="1"/>
        <v>3.9835715939660473E-3</v>
      </c>
      <c r="K1332" s="5" t="s">
        <v>4</v>
      </c>
      <c r="L1332" s="97">
        <f ca="1">_xll.meDateFromTenor(L1331,"1D","FOLLOWING","TGT")</f>
        <v>44400</v>
      </c>
      <c r="M1332" s="95">
        <f ca="1"/>
        <v>5.8142657735217769E-3</v>
      </c>
      <c r="N1332" s="5" t="s">
        <v>4</v>
      </c>
      <c r="O1332" s="97">
        <f ca="1">_xll.meDateFromTenor(O1331,"1D","FOLLOWING","TGT")</f>
        <v>44400</v>
      </c>
      <c r="P1332" s="95">
        <f ca="1"/>
        <v>7.8417497014604681E-3</v>
      </c>
      <c r="Q1332" s="5" t="s">
        <v>4</v>
      </c>
      <c r="R1332" s="83" t="s">
        <v>4</v>
      </c>
    </row>
    <row r="1333" spans="1:18" x14ac:dyDescent="0.25">
      <c r="A1333" s="88">
        <v>1319</v>
      </c>
      <c r="B1333" s="82"/>
      <c r="C1333" s="97">
        <f ca="1">_xll.meDateFromTenor(C1332,"1D","FOLLOWING","TGT")</f>
        <v>44403</v>
      </c>
      <c r="D1333" s="95">
        <f ca="1"/>
        <v>1.9303115488742417E-3</v>
      </c>
      <c r="E1333" s="92"/>
      <c r="F1333" s="97">
        <f ca="1">_xll.meDateFromTenor(F1332,"1D","FOLLOWING","TGT")</f>
        <v>44403</v>
      </c>
      <c r="G1333" s="95">
        <f ca="1"/>
        <v>2.8505333699594989E-3</v>
      </c>
      <c r="H1333" s="92" t="s">
        <v>4</v>
      </c>
      <c r="I1333" s="97">
        <f ca="1">_xll.meDateFromTenor(I1332,"1D","FOLLOWING","TGT")</f>
        <v>44403</v>
      </c>
      <c r="J1333" s="95">
        <f ca="1"/>
        <v>4.0069698937320103E-3</v>
      </c>
      <c r="K1333" s="5" t="s">
        <v>4</v>
      </c>
      <c r="L1333" s="97">
        <f ca="1">_xll.meDateFromTenor(L1332,"1D","FOLLOWING","TGT")</f>
        <v>44403</v>
      </c>
      <c r="M1333" s="95">
        <f ca="1"/>
        <v>5.8372780184709908E-3</v>
      </c>
      <c r="N1333" s="5" t="s">
        <v>4</v>
      </c>
      <c r="O1333" s="97">
        <f ca="1">_xll.meDateFromTenor(O1332,"1D","FOLLOWING","TGT")</f>
        <v>44403</v>
      </c>
      <c r="P1333" s="95">
        <f ca="1"/>
        <v>7.8639830703405317E-3</v>
      </c>
      <c r="Q1333" s="5" t="s">
        <v>4</v>
      </c>
      <c r="R1333" s="83" t="s">
        <v>4</v>
      </c>
    </row>
    <row r="1334" spans="1:18" x14ac:dyDescent="0.25">
      <c r="A1334" s="88">
        <v>1320</v>
      </c>
      <c r="B1334" s="82"/>
      <c r="C1334" s="97">
        <f ca="1">_xll.meDateFromTenor(C1333,"1D","FOLLOWING","TGT")</f>
        <v>44404</v>
      </c>
      <c r="D1334" s="95">
        <f ca="1"/>
        <v>1.9398188877506328E-3</v>
      </c>
      <c r="E1334" s="92"/>
      <c r="F1334" s="97">
        <f ca="1">_xll.meDateFromTenor(F1333,"1D","FOLLOWING","TGT")</f>
        <v>44404</v>
      </c>
      <c r="G1334" s="95">
        <f ca="1"/>
        <v>2.8581963466694422E-3</v>
      </c>
      <c r="H1334" s="92" t="s">
        <v>4</v>
      </c>
      <c r="I1334" s="97">
        <f ca="1">_xll.meDateFromTenor(I1333,"1D","FOLLOWING","TGT")</f>
        <v>44404</v>
      </c>
      <c r="J1334" s="95">
        <f ca="1"/>
        <v>4.014773819970615E-3</v>
      </c>
      <c r="K1334" s="5" t="s">
        <v>4</v>
      </c>
      <c r="L1334" s="97">
        <f ca="1">_xll.meDateFromTenor(L1333,"1D","FOLLOWING","TGT")</f>
        <v>44404</v>
      </c>
      <c r="M1334" s="95">
        <f ca="1"/>
        <v>5.844954775958415E-3</v>
      </c>
      <c r="N1334" s="5" t="s">
        <v>4</v>
      </c>
      <c r="O1334" s="97">
        <f ca="1">_xll.meDateFromTenor(O1333,"1D","FOLLOWING","TGT")</f>
        <v>44404</v>
      </c>
      <c r="P1334" s="95">
        <f ca="1"/>
        <v>7.8713938233816901E-3</v>
      </c>
      <c r="Q1334" s="5" t="s">
        <v>4</v>
      </c>
      <c r="R1334" s="83" t="s">
        <v>4</v>
      </c>
    </row>
    <row r="1335" spans="1:18" x14ac:dyDescent="0.25">
      <c r="A1335" s="88">
        <v>1321</v>
      </c>
      <c r="B1335" s="82"/>
      <c r="C1335" s="97">
        <f ca="1">_xll.meDateFromTenor(C1334,"1D","FOLLOWING","TGT")</f>
        <v>44405</v>
      </c>
      <c r="D1335" s="95">
        <f ca="1"/>
        <v>1.9493189942325628E-3</v>
      </c>
      <c r="E1335" s="92"/>
      <c r="F1335" s="97">
        <f ca="1">_xll.meDateFromTenor(F1334,"1D","FOLLOWING","TGT")</f>
        <v>44405</v>
      </c>
      <c r="G1335" s="95">
        <f ca="1"/>
        <v>2.8658727281206486E-3</v>
      </c>
      <c r="H1335" s="92" t="s">
        <v>4</v>
      </c>
      <c r="I1335" s="97">
        <f ca="1">_xll.meDateFromTenor(I1334,"1D","FOLLOWING","TGT")</f>
        <v>44405</v>
      </c>
      <c r="J1335" s="95">
        <f ca="1"/>
        <v>4.0225799758766391E-3</v>
      </c>
      <c r="K1335" s="5" t="s">
        <v>4</v>
      </c>
      <c r="L1335" s="97">
        <f ca="1">_xll.meDateFromTenor(L1334,"1D","FOLLOWING","TGT")</f>
        <v>44405</v>
      </c>
      <c r="M1335" s="95">
        <f ca="1"/>
        <v>5.8526345290910112E-3</v>
      </c>
      <c r="N1335" s="5" t="s">
        <v>4</v>
      </c>
      <c r="O1335" s="97">
        <f ca="1">_xll.meDateFromTenor(O1334,"1D","FOLLOWING","TGT")</f>
        <v>44405</v>
      </c>
      <c r="P1335" s="95">
        <f ca="1"/>
        <v>7.8788043865468411E-3</v>
      </c>
      <c r="Q1335" s="5" t="s">
        <v>4</v>
      </c>
      <c r="R1335" s="83" t="s">
        <v>4</v>
      </c>
    </row>
    <row r="1336" spans="1:18" x14ac:dyDescent="0.25">
      <c r="A1336" s="88">
        <v>1322</v>
      </c>
      <c r="B1336" s="82"/>
      <c r="C1336" s="97">
        <f ca="1">_xll.meDateFromTenor(C1335,"1D","FOLLOWING","TGT")</f>
        <v>44406</v>
      </c>
      <c r="D1336" s="95">
        <f ca="1"/>
        <v>1.958811869312127E-3</v>
      </c>
      <c r="E1336" s="92"/>
      <c r="F1336" s="97">
        <f ca="1">_xll.meDateFromTenor(F1335,"1D","FOLLOWING","TGT")</f>
        <v>44406</v>
      </c>
      <c r="G1336" s="95">
        <f ca="1"/>
        <v>2.8735636947946896E-3</v>
      </c>
      <c r="H1336" s="92" t="s">
        <v>4</v>
      </c>
      <c r="I1336" s="97">
        <f ca="1">_xll.meDateFromTenor(I1335,"1D","FOLLOWING","TGT")</f>
        <v>44406</v>
      </c>
      <c r="J1336" s="95">
        <f ca="1"/>
        <v>4.0303883513555534E-3</v>
      </c>
      <c r="K1336" s="5" t="s">
        <v>4</v>
      </c>
      <c r="L1336" s="97">
        <f ca="1">_xll.meDateFromTenor(L1335,"1D","FOLLOWING","TGT")</f>
        <v>44406</v>
      </c>
      <c r="M1336" s="95">
        <f ca="1"/>
        <v>5.8603172725045774E-3</v>
      </c>
      <c r="N1336" s="5" t="s">
        <v>4</v>
      </c>
      <c r="O1336" s="97">
        <f ca="1">_xll.meDateFromTenor(O1335,"1D","FOLLOWING","TGT")</f>
        <v>44406</v>
      </c>
      <c r="P1336" s="95">
        <f ca="1"/>
        <v>7.8862147568860459E-3</v>
      </c>
      <c r="Q1336" s="5" t="s">
        <v>4</v>
      </c>
      <c r="R1336" s="83" t="s">
        <v>4</v>
      </c>
    </row>
    <row r="1337" spans="1:18" x14ac:dyDescent="0.25">
      <c r="A1337" s="88">
        <v>1323</v>
      </c>
      <c r="B1337" s="82"/>
      <c r="C1337" s="97">
        <f ca="1">_xll.meDateFromTenor(C1336,"1D","FOLLOWING","TGT")</f>
        <v>44407</v>
      </c>
      <c r="D1337" s="95">
        <f ca="1"/>
        <v>1.9682975131054548E-3</v>
      </c>
      <c r="E1337" s="92"/>
      <c r="F1337" s="97">
        <f ca="1">_xll.meDateFromTenor(F1336,"1D","FOLLOWING","TGT")</f>
        <v>44407</v>
      </c>
      <c r="G1337" s="95">
        <f ca="1"/>
        <v>2.8812704271731359E-3</v>
      </c>
      <c r="H1337" s="92" t="s">
        <v>4</v>
      </c>
      <c r="I1337" s="97">
        <f ca="1">_xll.meDateFromTenor(I1336,"1D","FOLLOWING","TGT")</f>
        <v>44407</v>
      </c>
      <c r="J1337" s="95">
        <f ca="1"/>
        <v>4.0381989363128231E-3</v>
      </c>
      <c r="K1337" s="5" t="s">
        <v>4</v>
      </c>
      <c r="L1337" s="97">
        <f ca="1">_xll.meDateFromTenor(L1336,"1D","FOLLOWING","TGT")</f>
        <v>44407</v>
      </c>
      <c r="M1337" s="95">
        <f ca="1"/>
        <v>5.8680030008349078E-3</v>
      </c>
      <c r="N1337" s="5" t="s">
        <v>4</v>
      </c>
      <c r="O1337" s="97">
        <f ca="1">_xll.meDateFromTenor(O1336,"1D","FOLLOWING","TGT")</f>
        <v>44407</v>
      </c>
      <c r="P1337" s="95">
        <f ca="1"/>
        <v>7.893624931449357E-3</v>
      </c>
      <c r="Q1337" s="5" t="s">
        <v>4</v>
      </c>
      <c r="R1337" s="83" t="s">
        <v>4</v>
      </c>
    </row>
    <row r="1338" spans="1:18" x14ac:dyDescent="0.25">
      <c r="A1338" s="88">
        <v>1324</v>
      </c>
      <c r="B1338" s="82"/>
      <c r="C1338" s="97">
        <f ca="1">_xll.meDateFromTenor(C1337,"1D","FOLLOWING","TGT")</f>
        <v>44410</v>
      </c>
      <c r="D1338" s="95">
        <f ca="1"/>
        <v>1.9967110603005267E-3</v>
      </c>
      <c r="E1338" s="92"/>
      <c r="F1338" s="97">
        <f ca="1">_xll.meDateFromTenor(F1337,"1D","FOLLOWING","TGT")</f>
        <v>44410</v>
      </c>
      <c r="G1338" s="95">
        <f ca="1"/>
        <v>2.9044970233506173E-3</v>
      </c>
      <c r="H1338" s="92" t="s">
        <v>4</v>
      </c>
      <c r="I1338" s="97">
        <f ca="1">_xll.meDateFromTenor(I1337,"1D","FOLLOWING","TGT")</f>
        <v>44410</v>
      </c>
      <c r="J1338" s="95">
        <f ca="1"/>
        <v>4.0616438471094444E-3</v>
      </c>
      <c r="K1338" s="5" t="s">
        <v>4</v>
      </c>
      <c r="L1338" s="97">
        <f ca="1">_xll.meDateFromTenor(L1337,"1D","FOLLOWING","TGT")</f>
        <v>44410</v>
      </c>
      <c r="M1338" s="95">
        <f ca="1"/>
        <v>5.8910780416844607E-3</v>
      </c>
      <c r="N1338" s="5" t="s">
        <v>4</v>
      </c>
      <c r="O1338" s="97">
        <f ca="1">_xll.meDateFromTenor(O1337,"1D","FOLLOWING","TGT")</f>
        <v>44410</v>
      </c>
      <c r="P1338" s="95">
        <f ca="1"/>
        <v>7.915854250984497E-3</v>
      </c>
      <c r="Q1338" s="5" t="s">
        <v>4</v>
      </c>
      <c r="R1338" s="83" t="s">
        <v>4</v>
      </c>
    </row>
    <row r="1339" spans="1:18" x14ac:dyDescent="0.25">
      <c r="A1339" s="88">
        <v>1325</v>
      </c>
      <c r="B1339" s="82"/>
      <c r="C1339" s="97">
        <f ca="1">_xll.meDateFromTenor(C1338,"1D","FOLLOWING","TGT")</f>
        <v>44411</v>
      </c>
      <c r="D1339" s="95">
        <f ca="1"/>
        <v>2.0061677827269975E-3</v>
      </c>
      <c r="E1339" s="92"/>
      <c r="F1339" s="97">
        <f ca="1">_xll.meDateFromTenor(F1338,"1D","FOLLOWING","TGT")</f>
        <v>44411</v>
      </c>
      <c r="G1339" s="95">
        <f ca="1"/>
        <v>2.9122781264562473E-3</v>
      </c>
      <c r="H1339" s="92" t="s">
        <v>4</v>
      </c>
      <c r="I1339" s="97">
        <f ca="1">_xll.meDateFromTenor(I1338,"1D","FOLLOWING","TGT")</f>
        <v>44411</v>
      </c>
      <c r="J1339" s="95">
        <f ca="1"/>
        <v>4.0694631690348119E-3</v>
      </c>
      <c r="K1339" s="5" t="s">
        <v>4</v>
      </c>
      <c r="L1339" s="97">
        <f ca="1">_xll.meDateFromTenor(L1338,"1D","FOLLOWING","TGT")</f>
        <v>44411</v>
      </c>
      <c r="M1339" s="95">
        <f ca="1"/>
        <v>5.8987756560398199E-3</v>
      </c>
      <c r="N1339" s="5" t="s">
        <v>4</v>
      </c>
      <c r="O1339" s="97">
        <f ca="1">_xll.meDateFromTenor(O1338,"1D","FOLLOWING","TGT")</f>
        <v>44411</v>
      </c>
      <c r="P1339" s="95">
        <f ca="1"/>
        <v>7.9232636129447972E-3</v>
      </c>
      <c r="Q1339" s="5" t="s">
        <v>4</v>
      </c>
      <c r="R1339" s="83" t="s">
        <v>4</v>
      </c>
    </row>
    <row r="1340" spans="1:18" x14ac:dyDescent="0.25">
      <c r="A1340" s="88">
        <v>1326</v>
      </c>
      <c r="B1340" s="82"/>
      <c r="C1340" s="97">
        <f ca="1">_xll.meDateFromTenor(C1339,"1D","FOLLOWING","TGT")</f>
        <v>44412</v>
      </c>
      <c r="D1340" s="95">
        <f ca="1"/>
        <v>2.0156172757994639E-3</v>
      </c>
      <c r="E1340" s="92"/>
      <c r="F1340" s="97">
        <f ca="1">_xll.meDateFromTenor(F1339,"1D","FOLLOWING","TGT")</f>
        <v>44412</v>
      </c>
      <c r="G1340" s="95">
        <f ca="1"/>
        <v>2.9200779162372693E-3</v>
      </c>
      <c r="H1340" s="92" t="s">
        <v>4</v>
      </c>
      <c r="I1340" s="97">
        <f ca="1">_xll.meDateFromTenor(I1339,"1D","FOLLOWING","TGT")</f>
        <v>44412</v>
      </c>
      <c r="J1340" s="95">
        <f ca="1"/>
        <v>4.0772846499658759E-3</v>
      </c>
      <c r="K1340" s="5" t="s">
        <v>4</v>
      </c>
      <c r="L1340" s="97">
        <f ca="1">_xll.meDateFromTenor(L1339,"1D","FOLLOWING","TGT")</f>
        <v>44412</v>
      </c>
      <c r="M1340" s="95">
        <f ca="1"/>
        <v>5.9064762284909318E-3</v>
      </c>
      <c r="N1340" s="5" t="s">
        <v>4</v>
      </c>
      <c r="O1340" s="97">
        <f ca="1">_xll.meDateFromTenor(O1339,"1D","FOLLOWING","TGT")</f>
        <v>44412</v>
      </c>
      <c r="P1340" s="95">
        <f ca="1"/>
        <v>7.93067276437949E-3</v>
      </c>
      <c r="Q1340" s="5" t="s">
        <v>4</v>
      </c>
      <c r="R1340" s="83" t="s">
        <v>4</v>
      </c>
    </row>
    <row r="1341" spans="1:18" x14ac:dyDescent="0.25">
      <c r="A1341" s="88">
        <v>1327</v>
      </c>
      <c r="B1341" s="82"/>
      <c r="C1341" s="97">
        <f ca="1">_xll.meDateFromTenor(C1340,"1D","FOLLOWING","TGT")</f>
        <v>44413</v>
      </c>
      <c r="D1341" s="95">
        <f ca="1"/>
        <v>2.0250595397908189E-3</v>
      </c>
      <c r="E1341" s="92"/>
      <c r="F1341" s="97">
        <f ca="1">_xll.meDateFromTenor(F1340,"1D","FOLLOWING","TGT")</f>
        <v>44413</v>
      </c>
      <c r="G1341" s="95">
        <f ca="1"/>
        <v>2.9278945917383804E-3</v>
      </c>
      <c r="H1341" s="92" t="s">
        <v>4</v>
      </c>
      <c r="I1341" s="97">
        <f ca="1">_xll.meDateFromTenor(I1340,"1D","FOLLOWING","TGT")</f>
        <v>44413</v>
      </c>
      <c r="J1341" s="95">
        <f ca="1"/>
        <v>4.0851082798081008E-3</v>
      </c>
      <c r="K1341" s="5" t="s">
        <v>4</v>
      </c>
      <c r="L1341" s="97">
        <f ca="1">_xll.meDateFromTenor(L1340,"1D","FOLLOWING","TGT")</f>
        <v>44413</v>
      </c>
      <c r="M1341" s="95">
        <f ca="1"/>
        <v>5.91417975367359E-3</v>
      </c>
      <c r="N1341" s="5" t="s">
        <v>4</v>
      </c>
      <c r="O1341" s="97">
        <f ca="1">_xll.meDateFromTenor(O1340,"1D","FOLLOWING","TGT")</f>
        <v>44413</v>
      </c>
      <c r="P1341" s="95">
        <f ca="1"/>
        <v>7.9380817023386261E-3</v>
      </c>
      <c r="Q1341" s="5" t="s">
        <v>4</v>
      </c>
      <c r="R1341" s="83" t="s">
        <v>4</v>
      </c>
    </row>
    <row r="1342" spans="1:18" x14ac:dyDescent="0.25">
      <c r="A1342" s="88">
        <v>1328</v>
      </c>
      <c r="B1342" s="82"/>
      <c r="C1342" s="97">
        <f ca="1">_xll.meDateFromTenor(C1341,"1D","FOLLOWING","TGT")</f>
        <v>44414</v>
      </c>
      <c r="D1342" s="95">
        <f ca="1"/>
        <v>2.0344945750589982E-3</v>
      </c>
      <c r="E1342" s="92"/>
      <c r="F1342" s="97">
        <f ca="1">_xll.meDateFromTenor(F1341,"1D","FOLLOWING","TGT")</f>
        <v>44414</v>
      </c>
      <c r="G1342" s="95">
        <f ca="1"/>
        <v>2.9357263520042795E-3</v>
      </c>
      <c r="H1342" s="92" t="s">
        <v>4</v>
      </c>
      <c r="I1342" s="97">
        <f ca="1">_xll.meDateFromTenor(I1341,"1D","FOLLOWING","TGT")</f>
        <v>44414</v>
      </c>
      <c r="J1342" s="95">
        <f ca="1"/>
        <v>4.0929340484669547E-3</v>
      </c>
      <c r="K1342" s="5" t="s">
        <v>4</v>
      </c>
      <c r="L1342" s="97">
        <f ca="1">_xll.meDateFromTenor(L1341,"1D","FOLLOWING","TGT")</f>
        <v>44414</v>
      </c>
      <c r="M1342" s="95">
        <f ca="1"/>
        <v>5.921886226223594E-3</v>
      </c>
      <c r="N1342" s="5" t="s">
        <v>4</v>
      </c>
      <c r="O1342" s="97">
        <f ca="1">_xll.meDateFromTenor(O1341,"1D","FOLLOWING","TGT")</f>
        <v>44414</v>
      </c>
      <c r="P1342" s="95">
        <f ca="1"/>
        <v>7.9454904238722614E-3</v>
      </c>
      <c r="Q1342" s="5" t="s">
        <v>4</v>
      </c>
      <c r="R1342" s="83" t="s">
        <v>4</v>
      </c>
    </row>
    <row r="1343" spans="1:18" x14ac:dyDescent="0.25">
      <c r="A1343" s="88">
        <v>1329</v>
      </c>
      <c r="B1343" s="82"/>
      <c r="C1343" s="97">
        <f ca="1">_xll.meDateFromTenor(C1342,"1D","FOLLOWING","TGT")</f>
        <v>44417</v>
      </c>
      <c r="D1343" s="95">
        <f ca="1"/>
        <v>2.0627563128694515E-3</v>
      </c>
      <c r="E1343" s="92"/>
      <c r="F1343" s="97">
        <f ca="1">_xll.meDateFromTenor(F1342,"1D","FOLLOWING","TGT")</f>
        <v>44417</v>
      </c>
      <c r="G1343" s="95">
        <f ca="1"/>
        <v>2.9592941318377012E-3</v>
      </c>
      <c r="H1343" s="92" t="s">
        <v>4</v>
      </c>
      <c r="I1343" s="97">
        <f ca="1">_xll.meDateFromTenor(I1342,"1D","FOLLOWING","TGT")</f>
        <v>44417</v>
      </c>
      <c r="J1343" s="95">
        <f ca="1"/>
        <v>4.1164240863979682E-3</v>
      </c>
      <c r="K1343" s="5" t="s">
        <v>4</v>
      </c>
      <c r="L1343" s="97">
        <f ca="1">_xll.meDateFromTenor(L1342,"1D","FOLLOWING","TGT")</f>
        <v>44417</v>
      </c>
      <c r="M1343" s="95">
        <f ca="1"/>
        <v>5.9450232744356346E-3</v>
      </c>
      <c r="N1343" s="5" t="s">
        <v>4</v>
      </c>
      <c r="O1343" s="97">
        <f ca="1">_xll.meDateFromTenor(O1342,"1D","FOLLOWING","TGT")</f>
        <v>44417</v>
      </c>
      <c r="P1343" s="95">
        <f ca="1"/>
        <v>7.9677152604207373E-3</v>
      </c>
      <c r="Q1343" s="5" t="s">
        <v>4</v>
      </c>
      <c r="R1343" s="83" t="s">
        <v>4</v>
      </c>
    </row>
    <row r="1344" spans="1:18" x14ac:dyDescent="0.25">
      <c r="A1344" s="88">
        <v>1330</v>
      </c>
      <c r="B1344" s="82"/>
      <c r="C1344" s="97">
        <f ca="1">_xll.meDateFromTenor(C1343,"1D","FOLLOWING","TGT")</f>
        <v>44418</v>
      </c>
      <c r="D1344" s="95">
        <f ca="1"/>
        <v>2.0721624372757041E-3</v>
      </c>
      <c r="E1344" s="92"/>
      <c r="F1344" s="97">
        <f ca="1">_xll.meDateFromTenor(F1343,"1D","FOLLOWING","TGT")</f>
        <v>44418</v>
      </c>
      <c r="G1344" s="95">
        <f ca="1"/>
        <v>2.9671682216097471E-3</v>
      </c>
      <c r="H1344" s="92" t="s">
        <v>4</v>
      </c>
      <c r="I1344" s="97">
        <f ca="1">_xll.meDateFromTenor(I1343,"1D","FOLLOWING","TGT")</f>
        <v>44418</v>
      </c>
      <c r="J1344" s="95">
        <f ca="1"/>
        <v>4.1242583093780106E-3</v>
      </c>
      <c r="K1344" s="5" t="s">
        <v>4</v>
      </c>
      <c r="L1344" s="97">
        <f ca="1">_xll.meDateFromTenor(L1343,"1D","FOLLOWING","TGT")</f>
        <v>44418</v>
      </c>
      <c r="M1344" s="95">
        <f ca="1"/>
        <v>5.9527414828129798E-3</v>
      </c>
      <c r="N1344" s="5" t="s">
        <v>4</v>
      </c>
      <c r="O1344" s="97">
        <f ca="1">_xll.meDateFromTenor(O1343,"1D","FOLLOWING","TGT")</f>
        <v>44418</v>
      </c>
      <c r="P1344" s="95">
        <f ca="1"/>
        <v>7.9751230867529353E-3</v>
      </c>
      <c r="Q1344" s="5" t="s">
        <v>4</v>
      </c>
      <c r="R1344" s="83" t="s">
        <v>4</v>
      </c>
    </row>
    <row r="1345" spans="1:18" x14ac:dyDescent="0.25">
      <c r="A1345" s="88">
        <v>1331</v>
      </c>
      <c r="B1345" s="82"/>
      <c r="C1345" s="97">
        <f ca="1">_xll.meDateFromTenor(C1344,"1D","FOLLOWING","TGT")</f>
        <v>44419</v>
      </c>
      <c r="D1345" s="95">
        <f ca="1"/>
        <v>2.0815613348950102E-3</v>
      </c>
      <c r="E1345" s="92"/>
      <c r="F1345" s="97">
        <f ca="1">_xll.meDateFromTenor(F1344,"1D","FOLLOWING","TGT")</f>
        <v>44419</v>
      </c>
      <c r="G1345" s="95">
        <f ca="1"/>
        <v>2.9750483913700831E-3</v>
      </c>
      <c r="H1345" s="92" t="s">
        <v>4</v>
      </c>
      <c r="I1345" s="97">
        <f ca="1">_xll.meDateFromTenor(I1344,"1D","FOLLOWING","TGT")</f>
        <v>44419</v>
      </c>
      <c r="J1345" s="95">
        <f ca="1"/>
        <v>4.1320946207020256E-3</v>
      </c>
      <c r="K1345" s="5" t="s">
        <v>4</v>
      </c>
      <c r="L1345" s="97">
        <f ca="1">_xll.meDateFromTenor(L1344,"1D","FOLLOWING","TGT")</f>
        <v>44419</v>
      </c>
      <c r="M1345" s="95">
        <f ca="1"/>
        <v>5.9604626117366584E-3</v>
      </c>
      <c r="N1345" s="5" t="s">
        <v>4</v>
      </c>
      <c r="O1345" s="97">
        <f ca="1">_xll.meDateFromTenor(O1344,"1D","FOLLOWING","TGT")</f>
        <v>44419</v>
      </c>
      <c r="P1345" s="95">
        <f ca="1"/>
        <v>7.9825306819099207E-3</v>
      </c>
      <c r="Q1345" s="5" t="s">
        <v>4</v>
      </c>
      <c r="R1345" s="83" t="s">
        <v>4</v>
      </c>
    </row>
    <row r="1346" spans="1:18" x14ac:dyDescent="0.25">
      <c r="A1346" s="88">
        <v>1332</v>
      </c>
      <c r="B1346" s="82"/>
      <c r="C1346" s="97">
        <f ca="1">_xll.meDateFromTenor(C1345,"1D","FOLLOWING","TGT")</f>
        <v>44420</v>
      </c>
      <c r="D1346" s="95">
        <f ca="1"/>
        <v>2.0909530059263215E-3</v>
      </c>
      <c r="E1346" s="92"/>
      <c r="F1346" s="97">
        <f ca="1">_xll.meDateFromTenor(F1345,"1D","FOLLOWING","TGT")</f>
        <v>44420</v>
      </c>
      <c r="G1346" s="95">
        <f ca="1"/>
        <v>2.9829328401634004E-3</v>
      </c>
      <c r="H1346" s="92" t="s">
        <v>4</v>
      </c>
      <c r="I1346" s="97">
        <f ca="1">_xll.meDateFromTenor(I1345,"1D","FOLLOWING","TGT")</f>
        <v>44420</v>
      </c>
      <c r="J1346" s="95">
        <f ca="1"/>
        <v>4.1399330102754699E-3</v>
      </c>
      <c r="K1346" s="5" t="s">
        <v>4</v>
      </c>
      <c r="L1346" s="97">
        <f ca="1">_xll.meDateFromTenor(L1345,"1D","FOLLOWING","TGT")</f>
        <v>44420</v>
      </c>
      <c r="M1346" s="95">
        <f ca="1"/>
        <v>5.9681866558424571E-3</v>
      </c>
      <c r="N1346" s="5" t="s">
        <v>4</v>
      </c>
      <c r="O1346" s="97">
        <f ca="1">_xll.meDateFromTenor(O1345,"1D","FOLLOWING","TGT")</f>
        <v>44420</v>
      </c>
      <c r="P1346" s="95">
        <f ca="1"/>
        <v>7.9899380429417372E-3</v>
      </c>
      <c r="Q1346" s="5" t="s">
        <v>4</v>
      </c>
      <c r="R1346" s="83" t="s">
        <v>4</v>
      </c>
    </row>
    <row r="1347" spans="1:18" x14ac:dyDescent="0.25">
      <c r="A1347" s="88">
        <v>1333</v>
      </c>
      <c r="B1347" s="82"/>
      <c r="C1347" s="97">
        <f ca="1">_xll.meDateFromTenor(C1346,"1D","FOLLOWING","TGT")</f>
        <v>44421</v>
      </c>
      <c r="D1347" s="95">
        <f ca="1"/>
        <v>2.1003374509636075E-3</v>
      </c>
      <c r="E1347" s="92"/>
      <c r="F1347" s="97">
        <f ca="1">_xll.meDateFromTenor(F1346,"1D","FOLLOWING","TGT")</f>
        <v>44421</v>
      </c>
      <c r="G1347" s="95">
        <f ca="1"/>
        <v>2.9908197670344061E-3</v>
      </c>
      <c r="H1347" s="92" t="s">
        <v>4</v>
      </c>
      <c r="I1347" s="97">
        <f ca="1">_xll.meDateFromTenor(I1346,"1D","FOLLOWING","TGT")</f>
        <v>44421</v>
      </c>
      <c r="J1347" s="95">
        <f ca="1"/>
        <v>4.1477734680038176E-3</v>
      </c>
      <c r="K1347" s="5" t="s">
        <v>4</v>
      </c>
      <c r="L1347" s="97">
        <f ca="1">_xll.meDateFromTenor(L1346,"1D","FOLLOWING","TGT")</f>
        <v>44421</v>
      </c>
      <c r="M1347" s="95">
        <f ca="1"/>
        <v>5.9759136097661814E-3</v>
      </c>
      <c r="N1347" s="5" t="s">
        <v>4</v>
      </c>
      <c r="O1347" s="97">
        <f ca="1">_xll.meDateFromTenor(O1346,"1D","FOLLOWING","TGT")</f>
        <v>44421</v>
      </c>
      <c r="P1347" s="95">
        <f ca="1"/>
        <v>7.9973451668984511E-3</v>
      </c>
      <c r="Q1347" s="5" t="s">
        <v>4</v>
      </c>
      <c r="R1347" s="83" t="s">
        <v>4</v>
      </c>
    </row>
    <row r="1348" spans="1:18" x14ac:dyDescent="0.25">
      <c r="A1348" s="88">
        <v>1334</v>
      </c>
      <c r="B1348" s="82"/>
      <c r="C1348" s="97">
        <f ca="1">_xll.meDateFromTenor(C1347,"1D","FOLLOWING","TGT")</f>
        <v>44424</v>
      </c>
      <c r="D1348" s="95">
        <f ca="1"/>
        <v>2.1284474327274427E-3</v>
      </c>
      <c r="E1348" s="92"/>
      <c r="F1348" s="97">
        <f ca="1">_xll.meDateFromTenor(F1347,"1D","FOLLOWING","TGT")</f>
        <v>44424</v>
      </c>
      <c r="G1348" s="95">
        <f ca="1"/>
        <v>3.0144774065605294E-3</v>
      </c>
      <c r="H1348" s="92" t="s">
        <v>4</v>
      </c>
      <c r="I1348" s="97">
        <f ca="1">_xll.meDateFromTenor(I1347,"1D","FOLLOWING","TGT")</f>
        <v>44424</v>
      </c>
      <c r="J1348" s="95">
        <f ca="1"/>
        <v>4.17130714917295E-3</v>
      </c>
      <c r="K1348" s="5" t="s">
        <v>4</v>
      </c>
      <c r="L1348" s="97">
        <f ca="1">_xll.meDateFromTenor(L1347,"1D","FOLLOWING","TGT")</f>
        <v>44424</v>
      </c>
      <c r="M1348" s="95">
        <f ca="1"/>
        <v>5.9991118768028574E-3</v>
      </c>
      <c r="N1348" s="5" t="s">
        <v>4</v>
      </c>
      <c r="O1348" s="97">
        <f ca="1">_xll.meDateFromTenor(O1347,"1D","FOLLOWING","TGT")</f>
        <v>44424</v>
      </c>
      <c r="P1348" s="95">
        <f ca="1"/>
        <v>8.0195650868185153E-3</v>
      </c>
      <c r="Q1348" s="5" t="s">
        <v>4</v>
      </c>
      <c r="R1348" s="83" t="s">
        <v>4</v>
      </c>
    </row>
    <row r="1349" spans="1:18" x14ac:dyDescent="0.25">
      <c r="A1349" s="88">
        <v>1335</v>
      </c>
      <c r="B1349" s="82"/>
      <c r="C1349" s="97">
        <f ca="1">_xll.meDateFromTenor(C1348,"1D","FOLLOWING","TGT")</f>
        <v>44425</v>
      </c>
      <c r="D1349" s="95">
        <f ca="1"/>
        <v>2.1378029768810425E-3</v>
      </c>
      <c r="E1349" s="92"/>
      <c r="F1349" s="97">
        <f ca="1">_xll.meDateFromTenor(F1348,"1D","FOLLOWING","TGT")</f>
        <v>44425</v>
      </c>
      <c r="G1349" s="95">
        <f ca="1"/>
        <v>3.0223562361892712E-3</v>
      </c>
      <c r="H1349" s="92" t="s">
        <v>4</v>
      </c>
      <c r="I1349" s="97">
        <f ca="1">_xll.meDateFromTenor(I1348,"1D","FOLLOWING","TGT")</f>
        <v>44425</v>
      </c>
      <c r="J1349" s="95">
        <f ca="1"/>
        <v>4.1791557785755811E-3</v>
      </c>
      <c r="K1349" s="5" t="s">
        <v>4</v>
      </c>
      <c r="L1349" s="97">
        <f ca="1">_xll.meDateFromTenor(L1348,"1D","FOLLOWING","TGT")</f>
        <v>44425</v>
      </c>
      <c r="M1349" s="95">
        <f ca="1"/>
        <v>6.0068504163562405E-3</v>
      </c>
      <c r="N1349" s="5" t="s">
        <v>4</v>
      </c>
      <c r="O1349" s="97">
        <f ca="1">_xll.meDateFromTenor(O1348,"1D","FOLLOWING","TGT")</f>
        <v>44425</v>
      </c>
      <c r="P1349" s="95">
        <f ca="1"/>
        <v>8.0269712329753672E-3</v>
      </c>
      <c r="Q1349" s="5" t="s">
        <v>4</v>
      </c>
      <c r="R1349" s="83" t="s">
        <v>4</v>
      </c>
    </row>
    <row r="1350" spans="1:18" x14ac:dyDescent="0.25">
      <c r="A1350" s="88">
        <v>1336</v>
      </c>
      <c r="B1350" s="82"/>
      <c r="C1350" s="97">
        <f ca="1">_xll.meDateFromTenor(C1349,"1D","FOLLOWING","TGT")</f>
        <v>44426</v>
      </c>
      <c r="D1350" s="95">
        <f ca="1"/>
        <v>2.1471512965081097E-3</v>
      </c>
      <c r="E1350" s="92"/>
      <c r="F1350" s="97">
        <f ca="1">_xll.meDateFromTenor(F1349,"1D","FOLLOWING","TGT")</f>
        <v>44426</v>
      </c>
      <c r="G1350" s="95">
        <f ca="1"/>
        <v>3.0302285391191966E-3</v>
      </c>
      <c r="H1350" s="92" t="s">
        <v>4</v>
      </c>
      <c r="I1350" s="97">
        <f ca="1">_xll.meDateFromTenor(I1349,"1D","FOLLOWING","TGT")</f>
        <v>44426</v>
      </c>
      <c r="J1350" s="95">
        <f ca="1"/>
        <v>4.1870064256604514E-3</v>
      </c>
      <c r="K1350" s="5" t="s">
        <v>4</v>
      </c>
      <c r="L1350" s="97">
        <f ca="1">_xll.meDateFromTenor(L1349,"1D","FOLLOWING","TGT")</f>
        <v>44426</v>
      </c>
      <c r="M1350" s="95">
        <f ca="1"/>
        <v>6.0145918389065299E-3</v>
      </c>
      <c r="N1350" s="5" t="s">
        <v>4</v>
      </c>
      <c r="O1350" s="97">
        <f ca="1">_xll.meDateFromTenor(O1349,"1D","FOLLOWING","TGT")</f>
        <v>44426</v>
      </c>
      <c r="P1350" s="95">
        <f ca="1"/>
        <v>8.0343771273073926E-3</v>
      </c>
      <c r="Q1350" s="5" t="s">
        <v>4</v>
      </c>
      <c r="R1350" s="83" t="s">
        <v>4</v>
      </c>
    </row>
    <row r="1351" spans="1:18" x14ac:dyDescent="0.25">
      <c r="A1351" s="88">
        <v>1337</v>
      </c>
      <c r="B1351" s="82"/>
      <c r="C1351" s="97">
        <f ca="1">_xll.meDateFromTenor(C1350,"1D","FOLLOWING","TGT")</f>
        <v>44427</v>
      </c>
      <c r="D1351" s="95">
        <f ca="1"/>
        <v>2.1564923923633739E-3</v>
      </c>
      <c r="E1351" s="92"/>
      <c r="F1351" s="97">
        <f ca="1">_xll.meDateFromTenor(F1350,"1D","FOLLOWING","TGT")</f>
        <v>44427</v>
      </c>
      <c r="G1351" s="95">
        <f ca="1"/>
        <v>3.0380925143950023E-3</v>
      </c>
      <c r="H1351" s="92" t="s">
        <v>4</v>
      </c>
      <c r="I1351" s="97">
        <f ca="1">_xll.meDateFromTenor(I1350,"1D","FOLLOWING","TGT")</f>
        <v>44427</v>
      </c>
      <c r="J1351" s="95">
        <f ca="1"/>
        <v>4.1948590803330271E-3</v>
      </c>
      <c r="K1351" s="5" t="s">
        <v>4</v>
      </c>
      <c r="L1351" s="97">
        <f ca="1">_xll.meDateFromTenor(L1350,"1D","FOLLOWING","TGT")</f>
        <v>44427</v>
      </c>
      <c r="M1351" s="95">
        <f ca="1"/>
        <v>6.0223361390895217E-3</v>
      </c>
      <c r="N1351" s="5" t="s">
        <v>4</v>
      </c>
      <c r="O1351" s="97">
        <f ca="1">_xll.meDateFromTenor(O1350,"1D","FOLLOWING","TGT")</f>
        <v>44427</v>
      </c>
      <c r="P1351" s="95">
        <f ca="1"/>
        <v>8.0417827668646472E-3</v>
      </c>
      <c r="Q1351" s="5" t="s">
        <v>4</v>
      </c>
      <c r="R1351" s="83" t="s">
        <v>4</v>
      </c>
    </row>
    <row r="1352" spans="1:18" x14ac:dyDescent="0.25">
      <c r="A1352" s="88">
        <v>1338</v>
      </c>
      <c r="B1352" s="82"/>
      <c r="C1352" s="97">
        <f ca="1">_xll.meDateFromTenor(C1351,"1D","FOLLOWING","TGT")</f>
        <v>44428</v>
      </c>
      <c r="D1352" s="95">
        <f ca="1"/>
        <v>2.1658262644073112E-3</v>
      </c>
      <c r="E1352" s="92"/>
      <c r="F1352" s="97">
        <f ca="1">_xll.meDateFromTenor(F1351,"1D","FOLLOWING","TGT")</f>
        <v>44428</v>
      </c>
      <c r="G1352" s="95">
        <f ca="1"/>
        <v>3.0459463610613955E-3</v>
      </c>
      <c r="H1352" s="92" t="s">
        <v>4</v>
      </c>
      <c r="I1352" s="97">
        <f ca="1">_xll.meDateFromTenor(I1351,"1D","FOLLOWING","TGT")</f>
        <v>44428</v>
      </c>
      <c r="J1352" s="95">
        <f ca="1"/>
        <v>4.2027137324987824E-3</v>
      </c>
      <c r="K1352" s="5" t="s">
        <v>4</v>
      </c>
      <c r="L1352" s="97">
        <f ca="1">_xll.meDateFromTenor(L1351,"1D","FOLLOWING","TGT")</f>
        <v>44428</v>
      </c>
      <c r="M1352" s="95">
        <f ca="1"/>
        <v>6.0300833115410181E-3</v>
      </c>
      <c r="N1352" s="5" t="s">
        <v>4</v>
      </c>
      <c r="O1352" s="97">
        <f ca="1">_xll.meDateFromTenor(O1351,"1D","FOLLOWING","TGT")</f>
        <v>44428</v>
      </c>
      <c r="P1352" s="95">
        <f ca="1"/>
        <v>8.0491881486971922E-3</v>
      </c>
      <c r="Q1352" s="5" t="s">
        <v>4</v>
      </c>
      <c r="R1352" s="83" t="s">
        <v>4</v>
      </c>
    </row>
    <row r="1353" spans="1:18" x14ac:dyDescent="0.25">
      <c r="A1353" s="88">
        <v>1339</v>
      </c>
      <c r="B1353" s="82"/>
      <c r="C1353" s="97">
        <f ca="1">_xll.meDateFromTenor(C1352,"1D","FOLLOWING","TGT")</f>
        <v>44431</v>
      </c>
      <c r="D1353" s="95">
        <f ca="1"/>
        <v>2.1937845420387792E-3</v>
      </c>
      <c r="E1353" s="92"/>
      <c r="F1353" s="97">
        <f ca="1">_xll.meDateFromTenor(F1352,"1D","FOLLOWING","TGT")</f>
        <v>44431</v>
      </c>
      <c r="G1353" s="95">
        <f ca="1"/>
        <v>3.0694291198510555E-3</v>
      </c>
      <c r="H1353" s="92" t="s">
        <v>4</v>
      </c>
      <c r="I1353" s="97">
        <f ca="1">_xll.meDateFromTenor(I1352,"1D","FOLLOWING","TGT")</f>
        <v>44431</v>
      </c>
      <c r="J1353" s="95">
        <f ca="1"/>
        <v>4.2262895730097614E-3</v>
      </c>
      <c r="K1353" s="5" t="s">
        <v>4</v>
      </c>
      <c r="L1353" s="97">
        <f ca="1">_xll.meDateFromTenor(L1352,"1D","FOLLOWING","TGT")</f>
        <v>44431</v>
      </c>
      <c r="M1353" s="95">
        <f ca="1"/>
        <v>6.0533420088644749E-3</v>
      </c>
      <c r="N1353" s="5" t="s">
        <v>4</v>
      </c>
      <c r="O1353" s="97">
        <f ca="1">_xll.meDateFromTenor(O1352,"1D","FOLLOWING","TGT")</f>
        <v>44431</v>
      </c>
      <c r="P1353" s="95">
        <f ca="1"/>
        <v>8.0714027183471024E-3</v>
      </c>
      <c r="Q1353" s="5" t="s">
        <v>4</v>
      </c>
      <c r="R1353" s="83" t="s">
        <v>4</v>
      </c>
    </row>
    <row r="1354" spans="1:18" x14ac:dyDescent="0.25">
      <c r="A1354" s="88">
        <v>1340</v>
      </c>
      <c r="B1354" s="82"/>
      <c r="C1354" s="97">
        <f ca="1">_xll.meDateFromTenor(C1353,"1D","FOLLOWING","TGT")</f>
        <v>44432</v>
      </c>
      <c r="D1354" s="95">
        <f ca="1"/>
        <v>2.2030895228919434E-3</v>
      </c>
      <c r="E1354" s="92"/>
      <c r="F1354" s="97">
        <f ca="1">_xll.meDateFromTenor(F1353,"1D","FOLLOWING","TGT")</f>
        <v>44432</v>
      </c>
      <c r="G1354" s="95">
        <f ca="1"/>
        <v>3.0772244425267712E-3</v>
      </c>
      <c r="H1354" s="92" t="s">
        <v>4</v>
      </c>
      <c r="I1354" s="97">
        <f ca="1">_xll.meDateFromTenor(I1353,"1D","FOLLOWING","TGT")</f>
        <v>44432</v>
      </c>
      <c r="J1354" s="95">
        <f ca="1"/>
        <v>4.2341521142028882E-3</v>
      </c>
      <c r="K1354" s="5" t="s">
        <v>4</v>
      </c>
      <c r="L1354" s="97">
        <f ca="1">_xll.meDateFromTenor(L1353,"1D","FOLLOWING","TGT")</f>
        <v>44432</v>
      </c>
      <c r="M1354" s="95">
        <f ca="1"/>
        <v>6.0611006167479416E-3</v>
      </c>
      <c r="N1354" s="5" t="s">
        <v>4</v>
      </c>
      <c r="O1354" s="97">
        <f ca="1">_xll.meDateFromTenor(O1353,"1D","FOLLOWING","TGT")</f>
        <v>44432</v>
      </c>
      <c r="P1354" s="95">
        <f ca="1"/>
        <v>8.0788070397813539E-3</v>
      </c>
      <c r="Q1354" s="5" t="s">
        <v>4</v>
      </c>
      <c r="R1354" s="83" t="s">
        <v>4</v>
      </c>
    </row>
    <row r="1355" spans="1:18" x14ac:dyDescent="0.25">
      <c r="A1355" s="88">
        <v>1341</v>
      </c>
      <c r="B1355" s="82"/>
      <c r="C1355" s="97">
        <f ca="1">_xll.meDateFromTenor(C1354,"1D","FOLLOWING","TGT")</f>
        <v>44433</v>
      </c>
      <c r="D1355" s="95">
        <f ca="1"/>
        <v>2.212387281801842E-3</v>
      </c>
      <c r="E1355" s="92"/>
      <c r="F1355" s="97">
        <f ca="1">_xll.meDateFromTenor(F1354,"1D","FOLLOWING","TGT")</f>
        <v>44433</v>
      </c>
      <c r="G1355" s="95">
        <f ca="1"/>
        <v>3.0850006318165688E-3</v>
      </c>
      <c r="H1355" s="92" t="s">
        <v>4</v>
      </c>
      <c r="I1355" s="97">
        <f ca="1">_xll.meDateFromTenor(I1354,"1D","FOLLOWING","TGT")</f>
        <v>44433</v>
      </c>
      <c r="J1355" s="95">
        <f ca="1"/>
        <v>4.2420166024165267E-3</v>
      </c>
      <c r="K1355" s="5" t="s">
        <v>4</v>
      </c>
      <c r="L1355" s="97">
        <f ca="1">_xll.meDateFromTenor(L1354,"1D","FOLLOWING","TGT")</f>
        <v>44433</v>
      </c>
      <c r="M1355" s="95">
        <f ca="1"/>
        <v>6.0688620700788945E-3</v>
      </c>
      <c r="N1355" s="5" t="s">
        <v>4</v>
      </c>
      <c r="O1355" s="97">
        <f ca="1">_xll.meDateFromTenor(O1354,"1D","FOLLOWING","TGT")</f>
        <v>44433</v>
      </c>
      <c r="P1355" s="95">
        <f ca="1"/>
        <v>8.0862110887411753E-3</v>
      </c>
      <c r="Q1355" s="5" t="s">
        <v>4</v>
      </c>
      <c r="R1355" s="83" t="s">
        <v>4</v>
      </c>
    </row>
    <row r="1356" spans="1:18" x14ac:dyDescent="0.25">
      <c r="A1356" s="88">
        <v>1342</v>
      </c>
      <c r="B1356" s="82"/>
      <c r="C1356" s="97">
        <f ca="1">_xll.meDateFromTenor(C1355,"1D","FOLLOWING","TGT")</f>
        <v>44434</v>
      </c>
      <c r="D1356" s="95">
        <f ca="1"/>
        <v>2.2216778190500275E-3</v>
      </c>
      <c r="E1356" s="92"/>
      <c r="F1356" s="97">
        <f ca="1">_xll.meDateFromTenor(F1355,"1D","FOLLOWING","TGT")</f>
        <v>44434</v>
      </c>
      <c r="G1356" s="95">
        <f ca="1"/>
        <v>3.0927558867651448E-3</v>
      </c>
      <c r="H1356" s="92" t="s">
        <v>4</v>
      </c>
      <c r="I1356" s="97">
        <f ca="1">_xll.meDateFromTenor(I1355,"1D","FOLLOWING","TGT")</f>
        <v>44434</v>
      </c>
      <c r="J1356" s="95">
        <f ca="1"/>
        <v>4.249883027556146E-3</v>
      </c>
      <c r="K1356" s="5" t="s">
        <v>4</v>
      </c>
      <c r="L1356" s="97">
        <f ca="1">_xll.meDateFromTenor(L1355,"1D","FOLLOWING","TGT")</f>
        <v>44434</v>
      </c>
      <c r="M1356" s="95">
        <f ca="1"/>
        <v>6.0766263634931296E-3</v>
      </c>
      <c r="N1356" s="5" t="s">
        <v>4</v>
      </c>
      <c r="O1356" s="97">
        <f ca="1">_xll.meDateFromTenor(O1355,"1D","FOLLOWING","TGT")</f>
        <v>44434</v>
      </c>
      <c r="P1356" s="95">
        <f ca="1"/>
        <v>8.0936148622766206E-3</v>
      </c>
      <c r="Q1356" s="5" t="s">
        <v>4</v>
      </c>
      <c r="R1356" s="83" t="s">
        <v>4</v>
      </c>
    </row>
    <row r="1357" spans="1:18" x14ac:dyDescent="0.25">
      <c r="A1357" s="88">
        <v>1343</v>
      </c>
      <c r="B1357" s="82"/>
      <c r="C1357" s="97">
        <f ca="1">_xll.meDateFromTenor(C1356,"1D","FOLLOWING","TGT")</f>
        <v>44435</v>
      </c>
      <c r="D1357" s="95">
        <f ca="1"/>
        <v>2.2309611349924374E-3</v>
      </c>
      <c r="E1357" s="92"/>
      <c r="F1357" s="97">
        <f ca="1">_xll.meDateFromTenor(F1356,"1D","FOLLOWING","TGT")</f>
        <v>44435</v>
      </c>
      <c r="G1357" s="95">
        <f ca="1"/>
        <v>3.1004884064172009E-3</v>
      </c>
      <c r="H1357" s="92" t="s">
        <v>4</v>
      </c>
      <c r="I1357" s="97">
        <f ca="1">_xll.meDateFromTenor(I1356,"1D","FOLLOWING","TGT")</f>
        <v>44435</v>
      </c>
      <c r="J1357" s="95">
        <f ca="1"/>
        <v>4.2577513795272123E-3</v>
      </c>
      <c r="K1357" s="5" t="s">
        <v>4</v>
      </c>
      <c r="L1357" s="97">
        <f ca="1">_xll.meDateFromTenor(L1356,"1D","FOLLOWING","TGT")</f>
        <v>44435</v>
      </c>
      <c r="M1357" s="95">
        <f ca="1"/>
        <v>6.084393491626444E-3</v>
      </c>
      <c r="N1357" s="5" t="s">
        <v>4</v>
      </c>
      <c r="O1357" s="97">
        <f ca="1">_xll.meDateFromTenor(O1356,"1D","FOLLOWING","TGT")</f>
        <v>44435</v>
      </c>
      <c r="P1357" s="95">
        <f ca="1"/>
        <v>8.1010183574377458E-3</v>
      </c>
      <c r="Q1357" s="5" t="s">
        <v>4</v>
      </c>
      <c r="R1357" s="83" t="s">
        <v>4</v>
      </c>
    </row>
    <row r="1358" spans="1:18" x14ac:dyDescent="0.25">
      <c r="A1358" s="88">
        <v>1344</v>
      </c>
      <c r="B1358" s="82"/>
      <c r="C1358" s="97">
        <f ca="1">_xll.meDateFromTenor(C1357,"1D","FOLLOWING","TGT")</f>
        <v>44438</v>
      </c>
      <c r="D1358" s="95">
        <f ca="1"/>
        <v>2.2587677585099719E-3</v>
      </c>
      <c r="E1358" s="92"/>
      <c r="F1358" s="97">
        <f ca="1">_xll.meDateFromTenor(F1357,"1D","FOLLOWING","TGT")</f>
        <v>44438</v>
      </c>
      <c r="G1358" s="95">
        <f ca="1"/>
        <v>3.1235315440412384E-3</v>
      </c>
      <c r="H1358" s="92" t="s">
        <v>4</v>
      </c>
      <c r="I1358" s="97">
        <f ca="1">_xll.meDateFromTenor(I1357,"1D","FOLLOWING","TGT")</f>
        <v>44438</v>
      </c>
      <c r="J1358" s="95">
        <f ca="1"/>
        <v>4.2813678954837699E-3</v>
      </c>
      <c r="K1358" s="5" t="s">
        <v>4</v>
      </c>
      <c r="L1358" s="97">
        <f ca="1">_xll.meDateFromTenor(L1357,"1D","FOLLOWING","TGT")</f>
        <v>44438</v>
      </c>
      <c r="M1358" s="95">
        <f ca="1"/>
        <v>6.1077118306988301E-3</v>
      </c>
      <c r="N1358" s="5" t="s">
        <v>4</v>
      </c>
      <c r="O1358" s="97">
        <f ca="1">_xll.meDateFromTenor(O1357,"1D","FOLLOWING","TGT")</f>
        <v>44438</v>
      </c>
      <c r="P1358" s="95">
        <f ca="1"/>
        <v>8.1232271431757597E-3</v>
      </c>
      <c r="Q1358" s="5" t="s">
        <v>4</v>
      </c>
      <c r="R1358" s="83" t="s">
        <v>4</v>
      </c>
    </row>
    <row r="1359" spans="1:18" x14ac:dyDescent="0.25">
      <c r="A1359" s="88">
        <v>1345</v>
      </c>
      <c r="B1359" s="82"/>
      <c r="C1359" s="97">
        <f ca="1">_xll.meDateFromTenor(C1358,"1D","FOLLOWING","TGT")</f>
        <v>44439</v>
      </c>
      <c r="D1359" s="95">
        <f ca="1"/>
        <v>2.2680221925881483E-3</v>
      </c>
      <c r="E1359" s="92"/>
      <c r="F1359" s="97">
        <f ca="1">_xll.meDateFromTenor(F1358,"1D","FOLLOWING","TGT")</f>
        <v>44439</v>
      </c>
      <c r="G1359" s="95">
        <f ca="1"/>
        <v>3.1311551129542085E-3</v>
      </c>
      <c r="H1359" s="92" t="s">
        <v>4</v>
      </c>
      <c r="I1359" s="97">
        <f ca="1">_xll.meDateFromTenor(I1358,"1D","FOLLOWING","TGT")</f>
        <v>44439</v>
      </c>
      <c r="J1359" s="95">
        <f ca="1"/>
        <v>4.2892438538353027E-3</v>
      </c>
      <c r="K1359" s="5" t="s">
        <v>4</v>
      </c>
      <c r="L1359" s="97">
        <f ca="1">_xll.meDateFromTenor(L1358,"1D","FOLLOWING","TGT")</f>
        <v>44439</v>
      </c>
      <c r="M1359" s="95">
        <f ca="1"/>
        <v>6.1154902440664306E-3</v>
      </c>
      <c r="N1359" s="5" t="s">
        <v>4</v>
      </c>
      <c r="O1359" s="97">
        <f ca="1">_xll.meDateFromTenor(O1358,"1D","FOLLOWING","TGT")</f>
        <v>44439</v>
      </c>
      <c r="P1359" s="95">
        <f ca="1"/>
        <v>8.1306294953401668E-3</v>
      </c>
      <c r="Q1359" s="5" t="s">
        <v>4</v>
      </c>
      <c r="R1359" s="83" t="s">
        <v>4</v>
      </c>
    </row>
    <row r="1360" spans="1:18" x14ac:dyDescent="0.25">
      <c r="A1360" s="88">
        <v>1346</v>
      </c>
      <c r="B1360" s="82"/>
      <c r="C1360" s="97">
        <f ca="1">_xll.meDateFromTenor(C1359,"1D","FOLLOWING","TGT")</f>
        <v>44440</v>
      </c>
      <c r="D1360" s="95">
        <f ca="1"/>
        <v>2.2772694070809507E-3</v>
      </c>
      <c r="E1360" s="92"/>
      <c r="F1360" s="97">
        <f ca="1">_xll.meDateFromTenor(F1359,"1D","FOLLOWING","TGT")</f>
        <v>44440</v>
      </c>
      <c r="G1360" s="95">
        <f ca="1"/>
        <v>3.1387469417941557E-3</v>
      </c>
      <c r="H1360" s="92" t="s">
        <v>4</v>
      </c>
      <c r="I1360" s="97">
        <f ca="1">_xll.meDateFromTenor(I1359,"1D","FOLLOWING","TGT")</f>
        <v>44440</v>
      </c>
      <c r="J1360" s="95">
        <f ca="1"/>
        <v>4.2971216885456208E-3</v>
      </c>
      <c r="K1360" s="5" t="s">
        <v>4</v>
      </c>
      <c r="L1360" s="97">
        <f ca="1">_xll.meDateFromTenor(L1359,"1D","FOLLOWING","TGT")</f>
        <v>44440</v>
      </c>
      <c r="M1360" s="95">
        <f ca="1"/>
        <v>6.1232714653320953E-3</v>
      </c>
      <c r="N1360" s="5" t="s">
        <v>4</v>
      </c>
      <c r="O1360" s="97">
        <f ca="1">_xll.meDateFromTenor(O1359,"1D","FOLLOWING","TGT")</f>
        <v>44440</v>
      </c>
      <c r="P1360" s="95">
        <f ca="1"/>
        <v>8.138031554380535E-3</v>
      </c>
      <c r="Q1360" s="5" t="s">
        <v>4</v>
      </c>
      <c r="R1360" s="83" t="s">
        <v>4</v>
      </c>
    </row>
    <row r="1361" spans="1:18" x14ac:dyDescent="0.25">
      <c r="A1361" s="88">
        <v>1347</v>
      </c>
      <c r="B1361" s="82"/>
      <c r="C1361" s="97">
        <f ca="1">_xll.meDateFromTenor(C1360,"1D","FOLLOWING","TGT")</f>
        <v>44441</v>
      </c>
      <c r="D1361" s="95">
        <f ca="1"/>
        <v>2.286509424538119E-3</v>
      </c>
      <c r="E1361" s="92"/>
      <c r="F1361" s="97">
        <f ca="1">_xll.meDateFromTenor(F1360,"1D","FOLLOWING","TGT")</f>
        <v>44441</v>
      </c>
      <c r="G1361" s="95">
        <f ca="1"/>
        <v>3.1463052296057795E-3</v>
      </c>
      <c r="H1361" s="92" t="s">
        <v>4</v>
      </c>
      <c r="I1361" s="97">
        <f ca="1">_xll.meDateFromTenor(I1360,"1D","FOLLOWING","TGT")</f>
        <v>44441</v>
      </c>
      <c r="J1361" s="95">
        <f ca="1"/>
        <v>4.3050013895201905E-3</v>
      </c>
      <c r="K1361" s="5" t="s">
        <v>4</v>
      </c>
      <c r="L1361" s="97">
        <f ca="1">_xll.meDateFromTenor(L1360,"1D","FOLLOWING","TGT")</f>
        <v>44441</v>
      </c>
      <c r="M1361" s="95">
        <f ca="1"/>
        <v>6.1310554891316205E-3</v>
      </c>
      <c r="N1361" s="5" t="s">
        <v>4</v>
      </c>
      <c r="O1361" s="97">
        <f ca="1">_xll.meDateFromTenor(O1360,"1D","FOLLOWING","TGT")</f>
        <v>44441</v>
      </c>
      <c r="P1361" s="95">
        <f ca="1"/>
        <v>8.1454333173469218E-3</v>
      </c>
      <c r="Q1361" s="5" t="s">
        <v>4</v>
      </c>
      <c r="R1361" s="83" t="s">
        <v>4</v>
      </c>
    </row>
    <row r="1362" spans="1:18" x14ac:dyDescent="0.25">
      <c r="A1362" s="88">
        <v>1348</v>
      </c>
      <c r="B1362" s="82"/>
      <c r="C1362" s="97">
        <f ca="1">_xll.meDateFromTenor(C1361,"1D","FOLLOWING","TGT")</f>
        <v>44442</v>
      </c>
      <c r="D1362" s="95">
        <f ca="1"/>
        <v>2.2957423344955874E-3</v>
      </c>
      <c r="E1362" s="92"/>
      <c r="F1362" s="97">
        <f ca="1">_xll.meDateFromTenor(F1361,"1D","FOLLOWING","TGT")</f>
        <v>44442</v>
      </c>
      <c r="G1362" s="95">
        <f ca="1"/>
        <v>3.153828837349543E-3</v>
      </c>
      <c r="H1362" s="92" t="s">
        <v>4</v>
      </c>
      <c r="I1362" s="97">
        <f ca="1">_xll.meDateFromTenor(I1361,"1D","FOLLOWING","TGT")</f>
        <v>44442</v>
      </c>
      <c r="J1362" s="95">
        <f ca="1"/>
        <v>4.3128829555512966E-3</v>
      </c>
      <c r="K1362" s="5" t="s">
        <v>4</v>
      </c>
      <c r="L1362" s="97">
        <f ca="1">_xll.meDateFromTenor(L1361,"1D","FOLLOWING","TGT")</f>
        <v>44442</v>
      </c>
      <c r="M1362" s="95">
        <f ca="1"/>
        <v>6.1388423101008038E-3</v>
      </c>
      <c r="N1362" s="5" t="s">
        <v>4</v>
      </c>
      <c r="O1362" s="97">
        <f ca="1">_xll.meDateFromTenor(O1361,"1D","FOLLOWING","TGT")</f>
        <v>44442</v>
      </c>
      <c r="P1362" s="95">
        <f ca="1"/>
        <v>8.1528347812893798E-3</v>
      </c>
      <c r="Q1362" s="5" t="s">
        <v>4</v>
      </c>
      <c r="R1362" s="83" t="s">
        <v>4</v>
      </c>
    </row>
    <row r="1363" spans="1:18" x14ac:dyDescent="0.25">
      <c r="A1363" s="88">
        <v>1349</v>
      </c>
      <c r="B1363" s="82"/>
      <c r="C1363" s="97">
        <f ca="1">_xll.meDateFromTenor(C1362,"1D","FOLLOWING","TGT")</f>
        <v>44445</v>
      </c>
      <c r="D1363" s="95">
        <f ca="1"/>
        <v>2.3233985571973204E-3</v>
      </c>
      <c r="E1363" s="92"/>
      <c r="F1363" s="97">
        <f ca="1">_xll.meDateFromTenor(F1362,"1D","FOLLOWING","TGT")</f>
        <v>44445</v>
      </c>
      <c r="G1363" s="95">
        <f ca="1"/>
        <v>3.176209314071842E-3</v>
      </c>
      <c r="H1363" s="92" t="s">
        <v>4</v>
      </c>
      <c r="I1363" s="97">
        <f ca="1">_xll.meDateFromTenor(I1362,"1D","FOLLOWING","TGT")</f>
        <v>44445</v>
      </c>
      <c r="J1363" s="95">
        <f ca="1"/>
        <v>4.3365392229265231E-3</v>
      </c>
      <c r="K1363" s="5" t="s">
        <v>4</v>
      </c>
      <c r="L1363" s="97">
        <f ca="1">_xll.meDateFromTenor(L1362,"1D","FOLLOWING","TGT")</f>
        <v>44445</v>
      </c>
      <c r="M1363" s="95">
        <f ca="1"/>
        <v>6.162219502384267E-3</v>
      </c>
      <c r="N1363" s="5" t="s">
        <v>4</v>
      </c>
      <c r="O1363" s="97">
        <f ca="1">_xll.meDateFromTenor(O1362,"1D","FOLLOWING","TGT")</f>
        <v>44445</v>
      </c>
      <c r="P1363" s="95">
        <f ca="1"/>
        <v>8.1750373494737551E-3</v>
      </c>
      <c r="Q1363" s="5" t="s">
        <v>4</v>
      </c>
      <c r="R1363" s="83" t="s">
        <v>4</v>
      </c>
    </row>
    <row r="1364" spans="1:18" x14ac:dyDescent="0.25">
      <c r="A1364" s="88">
        <v>1350</v>
      </c>
      <c r="B1364" s="82"/>
      <c r="C1364" s="97">
        <f ca="1">_xll.meDateFromTenor(C1363,"1D","FOLLOWING","TGT")</f>
        <v>44446</v>
      </c>
      <c r="D1364" s="95">
        <f ca="1"/>
        <v>2.3326031300439087E-3</v>
      </c>
      <c r="E1364" s="92"/>
      <c r="F1364" s="97">
        <f ca="1">_xll.meDateFromTenor(F1363,"1D","FOLLOWING","TGT")</f>
        <v>44446</v>
      </c>
      <c r="G1364" s="95">
        <f ca="1"/>
        <v>3.1836132592738668E-3</v>
      </c>
      <c r="H1364" s="92" t="s">
        <v>4</v>
      </c>
      <c r="I1364" s="97">
        <f ca="1">_xll.meDateFromTenor(I1363,"1D","FOLLOWING","TGT")</f>
        <v>44446</v>
      </c>
      <c r="J1364" s="95">
        <f ca="1"/>
        <v>4.3444286459001025E-3</v>
      </c>
      <c r="K1364" s="5" t="s">
        <v>4</v>
      </c>
      <c r="L1364" s="97">
        <f ca="1">_xll.meDateFromTenor(L1363,"1D","FOLLOWING","TGT")</f>
        <v>44446</v>
      </c>
      <c r="M1364" s="95">
        <f ca="1"/>
        <v>6.1700174583900532E-3</v>
      </c>
      <c r="N1364" s="5" t="s">
        <v>4</v>
      </c>
      <c r="O1364" s="97">
        <f ca="1">_xll.meDateFromTenor(O1363,"1D","FOLLOWING","TGT")</f>
        <v>44446</v>
      </c>
      <c r="P1364" s="95">
        <f ca="1"/>
        <v>8.1824375878210721E-3</v>
      </c>
      <c r="Q1364" s="5" t="s">
        <v>4</v>
      </c>
      <c r="R1364" s="83" t="s">
        <v>4</v>
      </c>
    </row>
    <row r="1365" spans="1:18" x14ac:dyDescent="0.25">
      <c r="A1365" s="88">
        <v>1351</v>
      </c>
      <c r="B1365" s="82"/>
      <c r="C1365" s="97">
        <f ca="1">_xll.meDateFromTenor(C1364,"1D","FOLLOWING","TGT")</f>
        <v>44447</v>
      </c>
      <c r="D1365" s="95">
        <f ca="1"/>
        <v>2.3418006194024787E-3</v>
      </c>
      <c r="E1365" s="92"/>
      <c r="F1365" s="97">
        <f ca="1">_xll.meDateFromTenor(F1364,"1D","FOLLOWING","TGT")</f>
        <v>44447</v>
      </c>
      <c r="G1365" s="95">
        <f ca="1"/>
        <v>3.1909927151886393E-3</v>
      </c>
      <c r="H1365" s="92" t="s">
        <v>4</v>
      </c>
      <c r="I1365" s="97">
        <f ca="1">_xll.meDateFromTenor(I1364,"1D","FOLLOWING","TGT")</f>
        <v>44447</v>
      </c>
      <c r="J1365" s="95">
        <f ca="1"/>
        <v>4.352320141175192E-3</v>
      </c>
      <c r="K1365" s="5" t="s">
        <v>4</v>
      </c>
      <c r="L1365" s="97">
        <f ca="1">_xll.meDateFromTenor(L1364,"1D","FOLLOWING","TGT")</f>
        <v>44447</v>
      </c>
      <c r="M1365" s="95">
        <f ca="1"/>
        <v>6.1778181847444765E-3</v>
      </c>
      <c r="N1365" s="5" t="s">
        <v>4</v>
      </c>
      <c r="O1365" s="97">
        <f ca="1">_xll.meDateFromTenor(O1364,"1D","FOLLOWING","TGT")</f>
        <v>44447</v>
      </c>
      <c r="P1365" s="95">
        <f ca="1"/>
        <v>8.1898375123947379E-3</v>
      </c>
      <c r="Q1365" s="5" t="s">
        <v>4</v>
      </c>
      <c r="R1365" s="83" t="s">
        <v>4</v>
      </c>
    </row>
    <row r="1366" spans="1:18" x14ac:dyDescent="0.25">
      <c r="A1366" s="88">
        <v>1352</v>
      </c>
      <c r="B1366" s="82"/>
      <c r="C1366" s="97">
        <f ca="1">_xll.meDateFromTenor(C1365,"1D","FOLLOWING","TGT")</f>
        <v>44448</v>
      </c>
      <c r="D1366" s="95">
        <f ca="1"/>
        <v>2.3509910255603561E-3</v>
      </c>
      <c r="E1366" s="92"/>
      <c r="F1366" s="97">
        <f ca="1">_xll.meDateFromTenor(F1365,"1D","FOLLOWING","TGT")</f>
        <v>44448</v>
      </c>
      <c r="G1366" s="95">
        <f ca="1"/>
        <v>3.1983498523554419E-3</v>
      </c>
      <c r="H1366" s="92" t="s">
        <v>4</v>
      </c>
      <c r="I1366" s="97">
        <f ca="1">_xll.meDateFromTenor(I1365,"1D","FOLLOWING","TGT")</f>
        <v>44448</v>
      </c>
      <c r="J1366" s="95">
        <f ca="1"/>
        <v>4.3602137519781576E-3</v>
      </c>
      <c r="K1366" s="5" t="s">
        <v>4</v>
      </c>
      <c r="L1366" s="97">
        <f ca="1">_xll.meDateFromTenor(L1365,"1D","FOLLOWING","TGT")</f>
        <v>44448</v>
      </c>
      <c r="M1366" s="95">
        <f ca="1"/>
        <v>6.1856216760833417E-3</v>
      </c>
      <c r="N1366" s="5" t="s">
        <v>4</v>
      </c>
      <c r="O1366" s="97">
        <f ca="1">_xll.meDateFromTenor(O1365,"1D","FOLLOWING","TGT")</f>
        <v>44448</v>
      </c>
      <c r="P1366" s="95">
        <f ca="1"/>
        <v>8.1972371202448154E-3</v>
      </c>
      <c r="Q1366" s="5" t="s">
        <v>4</v>
      </c>
      <c r="R1366" s="83" t="s">
        <v>4</v>
      </c>
    </row>
    <row r="1367" spans="1:18" x14ac:dyDescent="0.25">
      <c r="A1367" s="88">
        <v>1353</v>
      </c>
      <c r="B1367" s="82"/>
      <c r="C1367" s="97">
        <f ca="1">_xll.meDateFromTenor(C1366,"1D","FOLLOWING","TGT")</f>
        <v>44449</v>
      </c>
      <c r="D1367" s="95">
        <f ca="1"/>
        <v>2.3601743487999816E-3</v>
      </c>
      <c r="E1367" s="92"/>
      <c r="F1367" s="97">
        <f ca="1">_xll.meDateFromTenor(F1366,"1D","FOLLOWING","TGT")</f>
        <v>44449</v>
      </c>
      <c r="G1367" s="95">
        <f ca="1"/>
        <v>3.2056868413135485E-3</v>
      </c>
      <c r="H1367" s="92" t="s">
        <v>4</v>
      </c>
      <c r="I1367" s="97">
        <f ca="1">_xll.meDateFromTenor(I1366,"1D","FOLLOWING","TGT")</f>
        <v>44449</v>
      </c>
      <c r="J1367" s="95">
        <f ca="1"/>
        <v>4.3681095215353559E-3</v>
      </c>
      <c r="K1367" s="5" t="s">
        <v>4</v>
      </c>
      <c r="L1367" s="97">
        <f ca="1">_xll.meDateFromTenor(L1366,"1D","FOLLOWING","TGT")</f>
        <v>44449</v>
      </c>
      <c r="M1367" s="95">
        <f ca="1"/>
        <v>6.1934279270424424E-3</v>
      </c>
      <c r="N1367" s="5" t="s">
        <v>4</v>
      </c>
      <c r="O1367" s="97">
        <f ca="1">_xll.meDateFromTenor(O1366,"1D","FOLLOWING","TGT")</f>
        <v>44449</v>
      </c>
      <c r="P1367" s="95">
        <f ca="1"/>
        <v>8.2046364084213605E-3</v>
      </c>
      <c r="Q1367" s="5" t="s">
        <v>4</v>
      </c>
      <c r="R1367" s="83" t="s">
        <v>4</v>
      </c>
    </row>
    <row r="1368" spans="1:18" x14ac:dyDescent="0.25">
      <c r="A1368" s="88">
        <v>1354</v>
      </c>
      <c r="B1368" s="82"/>
      <c r="C1368" s="97">
        <f ca="1">_xll.meDateFromTenor(C1367,"1D","FOLLOWING","TGT")</f>
        <v>44452</v>
      </c>
      <c r="D1368" s="95">
        <f ca="1"/>
        <v>2.3876818246728604E-3</v>
      </c>
      <c r="E1368" s="92"/>
      <c r="F1368" s="97">
        <f ca="1">_xll.meDateFromTenor(F1367,"1D","FOLLOWING","TGT")</f>
        <v>44452</v>
      </c>
      <c r="G1368" s="95">
        <f ca="1"/>
        <v>3.22759862432844E-3</v>
      </c>
      <c r="H1368" s="92" t="s">
        <v>4</v>
      </c>
      <c r="I1368" s="97">
        <f ca="1">_xll.meDateFromTenor(I1367,"1D","FOLLOWING","TGT")</f>
        <v>44452</v>
      </c>
      <c r="J1368" s="95">
        <f ca="1"/>
        <v>4.3918102149959389E-3</v>
      </c>
      <c r="K1368" s="5" t="s">
        <v>4</v>
      </c>
      <c r="L1368" s="97">
        <f ca="1">_xll.meDateFromTenor(L1367,"1D","FOLLOWING","TGT")</f>
        <v>44452</v>
      </c>
      <c r="M1368" s="95">
        <f ca="1"/>
        <v>6.2168631839991341E-3</v>
      </c>
      <c r="N1368" s="5" t="s">
        <v>4</v>
      </c>
      <c r="O1368" s="97">
        <f ca="1">_xll.meDateFromTenor(O1367,"1D","FOLLOWING","TGT")</f>
        <v>44452</v>
      </c>
      <c r="P1368" s="95">
        <f ca="1"/>
        <v>8.2268323254103565E-3</v>
      </c>
      <c r="Q1368" s="5" t="s">
        <v>4</v>
      </c>
      <c r="R1368" s="83" t="s">
        <v>4</v>
      </c>
    </row>
    <row r="1369" spans="1:18" x14ac:dyDescent="0.25">
      <c r="A1369" s="88">
        <v>1355</v>
      </c>
      <c r="B1369" s="82"/>
      <c r="C1369" s="97">
        <f ca="1">_xll.meDateFromTenor(C1368,"1D","FOLLOWING","TGT")</f>
        <v>44453</v>
      </c>
      <c r="D1369" s="95">
        <f ca="1"/>
        <v>2.396836819738013E-3</v>
      </c>
      <c r="E1369" s="92"/>
      <c r="F1369" s="97">
        <f ca="1">_xll.meDateFromTenor(F1368,"1D","FOLLOWING","TGT")</f>
        <v>44453</v>
      </c>
      <c r="G1369" s="95">
        <f ca="1"/>
        <v>3.2348767258445123E-3</v>
      </c>
      <c r="H1369" s="92" t="s">
        <v>4</v>
      </c>
      <c r="I1369" s="97">
        <f ca="1">_xll.meDateFromTenor(I1368,"1D","FOLLOWING","TGT")</f>
        <v>44453</v>
      </c>
      <c r="J1369" s="95">
        <f ca="1"/>
        <v>4.3997150518336591E-3</v>
      </c>
      <c r="K1369" s="5" t="s">
        <v>4</v>
      </c>
      <c r="L1369" s="97">
        <f ca="1">_xll.meDateFromTenor(L1368,"1D","FOLLOWING","TGT")</f>
        <v>44453</v>
      </c>
      <c r="M1369" s="95">
        <f ca="1"/>
        <v>6.2246804197971491E-3</v>
      </c>
      <c r="N1369" s="5" t="s">
        <v>4</v>
      </c>
      <c r="O1369" s="97">
        <f ca="1">_xll.meDateFromTenor(O1368,"1D","FOLLOWING","TGT")</f>
        <v>44453</v>
      </c>
      <c r="P1369" s="95">
        <f ca="1"/>
        <v>8.2342303053933273E-3</v>
      </c>
      <c r="Q1369" s="5" t="s">
        <v>4</v>
      </c>
      <c r="R1369" s="83" t="s">
        <v>4</v>
      </c>
    </row>
    <row r="1370" spans="1:18" x14ac:dyDescent="0.25">
      <c r="A1370" s="88">
        <v>1356</v>
      </c>
      <c r="B1370" s="82"/>
      <c r="C1370" s="97">
        <f ca="1">_xll.meDateFromTenor(C1369,"1D","FOLLOWING","TGT")</f>
        <v>44454</v>
      </c>
      <c r="D1370" s="95">
        <f ca="1"/>
        <v>2.405984733395039E-3</v>
      </c>
      <c r="E1370" s="92"/>
      <c r="F1370" s="97">
        <f ca="1">_xll.meDateFromTenor(F1369,"1D","FOLLOWING","TGT")</f>
        <v>44454</v>
      </c>
      <c r="G1370" s="95">
        <f ca="1"/>
        <v>3.2421455318482617E-3</v>
      </c>
      <c r="H1370" s="92" t="s">
        <v>4</v>
      </c>
      <c r="I1370" s="97">
        <f ca="1">_xll.meDateFromTenor(I1369,"1D","FOLLOWING","TGT")</f>
        <v>44454</v>
      </c>
      <c r="J1370" s="95">
        <f ca="1"/>
        <v>4.4076222635574033E-3</v>
      </c>
      <c r="K1370" s="5" t="s">
        <v>4</v>
      </c>
      <c r="L1370" s="97">
        <f ca="1">_xll.meDateFromTenor(L1369,"1D","FOLLOWING","TGT")</f>
        <v>44454</v>
      </c>
      <c r="M1370" s="95">
        <f ca="1"/>
        <v>6.2325003883943828E-3</v>
      </c>
      <c r="N1370" s="5" t="s">
        <v>4</v>
      </c>
      <c r="O1370" s="97">
        <f ca="1">_xll.meDateFromTenor(O1369,"1D","FOLLOWING","TGT")</f>
        <v>44454</v>
      </c>
      <c r="P1370" s="95">
        <f ca="1"/>
        <v>8.2416279509530434E-3</v>
      </c>
      <c r="Q1370" s="5" t="s">
        <v>4</v>
      </c>
      <c r="R1370" s="83" t="s">
        <v>4</v>
      </c>
    </row>
    <row r="1371" spans="1:18" x14ac:dyDescent="0.25">
      <c r="A1371" s="88">
        <v>1357</v>
      </c>
      <c r="B1371" s="82"/>
      <c r="C1371" s="97">
        <f ca="1">_xll.meDateFromTenor(C1370,"1D","FOLLOWING","TGT")</f>
        <v>44455</v>
      </c>
      <c r="D1371" s="95">
        <f ca="1"/>
        <v>2.4151255661668536E-3</v>
      </c>
      <c r="E1371" s="92"/>
      <c r="F1371" s="97">
        <f ca="1">_xll.meDateFromTenor(F1370,"1D","FOLLOWING","TGT")</f>
        <v>44455</v>
      </c>
      <c r="G1371" s="95">
        <f ca="1"/>
        <v>3.2494072128789707E-3</v>
      </c>
      <c r="H1371" s="92" t="s">
        <v>4</v>
      </c>
      <c r="I1371" s="97">
        <f ca="1">_xll.meDateFromTenor(I1370,"1D","FOLLOWING","TGT")</f>
        <v>44455</v>
      </c>
      <c r="J1371" s="95">
        <f ca="1"/>
        <v>4.4155318933935409E-3</v>
      </c>
      <c r="K1371" s="5" t="s">
        <v>4</v>
      </c>
      <c r="L1371" s="97">
        <f ca="1">_xll.meDateFromTenor(L1370,"1D","FOLLOWING","TGT")</f>
        <v>44455</v>
      </c>
      <c r="M1371" s="95">
        <f ca="1"/>
        <v>6.2403230844266392E-3</v>
      </c>
      <c r="N1371" s="5" t="s">
        <v>4</v>
      </c>
      <c r="O1371" s="97">
        <f ca="1">_xll.meDateFromTenor(O1370,"1D","FOLLOWING","TGT")</f>
        <v>44455</v>
      </c>
      <c r="P1371" s="95">
        <f ca="1"/>
        <v>8.249025259139571E-3</v>
      </c>
      <c r="Q1371" s="5" t="s">
        <v>4</v>
      </c>
      <c r="R1371" s="83" t="s">
        <v>4</v>
      </c>
    </row>
    <row r="1372" spans="1:18" x14ac:dyDescent="0.25">
      <c r="A1372" s="88">
        <v>1358</v>
      </c>
      <c r="B1372" s="82"/>
      <c r="C1372" s="97">
        <f ca="1">_xll.meDateFromTenor(C1371,"1D","FOLLOWING","TGT")</f>
        <v>44456</v>
      </c>
      <c r="D1372" s="95">
        <f ca="1"/>
        <v>2.4242593181018623E-3</v>
      </c>
      <c r="E1372" s="92"/>
      <c r="F1372" s="97">
        <f ca="1">_xll.meDateFromTenor(F1371,"1D","FOLLOWING","TGT")</f>
        <v>44456</v>
      </c>
      <c r="G1372" s="95">
        <f ca="1"/>
        <v>3.2566639394759054E-3</v>
      </c>
      <c r="H1372" s="92" t="s">
        <v>4</v>
      </c>
      <c r="I1372" s="97">
        <f ca="1">_xll.meDateFromTenor(I1371,"1D","FOLLOWING","TGT")</f>
        <v>44456</v>
      </c>
      <c r="J1372" s="95">
        <f ca="1"/>
        <v>4.4234439845684172E-3</v>
      </c>
      <c r="K1372" s="5" t="s">
        <v>4</v>
      </c>
      <c r="L1372" s="97">
        <f ca="1">_xll.meDateFromTenor(L1371,"1D","FOLLOWING","TGT")</f>
        <v>44456</v>
      </c>
      <c r="M1372" s="95">
        <f ca="1"/>
        <v>6.2481485025297056E-3</v>
      </c>
      <c r="N1372" s="5" t="s">
        <v>4</v>
      </c>
      <c r="O1372" s="97">
        <f ca="1">_xll.meDateFromTenor(O1371,"1D","FOLLOWING","TGT")</f>
        <v>44456</v>
      </c>
      <c r="P1372" s="95">
        <f ca="1"/>
        <v>8.2564222270029505E-3</v>
      </c>
      <c r="Q1372" s="5" t="s">
        <v>4</v>
      </c>
      <c r="R1372" s="83" t="s">
        <v>4</v>
      </c>
    </row>
    <row r="1373" spans="1:18" x14ac:dyDescent="0.25">
      <c r="A1373" s="88">
        <v>1359</v>
      </c>
      <c r="B1373" s="82"/>
      <c r="C1373" s="97">
        <f ca="1">_xll.meDateFromTenor(C1372,"1D","FOLLOWING","TGT")</f>
        <v>44459</v>
      </c>
      <c r="D1373" s="95">
        <f ca="1"/>
        <v>2.4516180930262976E-3</v>
      </c>
      <c r="E1373" s="92"/>
      <c r="F1373" s="97">
        <f ca="1">_xll.meDateFromTenor(F1372,"1D","FOLLOWING","TGT")</f>
        <v>44459</v>
      </c>
      <c r="G1373" s="95">
        <f ca="1"/>
        <v>3.2784260980568492E-3</v>
      </c>
      <c r="H1373" s="92" t="s">
        <v>4</v>
      </c>
      <c r="I1373" s="97">
        <f ca="1">_xll.meDateFromTenor(I1372,"1D","FOLLOWING","TGT")</f>
        <v>44459</v>
      </c>
      <c r="J1373" s="95">
        <f ca="1"/>
        <v>4.4471954583891185E-3</v>
      </c>
      <c r="K1373" s="5" t="s">
        <v>4</v>
      </c>
      <c r="L1373" s="97">
        <f ca="1">_xll.meDateFromTenor(L1372,"1D","FOLLOWING","TGT")</f>
        <v>44459</v>
      </c>
      <c r="M1373" s="95">
        <f ca="1"/>
        <v>6.2716410356217691E-3</v>
      </c>
      <c r="N1373" s="5" t="s">
        <v>4</v>
      </c>
      <c r="O1373" s="97">
        <f ca="1">_xll.meDateFromTenor(O1372,"1D","FOLLOWING","TGT")</f>
        <v>44459</v>
      </c>
      <c r="P1373" s="95">
        <f ca="1"/>
        <v>8.2786110591548199E-3</v>
      </c>
      <c r="Q1373" s="5" t="s">
        <v>4</v>
      </c>
      <c r="R1373" s="83" t="s">
        <v>4</v>
      </c>
    </row>
    <row r="1374" spans="1:18" x14ac:dyDescent="0.25">
      <c r="A1374" s="88">
        <v>1360</v>
      </c>
      <c r="B1374" s="82"/>
      <c r="C1374" s="97">
        <f ca="1">_xll.meDateFromTenor(C1373,"1D","FOLLOWING","TGT")</f>
        <v>44460</v>
      </c>
      <c r="D1374" s="95">
        <f ca="1"/>
        <v>2.4607235253550908E-3</v>
      </c>
      <c r="E1374" s="92"/>
      <c r="F1374" s="97">
        <f ca="1">_xll.meDateFromTenor(F1373,"1D","FOLLOWING","TGT")</f>
        <v>44460</v>
      </c>
      <c r="G1374" s="95">
        <f ca="1"/>
        <v>3.2856847123114595E-3</v>
      </c>
      <c r="H1374" s="92" t="s">
        <v>4</v>
      </c>
      <c r="I1374" s="97">
        <f ca="1">_xll.meDateFromTenor(I1373,"1D","FOLLOWING","TGT")</f>
        <v>44460</v>
      </c>
      <c r="J1374" s="95">
        <f ca="1"/>
        <v>4.4551178271825696E-3</v>
      </c>
      <c r="K1374" s="5" t="s">
        <v>4</v>
      </c>
      <c r="L1374" s="97">
        <f ca="1">_xll.meDateFromTenor(L1373,"1D","FOLLOWING","TGT")</f>
        <v>44460</v>
      </c>
      <c r="M1374" s="95">
        <f ca="1"/>
        <v>6.2794772883660657E-3</v>
      </c>
      <c r="N1374" s="5" t="s">
        <v>4</v>
      </c>
      <c r="O1374" s="97">
        <f ca="1">_xll.meDateFromTenor(O1373,"1D","FOLLOWING","TGT")</f>
        <v>44460</v>
      </c>
      <c r="P1374" s="95">
        <f ca="1"/>
        <v>8.2860066362262039E-3</v>
      </c>
      <c r="Q1374" s="5" t="s">
        <v>4</v>
      </c>
      <c r="R1374" s="83" t="s">
        <v>4</v>
      </c>
    </row>
    <row r="1375" spans="1:18" x14ac:dyDescent="0.25">
      <c r="A1375" s="88">
        <v>1361</v>
      </c>
      <c r="B1375" s="82"/>
      <c r="C1375" s="97">
        <f ca="1">_xll.meDateFromTenor(C1374,"1D","FOLLOWING","TGT")</f>
        <v>44461</v>
      </c>
      <c r="D1375" s="95">
        <f ca="1"/>
        <v>2.4698218785208503E-3</v>
      </c>
      <c r="E1375" s="92"/>
      <c r="F1375" s="97">
        <f ca="1">_xll.meDateFromTenor(F1374,"1D","FOLLOWING","TGT")</f>
        <v>44461</v>
      </c>
      <c r="G1375" s="95">
        <f ca="1"/>
        <v>3.292949224828676E-3</v>
      </c>
      <c r="H1375" s="92" t="s">
        <v>4</v>
      </c>
      <c r="I1375" s="97">
        <f ca="1">_xll.meDateFromTenor(I1374,"1D","FOLLOWING","TGT")</f>
        <v>44461</v>
      </c>
      <c r="J1375" s="95">
        <f ca="1"/>
        <v>4.4630428734465611E-3</v>
      </c>
      <c r="K1375" s="5" t="s">
        <v>4</v>
      </c>
      <c r="L1375" s="97">
        <f ca="1">_xll.meDateFromTenor(L1374,"1D","FOLLOWING","TGT")</f>
        <v>44461</v>
      </c>
      <c r="M1375" s="95">
        <f ca="1"/>
        <v>6.2873162363601609E-3</v>
      </c>
      <c r="N1375" s="5" t="s">
        <v>4</v>
      </c>
      <c r="O1375" s="97">
        <f ca="1">_xll.meDateFromTenor(O1374,"1D","FOLLOWING","TGT")</f>
        <v>44461</v>
      </c>
      <c r="P1375" s="95">
        <f ca="1"/>
        <v>8.2934018582247297E-3</v>
      </c>
      <c r="Q1375" s="5" t="s">
        <v>4</v>
      </c>
      <c r="R1375" s="83" t="s">
        <v>4</v>
      </c>
    </row>
    <row r="1376" spans="1:18" x14ac:dyDescent="0.25">
      <c r="A1376" s="88">
        <v>1362</v>
      </c>
      <c r="B1376" s="82"/>
      <c r="C1376" s="97">
        <f ca="1">_xll.meDateFromTenor(C1375,"1D","FOLLOWING","TGT")</f>
        <v>44462</v>
      </c>
      <c r="D1376" s="95">
        <f ca="1"/>
        <v>2.4789131526474772E-3</v>
      </c>
      <c r="E1376" s="92"/>
      <c r="F1376" s="97">
        <f ca="1">_xll.meDateFromTenor(F1375,"1D","FOLLOWING","TGT")</f>
        <v>44462</v>
      </c>
      <c r="G1376" s="95">
        <f ca="1"/>
        <v>3.3002218061477743E-3</v>
      </c>
      <c r="H1376" s="92" t="s">
        <v>4</v>
      </c>
      <c r="I1376" s="97">
        <f ca="1">_xll.meDateFromTenor(I1375,"1D","FOLLOWING","TGT")</f>
        <v>44462</v>
      </c>
      <c r="J1376" s="95">
        <f ca="1"/>
        <v>4.4709706404074514E-3</v>
      </c>
      <c r="K1376" s="5" t="s">
        <v>4</v>
      </c>
      <c r="L1376" s="97">
        <f ca="1">_xll.meDateFromTenor(L1375,"1D","FOLLOWING","TGT")</f>
        <v>44462</v>
      </c>
      <c r="M1376" s="95">
        <f ca="1"/>
        <v>6.2951578742398533E-3</v>
      </c>
      <c r="N1376" s="5" t="s">
        <v>4</v>
      </c>
      <c r="O1376" s="97">
        <f ca="1">_xll.meDateFromTenor(O1375,"1D","FOLLOWING","TGT")</f>
        <v>44462</v>
      </c>
      <c r="P1376" s="95">
        <f ca="1"/>
        <v>8.3007967222004497E-3</v>
      </c>
      <c r="Q1376" s="5" t="s">
        <v>4</v>
      </c>
      <c r="R1376" s="83" t="s">
        <v>4</v>
      </c>
    </row>
    <row r="1377" spans="1:18" x14ac:dyDescent="0.25">
      <c r="A1377" s="88">
        <v>1363</v>
      </c>
      <c r="B1377" s="82"/>
      <c r="C1377" s="97">
        <f ca="1">_xll.meDateFromTenor(C1376,"1D","FOLLOWING","TGT")</f>
        <v>44463</v>
      </c>
      <c r="D1377" s="95">
        <f ca="1"/>
        <v>2.4879973482658801E-3</v>
      </c>
      <c r="E1377" s="92"/>
      <c r="F1377" s="97">
        <f ca="1">_xll.meDateFromTenor(F1376,"1D","FOLLOWING","TGT")</f>
        <v>44463</v>
      </c>
      <c r="G1377" s="95">
        <f ca="1"/>
        <v>3.3075046268080267E-3</v>
      </c>
      <c r="H1377" s="92" t="s">
        <v>4</v>
      </c>
      <c r="I1377" s="97">
        <f ca="1">_xll.meDateFromTenor(I1376,"1D","FOLLOWING","TGT")</f>
        <v>44463</v>
      </c>
      <c r="J1377" s="95">
        <f ca="1"/>
        <v>4.4789011712915959E-3</v>
      </c>
      <c r="K1377" s="5" t="s">
        <v>4</v>
      </c>
      <c r="L1377" s="97">
        <f ca="1">_xll.meDateFromTenor(L1376,"1D","FOLLOWING","TGT")</f>
        <v>44463</v>
      </c>
      <c r="M1377" s="95">
        <f ca="1"/>
        <v>6.3030021966409356E-3</v>
      </c>
      <c r="N1377" s="5" t="s">
        <v>4</v>
      </c>
      <c r="O1377" s="97">
        <f ca="1">_xll.meDateFromTenor(O1376,"1D","FOLLOWING","TGT")</f>
        <v>44463</v>
      </c>
      <c r="P1377" s="95">
        <f ca="1"/>
        <v>8.3081912252034196E-3</v>
      </c>
      <c r="Q1377" s="5" t="s">
        <v>4</v>
      </c>
      <c r="R1377" s="83" t="s">
        <v>4</v>
      </c>
    </row>
    <row r="1378" spans="1:18" x14ac:dyDescent="0.25">
      <c r="A1378" s="88">
        <v>1364</v>
      </c>
      <c r="B1378" s="82"/>
      <c r="C1378" s="97">
        <f ca="1">_xll.meDateFromTenor(C1377,"1D","FOLLOWING","TGT")</f>
        <v>44466</v>
      </c>
      <c r="D1378" s="95">
        <f ca="1"/>
        <v>2.515207466532221E-3</v>
      </c>
      <c r="E1378" s="92"/>
      <c r="F1378" s="97">
        <f ca="1">_xll.meDateFromTenor(F1377,"1D","FOLLOWING","TGT")</f>
        <v>44466</v>
      </c>
      <c r="G1378" s="95">
        <f ca="1"/>
        <v>3.3294362302284863E-3</v>
      </c>
      <c r="H1378" s="92" t="s">
        <v>4</v>
      </c>
      <c r="I1378" s="97">
        <f ca="1">_xll.meDateFromTenor(I1377,"1D","FOLLOWING","TGT")</f>
        <v>44466</v>
      </c>
      <c r="J1378" s="95">
        <f ca="1"/>
        <v>4.5027097797471797E-3</v>
      </c>
      <c r="K1378" s="5" t="s">
        <v>4</v>
      </c>
      <c r="L1378" s="97">
        <f ca="1">_xll.meDateFromTenor(L1377,"1D","FOLLOWING","TGT")</f>
        <v>44466</v>
      </c>
      <c r="M1378" s="95">
        <f ca="1"/>
        <v>6.3265512173305187E-3</v>
      </c>
      <c r="N1378" s="5" t="s">
        <v>4</v>
      </c>
      <c r="O1378" s="97">
        <f ca="1">_xll.meDateFromTenor(O1377,"1D","FOLLOWING","TGT")</f>
        <v>44466</v>
      </c>
      <c r="P1378" s="95">
        <f ca="1"/>
        <v>8.33037253887642E-3</v>
      </c>
      <c r="Q1378" s="5" t="s">
        <v>4</v>
      </c>
      <c r="R1378" s="83" t="s">
        <v>4</v>
      </c>
    </row>
    <row r="1379" spans="1:18" x14ac:dyDescent="0.25">
      <c r="A1379" s="88">
        <v>1365</v>
      </c>
      <c r="B1379" s="82"/>
      <c r="C1379" s="97">
        <f ca="1">_xll.meDateFromTenor(C1378,"1D","FOLLOWING","TGT")</f>
        <v>44467</v>
      </c>
      <c r="D1379" s="95">
        <f ca="1"/>
        <v>2.5242633504256595E-3</v>
      </c>
      <c r="E1379" s="92"/>
      <c r="F1379" s="97">
        <f ca="1">_xll.meDateFromTenor(F1378,"1D","FOLLOWING","TGT")</f>
        <v>44467</v>
      </c>
      <c r="G1379" s="95">
        <f ca="1"/>
        <v>3.3367817136461214E-3</v>
      </c>
      <c r="H1379" s="92" t="s">
        <v>4</v>
      </c>
      <c r="I1379" s="97">
        <f ca="1">_xll.meDateFromTenor(I1378,"1D","FOLLOWING","TGT")</f>
        <v>44467</v>
      </c>
      <c r="J1379" s="95">
        <f ca="1"/>
        <v>4.5106517985879493E-3</v>
      </c>
      <c r="K1379" s="5" t="s">
        <v>4</v>
      </c>
      <c r="L1379" s="97">
        <f ca="1">_xll.meDateFromTenor(L1378,"1D","FOLLOWING","TGT")</f>
        <v>44467</v>
      </c>
      <c r="M1379" s="95">
        <f ca="1"/>
        <v>6.3344062241751462E-3</v>
      </c>
      <c r="N1379" s="5" t="s">
        <v>4</v>
      </c>
      <c r="O1379" s="97">
        <f ca="1">_xll.meDateFromTenor(O1378,"1D","FOLLOWING","TGT")</f>
        <v>44467</v>
      </c>
      <c r="P1379" s="95">
        <f ca="1"/>
        <v>8.3377655684889664E-3</v>
      </c>
      <c r="Q1379" s="5" t="s">
        <v>4</v>
      </c>
      <c r="R1379" s="83" t="s">
        <v>4</v>
      </c>
    </row>
    <row r="1380" spans="1:18" x14ac:dyDescent="0.25">
      <c r="A1380" s="88">
        <v>1366</v>
      </c>
      <c r="B1380" s="82"/>
      <c r="C1380" s="97">
        <f ca="1">_xll.meDateFromTenor(C1379,"1D","FOLLOWING","TGT")</f>
        <v>44468</v>
      </c>
      <c r="D1380" s="95">
        <f ca="1"/>
        <v>2.5333121575670248E-3</v>
      </c>
      <c r="E1380" s="92"/>
      <c r="F1380" s="97">
        <f ca="1">_xll.meDateFromTenor(F1379,"1D","FOLLOWING","TGT")</f>
        <v>44468</v>
      </c>
      <c r="G1380" s="95">
        <f ca="1"/>
        <v>3.3441482891012897E-3</v>
      </c>
      <c r="H1380" s="92" t="s">
        <v>4</v>
      </c>
      <c r="I1380" s="97">
        <f ca="1">_xll.meDateFromTenor(I1379,"1D","FOLLOWING","TGT")</f>
        <v>44468</v>
      </c>
      <c r="J1380" s="95">
        <f ca="1"/>
        <v>4.5185967974837732E-3</v>
      </c>
      <c r="K1380" s="5" t="s">
        <v>4</v>
      </c>
      <c r="L1380" s="97">
        <f ca="1">_xll.meDateFromTenor(L1379,"1D","FOLLOWING","TGT")</f>
        <v>44468</v>
      </c>
      <c r="M1380" s="95">
        <f ca="1"/>
        <v>6.3422638887201503E-3</v>
      </c>
      <c r="N1380" s="5" t="s">
        <v>4</v>
      </c>
      <c r="O1380" s="97">
        <f ca="1">_xll.meDateFromTenor(O1379,"1D","FOLLOWING","TGT")</f>
        <v>44468</v>
      </c>
      <c r="P1380" s="95">
        <f ca="1"/>
        <v>8.3451582223790476E-3</v>
      </c>
      <c r="Q1380" s="5" t="s">
        <v>4</v>
      </c>
      <c r="R1380" s="83" t="s">
        <v>4</v>
      </c>
    </row>
    <row r="1381" spans="1:18" x14ac:dyDescent="0.25">
      <c r="A1381" s="88">
        <v>1367</v>
      </c>
      <c r="B1381" s="82"/>
      <c r="C1381" s="97">
        <f ca="1">_xll.meDateFromTenor(C1380,"1D","FOLLOWING","TGT")</f>
        <v>44469</v>
      </c>
      <c r="D1381" s="95">
        <f ca="1"/>
        <v>2.5423538877666907E-3</v>
      </c>
      <c r="E1381" s="92"/>
      <c r="F1381" s="97">
        <f ca="1">_xll.meDateFromTenor(F1380,"1D","FOLLOWING","TGT")</f>
        <v>44469</v>
      </c>
      <c r="G1381" s="95">
        <f ca="1"/>
        <v>3.3515381271332664E-3</v>
      </c>
      <c r="H1381" s="92" t="s">
        <v>4</v>
      </c>
      <c r="I1381" s="97">
        <f ca="1">_xll.meDateFromTenor(I1380,"1D","FOLLOWING","TGT")</f>
        <v>44469</v>
      </c>
      <c r="J1381" s="95">
        <f ca="1"/>
        <v>4.526544819661007E-3</v>
      </c>
      <c r="K1381" s="5" t="s">
        <v>4</v>
      </c>
      <c r="L1381" s="97">
        <f ca="1">_xll.meDateFromTenor(L1380,"1D","FOLLOWING","TGT")</f>
        <v>44469</v>
      </c>
      <c r="M1381" s="95">
        <f ca="1"/>
        <v>6.3501242056013298E-3</v>
      </c>
      <c r="N1381" s="5" t="s">
        <v>4</v>
      </c>
      <c r="O1381" s="97">
        <f ca="1">_xll.meDateFromTenor(O1380,"1D","FOLLOWING","TGT")</f>
        <v>44469</v>
      </c>
      <c r="P1381" s="95">
        <f ca="1"/>
        <v>8.3525504975967193E-3</v>
      </c>
      <c r="Q1381" s="5" t="s">
        <v>4</v>
      </c>
      <c r="R1381" s="83" t="s">
        <v>4</v>
      </c>
    </row>
    <row r="1382" spans="1:18" x14ac:dyDescent="0.25">
      <c r="A1382" s="88">
        <v>1368</v>
      </c>
      <c r="B1382" s="82"/>
      <c r="C1382" s="97">
        <f ca="1">_xll.meDateFromTenor(C1381,"1D","FOLLOWING","TGT")</f>
        <v>44470</v>
      </c>
      <c r="D1382" s="95">
        <f ca="1"/>
        <v>2.5513885411496684E-3</v>
      </c>
      <c r="E1382" s="92"/>
      <c r="F1382" s="97">
        <f ca="1">_xll.meDateFromTenor(F1381,"1D","FOLLOWING","TGT")</f>
        <v>44470</v>
      </c>
      <c r="G1382" s="95">
        <f ca="1"/>
        <v>3.3589533982813268E-3</v>
      </c>
      <c r="H1382" s="92" t="s">
        <v>4</v>
      </c>
      <c r="I1382" s="97">
        <f ca="1">_xll.meDateFromTenor(I1381,"1D","FOLLOWING","TGT")</f>
        <v>44470</v>
      </c>
      <c r="J1382" s="95">
        <f ca="1"/>
        <v>4.5344959083460116E-3</v>
      </c>
      <c r="K1382" s="5" t="s">
        <v>4</v>
      </c>
      <c r="L1382" s="97">
        <f ca="1">_xll.meDateFromTenor(L1381,"1D","FOLLOWING","TGT")</f>
        <v>44470</v>
      </c>
      <c r="M1382" s="95">
        <f ca="1"/>
        <v>6.3579871694544807E-3</v>
      </c>
      <c r="N1382" s="5" t="s">
        <v>4</v>
      </c>
      <c r="O1382" s="97">
        <f ca="1">_xll.meDateFromTenor(O1381,"1D","FOLLOWING","TGT")</f>
        <v>44470</v>
      </c>
      <c r="P1382" s="95">
        <f ca="1"/>
        <v>8.3599423911920358E-3</v>
      </c>
      <c r="Q1382" s="5" t="s">
        <v>4</v>
      </c>
      <c r="R1382" s="83" t="s">
        <v>4</v>
      </c>
    </row>
    <row r="1383" spans="1:18" x14ac:dyDescent="0.25">
      <c r="A1383" s="88">
        <v>1369</v>
      </c>
      <c r="B1383" s="82"/>
      <c r="C1383" s="97">
        <f ca="1">_xll.meDateFromTenor(C1382,"1D","FOLLOWING","TGT")</f>
        <v>44473</v>
      </c>
      <c r="D1383" s="95">
        <f ca="1"/>
        <v>2.5784500449816949E-3</v>
      </c>
      <c r="E1383" s="92"/>
      <c r="F1383" s="97">
        <f ca="1">_xll.meDateFromTenor(F1382,"1D","FOLLOWING","TGT")</f>
        <v>44473</v>
      </c>
      <c r="G1383" s="95">
        <f ca="1"/>
        <v>3.3813735158147637E-3</v>
      </c>
      <c r="H1383" s="92" t="s">
        <v>4</v>
      </c>
      <c r="I1383" s="97">
        <f ca="1">_xll.meDateFromTenor(I1382,"1D","FOLLOWING","TGT")</f>
        <v>44473</v>
      </c>
      <c r="J1383" s="95">
        <f ca="1"/>
        <v>4.5583680057112407E-3</v>
      </c>
      <c r="K1383" s="5" t="s">
        <v>4</v>
      </c>
      <c r="L1383" s="97">
        <f ca="1">_xll.meDateFromTenor(L1382,"1D","FOLLOWING","TGT")</f>
        <v>44473</v>
      </c>
      <c r="M1383" s="95">
        <f ca="1"/>
        <v>6.3815918892037313E-3</v>
      </c>
      <c r="N1383" s="5" t="s">
        <v>4</v>
      </c>
      <c r="O1383" s="97">
        <f ca="1">_xll.meDateFromTenor(O1382,"1D","FOLLOWING","TGT")</f>
        <v>44473</v>
      </c>
      <c r="P1383" s="95">
        <f ca="1"/>
        <v>8.3821157527444214E-3</v>
      </c>
      <c r="Q1383" s="5" t="s">
        <v>4</v>
      </c>
      <c r="R1383" s="83" t="s">
        <v>4</v>
      </c>
    </row>
    <row r="1384" spans="1:18" x14ac:dyDescent="0.25">
      <c r="A1384" s="88">
        <v>1370</v>
      </c>
      <c r="B1384" s="82"/>
      <c r="C1384" s="97">
        <f ca="1">_xll.meDateFromTenor(C1383,"1D","FOLLOWING","TGT")</f>
        <v>44474</v>
      </c>
      <c r="D1384" s="95">
        <f ca="1"/>
        <v>2.5874563951140406E-3</v>
      </c>
      <c r="E1384" s="92"/>
      <c r="F1384" s="97">
        <f ca="1">_xll.meDateFromTenor(F1383,"1D","FOLLOWING","TGT")</f>
        <v>44474</v>
      </c>
      <c r="G1384" s="95">
        <f ca="1"/>
        <v>3.3889116952885213E-3</v>
      </c>
      <c r="H1384" s="92" t="s">
        <v>4</v>
      </c>
      <c r="I1384" s="97">
        <f ca="1">_xll.meDateFromTenor(I1383,"1D","FOLLOWING","TGT")</f>
        <v>44474</v>
      </c>
      <c r="J1384" s="95">
        <f ca="1"/>
        <v>4.5663317926909154E-3</v>
      </c>
      <c r="K1384" s="5" t="s">
        <v>4</v>
      </c>
      <c r="L1384" s="97">
        <f ca="1">_xll.meDateFromTenor(L1383,"1D","FOLLOWING","TGT")</f>
        <v>44474</v>
      </c>
      <c r="M1384" s="95">
        <f ca="1"/>
        <v>6.3894653873027346E-3</v>
      </c>
      <c r="N1384" s="5" t="s">
        <v>4</v>
      </c>
      <c r="O1384" s="97">
        <f ca="1">_xll.meDateFromTenor(O1383,"1D","FOLLOWING","TGT")</f>
        <v>44474</v>
      </c>
      <c r="P1384" s="95">
        <f ca="1"/>
        <v>8.3895060903508827E-3</v>
      </c>
      <c r="Q1384" s="5" t="s">
        <v>4</v>
      </c>
      <c r="R1384" s="83" t="s">
        <v>4</v>
      </c>
    </row>
    <row r="1385" spans="1:18" x14ac:dyDescent="0.25">
      <c r="A1385" s="88">
        <v>1371</v>
      </c>
      <c r="B1385" s="82"/>
      <c r="C1385" s="97">
        <f ca="1">_xll.meDateFromTenor(C1384,"1D","FOLLOWING","TGT")</f>
        <v>44475</v>
      </c>
      <c r="D1385" s="95">
        <f ca="1"/>
        <v>2.5964556697175567E-3</v>
      </c>
      <c r="E1385" s="92"/>
      <c r="F1385" s="97">
        <f ca="1">_xll.meDateFromTenor(F1384,"1D","FOLLOWING","TGT")</f>
        <v>44475</v>
      </c>
      <c r="G1385" s="95">
        <f ca="1"/>
        <v>3.3964829833864141E-3</v>
      </c>
      <c r="H1385" s="92" t="s">
        <v>4</v>
      </c>
      <c r="I1385" s="97">
        <f ca="1">_xll.meDateFromTenor(I1384,"1D","FOLLOWING","TGT")</f>
        <v>44475</v>
      </c>
      <c r="J1385" s="95">
        <f ca="1"/>
        <v>4.5742988623101583E-3</v>
      </c>
      <c r="K1385" s="5" t="s">
        <v>4</v>
      </c>
      <c r="L1385" s="97">
        <f ca="1">_xll.meDateFromTenor(L1384,"1D","FOLLOWING","TGT")</f>
        <v>44475</v>
      </c>
      <c r="M1385" s="95">
        <f ca="1"/>
        <v>6.3973415055526978E-3</v>
      </c>
      <c r="N1385" s="5" t="s">
        <v>4</v>
      </c>
      <c r="O1385" s="97">
        <f ca="1">_xll.meDateFromTenor(O1384,"1D","FOLLOWING","TGT")</f>
        <v>44475</v>
      </c>
      <c r="P1385" s="95">
        <f ca="1"/>
        <v>8.3968960315852718E-3</v>
      </c>
      <c r="Q1385" s="5" t="s">
        <v>4</v>
      </c>
      <c r="R1385" s="83" t="s">
        <v>4</v>
      </c>
    </row>
    <row r="1386" spans="1:18" x14ac:dyDescent="0.25">
      <c r="A1386" s="88">
        <v>1372</v>
      </c>
      <c r="B1386" s="82"/>
      <c r="C1386" s="97">
        <f ca="1">_xll.meDateFromTenor(C1385,"1D","FOLLOWING","TGT")</f>
        <v>44476</v>
      </c>
      <c r="D1386" s="95">
        <f ca="1"/>
        <v>2.6054478697190575E-3</v>
      </c>
      <c r="E1386" s="92"/>
      <c r="F1386" s="97">
        <f ca="1">_xll.meDateFromTenor(F1385,"1D","FOLLOWING","TGT")</f>
        <v>44476</v>
      </c>
      <c r="G1386" s="95">
        <f ca="1"/>
        <v>3.4040863734593869E-3</v>
      </c>
      <c r="H1386" s="92" t="s">
        <v>4</v>
      </c>
      <c r="I1386" s="97">
        <f ca="1">_xll.meDateFromTenor(I1385,"1D","FOLLOWING","TGT")</f>
        <v>44476</v>
      </c>
      <c r="J1386" s="95">
        <f ca="1"/>
        <v>4.5822692577953241E-3</v>
      </c>
      <c r="K1386" s="5" t="s">
        <v>4</v>
      </c>
      <c r="L1386" s="97">
        <f ca="1">_xll.meDateFromTenor(L1385,"1D","FOLLOWING","TGT")</f>
        <v>44476</v>
      </c>
      <c r="M1386" s="95">
        <f ca="1"/>
        <v>6.4052202385894135E-3</v>
      </c>
      <c r="N1386" s="5" t="s">
        <v>4</v>
      </c>
      <c r="O1386" s="97">
        <f ca="1">_xll.meDateFromTenor(O1385,"1D","FOLLOWING","TGT")</f>
        <v>44476</v>
      </c>
      <c r="P1386" s="95">
        <f ca="1"/>
        <v>8.4042855734976444E-3</v>
      </c>
      <c r="Q1386" s="5" t="s">
        <v>4</v>
      </c>
      <c r="R1386" s="83" t="s">
        <v>4</v>
      </c>
    </row>
    <row r="1387" spans="1:18" x14ac:dyDescent="0.25">
      <c r="A1387" s="88">
        <v>1373</v>
      </c>
      <c r="B1387" s="82"/>
      <c r="C1387" s="97">
        <f ca="1">_xll.meDateFromTenor(C1386,"1D","FOLLOWING","TGT")</f>
        <v>44477</v>
      </c>
      <c r="D1387" s="95">
        <f ca="1"/>
        <v>2.6144329947708211E-3</v>
      </c>
      <c r="E1387" s="92"/>
      <c r="F1387" s="97">
        <f ca="1">_xll.meDateFromTenor(F1386,"1D","FOLLOWING","TGT")</f>
        <v>44477</v>
      </c>
      <c r="G1387" s="95">
        <f ca="1"/>
        <v>3.4117208588583877E-3</v>
      </c>
      <c r="H1387" s="92" t="s">
        <v>4</v>
      </c>
      <c r="I1387" s="97">
        <f ca="1">_xll.meDateFromTenor(I1386,"1D","FOLLOWING","TGT")</f>
        <v>44477</v>
      </c>
      <c r="J1387" s="95">
        <f ca="1"/>
        <v>4.5902430223727754E-3</v>
      </c>
      <c r="K1387" s="5" t="s">
        <v>4</v>
      </c>
      <c r="L1387" s="97">
        <f ca="1">_xll.meDateFromTenor(L1386,"1D","FOLLOWING","TGT")</f>
        <v>44477</v>
      </c>
      <c r="M1387" s="95">
        <f ca="1"/>
        <v>6.4131015810486788E-3</v>
      </c>
      <c r="N1387" s="5" t="s">
        <v>4</v>
      </c>
      <c r="O1387" s="97">
        <f ca="1">_xll.meDateFromTenor(O1386,"1D","FOLLOWING","TGT")</f>
        <v>44477</v>
      </c>
      <c r="P1387" s="95">
        <f ca="1"/>
        <v>8.4116747131380565E-3</v>
      </c>
      <c r="Q1387" s="5" t="s">
        <v>4</v>
      </c>
      <c r="R1387" s="83" t="s">
        <v>4</v>
      </c>
    </row>
    <row r="1388" spans="1:18" x14ac:dyDescent="0.25">
      <c r="A1388" s="88">
        <v>1374</v>
      </c>
      <c r="B1388" s="82"/>
      <c r="C1388" s="97">
        <f ca="1">_xll.meDateFromTenor(C1387,"1D","FOLLOWING","TGT")</f>
        <v>44480</v>
      </c>
      <c r="D1388" s="95">
        <f ca="1"/>
        <v>2.6413459251140026E-3</v>
      </c>
      <c r="E1388" s="92"/>
      <c r="F1388" s="97">
        <f ca="1">_xll.meDateFromTenor(F1387,"1D","FOLLOWING","TGT")</f>
        <v>44480</v>
      </c>
      <c r="G1388" s="95">
        <f ca="1"/>
        <v>3.434800820521037E-3</v>
      </c>
      <c r="H1388" s="92" t="s">
        <v>4</v>
      </c>
      <c r="I1388" s="97">
        <f ca="1">_xll.meDateFromTenor(I1387,"1D","FOLLOWING","TGT")</f>
        <v>44480</v>
      </c>
      <c r="J1388" s="95">
        <f ca="1"/>
        <v>4.6141849629224132E-3</v>
      </c>
      <c r="K1388" s="5" t="s">
        <v>4</v>
      </c>
      <c r="L1388" s="97">
        <f ca="1">_xll.meDateFromTenor(L1387,"1D","FOLLOWING","TGT")</f>
        <v>44480</v>
      </c>
      <c r="M1388" s="95">
        <f ca="1"/>
        <v>6.4367612113197447E-3</v>
      </c>
      <c r="N1388" s="5" t="s">
        <v>4</v>
      </c>
      <c r="O1388" s="97">
        <f ca="1">_xll.meDateFromTenor(O1387,"1D","FOLLOWING","TGT")</f>
        <v>44480</v>
      </c>
      <c r="P1388" s="95">
        <f ca="1"/>
        <v>8.4338396889280867E-3</v>
      </c>
      <c r="Q1388" s="5" t="s">
        <v>4</v>
      </c>
      <c r="R1388" s="83" t="s">
        <v>4</v>
      </c>
    </row>
    <row r="1389" spans="1:18" x14ac:dyDescent="0.25">
      <c r="A1389" s="88">
        <v>1375</v>
      </c>
      <c r="B1389" s="82"/>
      <c r="C1389" s="97">
        <f ca="1">_xll.meDateFromTenor(C1388,"1D","FOLLOWING","TGT")</f>
        <v>44481</v>
      </c>
      <c r="D1389" s="95">
        <f ca="1"/>
        <v>2.6503027543800517E-3</v>
      </c>
      <c r="E1389" s="92"/>
      <c r="F1389" s="97">
        <f ca="1">_xll.meDateFromTenor(F1388,"1D","FOLLOWING","TGT")</f>
        <v>44481</v>
      </c>
      <c r="G1389" s="95">
        <f ca="1"/>
        <v>3.4425496207336256E-3</v>
      </c>
      <c r="H1389" s="92" t="s">
        <v>4</v>
      </c>
      <c r="I1389" s="97">
        <f ca="1">_xll.meDateFromTenor(I1388,"1D","FOLLOWING","TGT")</f>
        <v>44481</v>
      </c>
      <c r="J1389" s="95">
        <f ca="1"/>
        <v>4.6221726361325823E-3</v>
      </c>
      <c r="K1389" s="5" t="s">
        <v>4</v>
      </c>
      <c r="L1389" s="97">
        <f ca="1">_xll.meDateFromTenor(L1388,"1D","FOLLOWING","TGT")</f>
        <v>44481</v>
      </c>
      <c r="M1389" s="95">
        <f ca="1"/>
        <v>6.4446529378271774E-3</v>
      </c>
      <c r="N1389" s="5" t="s">
        <v>4</v>
      </c>
      <c r="O1389" s="97">
        <f ca="1">_xll.meDateFromTenor(O1388,"1D","FOLLOWING","TGT")</f>
        <v>44481</v>
      </c>
      <c r="P1389" s="95">
        <f ca="1"/>
        <v>8.4412271899812139E-3</v>
      </c>
      <c r="Q1389" s="5" t="s">
        <v>4</v>
      </c>
      <c r="R1389" s="83" t="s">
        <v>4</v>
      </c>
    </row>
    <row r="1390" spans="1:18" x14ac:dyDescent="0.25">
      <c r="A1390" s="88">
        <v>1376</v>
      </c>
      <c r="B1390" s="82"/>
      <c r="C1390" s="97">
        <f ca="1">_xll.meDateFromTenor(C1389,"1D","FOLLOWING","TGT")</f>
        <v>44482</v>
      </c>
      <c r="D1390" s="95">
        <f ca="1"/>
        <v>2.6592525101432063E-3</v>
      </c>
      <c r="E1390" s="92"/>
      <c r="F1390" s="97">
        <f ca="1">_xll.meDateFromTenor(F1389,"1D","FOLLOWING","TGT")</f>
        <v>44482</v>
      </c>
      <c r="G1390" s="95">
        <f ca="1"/>
        <v>3.4503244830269854E-3</v>
      </c>
      <c r="H1390" s="92" t="s">
        <v>4</v>
      </c>
      <c r="I1390" s="97">
        <f ca="1">_xll.meDateFromTenor(I1389,"1D","FOLLOWING","TGT")</f>
        <v>44482</v>
      </c>
      <c r="J1390" s="95">
        <f ca="1"/>
        <v>4.6301638945668352E-3</v>
      </c>
      <c r="K1390" s="5" t="s">
        <v>4</v>
      </c>
      <c r="L1390" s="97">
        <f ca="1">_xll.meDateFromTenor(L1389,"1D","FOLLOWING","TGT")</f>
        <v>44482</v>
      </c>
      <c r="M1390" s="95">
        <f ca="1"/>
        <v>6.4525472469361498E-3</v>
      </c>
      <c r="N1390" s="5" t="s">
        <v>4</v>
      </c>
      <c r="O1390" s="97">
        <f ca="1">_xll.meDateFromTenor(O1389,"1D","FOLLOWING","TGT")</f>
        <v>44482</v>
      </c>
      <c r="P1390" s="95">
        <f ca="1"/>
        <v>8.4486142740126668E-3</v>
      </c>
      <c r="Q1390" s="5" t="s">
        <v>4</v>
      </c>
      <c r="R1390" s="83" t="s">
        <v>4</v>
      </c>
    </row>
    <row r="1391" spans="1:18" x14ac:dyDescent="0.25">
      <c r="A1391" s="88">
        <v>1377</v>
      </c>
      <c r="B1391" s="82"/>
      <c r="C1391" s="97">
        <f ca="1">_xll.meDateFromTenor(C1390,"1D","FOLLOWING","TGT")</f>
        <v>44483</v>
      </c>
      <c r="D1391" s="95">
        <f ca="1"/>
        <v>2.6681951930982439E-3</v>
      </c>
      <c r="E1391" s="92"/>
      <c r="F1391" s="97">
        <f ca="1">_xll.meDateFromTenor(F1390,"1D","FOLLOWING","TGT")</f>
        <v>44483</v>
      </c>
      <c r="G1391" s="95">
        <f ca="1"/>
        <v>3.4581244007520565E-3</v>
      </c>
      <c r="H1391" s="92" t="s">
        <v>4</v>
      </c>
      <c r="I1391" s="97">
        <f ca="1">_xll.meDateFromTenor(I1390,"1D","FOLLOWING","TGT")</f>
        <v>44483</v>
      </c>
      <c r="J1391" s="95">
        <f ca="1"/>
        <v>4.6381587814515205E-3</v>
      </c>
      <c r="K1391" s="5" t="s">
        <v>4</v>
      </c>
      <c r="L1391" s="97">
        <f ca="1">_xll.meDateFromTenor(L1390,"1D","FOLLOWING","TGT")</f>
        <v>44483</v>
      </c>
      <c r="M1391" s="95">
        <f ca="1"/>
        <v>6.4604441332824485E-3</v>
      </c>
      <c r="N1391" s="5" t="s">
        <v>4</v>
      </c>
      <c r="O1391" s="97">
        <f ca="1">_xll.meDateFromTenor(O1390,"1D","FOLLOWING","TGT")</f>
        <v>44483</v>
      </c>
      <c r="P1391" s="95">
        <f ca="1"/>
        <v>8.4560009380724929E-3</v>
      </c>
      <c r="Q1391" s="5" t="s">
        <v>4</v>
      </c>
      <c r="R1391" s="83" t="s">
        <v>4</v>
      </c>
    </row>
    <row r="1392" spans="1:18" x14ac:dyDescent="0.25">
      <c r="A1392" s="88">
        <v>1378</v>
      </c>
      <c r="B1392" s="82"/>
      <c r="C1392" s="97">
        <f ca="1">_xll.meDateFromTenor(C1391,"1D","FOLLOWING","TGT")</f>
        <v>44484</v>
      </c>
      <c r="D1392" s="95">
        <f ca="1"/>
        <v>2.6771308030513197E-3</v>
      </c>
      <c r="E1392" s="92"/>
      <c r="F1392" s="97">
        <f ca="1">_xll.meDateFromTenor(F1391,"1D","FOLLOWING","TGT")</f>
        <v>44484</v>
      </c>
      <c r="G1392" s="95">
        <f ca="1"/>
        <v>3.4659483672597915E-3</v>
      </c>
      <c r="H1392" s="92" t="s">
        <v>4</v>
      </c>
      <c r="I1392" s="97">
        <f ca="1">_xll.meDateFromTenor(I1391,"1D","FOLLOWING","TGT")</f>
        <v>44484</v>
      </c>
      <c r="J1392" s="95">
        <f ca="1"/>
        <v>4.6461573400130036E-3</v>
      </c>
      <c r="K1392" s="5" t="s">
        <v>4</v>
      </c>
      <c r="L1392" s="97">
        <f ca="1">_xll.meDateFromTenor(L1391,"1D","FOLLOWING","TGT")</f>
        <v>44484</v>
      </c>
      <c r="M1392" s="95">
        <f ca="1"/>
        <v>6.4683435915018775E-3</v>
      </c>
      <c r="N1392" s="5" t="s">
        <v>4</v>
      </c>
      <c r="O1392" s="97">
        <f ca="1">_xll.meDateFromTenor(O1391,"1D","FOLLOWING","TGT")</f>
        <v>44484</v>
      </c>
      <c r="P1392" s="95">
        <f ca="1"/>
        <v>8.4633871792107514E-3</v>
      </c>
      <c r="Q1392" s="5" t="s">
        <v>4</v>
      </c>
      <c r="R1392" s="83" t="s">
        <v>4</v>
      </c>
    </row>
    <row r="1393" spans="1:18" x14ac:dyDescent="0.25">
      <c r="A1393" s="88">
        <v>1379</v>
      </c>
      <c r="B1393" s="82"/>
      <c r="C1393" s="97">
        <f ca="1">_xll.meDateFromTenor(C1392,"1D","FOLLOWING","TGT")</f>
        <v>44487</v>
      </c>
      <c r="D1393" s="95">
        <f ca="1"/>
        <v>2.7038951990259186E-3</v>
      </c>
      <c r="E1393" s="92"/>
      <c r="F1393" s="97">
        <f ca="1">_xll.meDateFromTenor(F1392,"1D","FOLLOWING","TGT")</f>
        <v>44487</v>
      </c>
      <c r="G1393" s="95">
        <f ca="1"/>
        <v>3.489554492988451E-3</v>
      </c>
      <c r="H1393" s="92" t="s">
        <v>4</v>
      </c>
      <c r="I1393" s="97">
        <f ca="1">_xll.meDateFromTenor(I1392,"1D","FOLLOWING","TGT")</f>
        <v>44487</v>
      </c>
      <c r="J1393" s="95">
        <f ca="1"/>
        <v>4.6701754780218152E-3</v>
      </c>
      <c r="K1393" s="5" t="s">
        <v>4</v>
      </c>
      <c r="L1393" s="97">
        <f ca="1">_xll.meDateFromTenor(L1392,"1D","FOLLOWING","TGT")</f>
        <v>44487</v>
      </c>
      <c r="M1393" s="95">
        <f ca="1"/>
        <v>6.4920573437569065E-3</v>
      </c>
      <c r="N1393" s="5" t="s">
        <v>4</v>
      </c>
      <c r="O1393" s="97">
        <f ca="1">_xll.meDateFromTenor(O1392,"1D","FOLLOWING","TGT")</f>
        <v>44487</v>
      </c>
      <c r="P1393" s="95">
        <f ca="1"/>
        <v>8.4855433355966823E-3</v>
      </c>
      <c r="Q1393" s="5" t="s">
        <v>4</v>
      </c>
      <c r="R1393" s="83" t="s">
        <v>4</v>
      </c>
    </row>
    <row r="1394" spans="1:18" x14ac:dyDescent="0.25">
      <c r="A1394" s="88">
        <v>1380</v>
      </c>
      <c r="B1394" s="82"/>
      <c r="C1394" s="97">
        <f ca="1">_xll.meDateFromTenor(C1393,"1D","FOLLOWING","TGT")</f>
        <v>44488</v>
      </c>
      <c r="D1394" s="95">
        <f ca="1"/>
        <v>2.7128025205307438E-3</v>
      </c>
      <c r="E1394" s="92"/>
      <c r="F1394" s="97">
        <f ca="1">_xll.meDateFromTenor(F1393,"1D","FOLLOWING","TGT")</f>
        <v>44488</v>
      </c>
      <c r="G1394" s="95">
        <f ca="1"/>
        <v>3.4974645881363136E-3</v>
      </c>
      <c r="H1394" s="92" t="s">
        <v>4</v>
      </c>
      <c r="I1394" s="97">
        <f ca="1">_xll.meDateFromTenor(I1393,"1D","FOLLOWING","TGT")</f>
        <v>44488</v>
      </c>
      <c r="J1394" s="95">
        <f ca="1"/>
        <v>4.6781891555540706E-3</v>
      </c>
      <c r="K1394" s="5" t="s">
        <v>4</v>
      </c>
      <c r="L1394" s="97">
        <f ca="1">_xll.meDateFromTenor(L1393,"1D","FOLLOWING","TGT")</f>
        <v>44488</v>
      </c>
      <c r="M1394" s="95">
        <f ca="1"/>
        <v>6.4999670358268187E-3</v>
      </c>
      <c r="N1394" s="5" t="s">
        <v>4</v>
      </c>
      <c r="O1394" s="97">
        <f ca="1">_xll.meDateFromTenor(O1393,"1D","FOLLOWING","TGT")</f>
        <v>44488</v>
      </c>
      <c r="P1394" s="95">
        <f ca="1"/>
        <v>8.4929278555492312E-3</v>
      </c>
      <c r="Q1394" s="5" t="s">
        <v>4</v>
      </c>
      <c r="R1394" s="83" t="s">
        <v>4</v>
      </c>
    </row>
    <row r="1395" spans="1:18" x14ac:dyDescent="0.25">
      <c r="A1395" s="88">
        <v>1381</v>
      </c>
      <c r="B1395" s="82"/>
      <c r="C1395" s="97">
        <f ca="1">_xll.meDateFromTenor(C1394,"1D","FOLLOWING","TGT")</f>
        <v>44489</v>
      </c>
      <c r="D1395" s="95">
        <f ca="1"/>
        <v>2.721702770252854E-3</v>
      </c>
      <c r="E1395" s="92"/>
      <c r="F1395" s="97">
        <f ca="1">_xll.meDateFromTenor(F1394,"1D","FOLLOWING","TGT")</f>
        <v>44489</v>
      </c>
      <c r="G1395" s="95">
        <f ca="1"/>
        <v>3.5053936988215786E-3</v>
      </c>
      <c r="H1395" s="92" t="s">
        <v>4</v>
      </c>
      <c r="I1395" s="97">
        <f ca="1">_xll.meDateFromTenor(I1394,"1D","FOLLOWING","TGT")</f>
        <v>44489</v>
      </c>
      <c r="J1395" s="95">
        <f ca="1"/>
        <v>4.6862067208949159E-3</v>
      </c>
      <c r="K1395" s="5" t="s">
        <v>4</v>
      </c>
      <c r="L1395" s="97">
        <f ca="1">_xll.meDateFromTenor(L1394,"1D","FOLLOWING","TGT")</f>
        <v>44489</v>
      </c>
      <c r="M1395" s="95">
        <f ca="1"/>
        <v>6.5078792729488443E-3</v>
      </c>
      <c r="N1395" s="5" t="s">
        <v>4</v>
      </c>
      <c r="O1395" s="97">
        <f ca="1">_xll.meDateFromTenor(O1394,"1D","FOLLOWING","TGT")</f>
        <v>44489</v>
      </c>
      <c r="P1395" s="95">
        <f ca="1"/>
        <v>8.5003119378304955E-3</v>
      </c>
      <c r="Q1395" s="5" t="s">
        <v>4</v>
      </c>
      <c r="R1395" s="83" t="s">
        <v>4</v>
      </c>
    </row>
    <row r="1396" spans="1:18" x14ac:dyDescent="0.25">
      <c r="A1396" s="88">
        <v>1382</v>
      </c>
      <c r="B1396" s="82"/>
      <c r="C1396" s="97">
        <f ca="1">_xll.meDateFromTenor(C1395,"1D","FOLLOWING","TGT")</f>
        <v>44490</v>
      </c>
      <c r="D1396" s="95">
        <f ca="1"/>
        <v>2.7305959488816978E-3</v>
      </c>
      <c r="E1396" s="92"/>
      <c r="F1396" s="97">
        <f ca="1">_xll.meDateFromTenor(F1395,"1D","FOLLOWING","TGT")</f>
        <v>44490</v>
      </c>
      <c r="G1396" s="95">
        <f ca="1"/>
        <v>3.5133408183951895E-3</v>
      </c>
      <c r="H1396" s="92" t="s">
        <v>4</v>
      </c>
      <c r="I1396" s="97">
        <f ca="1">_xll.meDateFromTenor(I1395,"1D","FOLLOWING","TGT")</f>
        <v>44490</v>
      </c>
      <c r="J1396" s="95">
        <f ca="1"/>
        <v>4.6942282172707074E-3</v>
      </c>
      <c r="K1396" s="5" t="s">
        <v>4</v>
      </c>
      <c r="L1396" s="97">
        <f ca="1">_xll.meDateFromTenor(L1395,"1D","FOLLOWING","TGT")</f>
        <v>44490</v>
      </c>
      <c r="M1396" s="95">
        <f ca="1"/>
        <v>6.5157940497587788E-3</v>
      </c>
      <c r="N1396" s="5" t="s">
        <v>4</v>
      </c>
      <c r="O1396" s="97">
        <f ca="1">_xll.meDateFromTenor(O1395,"1D","FOLLOWING","TGT")</f>
        <v>44490</v>
      </c>
      <c r="P1396" s="95">
        <f ca="1"/>
        <v>8.5076955794905259E-3</v>
      </c>
      <c r="Q1396" s="5" t="s">
        <v>4</v>
      </c>
      <c r="R1396" s="83" t="s">
        <v>4</v>
      </c>
    </row>
    <row r="1397" spans="1:18" x14ac:dyDescent="0.25">
      <c r="A1397" s="88">
        <v>1383</v>
      </c>
      <c r="B1397" s="82"/>
      <c r="C1397" s="97">
        <f ca="1">_xll.meDateFromTenor(C1396,"1D","FOLLOWING","TGT")</f>
        <v>44491</v>
      </c>
      <c r="D1397" s="95">
        <f ca="1"/>
        <v>2.7394820565518341E-3</v>
      </c>
      <c r="E1397" s="92"/>
      <c r="F1397" s="97">
        <f ca="1">_xll.meDateFromTenor(F1396,"1D","FOLLOWING","TGT")</f>
        <v>44491</v>
      </c>
      <c r="G1397" s="95">
        <f ca="1"/>
        <v>3.5213049402081026E-3</v>
      </c>
      <c r="H1397" s="92" t="s">
        <v>4</v>
      </c>
      <c r="I1397" s="97">
        <f ca="1">_xll.meDateFromTenor(I1396,"1D","FOLLOWING","TGT")</f>
        <v>44491</v>
      </c>
      <c r="J1397" s="95">
        <f ca="1"/>
        <v>4.7022536879078149E-3</v>
      </c>
      <c r="K1397" s="5" t="s">
        <v>4</v>
      </c>
      <c r="L1397" s="97">
        <f ca="1">_xll.meDateFromTenor(L1396,"1D","FOLLOWING","TGT")</f>
        <v>44491</v>
      </c>
      <c r="M1397" s="95">
        <f ca="1"/>
        <v>6.5237113608924242E-3</v>
      </c>
      <c r="N1397" s="5" t="s">
        <v>4</v>
      </c>
      <c r="O1397" s="97">
        <f ca="1">_xll.meDateFromTenor(O1396,"1D","FOLLOWING","TGT")</f>
        <v>44491</v>
      </c>
      <c r="P1397" s="95">
        <f ca="1"/>
        <v>8.5150787775793851E-3</v>
      </c>
      <c r="Q1397" s="5" t="s">
        <v>4</v>
      </c>
      <c r="R1397" s="83" t="s">
        <v>4</v>
      </c>
    </row>
    <row r="1398" spans="1:18" x14ac:dyDescent="0.25">
      <c r="A1398" s="88">
        <v>1384</v>
      </c>
      <c r="B1398" s="82"/>
      <c r="C1398" s="97">
        <f ca="1">_xll.meDateFromTenor(C1397,"1D","FOLLOWING","TGT")</f>
        <v>44494</v>
      </c>
      <c r="D1398" s="95">
        <f ca="1"/>
        <v>2.7660979554369192E-3</v>
      </c>
      <c r="E1398" s="92"/>
      <c r="F1398" s="97">
        <f ca="1">_xll.meDateFromTenor(F1397,"1D","FOLLOWING","TGT")</f>
        <v>44494</v>
      </c>
      <c r="G1398" s="95">
        <f ca="1"/>
        <v>3.5452892525920932E-3</v>
      </c>
      <c r="H1398" s="92" t="s">
        <v>4</v>
      </c>
      <c r="I1398" s="97">
        <f ca="1">_xll.meDateFromTenor(I1397,"1D","FOLLOWING","TGT")</f>
        <v>44494</v>
      </c>
      <c r="J1398" s="95">
        <f ca="1"/>
        <v>4.7263543776505631E-3</v>
      </c>
      <c r="K1398" s="5" t="s">
        <v>4</v>
      </c>
      <c r="L1398" s="97">
        <f ca="1">_xll.meDateFromTenor(L1397,"1D","FOLLOWING","TGT")</f>
        <v>44494</v>
      </c>
      <c r="M1398" s="95">
        <f ca="1"/>
        <v>6.5474784465935597E-3</v>
      </c>
      <c r="N1398" s="5" t="s">
        <v>4</v>
      </c>
      <c r="O1398" s="97">
        <f ca="1">_xll.meDateFromTenor(O1397,"1D","FOLLOWING","TGT")</f>
        <v>44494</v>
      </c>
      <c r="P1398" s="95">
        <f ca="1"/>
        <v>8.5372256809194743E-3</v>
      </c>
      <c r="Q1398" s="5" t="s">
        <v>4</v>
      </c>
      <c r="R1398" s="83" t="s">
        <v>4</v>
      </c>
    </row>
    <row r="1399" spans="1:18" x14ac:dyDescent="0.25">
      <c r="A1399" s="88">
        <v>1385</v>
      </c>
      <c r="B1399" s="82"/>
      <c r="C1399" s="97">
        <f ca="1">_xll.meDateFromTenor(C1398,"1D","FOLLOWING","TGT")</f>
        <v>44495</v>
      </c>
      <c r="D1399" s="95">
        <f ca="1"/>
        <v>2.7749557813070425E-3</v>
      </c>
      <c r="E1399" s="92"/>
      <c r="F1399" s="97">
        <f ca="1">_xll.meDateFromTenor(F1398,"1D","FOLLOWING","TGT")</f>
        <v>44495</v>
      </c>
      <c r="G1399" s="95">
        <f ca="1"/>
        <v>3.5533113168716699E-3</v>
      </c>
      <c r="H1399" s="92" t="s">
        <v>4</v>
      </c>
      <c r="I1399" s="97">
        <f ca="1">_xll.meDateFromTenor(I1398,"1D","FOLLOWING","TGT")</f>
        <v>44495</v>
      </c>
      <c r="J1399" s="95">
        <f ca="1"/>
        <v>4.7343961775964888E-3</v>
      </c>
      <c r="K1399" s="5" t="s">
        <v>4</v>
      </c>
      <c r="L1399" s="97">
        <f ca="1">_xll.meDateFromTenor(L1398,"1D","FOLLOWING","TGT")</f>
        <v>44495</v>
      </c>
      <c r="M1399" s="95">
        <f ca="1"/>
        <v>6.5554058413799998E-3</v>
      </c>
      <c r="N1399" s="5" t="s">
        <v>4</v>
      </c>
      <c r="O1399" s="97">
        <f ca="1">_xll.meDateFromTenor(O1398,"1D","FOLLOWING","TGT")</f>
        <v>44495</v>
      </c>
      <c r="P1399" s="95">
        <f ca="1"/>
        <v>8.5446070752241959E-3</v>
      </c>
      <c r="Q1399" s="5" t="s">
        <v>4</v>
      </c>
      <c r="R1399" s="83" t="s">
        <v>4</v>
      </c>
    </row>
    <row r="1400" spans="1:18" x14ac:dyDescent="0.25">
      <c r="A1400" s="88">
        <v>1386</v>
      </c>
      <c r="B1400" s="82"/>
      <c r="C1400" s="97">
        <f ca="1">_xll.meDateFromTenor(C1399,"1D","FOLLOWING","TGT")</f>
        <v>44496</v>
      </c>
      <c r="D1400" s="95">
        <f ca="1"/>
        <v>2.7838065373566589E-3</v>
      </c>
      <c r="E1400" s="92"/>
      <c r="F1400" s="97">
        <f ca="1">_xll.meDateFromTenor(F1399,"1D","FOLLOWING","TGT")</f>
        <v>44496</v>
      </c>
      <c r="G1400" s="95">
        <f ca="1"/>
        <v>3.5613453501452826E-3</v>
      </c>
      <c r="H1400" s="92" t="s">
        <v>4</v>
      </c>
      <c r="I1400" s="97">
        <f ca="1">_xll.meDateFromTenor(I1399,"1D","FOLLOWING","TGT")</f>
        <v>44496</v>
      </c>
      <c r="J1400" s="95">
        <f ca="1"/>
        <v>4.7424421679355183E-3</v>
      </c>
      <c r="K1400" s="5" t="s">
        <v>4</v>
      </c>
      <c r="L1400" s="97">
        <f ca="1">_xll.meDateFromTenor(L1399,"1D","FOLLOWING","TGT")</f>
        <v>44496</v>
      </c>
      <c r="M1400" s="95">
        <f ca="1"/>
        <v>6.5633357436691315E-3</v>
      </c>
      <c r="N1400" s="5" t="s">
        <v>4</v>
      </c>
      <c r="O1400" s="97">
        <f ca="1">_xll.meDateFromTenor(O1399,"1D","FOLLOWING","TGT")</f>
        <v>44496</v>
      </c>
      <c r="P1400" s="95">
        <f ca="1"/>
        <v>8.551988011208024E-3</v>
      </c>
      <c r="Q1400" s="5" t="s">
        <v>4</v>
      </c>
      <c r="R1400" s="83" t="s">
        <v>4</v>
      </c>
    </row>
    <row r="1401" spans="1:18" x14ac:dyDescent="0.25">
      <c r="A1401" s="88">
        <v>1387</v>
      </c>
      <c r="B1401" s="82"/>
      <c r="C1401" s="97">
        <f ca="1">_xll.meDateFromTenor(C1400,"1D","FOLLOWING","TGT")</f>
        <v>44497</v>
      </c>
      <c r="D1401" s="95">
        <f ca="1"/>
        <v>2.7926502238020401E-3</v>
      </c>
      <c r="E1401" s="92"/>
      <c r="F1401" s="97">
        <f ca="1">_xll.meDateFromTenor(F1400,"1D","FOLLOWING","TGT")</f>
        <v>44497</v>
      </c>
      <c r="G1401" s="95">
        <f ca="1"/>
        <v>3.5693903457638789E-3</v>
      </c>
      <c r="H1401" s="92" t="s">
        <v>4</v>
      </c>
      <c r="I1401" s="97">
        <f ca="1">_xll.meDateFromTenor(I1400,"1D","FOLLOWING","TGT")</f>
        <v>44497</v>
      </c>
      <c r="J1401" s="95">
        <f ca="1"/>
        <v>4.7504923918940097E-3</v>
      </c>
      <c r="K1401" s="5" t="s">
        <v>4</v>
      </c>
      <c r="L1401" s="97">
        <f ca="1">_xll.meDateFromTenor(L1400,"1D","FOLLOWING","TGT")</f>
        <v>44497</v>
      </c>
      <c r="M1401" s="95">
        <f ca="1"/>
        <v>6.57126814809675E-3</v>
      </c>
      <c r="N1401" s="5" t="s">
        <v>4</v>
      </c>
      <c r="O1401" s="97">
        <f ca="1">_xll.meDateFromTenor(O1400,"1D","FOLLOWING","TGT")</f>
        <v>44497</v>
      </c>
      <c r="P1401" s="95">
        <f ca="1"/>
        <v>8.5593684859210147E-3</v>
      </c>
      <c r="Q1401" s="5" t="s">
        <v>4</v>
      </c>
      <c r="R1401" s="83" t="s">
        <v>4</v>
      </c>
    </row>
    <row r="1402" spans="1:18" x14ac:dyDescent="0.25">
      <c r="A1402" s="88">
        <v>1388</v>
      </c>
      <c r="B1402" s="82"/>
      <c r="C1402" s="97">
        <f ca="1">_xll.meDateFromTenor(C1401,"1D","FOLLOWING","TGT")</f>
        <v>44498</v>
      </c>
      <c r="D1402" s="95">
        <f ca="1"/>
        <v>2.8014868410928262E-3</v>
      </c>
      <c r="E1402" s="92"/>
      <c r="F1402" s="97">
        <f ca="1">_xll.meDateFromTenor(F1401,"1D","FOLLOWING","TGT")</f>
        <v>44498</v>
      </c>
      <c r="G1402" s="95">
        <f ca="1"/>
        <v>3.5774452970784069E-3</v>
      </c>
      <c r="H1402" s="92" t="s">
        <v>4</v>
      </c>
      <c r="I1402" s="97">
        <f ca="1">_xll.meDateFromTenor(I1401,"1D","FOLLOWING","TGT")</f>
        <v>44498</v>
      </c>
      <c r="J1402" s="95">
        <f ca="1"/>
        <v>4.7585468926983222E-3</v>
      </c>
      <c r="K1402" s="5" t="s">
        <v>4</v>
      </c>
      <c r="L1402" s="97">
        <f ca="1">_xll.meDateFromTenor(L1401,"1D","FOLLOWING","TGT")</f>
        <v>44498</v>
      </c>
      <c r="M1402" s="95">
        <f ca="1"/>
        <v>6.5792030492986559E-3</v>
      </c>
      <c r="N1402" s="5" t="s">
        <v>4</v>
      </c>
      <c r="O1402" s="97">
        <f ca="1">_xll.meDateFromTenor(O1401,"1D","FOLLOWING","TGT")</f>
        <v>44498</v>
      </c>
      <c r="P1402" s="95">
        <f ca="1"/>
        <v>8.5667484964132255E-3</v>
      </c>
      <c r="Q1402" s="5" t="s">
        <v>4</v>
      </c>
      <c r="R1402" s="83" t="s">
        <v>4</v>
      </c>
    </row>
    <row r="1403" spans="1:18" x14ac:dyDescent="0.25">
      <c r="A1403" s="88">
        <v>1389</v>
      </c>
      <c r="B1403" s="82"/>
      <c r="C1403" s="97">
        <f ca="1">_xll.meDateFromTenor(C1402,"1D","FOLLOWING","TGT")</f>
        <v>44501</v>
      </c>
      <c r="D1403" s="95">
        <f ca="1"/>
        <v>2.8279542788203216E-3</v>
      </c>
      <c r="E1403" s="92"/>
      <c r="F1403" s="97">
        <f ca="1">_xll.meDateFromTenor(F1402,"1D","FOLLOWING","TGT")</f>
        <v>44501</v>
      </c>
      <c r="G1403" s="95">
        <f ca="1"/>
        <v>3.6016598187070545E-3</v>
      </c>
      <c r="H1403" s="92" t="s">
        <v>4</v>
      </c>
      <c r="I1403" s="97">
        <f ca="1">_xll.meDateFromTenor(I1402,"1D","FOLLOWING","TGT")</f>
        <v>44501</v>
      </c>
      <c r="J1403" s="95">
        <f ca="1"/>
        <v>4.7827364884497712E-3</v>
      </c>
      <c r="K1403" s="5" t="s">
        <v>4</v>
      </c>
      <c r="L1403" s="97">
        <f ca="1">_xll.meDateFromTenor(L1402,"1D","FOLLOWING","TGT")</f>
        <v>44501</v>
      </c>
      <c r="M1403" s="95">
        <f ca="1"/>
        <v>6.6030226799080501E-3</v>
      </c>
      <c r="N1403" s="5" t="s">
        <v>4</v>
      </c>
      <c r="O1403" s="97">
        <f ca="1">_xll.meDateFromTenor(O1402,"1D","FOLLOWING","TGT")</f>
        <v>44501</v>
      </c>
      <c r="P1403" s="95">
        <f ca="1"/>
        <v>8.5888857130657272E-3</v>
      </c>
      <c r="Q1403" s="5" t="s">
        <v>4</v>
      </c>
      <c r="R1403" s="83" t="s">
        <v>4</v>
      </c>
    </row>
    <row r="1404" spans="1:18" x14ac:dyDescent="0.25">
      <c r="A1404" s="88">
        <v>1390</v>
      </c>
      <c r="B1404" s="82"/>
      <c r="C1404" s="97">
        <f ca="1">_xll.meDateFromTenor(C1403,"1D","FOLLOWING","TGT")</f>
        <v>44502</v>
      </c>
      <c r="D1404" s="95">
        <f ca="1"/>
        <v>2.8367626209131469E-3</v>
      </c>
      <c r="E1404" s="92"/>
      <c r="F1404" s="97">
        <f ca="1">_xll.meDateFromTenor(F1403,"1D","FOLLOWING","TGT")</f>
        <v>44502</v>
      </c>
      <c r="G1404" s="95">
        <f ca="1"/>
        <v>3.6097445263147858E-3</v>
      </c>
      <c r="H1404" s="92" t="s">
        <v>4</v>
      </c>
      <c r="I1404" s="97">
        <f ca="1">_xll.meDateFromTenor(I1403,"1D","FOLLOWING","TGT")</f>
        <v>44502</v>
      </c>
      <c r="J1404" s="95">
        <f ca="1"/>
        <v>4.7908085289009566E-3</v>
      </c>
      <c r="K1404" s="5" t="s">
        <v>4</v>
      </c>
      <c r="L1404" s="97">
        <f ca="1">_xll.meDateFromTenor(L1403,"1D","FOLLOWING","TGT")</f>
        <v>44502</v>
      </c>
      <c r="M1404" s="95">
        <f ca="1"/>
        <v>6.6109675145650665E-3</v>
      </c>
      <c r="N1404" s="5" t="s">
        <v>4</v>
      </c>
      <c r="O1404" s="97">
        <f ca="1">_xll.meDateFromTenor(O1403,"1D","FOLLOWING","TGT")</f>
        <v>44502</v>
      </c>
      <c r="P1404" s="95">
        <f ca="1"/>
        <v>8.596263837175374E-3</v>
      </c>
      <c r="Q1404" s="5" t="s">
        <v>4</v>
      </c>
      <c r="R1404" s="83" t="s">
        <v>4</v>
      </c>
    </row>
    <row r="1405" spans="1:18" x14ac:dyDescent="0.25">
      <c r="A1405" s="88">
        <v>1391</v>
      </c>
      <c r="B1405" s="82"/>
      <c r="C1405" s="97">
        <f ca="1">_xll.meDateFromTenor(C1404,"1D","FOLLOWING","TGT")</f>
        <v>44503</v>
      </c>
      <c r="D1405" s="95">
        <f ca="1"/>
        <v>2.8455638948381434E-3</v>
      </c>
      <c r="E1405" s="92"/>
      <c r="F1405" s="97">
        <f ca="1">_xll.meDateFromTenor(F1404,"1D","FOLLOWING","TGT")</f>
        <v>44503</v>
      </c>
      <c r="G1405" s="95">
        <f ca="1"/>
        <v>3.6178341824054596E-3</v>
      </c>
      <c r="H1405" s="92" t="s">
        <v>4</v>
      </c>
      <c r="I1405" s="97">
        <f ca="1">_xll.meDateFromTenor(I1404,"1D","FOLLOWING","TGT")</f>
        <v>44503</v>
      </c>
      <c r="J1405" s="95">
        <f ca="1"/>
        <v>4.7988850623297569E-3</v>
      </c>
      <c r="K1405" s="5" t="s">
        <v>4</v>
      </c>
      <c r="L1405" s="97">
        <f ca="1">_xll.meDateFromTenor(L1404,"1D","FOLLOWING","TGT")</f>
        <v>44503</v>
      </c>
      <c r="M1405" s="95">
        <f ca="1"/>
        <v>6.6189148191753517E-3</v>
      </c>
      <c r="N1405" s="5" t="s">
        <v>4</v>
      </c>
      <c r="O1405" s="97">
        <f ca="1">_xll.meDateFromTenor(O1404,"1D","FOLLOWING","TGT")</f>
        <v>44503</v>
      </c>
      <c r="P1405" s="95">
        <f ca="1"/>
        <v>8.6036414823145186E-3</v>
      </c>
      <c r="Q1405" s="5" t="s">
        <v>4</v>
      </c>
      <c r="R1405" s="83" t="s">
        <v>4</v>
      </c>
    </row>
    <row r="1406" spans="1:18" x14ac:dyDescent="0.25">
      <c r="A1406" s="88">
        <v>1392</v>
      </c>
      <c r="B1406" s="82"/>
      <c r="C1406" s="97">
        <f ca="1">_xll.meDateFromTenor(C1405,"1D","FOLLOWING","TGT")</f>
        <v>44504</v>
      </c>
      <c r="D1406" s="95">
        <f ca="1"/>
        <v>2.854358100893073E-3</v>
      </c>
      <c r="E1406" s="92"/>
      <c r="F1406" s="97">
        <f ca="1">_xll.meDateFromTenor(F1405,"1D","FOLLOWING","TGT")</f>
        <v>44504</v>
      </c>
      <c r="G1406" s="95">
        <f ca="1"/>
        <v>3.6259279104913825E-3</v>
      </c>
      <c r="H1406" s="92" t="s">
        <v>4</v>
      </c>
      <c r="I1406" s="97">
        <f ca="1">_xll.meDateFromTenor(I1405,"1D","FOLLOWING","TGT")</f>
        <v>44504</v>
      </c>
      <c r="J1406" s="95">
        <f ca="1"/>
        <v>4.8069661319625331E-3</v>
      </c>
      <c r="K1406" s="5" t="s">
        <v>4</v>
      </c>
      <c r="L1406" s="97">
        <f ca="1">_xll.meDateFromTenor(L1405,"1D","FOLLOWING","TGT")</f>
        <v>44504</v>
      </c>
      <c r="M1406" s="95">
        <f ca="1"/>
        <v>6.6268645883747054E-3</v>
      </c>
      <c r="N1406" s="5" t="s">
        <v>4</v>
      </c>
      <c r="O1406" s="97">
        <f ca="1">_xll.meDateFromTenor(O1405,"1D","FOLLOWING","TGT")</f>
        <v>44504</v>
      </c>
      <c r="P1406" s="95">
        <f ca="1"/>
        <v>8.6110186455332204E-3</v>
      </c>
      <c r="Q1406" s="5" t="s">
        <v>4</v>
      </c>
      <c r="R1406" s="83" t="s">
        <v>4</v>
      </c>
    </row>
    <row r="1407" spans="1:18" x14ac:dyDescent="0.25">
      <c r="A1407" s="88">
        <v>1393</v>
      </c>
      <c r="B1407" s="82"/>
      <c r="C1407" s="97">
        <f ca="1">_xll.meDateFromTenor(C1406,"1D","FOLLOWING","TGT")</f>
        <v>44505</v>
      </c>
      <c r="D1407" s="95">
        <f ca="1"/>
        <v>2.8631452392884338E-3</v>
      </c>
      <c r="E1407" s="92"/>
      <c r="F1407" s="97">
        <f ca="1">_xll.meDateFromTenor(F1406,"1D","FOLLOWING","TGT")</f>
        <v>44505</v>
      </c>
      <c r="G1407" s="95">
        <f ca="1"/>
        <v>3.6340248601171342E-3</v>
      </c>
      <c r="H1407" s="92" t="s">
        <v>4</v>
      </c>
      <c r="I1407" s="97">
        <f ca="1">_xll.meDateFromTenor(I1406,"1D","FOLLOWING","TGT")</f>
        <v>44505</v>
      </c>
      <c r="J1407" s="95">
        <f ca="1"/>
        <v>4.8150517810256425E-3</v>
      </c>
      <c r="K1407" s="5" t="s">
        <v>4</v>
      </c>
      <c r="L1407" s="97">
        <f ca="1">_xll.meDateFromTenor(L1406,"1D","FOLLOWING","TGT")</f>
        <v>44505</v>
      </c>
      <c r="M1407" s="95">
        <f ca="1"/>
        <v>6.634816816798921E-3</v>
      </c>
      <c r="N1407" s="5" t="s">
        <v>4</v>
      </c>
      <c r="O1407" s="97">
        <f ca="1">_xll.meDateFromTenor(O1406,"1D","FOLLOWING","TGT")</f>
        <v>44505</v>
      </c>
      <c r="P1407" s="95">
        <f ca="1"/>
        <v>8.6183953238815336E-3</v>
      </c>
      <c r="Q1407" s="5" t="s">
        <v>4</v>
      </c>
      <c r="R1407" s="83" t="s">
        <v>4</v>
      </c>
    </row>
    <row r="1408" spans="1:18" x14ac:dyDescent="0.25">
      <c r="A1408" s="88">
        <v>1394</v>
      </c>
      <c r="B1408" s="82"/>
      <c r="C1408" s="97">
        <f ca="1">_xll.meDateFromTenor(C1407,"1D","FOLLOWING","TGT")</f>
        <v>44508</v>
      </c>
      <c r="D1408" s="95">
        <f ca="1"/>
        <v>2.8894642500330026E-3</v>
      </c>
      <c r="E1408" s="92"/>
      <c r="F1408" s="97">
        <f ca="1">_xll.meDateFromTenor(F1407,"1D","FOLLOWING","TGT")</f>
        <v>44508</v>
      </c>
      <c r="G1408" s="95">
        <f ca="1"/>
        <v>3.6583265336791447E-3</v>
      </c>
      <c r="H1408" s="92" t="s">
        <v>4</v>
      </c>
      <c r="I1408" s="97">
        <f ca="1">_xll.meDateFromTenor(I1407,"1D","FOLLOWING","TGT")</f>
        <v>44508</v>
      </c>
      <c r="J1408" s="95">
        <f ca="1"/>
        <v>4.8393366370605567E-3</v>
      </c>
      <c r="K1408" s="5" t="s">
        <v>4</v>
      </c>
      <c r="L1408" s="97">
        <f ca="1">_xll.meDateFromTenor(L1407,"1D","FOLLOWING","TGT")</f>
        <v>44508</v>
      </c>
      <c r="M1408" s="95">
        <f ca="1"/>
        <v>6.6586882037787216E-3</v>
      </c>
      <c r="N1408" s="5" t="s">
        <v>4</v>
      </c>
      <c r="O1408" s="97">
        <f ca="1">_xll.meDateFromTenor(O1407,"1D","FOLLOWING","TGT")</f>
        <v>44508</v>
      </c>
      <c r="P1408" s="95">
        <f ca="1"/>
        <v>8.6405224202047073E-3</v>
      </c>
      <c r="Q1408" s="5" t="s">
        <v>4</v>
      </c>
      <c r="R1408" s="83" t="s">
        <v>4</v>
      </c>
    </row>
    <row r="1409" spans="1:18" x14ac:dyDescent="0.25">
      <c r="A1409" s="88">
        <v>1395</v>
      </c>
      <c r="B1409" s="82"/>
      <c r="C1409" s="97">
        <f ca="1">_xll.meDateFromTenor(C1408,"1D","FOLLOWING","TGT")</f>
        <v>44509</v>
      </c>
      <c r="D1409" s="95">
        <f ca="1"/>
        <v>2.8982231196204022E-3</v>
      </c>
      <c r="E1409" s="92"/>
      <c r="F1409" s="97">
        <f ca="1">_xll.meDateFromTenor(F1408,"1D","FOLLOWING","TGT")</f>
        <v>44509</v>
      </c>
      <c r="G1409" s="95">
        <f ca="1"/>
        <v>3.666427864909999E-3</v>
      </c>
      <c r="H1409" s="92" t="s">
        <v>4</v>
      </c>
      <c r="I1409" s="97">
        <f ca="1">_xll.meDateFromTenor(I1408,"1D","FOLLOWING","TGT")</f>
        <v>44509</v>
      </c>
      <c r="J1409" s="95">
        <f ca="1"/>
        <v>4.8474410361085893E-3</v>
      </c>
      <c r="K1409" s="5" t="s">
        <v>4</v>
      </c>
      <c r="L1409" s="97">
        <f ca="1">_xll.meDateFromTenor(L1408,"1D","FOLLOWING","TGT")</f>
        <v>44509</v>
      </c>
      <c r="M1409" s="95">
        <f ca="1"/>
        <v>6.6666502154603628E-3</v>
      </c>
      <c r="N1409" s="5" t="s">
        <v>4</v>
      </c>
      <c r="O1409" s="97">
        <f ca="1">_xll.meDateFromTenor(O1408,"1D","FOLLOWING","TGT")</f>
        <v>44509</v>
      </c>
      <c r="P1409" s="95">
        <f ca="1"/>
        <v>8.6478971295720318E-3</v>
      </c>
      <c r="Q1409" s="5" t="s">
        <v>4</v>
      </c>
      <c r="R1409" s="83" t="s">
        <v>4</v>
      </c>
    </row>
    <row r="1410" spans="1:18" x14ac:dyDescent="0.25">
      <c r="A1410" s="88">
        <v>1396</v>
      </c>
      <c r="B1410" s="82"/>
      <c r="C1410" s="97">
        <f ca="1">_xll.meDateFromTenor(C1409,"1D","FOLLOWING","TGT")</f>
        <v>44510</v>
      </c>
      <c r="D1410" s="95">
        <f ca="1"/>
        <v>2.9069749227046415E-3</v>
      </c>
      <c r="E1410" s="92"/>
      <c r="F1410" s="97">
        <f ca="1">_xll.meDateFromTenor(F1409,"1D","FOLLOWING","TGT")</f>
        <v>44510</v>
      </c>
      <c r="G1410" s="95">
        <f ca="1"/>
        <v>3.6745281654035756E-3</v>
      </c>
      <c r="H1410" s="92" t="s">
        <v>4</v>
      </c>
      <c r="I1410" s="97">
        <f ca="1">_xll.meDateFromTenor(I1409,"1D","FOLLOWING","TGT")</f>
        <v>44510</v>
      </c>
      <c r="J1410" s="95">
        <f ca="1"/>
        <v>4.8555502307187507E-3</v>
      </c>
      <c r="K1410" s="5" t="s">
        <v>4</v>
      </c>
      <c r="L1410" s="97">
        <f ca="1">_xll.meDateFromTenor(L1409,"1D","FOLLOWING","TGT")</f>
        <v>44510</v>
      </c>
      <c r="M1410" s="95">
        <f ca="1"/>
        <v>6.6746146595458525E-3</v>
      </c>
      <c r="N1410" s="5" t="s">
        <v>4</v>
      </c>
      <c r="O1410" s="97">
        <f ca="1">_xll.meDateFromTenor(O1409,"1D","FOLLOWING","TGT")</f>
        <v>44510</v>
      </c>
      <c r="P1410" s="95">
        <f ca="1"/>
        <v>8.6552713393192472E-3</v>
      </c>
      <c r="Q1410" s="5" t="s">
        <v>4</v>
      </c>
      <c r="R1410" s="83" t="s">
        <v>4</v>
      </c>
    </row>
    <row r="1411" spans="1:18" x14ac:dyDescent="0.25">
      <c r="A1411" s="88">
        <v>1397</v>
      </c>
      <c r="B1411" s="82"/>
      <c r="C1411" s="97">
        <f ca="1">_xll.meDateFromTenor(C1410,"1D","FOLLOWING","TGT")</f>
        <v>44511</v>
      </c>
      <c r="D1411" s="95">
        <f ca="1"/>
        <v>2.9157196592566326E-3</v>
      </c>
      <c r="E1411" s="92"/>
      <c r="F1411" s="97">
        <f ca="1">_xll.meDateFromTenor(F1410,"1D","FOLLOWING","TGT")</f>
        <v>44511</v>
      </c>
      <c r="G1411" s="95">
        <f ca="1"/>
        <v>3.6826265847044555E-3</v>
      </c>
      <c r="H1411" s="92" t="s">
        <v>4</v>
      </c>
      <c r="I1411" s="97">
        <f ca="1">_xll.meDateFromTenor(I1410,"1D","FOLLOWING","TGT")</f>
        <v>44511</v>
      </c>
      <c r="J1411" s="95">
        <f ca="1"/>
        <v>4.8636642641173983E-3</v>
      </c>
      <c r="K1411" s="5" t="s">
        <v>4</v>
      </c>
      <c r="L1411" s="97">
        <f ca="1">_xll.meDateFromTenor(L1410,"1D","FOLLOWING","TGT")</f>
        <v>44511</v>
      </c>
      <c r="M1411" s="95">
        <f ca="1"/>
        <v>6.6825815306709871E-3</v>
      </c>
      <c r="N1411" s="5" t="s">
        <v>4</v>
      </c>
      <c r="O1411" s="97">
        <f ca="1">_xll.meDateFromTenor(O1410,"1D","FOLLOWING","TGT")</f>
        <v>44511</v>
      </c>
      <c r="P1411" s="95">
        <f ca="1"/>
        <v>8.662645046496411E-3</v>
      </c>
      <c r="Q1411" s="5" t="s">
        <v>4</v>
      </c>
      <c r="R1411" s="83" t="s">
        <v>4</v>
      </c>
    </row>
    <row r="1412" spans="1:18" x14ac:dyDescent="0.25">
      <c r="A1412" s="88">
        <v>1398</v>
      </c>
      <c r="B1412" s="82"/>
      <c r="C1412" s="97">
        <f ca="1">_xll.meDateFromTenor(C1411,"1D","FOLLOWING","TGT")</f>
        <v>44512</v>
      </c>
      <c r="D1412" s="95">
        <f ca="1"/>
        <v>2.9244573298159438E-3</v>
      </c>
      <c r="E1412" s="92"/>
      <c r="F1412" s="97">
        <f ca="1">_xll.meDateFromTenor(F1411,"1D","FOLLOWING","TGT")</f>
        <v>44512</v>
      </c>
      <c r="G1412" s="95">
        <f ca="1"/>
        <v>3.6907222723572154E-3</v>
      </c>
      <c r="H1412" s="92" t="s">
        <v>4</v>
      </c>
      <c r="I1412" s="97">
        <f ca="1">_xll.meDateFromTenor(I1411,"1D","FOLLOWING","TGT")</f>
        <v>44512</v>
      </c>
      <c r="J1412" s="95">
        <f ca="1"/>
        <v>4.8717831795308912E-3</v>
      </c>
      <c r="K1412" s="5" t="s">
        <v>4</v>
      </c>
      <c r="L1412" s="97">
        <f ca="1">_xll.meDateFromTenor(L1411,"1D","FOLLOWING","TGT")</f>
        <v>44512</v>
      </c>
      <c r="M1412" s="95">
        <f ca="1"/>
        <v>6.6905508234715652E-3</v>
      </c>
      <c r="N1412" s="5" t="s">
        <v>4</v>
      </c>
      <c r="O1412" s="97">
        <f ca="1">_xll.meDateFromTenor(O1411,"1D","FOLLOWING","TGT")</f>
        <v>44512</v>
      </c>
      <c r="P1412" s="95">
        <f ca="1"/>
        <v>8.6700182481535808E-3</v>
      </c>
      <c r="Q1412" s="5" t="s">
        <v>4</v>
      </c>
      <c r="R1412" s="83" t="s">
        <v>4</v>
      </c>
    </row>
    <row r="1413" spans="1:18" x14ac:dyDescent="0.25">
      <c r="A1413" s="88">
        <v>1399</v>
      </c>
      <c r="B1413" s="82"/>
      <c r="C1413" s="97">
        <f ca="1">_xll.meDateFromTenor(C1412,"1D","FOLLOWING","TGT")</f>
        <v>44515</v>
      </c>
      <c r="D1413" s="95">
        <f ca="1"/>
        <v>2.9506279461539719E-3</v>
      </c>
      <c r="E1413" s="92"/>
      <c r="F1413" s="97">
        <f ca="1">_xll.meDateFromTenor(F1412,"1D","FOLLOWING","TGT")</f>
        <v>44515</v>
      </c>
      <c r="G1413" s="95">
        <f ca="1"/>
        <v>3.7149844408725717E-3</v>
      </c>
      <c r="H1413" s="92" t="s">
        <v>4</v>
      </c>
      <c r="I1413" s="97">
        <f ca="1">_xll.meDateFromTenor(I1412,"1D","FOLLOWING","TGT")</f>
        <v>44515</v>
      </c>
      <c r="J1413" s="95">
        <f ca="1"/>
        <v>4.8961696501240394E-3</v>
      </c>
      <c r="K1413" s="5" t="s">
        <v>4</v>
      </c>
      <c r="L1413" s="97">
        <f ca="1">_xll.meDateFromTenor(L1412,"1D","FOLLOWING","TGT")</f>
        <v>44515</v>
      </c>
      <c r="M1413" s="95">
        <f ca="1"/>
        <v>6.7144731782839201E-3</v>
      </c>
      <c r="N1413" s="5" t="s">
        <v>4</v>
      </c>
      <c r="O1413" s="97">
        <f ca="1">_xll.meDateFromTenor(O1412,"1D","FOLLOWING","TGT")</f>
        <v>44515</v>
      </c>
      <c r="P1413" s="95">
        <f ca="1"/>
        <v>8.6921347905056841E-3</v>
      </c>
      <c r="Q1413" s="5" t="s">
        <v>4</v>
      </c>
      <c r="R1413" s="83" t="s">
        <v>4</v>
      </c>
    </row>
    <row r="1414" spans="1:18" x14ac:dyDescent="0.25">
      <c r="A1414" s="88">
        <v>1400</v>
      </c>
      <c r="B1414" s="82"/>
      <c r="C1414" s="97">
        <f ca="1">_xll.meDateFromTenor(C1413,"1D","FOLLOWING","TGT")</f>
        <v>44516</v>
      </c>
      <c r="D1414" s="95">
        <f ca="1"/>
        <v>2.9593373538479018E-3</v>
      </c>
      <c r="E1414" s="92"/>
      <c r="F1414" s="97">
        <f ca="1">_xll.meDateFromTenor(F1413,"1D","FOLLOWING","TGT")</f>
        <v>44516</v>
      </c>
      <c r="G1414" s="95">
        <f ca="1"/>
        <v>3.7230606973786455E-3</v>
      </c>
      <c r="H1414" s="92" t="s">
        <v>4</v>
      </c>
      <c r="I1414" s="97">
        <f ca="1">_xll.meDateFromTenor(I1413,"1D","FOLLOWING","TGT")</f>
        <v>44516</v>
      </c>
      <c r="J1414" s="95">
        <f ca="1"/>
        <v>4.9043085258605066E-3</v>
      </c>
      <c r="K1414" s="5" t="s">
        <v>4</v>
      </c>
      <c r="L1414" s="97">
        <f ca="1">_xll.meDateFromTenor(L1413,"1D","FOLLOWING","TGT")</f>
        <v>44516</v>
      </c>
      <c r="M1414" s="95">
        <f ca="1"/>
        <v>6.7224521041442361E-3</v>
      </c>
      <c r="N1414" s="5" t="s">
        <v>4</v>
      </c>
      <c r="O1414" s="97">
        <f ca="1">_xll.meDateFromTenor(O1413,"1D","FOLLOWING","TGT")</f>
        <v>44516</v>
      </c>
      <c r="P1414" s="95">
        <f ca="1"/>
        <v>8.6995059405834355E-3</v>
      </c>
      <c r="Q1414" s="5" t="s">
        <v>4</v>
      </c>
      <c r="R1414" s="83" t="s">
        <v>4</v>
      </c>
    </row>
    <row r="1415" spans="1:18" x14ac:dyDescent="0.25">
      <c r="A1415" s="88">
        <v>1401</v>
      </c>
      <c r="B1415" s="82"/>
      <c r="C1415" s="97">
        <f ca="1">_xll.meDateFromTenor(C1414,"1D","FOLLOWING","TGT")</f>
        <v>44517</v>
      </c>
      <c r="D1415" s="95">
        <f ca="1"/>
        <v>2.9680396967042277E-3</v>
      </c>
      <c r="E1415" s="92"/>
      <c r="F1415" s="97">
        <f ca="1">_xll.meDateFromTenor(F1414,"1D","FOLLOWING","TGT")</f>
        <v>44517</v>
      </c>
      <c r="G1415" s="95">
        <f ca="1"/>
        <v>3.7311299699594926E-3</v>
      </c>
      <c r="H1415" s="92" t="s">
        <v>4</v>
      </c>
      <c r="I1415" s="97">
        <f ca="1">_xll.meDateFromTenor(I1414,"1D","FOLLOWING","TGT")</f>
        <v>44517</v>
      </c>
      <c r="J1415" s="95">
        <f ca="1"/>
        <v>4.9124524997436123E-3</v>
      </c>
      <c r="K1415" s="5" t="s">
        <v>4</v>
      </c>
      <c r="L1415" s="97">
        <f ca="1">_xll.meDateFromTenor(L1414,"1D","FOLLOWING","TGT")</f>
        <v>44517</v>
      </c>
      <c r="M1415" s="95">
        <f ca="1"/>
        <v>6.7304334248589762E-3</v>
      </c>
      <c r="N1415" s="5" t="s">
        <v>4</v>
      </c>
      <c r="O1415" s="97">
        <f ca="1">_xll.meDateFromTenor(O1414,"1D","FOLLOWING","TGT")</f>
        <v>44517</v>
      </c>
      <c r="P1415" s="95">
        <f ca="1"/>
        <v>8.7068765703914707E-3</v>
      </c>
      <c r="Q1415" s="5" t="s">
        <v>4</v>
      </c>
      <c r="R1415" s="83" t="s">
        <v>4</v>
      </c>
    </row>
    <row r="1416" spans="1:18" x14ac:dyDescent="0.25">
      <c r="A1416" s="88">
        <v>1402</v>
      </c>
      <c r="B1416" s="82"/>
      <c r="C1416" s="97">
        <f ca="1">_xll.meDateFromTenor(C1415,"1D","FOLLOWING","TGT")</f>
        <v>44518</v>
      </c>
      <c r="D1416" s="95">
        <f ca="1"/>
        <v>2.9767349745417615E-3</v>
      </c>
      <c r="E1416" s="92"/>
      <c r="F1416" s="97">
        <f ca="1">_xll.meDateFromTenor(F1415,"1D","FOLLOWING","TGT")</f>
        <v>44518</v>
      </c>
      <c r="G1416" s="95">
        <f ca="1"/>
        <v>3.7391914081596964E-3</v>
      </c>
      <c r="H1416" s="92" t="s">
        <v>4</v>
      </c>
      <c r="I1416" s="97">
        <f ca="1">_xll.meDateFromTenor(I1415,"1D","FOLLOWING","TGT")</f>
        <v>44518</v>
      </c>
      <c r="J1416" s="95">
        <f ca="1"/>
        <v>4.9206016149997206E-3</v>
      </c>
      <c r="K1416" s="5" t="s">
        <v>4</v>
      </c>
      <c r="L1416" s="97">
        <f ca="1">_xll.meDateFromTenor(L1415,"1D","FOLLOWING","TGT")</f>
        <v>44518</v>
      </c>
      <c r="M1416" s="95">
        <f ca="1"/>
        <v>6.7384171350639427E-3</v>
      </c>
      <c r="N1416" s="5" t="s">
        <v>4</v>
      </c>
      <c r="O1416" s="97">
        <f ca="1">_xll.meDateFromTenor(O1415,"1D","FOLLOWING","TGT")</f>
        <v>44518</v>
      </c>
      <c r="P1416" s="95">
        <f ca="1"/>
        <v>8.7142466769798508E-3</v>
      </c>
      <c r="Q1416" s="5" t="s">
        <v>4</v>
      </c>
      <c r="R1416" s="83" t="s">
        <v>4</v>
      </c>
    </row>
    <row r="1417" spans="1:18" x14ac:dyDescent="0.25">
      <c r="A1417" s="88">
        <v>1403</v>
      </c>
      <c r="B1417" s="82"/>
      <c r="C1417" s="97">
        <f ca="1">_xll.meDateFromTenor(C1416,"1D","FOLLOWING","TGT")</f>
        <v>44519</v>
      </c>
      <c r="D1417" s="95">
        <f ca="1"/>
        <v>2.9854231874926196E-3</v>
      </c>
      <c r="E1417" s="92"/>
      <c r="F1417" s="97">
        <f ca="1">_xll.meDateFromTenor(F1416,"1D","FOLLOWING","TGT")</f>
        <v>44519</v>
      </c>
      <c r="G1417" s="95">
        <f ca="1"/>
        <v>3.7472441615238345E-3</v>
      </c>
      <c r="H1417" s="92" t="s">
        <v>4</v>
      </c>
      <c r="I1417" s="97">
        <f ca="1">_xll.meDateFromTenor(I1416,"1D","FOLLOWING","TGT")</f>
        <v>44519</v>
      </c>
      <c r="J1417" s="95">
        <f ca="1"/>
        <v>4.9287559148551881E-3</v>
      </c>
      <c r="K1417" s="5" t="s">
        <v>4</v>
      </c>
      <c r="L1417" s="97">
        <f ca="1">_xll.meDateFromTenor(L1416,"1D","FOLLOWING","TGT")</f>
        <v>44519</v>
      </c>
      <c r="M1417" s="95">
        <f ca="1"/>
        <v>6.7464032293949299E-3</v>
      </c>
      <c r="N1417" s="5" t="s">
        <v>4</v>
      </c>
      <c r="O1417" s="97">
        <f ca="1">_xll.meDateFromTenor(O1416,"1D","FOLLOWING","TGT")</f>
        <v>44519</v>
      </c>
      <c r="P1417" s="95">
        <f ca="1"/>
        <v>8.7216162573986282E-3</v>
      </c>
      <c r="Q1417" s="5" t="s">
        <v>4</v>
      </c>
      <c r="R1417" s="83" t="s">
        <v>4</v>
      </c>
    </row>
    <row r="1418" spans="1:18" x14ac:dyDescent="0.25">
      <c r="A1418" s="88">
        <v>1404</v>
      </c>
      <c r="B1418" s="82"/>
      <c r="C1418" s="97">
        <f ca="1">_xll.meDateFromTenor(C1417,"1D","FOLLOWING","TGT")</f>
        <v>44522</v>
      </c>
      <c r="D1418" s="95">
        <f ca="1"/>
        <v>3.011445440491034E-3</v>
      </c>
      <c r="E1418" s="92"/>
      <c r="F1418" s="97">
        <f ca="1">_xll.meDateFromTenor(F1417,"1D","FOLLOWING","TGT")</f>
        <v>44522</v>
      </c>
      <c r="G1418" s="95">
        <f ca="1"/>
        <v>3.7713418080456401E-3</v>
      </c>
      <c r="H1418" s="92" t="s">
        <v>4</v>
      </c>
      <c r="I1418" s="97">
        <f ca="1">_xll.meDateFromTenor(I1417,"1D","FOLLOWING","TGT")</f>
        <v>44522</v>
      </c>
      <c r="J1418" s="95">
        <f ca="1"/>
        <v>4.9532503542813284E-3</v>
      </c>
      <c r="K1418" s="5" t="s">
        <v>4</v>
      </c>
      <c r="L1418" s="97">
        <f ca="1">_xll.meDateFromTenor(L1417,"1D","FOLLOWING","TGT")</f>
        <v>44522</v>
      </c>
      <c r="M1418" s="95">
        <f ca="1"/>
        <v>6.7703757635019859E-3</v>
      </c>
      <c r="N1418" s="5" t="s">
        <v>4</v>
      </c>
      <c r="O1418" s="97">
        <f ca="1">_xll.meDateFromTenor(O1417,"1D","FOLLOWING","TGT")</f>
        <v>44522</v>
      </c>
      <c r="P1418" s="95">
        <f ca="1"/>
        <v>8.7437218121379154E-3</v>
      </c>
      <c r="Q1418" s="5" t="s">
        <v>4</v>
      </c>
      <c r="R1418" s="83" t="s">
        <v>4</v>
      </c>
    </row>
    <row r="1419" spans="1:18" x14ac:dyDescent="0.25">
      <c r="A1419" s="88">
        <v>1405</v>
      </c>
      <c r="B1419" s="82"/>
      <c r="C1419" s="97">
        <f ca="1">_xll.meDateFromTenor(C1418,"1D","FOLLOWING","TGT")</f>
        <v>44523</v>
      </c>
      <c r="D1419" s="95">
        <f ca="1"/>
        <v>3.020105396551509E-3</v>
      </c>
      <c r="E1419" s="92"/>
      <c r="F1419" s="97">
        <f ca="1">_xll.meDateFromTenor(F1418,"1D","FOLLOWING","TGT")</f>
        <v>44523</v>
      </c>
      <c r="G1419" s="95">
        <f ca="1"/>
        <v>3.7793513175113031E-3</v>
      </c>
      <c r="H1419" s="92" t="s">
        <v>4</v>
      </c>
      <c r="I1419" s="97">
        <f ca="1">_xll.meDateFromTenor(I1418,"1D","FOLLOWING","TGT")</f>
        <v>44523</v>
      </c>
      <c r="J1419" s="95">
        <f ca="1"/>
        <v>4.9614258247978188E-3</v>
      </c>
      <c r="K1419" s="5" t="s">
        <v>4</v>
      </c>
      <c r="L1419" s="97">
        <f ca="1">_xll.meDateFromTenor(L1418,"1D","FOLLOWING","TGT")</f>
        <v>44523</v>
      </c>
      <c r="M1419" s="95">
        <f ca="1"/>
        <v>6.7783713406950252E-3</v>
      </c>
      <c r="N1419" s="5" t="s">
        <v>4</v>
      </c>
      <c r="O1419" s="97">
        <f ca="1">_xll.meDateFromTenor(O1418,"1D","FOLLOWING","TGT")</f>
        <v>44523</v>
      </c>
      <c r="P1419" s="95">
        <f ca="1"/>
        <v>8.7510892583788479E-3</v>
      </c>
      <c r="Q1419" s="5" t="s">
        <v>4</v>
      </c>
      <c r="R1419" s="83" t="s">
        <v>4</v>
      </c>
    </row>
    <row r="1420" spans="1:18" x14ac:dyDescent="0.25">
      <c r="A1420" s="88">
        <v>1406</v>
      </c>
      <c r="B1420" s="82"/>
      <c r="C1420" s="97">
        <f ca="1">_xll.meDateFromTenor(C1419,"1D","FOLLOWING","TGT")</f>
        <v>44524</v>
      </c>
      <c r="D1420" s="95">
        <f ca="1"/>
        <v>3.0287582890542453E-3</v>
      </c>
      <c r="E1420" s="92"/>
      <c r="F1420" s="97">
        <f ca="1">_xll.meDateFromTenor(F1419,"1D","FOLLOWING","TGT")</f>
        <v>44524</v>
      </c>
      <c r="G1420" s="95">
        <f ca="1"/>
        <v>3.7873478898637933E-3</v>
      </c>
      <c r="H1420" s="92" t="s">
        <v>4</v>
      </c>
      <c r="I1420" s="97">
        <f ca="1">_xll.meDateFromTenor(I1419,"1D","FOLLOWING","TGT")</f>
        <v>44524</v>
      </c>
      <c r="J1420" s="95">
        <f ca="1"/>
        <v>4.9696066960454631E-3</v>
      </c>
      <c r="K1420" s="5" t="s">
        <v>4</v>
      </c>
      <c r="L1420" s="97">
        <f ca="1">_xll.meDateFromTenor(L1419,"1D","FOLLOWING","TGT")</f>
        <v>44524</v>
      </c>
      <c r="M1420" s="95">
        <f ca="1"/>
        <v>6.7863692751930701E-3</v>
      </c>
      <c r="N1420" s="5" t="s">
        <v>4</v>
      </c>
      <c r="O1420" s="97">
        <f ca="1">_xll.meDateFromTenor(O1419,"1D","FOLLOWING","TGT")</f>
        <v>44524</v>
      </c>
      <c r="P1420" s="95">
        <f ca="1"/>
        <v>8.7584561637004607E-3</v>
      </c>
      <c r="Q1420" s="5" t="s">
        <v>4</v>
      </c>
      <c r="R1420" s="83" t="s">
        <v>4</v>
      </c>
    </row>
    <row r="1421" spans="1:18" x14ac:dyDescent="0.25">
      <c r="A1421" s="88">
        <v>1407</v>
      </c>
      <c r="B1421" s="82"/>
      <c r="C1421" s="97">
        <f ca="1">_xll.meDateFromTenor(C1420,"1D","FOLLOWING","TGT")</f>
        <v>44525</v>
      </c>
      <c r="D1421" s="95">
        <f ca="1"/>
        <v>3.0374041180518674E-3</v>
      </c>
      <c r="E1421" s="92"/>
      <c r="F1421" s="97">
        <f ca="1">_xll.meDateFromTenor(F1420,"1D","FOLLOWING","TGT")</f>
        <v>44525</v>
      </c>
      <c r="G1421" s="95">
        <f ca="1"/>
        <v>3.7953306746476918E-3</v>
      </c>
      <c r="H1421" s="92" t="s">
        <v>4</v>
      </c>
      <c r="I1421" s="97">
        <f ca="1">_xll.meDateFromTenor(I1420,"1D","FOLLOWING","TGT")</f>
        <v>44525</v>
      </c>
      <c r="J1421" s="95">
        <f ca="1"/>
        <v>4.9777930112506188E-3</v>
      </c>
      <c r="K1421" s="5" t="s">
        <v>4</v>
      </c>
      <c r="L1421" s="97">
        <f ca="1">_xll.meDateFromTenor(L1420,"1D","FOLLOWING","TGT")</f>
        <v>44525</v>
      </c>
      <c r="M1421" s="95">
        <f ca="1"/>
        <v>6.7943695616319169E-3</v>
      </c>
      <c r="N1421" s="5" t="s">
        <v>4</v>
      </c>
      <c r="O1421" s="97">
        <f ca="1">_xll.meDateFromTenor(O1420,"1D","FOLLOWING","TGT")</f>
        <v>44525</v>
      </c>
      <c r="P1421" s="95">
        <f ca="1"/>
        <v>8.7658225251528079E-3</v>
      </c>
      <c r="Q1421" s="5" t="s">
        <v>4</v>
      </c>
      <c r="R1421" s="83" t="s">
        <v>4</v>
      </c>
    </row>
    <row r="1422" spans="1:18" x14ac:dyDescent="0.25">
      <c r="A1422" s="88">
        <v>1408</v>
      </c>
      <c r="B1422" s="82"/>
      <c r="C1422" s="97">
        <f ca="1">_xll.meDateFromTenor(C1421,"1D","FOLLOWING","TGT")</f>
        <v>44526</v>
      </c>
      <c r="D1422" s="95">
        <f ca="1"/>
        <v>3.0460428836056597E-3</v>
      </c>
      <c r="E1422" s="92"/>
      <c r="F1422" s="97">
        <f ca="1">_xll.meDateFromTenor(F1421,"1D","FOLLOWING","TGT")</f>
        <v>44526</v>
      </c>
      <c r="G1422" s="95">
        <f ca="1"/>
        <v>3.803298821407574E-3</v>
      </c>
      <c r="H1422" s="92" t="s">
        <v>4</v>
      </c>
      <c r="I1422" s="97">
        <f ca="1">_xll.meDateFromTenor(I1421,"1D","FOLLOWING","TGT")</f>
        <v>44526</v>
      </c>
      <c r="J1422" s="95">
        <f ca="1"/>
        <v>4.9859848136396441E-3</v>
      </c>
      <c r="K1422" s="5" t="s">
        <v>4</v>
      </c>
      <c r="L1422" s="97">
        <f ca="1">_xll.meDateFromTenor(L1421,"1D","FOLLOWING","TGT")</f>
        <v>44526</v>
      </c>
      <c r="M1422" s="95">
        <f ca="1"/>
        <v>6.8023721946473617E-3</v>
      </c>
      <c r="N1422" s="5" t="s">
        <v>4</v>
      </c>
      <c r="O1422" s="97">
        <f ca="1">_xll.meDateFromTenor(O1421,"1D","FOLLOWING","TGT")</f>
        <v>44526</v>
      </c>
      <c r="P1422" s="95">
        <f ca="1"/>
        <v>8.7731883397859454E-3</v>
      </c>
      <c r="Q1422" s="5" t="s">
        <v>4</v>
      </c>
      <c r="R1422" s="83" t="s">
        <v>4</v>
      </c>
    </row>
    <row r="1423" spans="1:18" x14ac:dyDescent="0.25">
      <c r="A1423" s="88">
        <v>1409</v>
      </c>
      <c r="B1423" s="82"/>
      <c r="C1423" s="97">
        <f ca="1">_xll.meDateFromTenor(C1422,"1D","FOLLOWING","TGT")</f>
        <v>44529</v>
      </c>
      <c r="D1423" s="95">
        <f ca="1"/>
        <v>3.0719168023261023E-3</v>
      </c>
      <c r="E1423" s="92"/>
      <c r="F1423" s="97">
        <f ca="1">_xll.meDateFromTenor(F1422,"1D","FOLLOWING","TGT")</f>
        <v>44529</v>
      </c>
      <c r="G1423" s="95">
        <f ca="1"/>
        <v>3.8271069289889359E-3</v>
      </c>
      <c r="H1423" s="92" t="s">
        <v>4</v>
      </c>
      <c r="I1423" s="97">
        <f ca="1">_xll.meDateFromTenor(I1422,"1D","FOLLOWING","TGT")</f>
        <v>44529</v>
      </c>
      <c r="J1423" s="95">
        <f ca="1"/>
        <v>5.0105935761735419E-3</v>
      </c>
      <c r="K1423" s="5" t="s">
        <v>4</v>
      </c>
      <c r="L1423" s="97">
        <f ca="1">_xll.meDateFromTenor(L1422,"1D","FOLLOWING","TGT")</f>
        <v>44529</v>
      </c>
      <c r="M1423" s="95">
        <f ca="1"/>
        <v>6.826394119511265E-3</v>
      </c>
      <c r="N1423" s="5" t="s">
        <v>4</v>
      </c>
      <c r="O1423" s="97">
        <f ca="1">_xll.meDateFromTenor(O1422,"1D","FOLLOWING","TGT")</f>
        <v>44529</v>
      </c>
      <c r="P1423" s="95">
        <f ca="1"/>
        <v>8.7952824732706707E-3</v>
      </c>
      <c r="Q1423" s="5" t="s">
        <v>4</v>
      </c>
      <c r="R1423" s="83" t="s">
        <v>4</v>
      </c>
    </row>
    <row r="1424" spans="1:18" x14ac:dyDescent="0.25">
      <c r="A1424" s="88">
        <v>1410</v>
      </c>
      <c r="B1424" s="82"/>
      <c r="C1424" s="97">
        <f ca="1">_xll.meDateFromTenor(C1423,"1D","FOLLOWING","TGT")</f>
        <v>44530</v>
      </c>
      <c r="D1424" s="95">
        <f ca="1"/>
        <v>3.0805273164344893E-3</v>
      </c>
      <c r="E1424" s="92"/>
      <c r="F1424" s="97">
        <f ca="1">_xll.meDateFromTenor(F1423,"1D","FOLLOWING","TGT")</f>
        <v>44530</v>
      </c>
      <c r="G1424" s="95">
        <f ca="1"/>
        <v>3.8350080190985556E-3</v>
      </c>
      <c r="H1424" s="92" t="s">
        <v>4</v>
      </c>
      <c r="I1424" s="97">
        <f ca="1">_xll.meDateFromTenor(I1423,"1D","FOLLOWING","TGT")</f>
        <v>44530</v>
      </c>
      <c r="J1424" s="95">
        <f ca="1"/>
        <v>5.0188077595616437E-3</v>
      </c>
      <c r="K1424" s="5" t="s">
        <v>4</v>
      </c>
      <c r="L1424" s="97">
        <f ca="1">_xll.meDateFromTenor(L1423,"1D","FOLLOWING","TGT")</f>
        <v>44530</v>
      </c>
      <c r="M1424" s="95">
        <f ca="1"/>
        <v>6.8344060851910776E-3</v>
      </c>
      <c r="N1424" s="5" t="s">
        <v>4</v>
      </c>
      <c r="O1424" s="97">
        <f ca="1">_xll.meDateFromTenor(O1423,"1D","FOLLOWING","TGT")</f>
        <v>44530</v>
      </c>
      <c r="P1424" s="95">
        <f ca="1"/>
        <v>8.8026460711275387E-3</v>
      </c>
      <c r="Q1424" s="5" t="s">
        <v>4</v>
      </c>
      <c r="R1424" s="83" t="s">
        <v>4</v>
      </c>
    </row>
    <row r="1425" spans="1:18" x14ac:dyDescent="0.25">
      <c r="A1425" s="88">
        <v>1411</v>
      </c>
      <c r="B1425" s="82"/>
      <c r="C1425" s="97">
        <f ca="1">_xll.meDateFromTenor(C1424,"1D","FOLLOWING","TGT")</f>
        <v>44531</v>
      </c>
      <c r="D1425" s="95">
        <f ca="1"/>
        <v>3.0891307683453828E-3</v>
      </c>
      <c r="E1425" s="92"/>
      <c r="F1425" s="97">
        <f ca="1">_xll.meDateFromTenor(F1424,"1D","FOLLOWING","TGT")</f>
        <v>44531</v>
      </c>
      <c r="G1425" s="95">
        <f ca="1"/>
        <v>3.8428902189070568E-3</v>
      </c>
      <c r="H1425" s="92" t="s">
        <v>4</v>
      </c>
      <c r="I1425" s="97">
        <f ca="1">_xll.meDateFromTenor(I1424,"1D","FOLLOWING","TGT")</f>
        <v>44531</v>
      </c>
      <c r="J1425" s="95">
        <f ca="1"/>
        <v>5.0270276462654117E-3</v>
      </c>
      <c r="K1425" s="5" t="s">
        <v>4</v>
      </c>
      <c r="L1425" s="97">
        <f ca="1">_xll.meDateFromTenor(L1424,"1D","FOLLOWING","TGT")</f>
        <v>44531</v>
      </c>
      <c r="M1425" s="95">
        <f ca="1"/>
        <v>6.8424203706264732E-3</v>
      </c>
      <c r="N1425" s="5" t="s">
        <v>4</v>
      </c>
      <c r="O1425" s="97">
        <f ca="1">_xll.meDateFromTenor(O1424,"1D","FOLLOWING","TGT")</f>
        <v>44531</v>
      </c>
      <c r="P1425" s="95">
        <f ca="1"/>
        <v>8.8100091074154764E-3</v>
      </c>
      <c r="Q1425" s="5" t="s">
        <v>4</v>
      </c>
      <c r="R1425" s="83" t="s">
        <v>4</v>
      </c>
    </row>
    <row r="1426" spans="1:18" x14ac:dyDescent="0.25">
      <c r="A1426" s="88">
        <v>1412</v>
      </c>
      <c r="B1426" s="82"/>
      <c r="C1426" s="97">
        <f ca="1">_xll.meDateFromTenor(C1425,"1D","FOLLOWING","TGT")</f>
        <v>44532</v>
      </c>
      <c r="D1426" s="95">
        <f ca="1"/>
        <v>3.0977238934701834E-3</v>
      </c>
      <c r="E1426" s="92"/>
      <c r="F1426" s="97">
        <f ca="1">_xll.meDateFromTenor(F1425,"1D","FOLLOWING","TGT")</f>
        <v>44532</v>
      </c>
      <c r="G1426" s="95">
        <f ca="1"/>
        <v>3.8507526779590182E-3</v>
      </c>
      <c r="H1426" s="92" t="s">
        <v>4</v>
      </c>
      <c r="I1426" s="97">
        <f ca="1">_xll.meDateFromTenor(I1425,"1D","FOLLOWING","TGT")</f>
        <v>44532</v>
      </c>
      <c r="J1426" s="95">
        <f ca="1"/>
        <v>5.0352532795112041E-3</v>
      </c>
      <c r="K1426" s="5" t="s">
        <v>4</v>
      </c>
      <c r="L1426" s="97">
        <f ca="1">_xll.meDateFromTenor(L1425,"1D","FOLLOWING","TGT")</f>
        <v>44532</v>
      </c>
      <c r="M1426" s="95">
        <f ca="1"/>
        <v>6.8504369704532504E-3</v>
      </c>
      <c r="N1426" s="5" t="s">
        <v>4</v>
      </c>
      <c r="O1426" s="97">
        <f ca="1">_xll.meDateFromTenor(O1425,"1D","FOLLOWING","TGT")</f>
        <v>44532</v>
      </c>
      <c r="P1426" s="95">
        <f ca="1"/>
        <v>8.8173715791845433E-3</v>
      </c>
      <c r="Q1426" s="5" t="s">
        <v>4</v>
      </c>
      <c r="R1426" s="83" t="s">
        <v>4</v>
      </c>
    </row>
    <row r="1427" spans="1:18" x14ac:dyDescent="0.25">
      <c r="A1427" s="88">
        <v>1413</v>
      </c>
      <c r="B1427" s="82"/>
      <c r="C1427" s="97">
        <f ca="1">_xll.meDateFromTenor(C1426,"1D","FOLLOWING","TGT")</f>
        <v>44533</v>
      </c>
      <c r="D1427" s="95">
        <f ca="1"/>
        <v>3.1062936350712E-3</v>
      </c>
      <c r="E1427" s="92"/>
      <c r="F1427" s="97">
        <f ca="1">_xll.meDateFromTenor(F1426,"1D","FOLLOWING","TGT")</f>
        <v>44533</v>
      </c>
      <c r="G1427" s="95">
        <f ca="1"/>
        <v>3.8585947243578119E-3</v>
      </c>
      <c r="H1427" s="92" t="s">
        <v>4</v>
      </c>
      <c r="I1427" s="97">
        <f ca="1">_xll.meDateFromTenor(I1426,"1D","FOLLOWING","TGT")</f>
        <v>44533</v>
      </c>
      <c r="J1427" s="95">
        <f ca="1"/>
        <v>5.0434846853941399E-3</v>
      </c>
      <c r="K1427" s="5" t="s">
        <v>4</v>
      </c>
      <c r="L1427" s="97">
        <f ca="1">_xll.meDateFromTenor(L1426,"1D","FOLLOWING","TGT")</f>
        <v>44533</v>
      </c>
      <c r="M1427" s="95">
        <f ca="1"/>
        <v>6.8584595246683555E-3</v>
      </c>
      <c r="N1427" s="5" t="s">
        <v>4</v>
      </c>
      <c r="O1427" s="97">
        <f ca="1">_xll.meDateFromTenor(O1426,"1D","FOLLOWING","TGT")</f>
        <v>44533</v>
      </c>
      <c r="P1427" s="95">
        <f ca="1"/>
        <v>8.8247334834847951E-3</v>
      </c>
      <c r="Q1427" s="5" t="s">
        <v>4</v>
      </c>
      <c r="R1427" s="83" t="s">
        <v>4</v>
      </c>
    </row>
    <row r="1428" spans="1:18" x14ac:dyDescent="0.25">
      <c r="A1428" s="88">
        <v>1414</v>
      </c>
      <c r="B1428" s="82"/>
      <c r="C1428" s="97">
        <f ca="1">_xll.meDateFromTenor(C1427,"1D","FOLLOWING","TGT")</f>
        <v>44536</v>
      </c>
      <c r="D1428" s="95">
        <f ca="1"/>
        <v>3.1318429611530973E-3</v>
      </c>
      <c r="E1428" s="92"/>
      <c r="F1428" s="97">
        <f ca="1">_xll.meDateFromTenor(F1427,"1D","FOLLOWING","TGT")</f>
        <v>44536</v>
      </c>
      <c r="G1428" s="95">
        <f ca="1"/>
        <v>3.8819995252558381E-3</v>
      </c>
      <c r="H1428" s="92" t="s">
        <v>4</v>
      </c>
      <c r="I1428" s="97">
        <f ca="1">_xll.meDateFromTenor(I1427,"1D","FOLLOWING","TGT")</f>
        <v>44536</v>
      </c>
      <c r="J1428" s="95">
        <f ca="1"/>
        <v>5.0682130460424288E-3</v>
      </c>
      <c r="K1428" s="5" t="s">
        <v>4</v>
      </c>
      <c r="L1428" s="97">
        <f ca="1">_xll.meDateFromTenor(L1427,"1D","FOLLOWING","TGT")</f>
        <v>44536</v>
      </c>
      <c r="M1428" s="95">
        <f ca="1"/>
        <v>6.8825836479672305E-3</v>
      </c>
      <c r="N1428" s="5" t="s">
        <v>4</v>
      </c>
      <c r="O1428" s="97">
        <f ca="1">_xll.meDateFromTenor(O1427,"1D","FOLLOWING","TGT")</f>
        <v>44536</v>
      </c>
      <c r="P1428" s="95">
        <f ca="1"/>
        <v>8.8468157620732162E-3</v>
      </c>
      <c r="Q1428" s="5" t="s">
        <v>4</v>
      </c>
      <c r="R1428" s="83" t="s">
        <v>4</v>
      </c>
    </row>
    <row r="1429" spans="1:18" x14ac:dyDescent="0.25">
      <c r="A1429" s="88">
        <v>1415</v>
      </c>
      <c r="B1429" s="82"/>
      <c r="C1429" s="97">
        <f ca="1">_xll.meDateFromTenor(C1428,"1D","FOLLOWING","TGT")</f>
        <v>44537</v>
      </c>
      <c r="D1429" s="95">
        <f ca="1"/>
        <v>3.1403061004080524E-3</v>
      </c>
      <c r="E1429" s="92"/>
      <c r="F1429" s="97">
        <f ca="1">_xll.meDateFromTenor(F1428,"1D","FOLLOWING","TGT")</f>
        <v>44537</v>
      </c>
      <c r="G1429" s="95">
        <f ca="1"/>
        <v>3.8897614157802E-3</v>
      </c>
      <c r="H1429" s="92" t="s">
        <v>4</v>
      </c>
      <c r="I1429" s="97">
        <f ca="1">_xll.meDateFromTenor(I1428,"1D","FOLLOWING","TGT")</f>
        <v>44537</v>
      </c>
      <c r="J1429" s="95">
        <f ca="1"/>
        <v>5.0764670153880817E-3</v>
      </c>
      <c r="K1429" s="5" t="s">
        <v>4</v>
      </c>
      <c r="L1429" s="97">
        <f ca="1">_xll.meDateFromTenor(L1428,"1D","FOLLOWING","TGT")</f>
        <v>44537</v>
      </c>
      <c r="M1429" s="95">
        <f ca="1"/>
        <v>6.8906433729868342E-3</v>
      </c>
      <c r="N1429" s="5" t="s">
        <v>4</v>
      </c>
      <c r="O1429" s="97">
        <f ca="1">_xll.meDateFromTenor(O1428,"1D","FOLLOWING","TGT")</f>
        <v>44537</v>
      </c>
      <c r="P1429" s="95">
        <f ca="1"/>
        <v>8.8541753669987688E-3</v>
      </c>
      <c r="Q1429" s="5" t="s">
        <v>4</v>
      </c>
      <c r="R1429" s="83" t="s">
        <v>4</v>
      </c>
    </row>
    <row r="1430" spans="1:18" x14ac:dyDescent="0.25">
      <c r="A1430" s="88">
        <v>1416</v>
      </c>
      <c r="B1430" s="82"/>
      <c r="C1430" s="97">
        <f ca="1">_xll.meDateFromTenor(C1429,"1D","FOLLOWING","TGT")</f>
        <v>44538</v>
      </c>
      <c r="D1430" s="95">
        <f ca="1"/>
        <v>3.148742586767117E-3</v>
      </c>
      <c r="E1430" s="92"/>
      <c r="F1430" s="97">
        <f ca="1">_xll.meDateFromTenor(F1429,"1D","FOLLOWING","TGT")</f>
        <v>44538</v>
      </c>
      <c r="G1430" s="95">
        <f ca="1"/>
        <v>3.8975038195793077E-3</v>
      </c>
      <c r="H1430" s="92" t="s">
        <v>4</v>
      </c>
      <c r="I1430" s="97">
        <f ca="1">_xll.meDateFromTenor(I1429,"1D","FOLLOWING","TGT")</f>
        <v>44538</v>
      </c>
      <c r="J1430" s="95">
        <f ca="1"/>
        <v>5.0847264766967068E-3</v>
      </c>
      <c r="K1430" s="5" t="s">
        <v>4</v>
      </c>
      <c r="L1430" s="97">
        <f ca="1">_xll.meDateFromTenor(L1429,"1D","FOLLOWING","TGT")</f>
        <v>44538</v>
      </c>
      <c r="M1430" s="95">
        <f ca="1"/>
        <v>6.8987120384841573E-3</v>
      </c>
      <c r="N1430" s="5" t="s">
        <v>4</v>
      </c>
      <c r="O1430" s="97">
        <f ca="1">_xll.meDateFromTenor(O1429,"1D","FOLLOWING","TGT")</f>
        <v>44538</v>
      </c>
      <c r="P1430" s="95">
        <f ca="1"/>
        <v>8.8615343897057875E-3</v>
      </c>
      <c r="Q1430" s="5" t="s">
        <v>4</v>
      </c>
      <c r="R1430" s="83" t="s">
        <v>4</v>
      </c>
    </row>
    <row r="1431" spans="1:18" x14ac:dyDescent="0.25">
      <c r="A1431" s="88">
        <v>1417</v>
      </c>
      <c r="B1431" s="82"/>
      <c r="C1431" s="97">
        <f ca="1">_xll.meDateFromTenor(C1430,"1D","FOLLOWING","TGT")</f>
        <v>44539</v>
      </c>
      <c r="D1431" s="95">
        <f ca="1"/>
        <v>3.1571524189129008E-3</v>
      </c>
      <c r="E1431" s="92"/>
      <c r="F1431" s="97">
        <f ca="1">_xll.meDateFromTenor(F1430,"1D","FOLLOWING","TGT")</f>
        <v>44539</v>
      </c>
      <c r="G1431" s="95">
        <f ca="1"/>
        <v>3.9052269575505006E-3</v>
      </c>
      <c r="H1431" s="92" t="s">
        <v>4</v>
      </c>
      <c r="I1431" s="97">
        <f ca="1">_xll.meDateFromTenor(I1430,"1D","FOLLOWING","TGT")</f>
        <v>44539</v>
      </c>
      <c r="J1431" s="95">
        <f ca="1"/>
        <v>5.0929913704072247E-3</v>
      </c>
      <c r="K1431" s="5" t="s">
        <v>4</v>
      </c>
      <c r="L1431" s="97">
        <f ca="1">_xll.meDateFromTenor(L1430,"1D","FOLLOWING","TGT")</f>
        <v>44539</v>
      </c>
      <c r="M1431" s="95">
        <f ca="1"/>
        <v>6.9067895035698351E-3</v>
      </c>
      <c r="N1431" s="5" t="s">
        <v>4</v>
      </c>
      <c r="O1431" s="97">
        <f ca="1">_xll.meDateFromTenor(O1430,"1D","FOLLOWING","TGT")</f>
        <v>44539</v>
      </c>
      <c r="P1431" s="95">
        <f ca="1"/>
        <v>8.8688928272443249E-3</v>
      </c>
      <c r="Q1431" s="5" t="s">
        <v>4</v>
      </c>
      <c r="R1431" s="83" t="s">
        <v>4</v>
      </c>
    </row>
    <row r="1432" spans="1:18" x14ac:dyDescent="0.25">
      <c r="A1432" s="88">
        <v>1418</v>
      </c>
      <c r="B1432" s="82"/>
      <c r="C1432" s="97">
        <f ca="1">_xll.meDateFromTenor(C1431,"1D","FOLLOWING","TGT")</f>
        <v>44540</v>
      </c>
      <c r="D1432" s="95">
        <f ca="1"/>
        <v>3.1655355959390175E-3</v>
      </c>
      <c r="E1432" s="92"/>
      <c r="F1432" s="97">
        <f ca="1">_xll.meDateFromTenor(F1431,"1D","FOLLOWING","TGT")</f>
        <v>44540</v>
      </c>
      <c r="G1432" s="95">
        <f ca="1"/>
        <v>3.9129310505911213E-3</v>
      </c>
      <c r="H1432" s="92" t="s">
        <v>4</v>
      </c>
      <c r="I1432" s="97">
        <f ca="1">_xll.meDateFromTenor(I1431,"1D","FOLLOWING","TGT")</f>
        <v>44540</v>
      </c>
      <c r="J1432" s="95">
        <f ca="1"/>
        <v>5.1012616369585538E-3</v>
      </c>
      <c r="K1432" s="5" t="s">
        <v>4</v>
      </c>
      <c r="L1432" s="97">
        <f ca="1">_xll.meDateFromTenor(L1431,"1D","FOLLOWING","TGT")</f>
        <v>44540</v>
      </c>
      <c r="M1432" s="95">
        <f ca="1"/>
        <v>6.9148756273545069E-3</v>
      </c>
      <c r="N1432" s="5" t="s">
        <v>4</v>
      </c>
      <c r="O1432" s="97">
        <f ca="1">_xll.meDateFromTenor(O1431,"1D","FOLLOWING","TGT")</f>
        <v>44540</v>
      </c>
      <c r="P1432" s="95">
        <f ca="1"/>
        <v>8.8762506766644437E-3</v>
      </c>
      <c r="Q1432" s="5" t="s">
        <v>4</v>
      </c>
      <c r="R1432" s="83" t="s">
        <v>4</v>
      </c>
    </row>
    <row r="1433" spans="1:18" x14ac:dyDescent="0.25">
      <c r="A1433" s="88">
        <v>1419</v>
      </c>
      <c r="B1433" s="82"/>
      <c r="C1433" s="97">
        <f ca="1">_xll.meDateFromTenor(C1432,"1D","FOLLOWING","TGT")</f>
        <v>44543</v>
      </c>
      <c r="D1433" s="95">
        <f ca="1"/>
        <v>3.1905251862516248E-3</v>
      </c>
      <c r="E1433" s="92"/>
      <c r="F1433" s="97">
        <f ca="1">_xll.meDateFromTenor(F1432,"1D","FOLLOWING","TGT")</f>
        <v>44543</v>
      </c>
      <c r="G1433" s="95">
        <f ca="1"/>
        <v>3.9359312691029588E-3</v>
      </c>
      <c r="H1433" s="92" t="s">
        <v>4</v>
      </c>
      <c r="I1433" s="97">
        <f ca="1">_xll.meDateFromTenor(I1432,"1D","FOLLOWING","TGT")</f>
        <v>44543</v>
      </c>
      <c r="J1433" s="95">
        <f ca="1"/>
        <v>5.1261040780465816E-3</v>
      </c>
      <c r="K1433" s="5" t="s">
        <v>4</v>
      </c>
      <c r="L1433" s="97">
        <f ca="1">_xll.meDateFromTenor(L1432,"1D","FOLLOWING","TGT")</f>
        <v>44543</v>
      </c>
      <c r="M1433" s="95">
        <f ca="1"/>
        <v>6.939184542008852E-3</v>
      </c>
      <c r="N1433" s="5" t="s">
        <v>4</v>
      </c>
      <c r="O1433" s="97">
        <f ca="1">_xll.meDateFromTenor(O1432,"1D","FOLLOWING","TGT")</f>
        <v>44543</v>
      </c>
      <c r="P1433" s="95">
        <f ca="1"/>
        <v>8.8983206667148217E-3</v>
      </c>
      <c r="Q1433" s="5" t="s">
        <v>4</v>
      </c>
      <c r="R1433" s="83" t="s">
        <v>4</v>
      </c>
    </row>
    <row r="1434" spans="1:18" x14ac:dyDescent="0.25">
      <c r="A1434" s="88">
        <v>1420</v>
      </c>
      <c r="B1434" s="82"/>
      <c r="C1434" s="97">
        <f ca="1">_xll.meDateFromTenor(C1433,"1D","FOLLOWING","TGT")</f>
        <v>44544</v>
      </c>
      <c r="D1434" s="95">
        <f ca="1"/>
        <v>3.1988017326090024E-3</v>
      </c>
      <c r="E1434" s="92"/>
      <c r="F1434" s="97">
        <f ca="1">_xll.meDateFromTenor(F1433,"1D","FOLLOWING","TGT")</f>
        <v>44544</v>
      </c>
      <c r="G1434" s="95">
        <f ca="1"/>
        <v>3.9435613913946978E-3</v>
      </c>
      <c r="H1434" s="92" t="s">
        <v>4</v>
      </c>
      <c r="I1434" s="97">
        <f ca="1">_xll.meDateFromTenor(I1433,"1D","FOLLOWING","TGT")</f>
        <v>44544</v>
      </c>
      <c r="J1434" s="95">
        <f ca="1"/>
        <v>5.134395240350329E-3</v>
      </c>
      <c r="K1434" s="5" t="s">
        <v>4</v>
      </c>
      <c r="L1434" s="97">
        <f ca="1">_xll.meDateFromTenor(L1433,"1D","FOLLOWING","TGT")</f>
        <v>44544</v>
      </c>
      <c r="M1434" s="95">
        <f ca="1"/>
        <v>6.9473038916958657E-3</v>
      </c>
      <c r="N1434" s="5" t="s">
        <v>4</v>
      </c>
      <c r="O1434" s="97">
        <f ca="1">_xll.meDateFromTenor(O1433,"1D","FOLLOWING","TGT")</f>
        <v>44544</v>
      </c>
      <c r="P1434" s="95">
        <f ca="1"/>
        <v>8.9056761341618097E-3</v>
      </c>
      <c r="Q1434" s="5" t="s">
        <v>4</v>
      </c>
      <c r="R1434" s="83" t="s">
        <v>4</v>
      </c>
    </row>
    <row r="1435" spans="1:18" x14ac:dyDescent="0.25">
      <c r="A1435" s="88">
        <v>1421</v>
      </c>
      <c r="B1435" s="82"/>
      <c r="C1435" s="97">
        <f ca="1">_xll.meDateFromTenor(C1434,"1D","FOLLOWING","TGT")</f>
        <v>44545</v>
      </c>
      <c r="D1435" s="95">
        <f ca="1"/>
        <v>3.2070516187618914E-3</v>
      </c>
      <c r="E1435" s="92"/>
      <c r="F1435" s="97">
        <f ca="1">_xll.meDateFromTenor(F1434,"1D","FOLLOWING","TGT")</f>
        <v>44545</v>
      </c>
      <c r="G1435" s="95">
        <f ca="1"/>
        <v>3.9511735732425729E-3</v>
      </c>
      <c r="H1435" s="92" t="s">
        <v>4</v>
      </c>
      <c r="I1435" s="97">
        <f ca="1">_xll.meDateFromTenor(I1434,"1D","FOLLOWING","TGT")</f>
        <v>44545</v>
      </c>
      <c r="J1435" s="95">
        <f ca="1"/>
        <v>5.1426914776894804E-3</v>
      </c>
      <c r="K1435" s="5" t="s">
        <v>4</v>
      </c>
      <c r="L1435" s="97">
        <f ca="1">_xll.meDateFromTenor(L1434,"1D","FOLLOWING","TGT")</f>
        <v>44545</v>
      </c>
      <c r="M1435" s="95">
        <f ca="1"/>
        <v>6.9554311956350617E-3</v>
      </c>
      <c r="N1435" s="5" t="s">
        <v>4</v>
      </c>
      <c r="O1435" s="97">
        <f ca="1">_xll.meDateFromTenor(O1434,"1D","FOLLOWING","TGT")</f>
        <v>44545</v>
      </c>
      <c r="P1435" s="95">
        <f ca="1"/>
        <v>8.9130309987406568E-3</v>
      </c>
      <c r="Q1435" s="5" t="s">
        <v>4</v>
      </c>
      <c r="R1435" s="83" t="s">
        <v>4</v>
      </c>
    </row>
    <row r="1436" spans="1:18" x14ac:dyDescent="0.25">
      <c r="A1436" s="88">
        <v>1422</v>
      </c>
      <c r="B1436" s="82"/>
      <c r="C1436" s="97">
        <f ca="1">_xll.meDateFromTenor(C1435,"1D","FOLLOWING","TGT")</f>
        <v>44546</v>
      </c>
      <c r="D1436" s="95">
        <f ca="1"/>
        <v>3.2152748435751999E-3</v>
      </c>
      <c r="E1436" s="92"/>
      <c r="F1436" s="97">
        <f ca="1">_xll.meDateFromTenor(F1435,"1D","FOLLOWING","TGT")</f>
        <v>44546</v>
      </c>
      <c r="G1436" s="95">
        <f ca="1"/>
        <v>3.9587680355439216E-3</v>
      </c>
      <c r="H1436" s="92" t="s">
        <v>4</v>
      </c>
      <c r="I1436" s="97">
        <f ca="1">_xll.meDateFromTenor(I1435,"1D","FOLLOWING","TGT")</f>
        <v>44546</v>
      </c>
      <c r="J1436" s="95">
        <f ca="1"/>
        <v>5.1509927305029507E-3</v>
      </c>
      <c r="K1436" s="5" t="s">
        <v>4</v>
      </c>
      <c r="L1436" s="97">
        <f ca="1">_xll.meDateFromTenor(L1435,"1D","FOLLOWING","TGT")</f>
        <v>44546</v>
      </c>
      <c r="M1436" s="95">
        <f ca="1"/>
        <v>6.9635663129370739E-3</v>
      </c>
      <c r="N1436" s="5" t="s">
        <v>4</v>
      </c>
      <c r="O1436" s="97">
        <f ca="1">_xll.meDateFromTenor(O1435,"1D","FOLLOWING","TGT")</f>
        <v>44546</v>
      </c>
      <c r="P1436" s="95">
        <f ca="1"/>
        <v>8.9203852575014189E-3</v>
      </c>
      <c r="Q1436" s="5" t="s">
        <v>4</v>
      </c>
      <c r="R1436" s="83" t="s">
        <v>4</v>
      </c>
    </row>
    <row r="1437" spans="1:18" x14ac:dyDescent="0.25">
      <c r="A1437" s="88">
        <v>1423</v>
      </c>
      <c r="B1437" s="82"/>
      <c r="C1437" s="97">
        <f ca="1">_xll.meDateFromTenor(C1436,"1D","FOLLOWING","TGT")</f>
        <v>44547</v>
      </c>
      <c r="D1437" s="95">
        <f ca="1"/>
        <v>3.2234714058325675E-3</v>
      </c>
      <c r="E1437" s="92"/>
      <c r="F1437" s="97">
        <f ca="1">_xll.meDateFromTenor(F1436,"1D","FOLLOWING","TGT")</f>
        <v>44547</v>
      </c>
      <c r="G1437" s="95">
        <f ca="1"/>
        <v>3.9663449991960871E-3</v>
      </c>
      <c r="H1437" s="92" t="s">
        <v>4</v>
      </c>
      <c r="I1437" s="97">
        <f ca="1">_xll.meDateFromTenor(I1436,"1D","FOLLOWING","TGT")</f>
        <v>44547</v>
      </c>
      <c r="J1437" s="95">
        <f ca="1"/>
        <v>5.1592989392296581E-3</v>
      </c>
      <c r="K1437" s="5" t="s">
        <v>4</v>
      </c>
      <c r="L1437" s="97">
        <f ca="1">_xll.meDateFromTenor(L1436,"1D","FOLLOWING","TGT")</f>
        <v>44547</v>
      </c>
      <c r="M1437" s="95">
        <f ca="1"/>
        <v>6.9717091027125411E-3</v>
      </c>
      <c r="N1437" s="5" t="s">
        <v>4</v>
      </c>
      <c r="O1437" s="97">
        <f ca="1">_xll.meDateFromTenor(O1436,"1D","FOLLOWING","TGT")</f>
        <v>44547</v>
      </c>
      <c r="P1437" s="95">
        <f ca="1"/>
        <v>8.9277389074941538E-3</v>
      </c>
      <c r="Q1437" s="5" t="s">
        <v>4</v>
      </c>
      <c r="R1437" s="83" t="s">
        <v>4</v>
      </c>
    </row>
    <row r="1438" spans="1:18" x14ac:dyDescent="0.25">
      <c r="A1438" s="88">
        <v>1424</v>
      </c>
      <c r="B1438" s="82"/>
      <c r="C1438" s="97">
        <f ca="1">_xll.meDateFromTenor(C1437,"1D","FOLLOWING","TGT")</f>
        <v>44550</v>
      </c>
      <c r="D1438" s="95">
        <f ca="1"/>
        <v>3.2479011082560127E-3</v>
      </c>
      <c r="E1438" s="92"/>
      <c r="F1438" s="97">
        <f ca="1">_xll.meDateFromTenor(F1437,"1D","FOLLOWING","TGT")</f>
        <v>44550</v>
      </c>
      <c r="G1438" s="95">
        <f ca="1"/>
        <v>3.9889731072308855E-3</v>
      </c>
      <c r="H1438" s="92" t="s">
        <v>4</v>
      </c>
      <c r="I1438" s="97">
        <f ca="1">_xll.meDateFromTenor(I1437,"1D","FOLLOWING","TGT")</f>
        <v>44550</v>
      </c>
      <c r="J1438" s="95">
        <f ca="1"/>
        <v>5.1842467052783808E-3</v>
      </c>
      <c r="K1438" s="5" t="s">
        <v>4</v>
      </c>
      <c r="L1438" s="97">
        <f ca="1">_xll.meDateFromTenor(L1437,"1D","FOLLOWING","TGT")</f>
        <v>44550</v>
      </c>
      <c r="M1438" s="95">
        <f ca="1"/>
        <v>6.996182097986043E-3</v>
      </c>
      <c r="N1438" s="5" t="s">
        <v>4</v>
      </c>
      <c r="O1438" s="97">
        <f ca="1">_xll.meDateFromTenor(O1437,"1D","FOLLOWING","TGT")</f>
        <v>44550</v>
      </c>
      <c r="P1438" s="95">
        <f ca="1"/>
        <v>8.949796175364743E-3</v>
      </c>
      <c r="Q1438" s="5" t="s">
        <v>4</v>
      </c>
      <c r="R1438" s="83" t="s">
        <v>4</v>
      </c>
    </row>
    <row r="1439" spans="1:18" x14ac:dyDescent="0.25">
      <c r="A1439" s="88">
        <v>1425</v>
      </c>
      <c r="B1439" s="82"/>
      <c r="C1439" s="97">
        <f ca="1">_xll.meDateFromTenor(C1438,"1D","FOLLOWING","TGT")</f>
        <v>44551</v>
      </c>
      <c r="D1439" s="95">
        <f ca="1"/>
        <v>3.2559910104910106E-3</v>
      </c>
      <c r="E1439" s="92"/>
      <c r="F1439" s="97">
        <f ca="1">_xll.meDateFromTenor(F1438,"1D","FOLLOWING","TGT")</f>
        <v>44551</v>
      </c>
      <c r="G1439" s="95">
        <f ca="1"/>
        <v>3.9964822852597238E-3</v>
      </c>
      <c r="H1439" s="92" t="s">
        <v>4</v>
      </c>
      <c r="I1439" s="97">
        <f ca="1">_xll.meDateFromTenor(I1438,"1D","FOLLOWING","TGT")</f>
        <v>44551</v>
      </c>
      <c r="J1439" s="95">
        <f ca="1"/>
        <v>5.1925721420472163E-3</v>
      </c>
      <c r="K1439" s="5" t="s">
        <v>4</v>
      </c>
      <c r="L1439" s="97">
        <f ca="1">_xll.meDateFromTenor(L1438,"1D","FOLLOWING","TGT")</f>
        <v>44551</v>
      </c>
      <c r="M1439" s="95">
        <f ca="1"/>
        <v>7.0043541687617016E-3</v>
      </c>
      <c r="N1439" s="5" t="s">
        <v>4</v>
      </c>
      <c r="O1439" s="97">
        <f ca="1">_xll.meDateFromTenor(O1438,"1D","FOLLOWING","TGT")</f>
        <v>44551</v>
      </c>
      <c r="P1439" s="95">
        <f ca="1"/>
        <v>8.9571473607859223E-3</v>
      </c>
      <c r="Q1439" s="5" t="s">
        <v>4</v>
      </c>
      <c r="R1439" s="83" t="s">
        <v>4</v>
      </c>
    </row>
    <row r="1440" spans="1:18" x14ac:dyDescent="0.25">
      <c r="A1440" s="88">
        <v>1426</v>
      </c>
      <c r="B1440" s="82"/>
      <c r="C1440" s="97">
        <f ca="1">_xll.meDateFromTenor(C1439,"1D","FOLLOWING","TGT")</f>
        <v>44552</v>
      </c>
      <c r="D1440" s="95">
        <f ca="1"/>
        <v>3.2640542449995369E-3</v>
      </c>
      <c r="E1440" s="92"/>
      <c r="F1440" s="97">
        <f ca="1">_xll.meDateFromTenor(F1439,"1D","FOLLOWING","TGT")</f>
        <v>44552</v>
      </c>
      <c r="G1440" s="95">
        <f ca="1"/>
        <v>4.0039750691260832E-3</v>
      </c>
      <c r="H1440" s="92" t="s">
        <v>4</v>
      </c>
      <c r="I1440" s="97">
        <f ca="1">_xll.meDateFromTenor(I1439,"1D","FOLLOWING","TGT")</f>
        <v>44552</v>
      </c>
      <c r="J1440" s="95">
        <f ca="1"/>
        <v>5.2009022369238784E-3</v>
      </c>
      <c r="K1440" s="5" t="s">
        <v>4</v>
      </c>
      <c r="L1440" s="97">
        <f ca="1">_xll.meDateFromTenor(L1439,"1D","FOLLOWING","TGT")</f>
        <v>44552</v>
      </c>
      <c r="M1440" s="95">
        <f ca="1"/>
        <v>7.0125332075640012E-3</v>
      </c>
      <c r="N1440" s="5" t="s">
        <v>4</v>
      </c>
      <c r="O1440" s="97">
        <f ca="1">_xll.meDateFromTenor(O1439,"1D","FOLLOWING","TGT")</f>
        <v>44552</v>
      </c>
      <c r="P1440" s="95">
        <f ca="1"/>
        <v>8.9644979226893538E-3</v>
      </c>
      <c r="Q1440" s="5" t="s">
        <v>4</v>
      </c>
      <c r="R1440" s="83" t="s">
        <v>4</v>
      </c>
    </row>
    <row r="1441" spans="1:18" x14ac:dyDescent="0.25">
      <c r="A1441" s="88">
        <v>1427</v>
      </c>
      <c r="B1441" s="82"/>
      <c r="C1441" s="97">
        <f ca="1">_xll.meDateFromTenor(C1440,"1D","FOLLOWING","TGT")</f>
        <v>44553</v>
      </c>
      <c r="D1441" s="95">
        <f ca="1"/>
        <v>3.2720908109831193E-3</v>
      </c>
      <c r="E1441" s="92"/>
      <c r="F1441" s="97">
        <f ca="1">_xll.meDateFromTenor(F1440,"1D","FOLLOWING","TGT")</f>
        <v>44553</v>
      </c>
      <c r="G1441" s="95">
        <f ca="1"/>
        <v>4.0114516797273032E-3</v>
      </c>
      <c r="H1441" s="92" t="s">
        <v>4</v>
      </c>
      <c r="I1441" s="97">
        <f ca="1">_xll.meDateFromTenor(I1440,"1D","FOLLOWING","TGT")</f>
        <v>44553</v>
      </c>
      <c r="J1441" s="95">
        <f ca="1"/>
        <v>5.2092369303472818E-3</v>
      </c>
      <c r="K1441" s="5" t="s">
        <v>4</v>
      </c>
      <c r="L1441" s="97">
        <f ca="1">_xll.meDateFromTenor(L1440,"1D","FOLLOWING","TGT")</f>
        <v>44553</v>
      </c>
      <c r="M1441" s="95">
        <f ca="1"/>
        <v>7.0207190735035764E-3</v>
      </c>
      <c r="N1441" s="5" t="s">
        <v>4</v>
      </c>
      <c r="O1441" s="97">
        <f ca="1">_xll.meDateFromTenor(O1440,"1D","FOLLOWING","TGT")</f>
        <v>44553</v>
      </c>
      <c r="P1441" s="95">
        <f ca="1"/>
        <v>8.9718478581250916E-3</v>
      </c>
      <c r="Q1441" s="5" t="s">
        <v>4</v>
      </c>
      <c r="R1441" s="83" t="s">
        <v>4</v>
      </c>
    </row>
    <row r="1442" spans="1:18" x14ac:dyDescent="0.25">
      <c r="A1442" s="88">
        <v>1428</v>
      </c>
      <c r="B1442" s="82"/>
      <c r="C1442" s="97">
        <f ca="1">_xll.meDateFromTenor(C1441,"1D","FOLLOWING","TGT")</f>
        <v>44554</v>
      </c>
      <c r="D1442" s="95">
        <f ca="1"/>
        <v>3.2801007069152011E-3</v>
      </c>
      <c r="E1442" s="92"/>
      <c r="F1442" s="97">
        <f ca="1">_xll.meDateFromTenor(F1441,"1D","FOLLOWING","TGT")</f>
        <v>44554</v>
      </c>
      <c r="G1442" s="95">
        <f ca="1"/>
        <v>4.0189123379607301E-3</v>
      </c>
      <c r="H1442" s="92" t="s">
        <v>4</v>
      </c>
      <c r="I1442" s="97">
        <f ca="1">_xll.meDateFromTenor(I1441,"1D","FOLLOWING","TGT")</f>
        <v>44554</v>
      </c>
      <c r="J1442" s="95">
        <f ca="1"/>
        <v>5.2175761627563533E-3</v>
      </c>
      <c r="K1442" s="5" t="s">
        <v>4</v>
      </c>
      <c r="L1442" s="97">
        <f ca="1">_xll.meDateFromTenor(L1441,"1D","FOLLOWING","TGT")</f>
        <v>44554</v>
      </c>
      <c r="M1442" s="95">
        <f ca="1"/>
        <v>7.0289116256910698E-3</v>
      </c>
      <c r="N1442" s="5" t="s">
        <v>4</v>
      </c>
      <c r="O1442" s="97">
        <f ca="1">_xll.meDateFromTenor(O1441,"1D","FOLLOWING","TGT")</f>
        <v>44554</v>
      </c>
      <c r="P1442" s="95">
        <f ca="1"/>
        <v>8.9791971641431951E-3</v>
      </c>
      <c r="Q1442" s="5" t="s">
        <v>4</v>
      </c>
      <c r="R1442" s="83" t="s">
        <v>4</v>
      </c>
    </row>
    <row r="1443" spans="1:18" x14ac:dyDescent="0.25">
      <c r="A1443" s="88">
        <v>1429</v>
      </c>
      <c r="B1443" s="82"/>
      <c r="C1443" s="97">
        <f ca="1">_xll.meDateFromTenor(C1442,"1D","FOLLOWING","TGT")</f>
        <v>44557</v>
      </c>
      <c r="D1443" s="95">
        <f ca="1"/>
        <v>3.3039703649218044E-3</v>
      </c>
      <c r="E1443" s="92"/>
      <c r="F1443" s="97">
        <f ca="1">_xll.meDateFromTenor(F1442,"1D","FOLLOWING","TGT")</f>
        <v>44557</v>
      </c>
      <c r="G1443" s="95">
        <f ca="1"/>
        <v>4.0412008074276421E-3</v>
      </c>
      <c r="H1443" s="92" t="s">
        <v>4</v>
      </c>
      <c r="I1443" s="97">
        <f ca="1">_xll.meDateFromTenor(I1442,"1D","FOLLOWING","TGT")</f>
        <v>44557</v>
      </c>
      <c r="J1443" s="95">
        <f ca="1"/>
        <v>5.2426204982867269E-3</v>
      </c>
      <c r="K1443" s="5" t="s">
        <v>4</v>
      </c>
      <c r="L1443" s="97">
        <f ca="1">_xll.meDateFromTenor(L1442,"1D","FOLLOWING","TGT")</f>
        <v>44557</v>
      </c>
      <c r="M1443" s="95">
        <f ca="1"/>
        <v>7.0535279908474175E-3</v>
      </c>
      <c r="N1443" s="5" t="s">
        <v>4</v>
      </c>
      <c r="O1443" s="97">
        <f ca="1">_xll.meDateFromTenor(O1442,"1D","FOLLOWING","TGT")</f>
        <v>44557</v>
      </c>
      <c r="P1443" s="95">
        <f ca="1"/>
        <v>9.0012412761922497E-3</v>
      </c>
      <c r="Q1443" s="5" t="s">
        <v>4</v>
      </c>
      <c r="R1443" s="83" t="s">
        <v>4</v>
      </c>
    </row>
    <row r="1444" spans="1:18" x14ac:dyDescent="0.25">
      <c r="A1444" s="88">
        <v>1430</v>
      </c>
      <c r="B1444" s="82"/>
      <c r="C1444" s="97">
        <f ca="1">_xll.meDateFromTenor(C1443,"1D","FOLLOWING","TGT")</f>
        <v>44558</v>
      </c>
      <c r="D1444" s="95">
        <f ca="1"/>
        <v>3.3118735709289915E-3</v>
      </c>
      <c r="E1444" s="92"/>
      <c r="F1444" s="97">
        <f ca="1">_xll.meDateFromTenor(F1443,"1D","FOLLOWING","TGT")</f>
        <v>44558</v>
      </c>
      <c r="G1444" s="95">
        <f ca="1"/>
        <v>4.0485998651632951E-3</v>
      </c>
      <c r="H1444" s="92" t="s">
        <v>4</v>
      </c>
      <c r="I1444" s="97">
        <f ca="1">_xll.meDateFromTenor(I1443,"1D","FOLLOWING","TGT")</f>
        <v>44558</v>
      </c>
      <c r="J1444" s="95">
        <f ca="1"/>
        <v>5.250977291027633E-3</v>
      </c>
      <c r="K1444" s="5" t="s">
        <v>4</v>
      </c>
      <c r="L1444" s="97">
        <f ca="1">_xll.meDateFromTenor(L1443,"1D","FOLLOWING","TGT")</f>
        <v>44558</v>
      </c>
      <c r="M1444" s="95">
        <f ca="1"/>
        <v>7.0617458791329482E-3</v>
      </c>
      <c r="N1444" s="5" t="s">
        <v>4</v>
      </c>
      <c r="O1444" s="97">
        <f ca="1">_xll.meDateFromTenor(O1443,"1D","FOLLOWING","TGT")</f>
        <v>44558</v>
      </c>
      <c r="P1444" s="95">
        <f ca="1"/>
        <v>9.008588035040373E-3</v>
      </c>
      <c r="Q1444" s="5" t="s">
        <v>4</v>
      </c>
      <c r="R1444" s="83" t="s">
        <v>4</v>
      </c>
    </row>
    <row r="1445" spans="1:18" x14ac:dyDescent="0.25">
      <c r="A1445" s="88">
        <v>1431</v>
      </c>
      <c r="B1445" s="82"/>
      <c r="C1445" s="97">
        <f ca="1">_xll.meDateFromTenor(C1444,"1D","FOLLOWING","TGT")</f>
        <v>44559</v>
      </c>
      <c r="D1445" s="95">
        <f ca="1"/>
        <v>3.3197501013135788E-3</v>
      </c>
      <c r="E1445" s="92"/>
      <c r="F1445" s="97">
        <f ca="1">_xll.meDateFromTenor(F1444,"1D","FOLLOWING","TGT")</f>
        <v>44559</v>
      </c>
      <c r="G1445" s="95">
        <f ca="1"/>
        <v>4.0559840750178577E-3</v>
      </c>
      <c r="H1445" s="92" t="s">
        <v>4</v>
      </c>
      <c r="I1445" s="97">
        <f ca="1">_xll.meDateFromTenor(I1444,"1D","FOLLOWING","TGT")</f>
        <v>44559</v>
      </c>
      <c r="J1445" s="95">
        <f ca="1"/>
        <v>5.2593383249487915E-3</v>
      </c>
      <c r="K1445" s="5" t="s">
        <v>4</v>
      </c>
      <c r="L1445" s="97">
        <f ca="1">_xll.meDateFromTenor(L1444,"1D","FOLLOWING","TGT")</f>
        <v>44559</v>
      </c>
      <c r="M1445" s="95">
        <f ca="1"/>
        <v>7.0699697492195802E-3</v>
      </c>
      <c r="N1445" s="5" t="s">
        <v>4</v>
      </c>
      <c r="O1445" s="97">
        <f ca="1">_xll.meDateFromTenor(O1444,"1D","FOLLOWING","TGT")</f>
        <v>44559</v>
      </c>
      <c r="P1445" s="95">
        <f ca="1"/>
        <v>9.0159341497211398E-3</v>
      </c>
      <c r="Q1445" s="5" t="s">
        <v>4</v>
      </c>
      <c r="R1445" s="83" t="s">
        <v>4</v>
      </c>
    </row>
    <row r="1446" spans="1:18" x14ac:dyDescent="0.25">
      <c r="A1446" s="88">
        <v>1432</v>
      </c>
      <c r="B1446" s="82"/>
      <c r="C1446" s="97">
        <f ca="1">_xll.meDateFromTenor(C1445,"1D","FOLLOWING","TGT")</f>
        <v>44560</v>
      </c>
      <c r="D1446" s="95">
        <f ca="1"/>
        <v>3.3275999553641356E-3</v>
      </c>
      <c r="E1446" s="92"/>
      <c r="F1446" s="97">
        <f ca="1">_xll.meDateFromTenor(F1445,"1D","FOLLOWING","TGT")</f>
        <v>44560</v>
      </c>
      <c r="G1446" s="95">
        <f ca="1"/>
        <v>4.0633536578886702E-3</v>
      </c>
      <c r="H1446" s="92" t="s">
        <v>4</v>
      </c>
      <c r="I1446" s="97">
        <f ca="1">_xll.meDateFromTenor(I1445,"1D","FOLLOWING","TGT")</f>
        <v>44560</v>
      </c>
      <c r="J1446" s="95">
        <f ca="1"/>
        <v>5.2677035404891217E-3</v>
      </c>
      <c r="K1446" s="5" t="s">
        <v>4</v>
      </c>
      <c r="L1446" s="97">
        <f ca="1">_xll.meDateFromTenor(L1445,"1D","FOLLOWING","TGT")</f>
        <v>44560</v>
      </c>
      <c r="M1446" s="95">
        <f ca="1"/>
        <v>7.0781994602179526E-3</v>
      </c>
      <c r="N1446" s="5" t="s">
        <v>4</v>
      </c>
      <c r="O1446" s="97">
        <f ca="1">_xll.meDateFromTenor(O1445,"1D","FOLLOWING","TGT")</f>
        <v>44560</v>
      </c>
      <c r="P1446" s="95">
        <f ca="1"/>
        <v>9.0232796172846075E-3</v>
      </c>
      <c r="Q1446" s="5" t="s">
        <v>4</v>
      </c>
      <c r="R1446" s="83" t="s">
        <v>4</v>
      </c>
    </row>
    <row r="1447" spans="1:18" x14ac:dyDescent="0.25">
      <c r="A1447" s="88">
        <v>1433</v>
      </c>
      <c r="B1447" s="82"/>
      <c r="C1447" s="97">
        <f ca="1">_xll.meDateFromTenor(C1446,"1D","FOLLOWING","TGT")</f>
        <v>44561</v>
      </c>
      <c r="D1447" s="95">
        <f ca="1"/>
        <v>3.3354231318980521E-3</v>
      </c>
      <c r="E1447" s="92"/>
      <c r="F1447" s="97">
        <f ca="1">_xll.meDateFromTenor(F1446,"1D","FOLLOWING","TGT")</f>
        <v>44561</v>
      </c>
      <c r="G1447" s="95">
        <f ca="1"/>
        <v>4.0707088346730756E-3</v>
      </c>
      <c r="H1447" s="92" t="s">
        <v>4</v>
      </c>
      <c r="I1447" s="97">
        <f ca="1">_xll.meDateFromTenor(I1446,"1D","FOLLOWING","TGT")</f>
        <v>44561</v>
      </c>
      <c r="J1447" s="95">
        <f ca="1"/>
        <v>5.2760728780875425E-3</v>
      </c>
      <c r="K1447" s="5" t="s">
        <v>4</v>
      </c>
      <c r="L1447" s="97">
        <f ca="1">_xll.meDateFromTenor(L1446,"1D","FOLLOWING","TGT")</f>
        <v>44561</v>
      </c>
      <c r="M1447" s="95">
        <f ca="1"/>
        <v>7.0864348712387027E-3</v>
      </c>
      <c r="N1447" s="5" t="s">
        <v>4</v>
      </c>
      <c r="O1447" s="97">
        <f ca="1">_xll.meDateFromTenor(O1446,"1D","FOLLOWING","TGT")</f>
        <v>44561</v>
      </c>
      <c r="P1447" s="95">
        <f ca="1"/>
        <v>9.0306244347808321E-3</v>
      </c>
      <c r="Q1447" s="5" t="s">
        <v>4</v>
      </c>
      <c r="R1447" s="83" t="s">
        <v>4</v>
      </c>
    </row>
    <row r="1448" spans="1:18" x14ac:dyDescent="0.25">
      <c r="A1448" s="88">
        <v>1434</v>
      </c>
      <c r="B1448" s="82"/>
      <c r="C1448" s="97">
        <f ca="1">_xll.meDateFromTenor(C1447,"1D","FOLLOWING","TGT")</f>
        <v>44564</v>
      </c>
      <c r="D1448" s="95">
        <f ca="1"/>
        <v>3.3587325855886085E-3</v>
      </c>
      <c r="E1448" s="92"/>
      <c r="F1448" s="97">
        <f ca="1">_xll.meDateFromTenor(F1447,"1D","FOLLOWING","TGT")</f>
        <v>44564</v>
      </c>
      <c r="G1448" s="95">
        <f ca="1"/>
        <v>4.0926901374812516E-3</v>
      </c>
      <c r="H1448" s="92" t="s">
        <v>4</v>
      </c>
      <c r="I1448" s="97">
        <f ca="1">_xll.meDateFromTenor(I1447,"1D","FOLLOWING","TGT")</f>
        <v>44564</v>
      </c>
      <c r="J1448" s="95">
        <f ca="1"/>
        <v>5.3012050276205229E-3</v>
      </c>
      <c r="K1448" s="5" t="s">
        <v>4</v>
      </c>
      <c r="L1448" s="97">
        <f ca="1">_xll.meDateFromTenor(L1447,"1D","FOLLOWING","TGT")</f>
        <v>44564</v>
      </c>
      <c r="M1448" s="95">
        <f ca="1"/>
        <v>7.1111738955415846E-3</v>
      </c>
      <c r="N1448" s="5" t="s">
        <v>4</v>
      </c>
      <c r="O1448" s="97">
        <f ca="1">_xll.meDateFromTenor(O1447,"1D","FOLLOWING","TGT")</f>
        <v>44564</v>
      </c>
      <c r="P1448" s="95">
        <f ca="1"/>
        <v>9.0526549573666116E-3</v>
      </c>
      <c r="Q1448" s="5" t="s">
        <v>4</v>
      </c>
      <c r="R1448" s="83" t="s">
        <v>4</v>
      </c>
    </row>
    <row r="1449" spans="1:18" x14ac:dyDescent="0.25">
      <c r="A1449" s="88">
        <v>1435</v>
      </c>
      <c r="B1449" s="82"/>
      <c r="C1449" s="97">
        <f ca="1">_xll.meDateFromTenor(C1448,"1D","FOLLOWING","TGT")</f>
        <v>44565</v>
      </c>
      <c r="D1449" s="95">
        <f ca="1"/>
        <v>3.3664490411036141E-3</v>
      </c>
      <c r="E1449" s="92"/>
      <c r="F1449" s="97">
        <f ca="1">_xll.meDateFromTenor(F1448,"1D","FOLLOWING","TGT")</f>
        <v>44565</v>
      </c>
      <c r="G1449" s="95">
        <f ca="1"/>
        <v>4.0999903854725649E-3</v>
      </c>
      <c r="H1449" s="92" t="s">
        <v>4</v>
      </c>
      <c r="I1449" s="97">
        <f ca="1">_xll.meDateFromTenor(I1448,"1D","FOLLOWING","TGT")</f>
        <v>44565</v>
      </c>
      <c r="J1449" s="95">
        <f ca="1"/>
        <v>5.3095902578404837E-3</v>
      </c>
      <c r="K1449" s="5" t="s">
        <v>4</v>
      </c>
      <c r="L1449" s="97">
        <f ca="1">_xll.meDateFromTenor(L1448,"1D","FOLLOWING","TGT")</f>
        <v>44565</v>
      </c>
      <c r="M1449" s="95">
        <f ca="1"/>
        <v>7.1194306977582162E-3</v>
      </c>
      <c r="N1449" s="5" t="s">
        <v>4</v>
      </c>
      <c r="O1449" s="97">
        <f ca="1">_xll.meDateFromTenor(O1448,"1D","FOLLOWING","TGT")</f>
        <v>44565</v>
      </c>
      <c r="P1449" s="95">
        <f ca="1"/>
        <v>9.059997145094428E-3</v>
      </c>
      <c r="Q1449" s="5" t="s">
        <v>4</v>
      </c>
      <c r="R1449" s="83" t="s">
        <v>4</v>
      </c>
    </row>
    <row r="1450" spans="1:18" x14ac:dyDescent="0.25">
      <c r="A1450" s="88">
        <v>1436</v>
      </c>
      <c r="B1450" s="82"/>
      <c r="C1450" s="97">
        <f ca="1">_xll.meDateFromTenor(C1449,"1D","FOLLOWING","TGT")</f>
        <v>44566</v>
      </c>
      <c r="D1450" s="95">
        <f ca="1"/>
        <v>3.3741388134358452E-3</v>
      </c>
      <c r="E1450" s="92"/>
      <c r="F1450" s="97">
        <f ca="1">_xll.meDateFromTenor(F1449,"1D","FOLLOWING","TGT")</f>
        <v>44566</v>
      </c>
      <c r="G1450" s="95">
        <f ca="1"/>
        <v>4.1072802513389519E-3</v>
      </c>
      <c r="H1450" s="92" t="s">
        <v>4</v>
      </c>
      <c r="I1450" s="97">
        <f ca="1">_xll.meDateFromTenor(I1449,"1D","FOLLOWING","TGT")</f>
        <v>44566</v>
      </c>
      <c r="J1450" s="95">
        <f ca="1"/>
        <v>5.3179793123131246E-3</v>
      </c>
      <c r="K1450" s="5" t="s">
        <v>4</v>
      </c>
      <c r="L1450" s="97">
        <f ca="1">_xll.meDateFromTenor(L1449,"1D","FOLLOWING","TGT")</f>
        <v>44566</v>
      </c>
      <c r="M1450" s="95">
        <f ca="1"/>
        <v>7.127692495550412E-3</v>
      </c>
      <c r="N1450" s="5" t="s">
        <v>4</v>
      </c>
      <c r="O1450" s="97">
        <f ca="1">_xll.meDateFromTenor(O1449,"1D","FOLLOWING","TGT")</f>
        <v>44566</v>
      </c>
      <c r="P1450" s="95">
        <f ca="1"/>
        <v>9.0673386680052825E-3</v>
      </c>
      <c r="Q1450" s="5" t="s">
        <v>4</v>
      </c>
      <c r="R1450" s="83" t="s">
        <v>4</v>
      </c>
    </row>
    <row r="1451" spans="1:18" x14ac:dyDescent="0.25">
      <c r="A1451" s="88">
        <v>1437</v>
      </c>
      <c r="B1451" s="82"/>
      <c r="C1451" s="97">
        <f ca="1">_xll.meDateFromTenor(C1450,"1D","FOLLOWING","TGT")</f>
        <v>44567</v>
      </c>
      <c r="D1451" s="95">
        <f ca="1"/>
        <v>3.3818019016562673E-3</v>
      </c>
      <c r="E1451" s="92"/>
      <c r="F1451" s="97">
        <f ca="1">_xll.meDateFromTenor(F1450,"1D","FOLLOWING","TGT")</f>
        <v>44567</v>
      </c>
      <c r="G1451" s="95">
        <f ca="1"/>
        <v>4.1145628754525251E-3</v>
      </c>
      <c r="H1451" s="92" t="s">
        <v>4</v>
      </c>
      <c r="I1451" s="97">
        <f ca="1">_xll.meDateFromTenor(I1450,"1D","FOLLOWING","TGT")</f>
        <v>44567</v>
      </c>
      <c r="J1451" s="95">
        <f ca="1"/>
        <v>5.3263721314773648E-3</v>
      </c>
      <c r="K1451" s="5" t="s">
        <v>4</v>
      </c>
      <c r="L1451" s="97">
        <f ca="1">_xll.meDateFromTenor(L1450,"1D","FOLLOWING","TGT")</f>
        <v>44567</v>
      </c>
      <c r="M1451" s="95">
        <f ca="1"/>
        <v>7.1359591480288096E-3</v>
      </c>
      <c r="N1451" s="5" t="s">
        <v>4</v>
      </c>
      <c r="O1451" s="97">
        <f ca="1">_xll.meDateFromTenor(O1450,"1D","FOLLOWING","TGT")</f>
        <v>44567</v>
      </c>
      <c r="P1451" s="95">
        <f ca="1"/>
        <v>9.074679523149231E-3</v>
      </c>
      <c r="Q1451" s="5" t="s">
        <v>4</v>
      </c>
      <c r="R1451" s="83" t="s">
        <v>4</v>
      </c>
    </row>
    <row r="1452" spans="1:18" x14ac:dyDescent="0.25">
      <c r="A1452" s="88">
        <v>1438</v>
      </c>
      <c r="B1452" s="82"/>
      <c r="C1452" s="97">
        <f ca="1">_xll.meDateFromTenor(C1451,"1D","FOLLOWING","TGT")</f>
        <v>44568</v>
      </c>
      <c r="D1452" s="95">
        <f ca="1"/>
        <v>3.3894383045083298E-3</v>
      </c>
      <c r="E1452" s="92"/>
      <c r="F1452" s="97">
        <f ca="1">_xll.meDateFromTenor(F1451,"1D","FOLLOWING","TGT")</f>
        <v>44568</v>
      </c>
      <c r="G1452" s="95">
        <f ca="1"/>
        <v>4.1218413981854041E-3</v>
      </c>
      <c r="H1452" s="92" t="s">
        <v>4</v>
      </c>
      <c r="I1452" s="97">
        <f ca="1">_xll.meDateFromTenor(I1451,"1D","FOLLOWING","TGT")</f>
        <v>44568</v>
      </c>
      <c r="J1452" s="95">
        <f ca="1"/>
        <v>5.3347686557721208E-3</v>
      </c>
      <c r="K1452" s="5" t="s">
        <v>4</v>
      </c>
      <c r="L1452" s="97">
        <f ca="1">_xll.meDateFromTenor(L1451,"1D","FOLLOWING","TGT")</f>
        <v>44568</v>
      </c>
      <c r="M1452" s="95">
        <f ca="1"/>
        <v>7.1442305143040452E-3</v>
      </c>
      <c r="N1452" s="5" t="s">
        <v>4</v>
      </c>
      <c r="O1452" s="97">
        <f ca="1">_xll.meDateFromTenor(O1451,"1D","FOLLOWING","TGT")</f>
        <v>44568</v>
      </c>
      <c r="P1452" s="95">
        <f ca="1"/>
        <v>9.0820197075763293E-3</v>
      </c>
      <c r="Q1452" s="5" t="s">
        <v>4</v>
      </c>
      <c r="R1452" s="83" t="s">
        <v>4</v>
      </c>
    </row>
    <row r="1453" spans="1:18" x14ac:dyDescent="0.25">
      <c r="A1453" s="88">
        <v>1439</v>
      </c>
      <c r="B1453" s="82"/>
      <c r="C1453" s="97">
        <f ca="1">_xll.meDateFromTenor(C1452,"1D","FOLLOWING","TGT")</f>
        <v>44571</v>
      </c>
      <c r="D1453" s="95">
        <f ca="1"/>
        <v>3.4121873895835986E-3</v>
      </c>
      <c r="E1453" s="92"/>
      <c r="F1453" s="97">
        <f ca="1">_xll.meDateFromTenor(F1452,"1D","FOLLOWING","TGT")</f>
        <v>44571</v>
      </c>
      <c r="G1453" s="95">
        <f ca="1"/>
        <v>4.143683761821019E-3</v>
      </c>
      <c r="H1453" s="92" t="s">
        <v>4</v>
      </c>
      <c r="I1453" s="97">
        <f ca="1">_xll.meDateFromTenor(I1452,"1D","FOLLOWING","TGT")</f>
        <v>44571</v>
      </c>
      <c r="J1453" s="95">
        <f ca="1"/>
        <v>5.3599798638286665E-3</v>
      </c>
      <c r="K1453" s="5" t="s">
        <v>4</v>
      </c>
      <c r="L1453" s="97">
        <f ca="1">_xll.meDateFromTenor(L1452,"1D","FOLLOWING","TGT")</f>
        <v>44571</v>
      </c>
      <c r="M1453" s="95">
        <f ca="1"/>
        <v>7.1690714870171549E-3</v>
      </c>
      <c r="N1453" s="5" t="s">
        <v>4</v>
      </c>
      <c r="O1453" s="97">
        <f ca="1">_xll.meDateFromTenor(O1452,"1D","FOLLOWING","TGT")</f>
        <v>44571</v>
      </c>
      <c r="P1453" s="95">
        <f ca="1"/>
        <v>9.1040362070570879E-3</v>
      </c>
      <c r="Q1453" s="5" t="s">
        <v>4</v>
      </c>
      <c r="R1453" s="83" t="s">
        <v>4</v>
      </c>
    </row>
    <row r="1454" spans="1:18" x14ac:dyDescent="0.25">
      <c r="A1454" s="88">
        <v>1440</v>
      </c>
      <c r="B1454" s="82"/>
      <c r="C1454" s="97">
        <f ca="1">_xll.meDateFromTenor(C1453,"1D","FOLLOWING","TGT")</f>
        <v>44572</v>
      </c>
      <c r="D1454" s="95">
        <f ca="1"/>
        <v>3.4197170397736176E-3</v>
      </c>
      <c r="E1454" s="92"/>
      <c r="F1454" s="97">
        <f ca="1">_xll.meDateFromTenor(F1453,"1D","FOLLOWING","TGT")</f>
        <v>44572</v>
      </c>
      <c r="G1454" s="95">
        <f ca="1"/>
        <v>4.1509772827522705E-3</v>
      </c>
      <c r="H1454" s="92" t="s">
        <v>4</v>
      </c>
      <c r="I1454" s="97">
        <f ca="1">_xll.meDateFromTenor(I1453,"1D","FOLLOWING","TGT")</f>
        <v>44572</v>
      </c>
      <c r="J1454" s="95">
        <f ca="1"/>
        <v>5.3683906130346688E-3</v>
      </c>
      <c r="K1454" s="5" t="s">
        <v>4</v>
      </c>
      <c r="L1454" s="97">
        <f ca="1">_xll.meDateFromTenor(L1453,"1D","FOLLOWING","TGT")</f>
        <v>44572</v>
      </c>
      <c r="M1454" s="95">
        <f ca="1"/>
        <v>7.1773602995861179E-3</v>
      </c>
      <c r="N1454" s="5" t="s">
        <v>4</v>
      </c>
      <c r="O1454" s="97">
        <f ca="1">_xll.meDateFromTenor(O1453,"1D","FOLLOWING","TGT")</f>
        <v>44572</v>
      </c>
      <c r="P1454" s="95">
        <f ca="1"/>
        <v>9.1113736791173534E-3</v>
      </c>
      <c r="Q1454" s="5" t="s">
        <v>4</v>
      </c>
      <c r="R1454" s="83" t="s">
        <v>4</v>
      </c>
    </row>
    <row r="1455" spans="1:18" x14ac:dyDescent="0.25">
      <c r="A1455" s="88">
        <v>1441</v>
      </c>
      <c r="B1455" s="82"/>
      <c r="C1455" s="97">
        <f ca="1">_xll.meDateFromTenor(C1454,"1D","FOLLOWING","TGT")</f>
        <v>44573</v>
      </c>
      <c r="D1455" s="95">
        <f ca="1"/>
        <v>3.4272199987710472E-3</v>
      </c>
      <c r="E1455" s="92"/>
      <c r="F1455" s="97">
        <f ca="1">_xll.meDateFromTenor(F1454,"1D","FOLLOWING","TGT")</f>
        <v>44573</v>
      </c>
      <c r="G1455" s="95">
        <f ca="1"/>
        <v>4.1582824041634069E-3</v>
      </c>
      <c r="H1455" s="92" t="s">
        <v>4</v>
      </c>
      <c r="I1455" s="97">
        <f ca="1">_xll.meDateFromTenor(I1454,"1D","FOLLOWING","TGT")</f>
        <v>44573</v>
      </c>
      <c r="J1455" s="95">
        <f ca="1"/>
        <v>5.3768047695657772E-3</v>
      </c>
      <c r="K1455" s="5" t="s">
        <v>4</v>
      </c>
      <c r="L1455" s="97">
        <f ca="1">_xll.meDateFromTenor(L1454,"1D","FOLLOWING","TGT")</f>
        <v>44573</v>
      </c>
      <c r="M1455" s="95">
        <f ca="1"/>
        <v>7.1856531215051065E-3</v>
      </c>
      <c r="N1455" s="5" t="s">
        <v>4</v>
      </c>
      <c r="O1455" s="97">
        <f ca="1">_xll.meDateFromTenor(O1454,"1D","FOLLOWING","TGT")</f>
        <v>44573</v>
      </c>
      <c r="P1455" s="95">
        <f ca="1"/>
        <v>9.1187104657110465E-3</v>
      </c>
      <c r="Q1455" s="5" t="s">
        <v>4</v>
      </c>
      <c r="R1455" s="83" t="s">
        <v>4</v>
      </c>
    </row>
    <row r="1456" spans="1:18" x14ac:dyDescent="0.25">
      <c r="A1456" s="88">
        <v>1442</v>
      </c>
      <c r="B1456" s="82"/>
      <c r="C1456" s="97">
        <f ca="1">_xll.meDateFromTenor(C1455,"1D","FOLLOWING","TGT")</f>
        <v>44574</v>
      </c>
      <c r="D1456" s="95">
        <f ca="1"/>
        <v>3.434696265733006E-3</v>
      </c>
      <c r="E1456" s="92"/>
      <c r="F1456" s="97">
        <f ca="1">_xll.meDateFromTenor(F1455,"1D","FOLLOWING","TGT")</f>
        <v>44574</v>
      </c>
      <c r="G1456" s="95">
        <f ca="1"/>
        <v>4.1656022664265414E-3</v>
      </c>
      <c r="H1456" s="92" t="s">
        <v>4</v>
      </c>
      <c r="I1456" s="97">
        <f ca="1">_xll.meDateFromTenor(I1455,"1D","FOLLOWING","TGT")</f>
        <v>44574</v>
      </c>
      <c r="J1456" s="95">
        <f ca="1"/>
        <v>5.3852222738609125E-3</v>
      </c>
      <c r="K1456" s="5" t="s">
        <v>4</v>
      </c>
      <c r="L1456" s="97">
        <f ca="1">_xll.meDateFromTenor(L1455,"1D","FOLLOWING","TGT")</f>
        <v>44574</v>
      </c>
      <c r="M1456" s="95">
        <f ca="1"/>
        <v>7.1939498118847572E-3</v>
      </c>
      <c r="N1456" s="5" t="s">
        <v>4</v>
      </c>
      <c r="O1456" s="97">
        <f ca="1">_xll.meDateFromTenor(O1455,"1D","FOLLOWING","TGT")</f>
        <v>44574</v>
      </c>
      <c r="P1456" s="95">
        <f ca="1"/>
        <v>9.1260465638882283E-3</v>
      </c>
      <c r="Q1456" s="5" t="s">
        <v>4</v>
      </c>
      <c r="R1456" s="83" t="s">
        <v>4</v>
      </c>
    </row>
    <row r="1457" spans="1:18" x14ac:dyDescent="0.25">
      <c r="A1457" s="88">
        <v>1443</v>
      </c>
      <c r="B1457" s="82"/>
      <c r="C1457" s="97">
        <f ca="1">_xll.meDateFromTenor(C1456,"1D","FOLLOWING","TGT")</f>
        <v>44575</v>
      </c>
      <c r="D1457" s="95">
        <f ca="1"/>
        <v>3.4421458391855619E-3</v>
      </c>
      <c r="E1457" s="92"/>
      <c r="F1457" s="97">
        <f ca="1">_xll.meDateFromTenor(F1456,"1D","FOLLOWING","TGT")</f>
        <v>44575</v>
      </c>
      <c r="G1457" s="95">
        <f ca="1"/>
        <v>4.1729400099137903E-3</v>
      </c>
      <c r="H1457" s="92" t="s">
        <v>4</v>
      </c>
      <c r="I1457" s="97">
        <f ca="1">_xll.meDateFromTenor(I1456,"1D","FOLLOWING","TGT")</f>
        <v>44575</v>
      </c>
      <c r="J1457" s="95">
        <f ca="1"/>
        <v>5.3936430663589895E-3</v>
      </c>
      <c r="K1457" s="5" t="s">
        <v>4</v>
      </c>
      <c r="L1457" s="97">
        <f ca="1">_xll.meDateFromTenor(L1456,"1D","FOLLOWING","TGT")</f>
        <v>44575</v>
      </c>
      <c r="M1457" s="95">
        <f ca="1"/>
        <v>7.2022502298357089E-3</v>
      </c>
      <c r="N1457" s="5" t="s">
        <v>4</v>
      </c>
      <c r="O1457" s="97">
        <f ca="1">_xll.meDateFromTenor(O1456,"1D","FOLLOWING","TGT")</f>
        <v>44575</v>
      </c>
      <c r="P1457" s="95">
        <f ca="1"/>
        <v>9.133381970698953E-3</v>
      </c>
      <c r="Q1457" s="5" t="s">
        <v>4</v>
      </c>
      <c r="R1457" s="83" t="s">
        <v>4</v>
      </c>
    </row>
    <row r="1458" spans="1:18" x14ac:dyDescent="0.25">
      <c r="A1458" s="88">
        <v>1444</v>
      </c>
      <c r="B1458" s="82"/>
      <c r="C1458" s="97">
        <f ca="1">_xll.meDateFromTenor(C1457,"1D","FOLLOWING","TGT")</f>
        <v>44578</v>
      </c>
      <c r="D1458" s="95">
        <f ca="1"/>
        <v>3.4643343880520483E-3</v>
      </c>
      <c r="E1458" s="92"/>
      <c r="F1458" s="97">
        <f ca="1">_xll.meDateFromTenor(F1457,"1D","FOLLOWING","TGT")</f>
        <v>44578</v>
      </c>
      <c r="G1458" s="95">
        <f ca="1"/>
        <v>4.1950919314413838E-3</v>
      </c>
      <c r="H1458" s="92" t="s">
        <v>4</v>
      </c>
      <c r="I1458" s="97">
        <f ca="1">_xll.meDateFromTenor(I1457,"1D","FOLLOWING","TGT")</f>
        <v>44578</v>
      </c>
      <c r="J1458" s="95">
        <f ca="1"/>
        <v>5.4189245774600601E-3</v>
      </c>
      <c r="K1458" s="5" t="s">
        <v>4</v>
      </c>
      <c r="L1458" s="97">
        <f ca="1">_xll.meDateFromTenor(L1457,"1D","FOLLOWING","TGT")</f>
        <v>44578</v>
      </c>
      <c r="M1458" s="95">
        <f ca="1"/>
        <v>7.2271724402227372E-3</v>
      </c>
      <c r="N1458" s="5" t="s">
        <v>4</v>
      </c>
      <c r="O1458" s="97">
        <f ca="1">_xll.meDateFromTenor(O1457,"1D","FOLLOWING","TGT")</f>
        <v>44578</v>
      </c>
      <c r="P1458" s="95">
        <f ca="1"/>
        <v>9.1553840134329517E-3</v>
      </c>
      <c r="Q1458" s="5" t="s">
        <v>4</v>
      </c>
      <c r="R1458" s="83" t="s">
        <v>4</v>
      </c>
    </row>
    <row r="1459" spans="1:18" x14ac:dyDescent="0.25">
      <c r="A1459" s="88">
        <v>1445</v>
      </c>
      <c r="B1459" s="82"/>
      <c r="C1459" s="97">
        <f ca="1">_xll.meDateFromTenor(C1458,"1D","FOLLOWING","TGT")</f>
        <v>44579</v>
      </c>
      <c r="D1459" s="95">
        <f ca="1"/>
        <v>3.4716771766500898E-3</v>
      </c>
      <c r="E1459" s="92"/>
      <c r="F1459" s="97">
        <f ca="1">_xll.meDateFromTenor(F1458,"1D","FOLLOWING","TGT")</f>
        <v>44579</v>
      </c>
      <c r="G1459" s="95">
        <f ca="1"/>
        <v>4.2025326035462487E-3</v>
      </c>
      <c r="H1459" s="92" t="s">
        <v>4</v>
      </c>
      <c r="I1459" s="97">
        <f ca="1">_xll.meDateFromTenor(I1458,"1D","FOLLOWING","TGT")</f>
        <v>44579</v>
      </c>
      <c r="J1459" s="95">
        <f ca="1"/>
        <v>5.4273579271590907E-3</v>
      </c>
      <c r="K1459" s="5" t="s">
        <v>4</v>
      </c>
      <c r="L1459" s="97">
        <f ca="1">_xll.meDateFromTenor(L1458,"1D","FOLLOWING","TGT")</f>
        <v>44579</v>
      </c>
      <c r="M1459" s="95">
        <f ca="1"/>
        <v>7.2354863595652632E-3</v>
      </c>
      <c r="N1459" s="5" t="s">
        <v>4</v>
      </c>
      <c r="O1459" s="97">
        <f ca="1">_xll.meDateFromTenor(O1458,"1D","FOLLOWING","TGT")</f>
        <v>44579</v>
      </c>
      <c r="P1459" s="95">
        <f ca="1"/>
        <v>9.1627166252784137E-3</v>
      </c>
      <c r="Q1459" s="5" t="s">
        <v>4</v>
      </c>
      <c r="R1459" s="83" t="s">
        <v>4</v>
      </c>
    </row>
    <row r="1460" spans="1:18" x14ac:dyDescent="0.25">
      <c r="A1460" s="88">
        <v>1446</v>
      </c>
      <c r="B1460" s="82"/>
      <c r="C1460" s="97">
        <f ca="1">_xll.meDateFromTenor(C1459,"1D","FOLLOWING","TGT")</f>
        <v>44580</v>
      </c>
      <c r="D1460" s="95">
        <f ca="1"/>
        <v>3.4789932659797795E-3</v>
      </c>
      <c r="E1460" s="92"/>
      <c r="F1460" s="97">
        <f ca="1">_xll.meDateFromTenor(F1459,"1D","FOLLOWING","TGT")</f>
        <v>44580</v>
      </c>
      <c r="G1460" s="95">
        <f ca="1"/>
        <v>4.2100068587358043E-3</v>
      </c>
      <c r="H1460" s="92" t="s">
        <v>4</v>
      </c>
      <c r="I1460" s="97">
        <f ca="1">_xll.meDateFromTenor(I1459,"1D","FOLLOWING","TGT")</f>
        <v>44580</v>
      </c>
      <c r="J1460" s="95">
        <f ca="1"/>
        <v>5.4357942672556506E-3</v>
      </c>
      <c r="K1460" s="5" t="s">
        <v>4</v>
      </c>
      <c r="L1460" s="97">
        <f ca="1">_xll.meDateFromTenor(L1459,"1D","FOLLOWING","TGT")</f>
        <v>44580</v>
      </c>
      <c r="M1460" s="95">
        <f ca="1"/>
        <v>7.2438033020322716E-3</v>
      </c>
      <c r="N1460" s="5" t="s">
        <v>4</v>
      </c>
      <c r="O1460" s="97">
        <f ca="1">_xll.meDateFromTenor(O1459,"1D","FOLLOWING","TGT")</f>
        <v>44580</v>
      </c>
      <c r="P1460" s="95">
        <f ca="1"/>
        <v>9.1700485310076962E-3</v>
      </c>
      <c r="Q1460" s="5" t="s">
        <v>4</v>
      </c>
      <c r="R1460" s="83" t="s">
        <v>4</v>
      </c>
    </row>
    <row r="1461" spans="1:18" x14ac:dyDescent="0.25">
      <c r="A1461" s="88">
        <v>1447</v>
      </c>
      <c r="B1461" s="82"/>
      <c r="C1461" s="97">
        <f ca="1">_xll.meDateFromTenor(C1460,"1D","FOLLOWING","TGT")</f>
        <v>44581</v>
      </c>
      <c r="D1461" s="95">
        <f ca="1"/>
        <v>3.4862826548205383E-3</v>
      </c>
      <c r="E1461" s="92"/>
      <c r="F1461" s="97">
        <f ca="1">_xll.meDateFromTenor(F1460,"1D","FOLLOWING","TGT")</f>
        <v>44581</v>
      </c>
      <c r="G1461" s="95">
        <f ca="1"/>
        <v>4.2175178373821736E-3</v>
      </c>
      <c r="H1461" s="92" t="s">
        <v>4</v>
      </c>
      <c r="I1461" s="97">
        <f ca="1">_xll.meDateFromTenor(I1460,"1D","FOLLOWING","TGT")</f>
        <v>44581</v>
      </c>
      <c r="J1461" s="95">
        <f ca="1"/>
        <v>5.4442335381886661E-3</v>
      </c>
      <c r="K1461" s="5" t="s">
        <v>4</v>
      </c>
      <c r="L1461" s="97">
        <f ca="1">_xll.meDateFromTenor(L1460,"1D","FOLLOWING","TGT")</f>
        <v>44581</v>
      </c>
      <c r="M1461" s="95">
        <f ca="1"/>
        <v>7.2521231267344078E-3</v>
      </c>
      <c r="N1461" s="5" t="s">
        <v>4</v>
      </c>
      <c r="O1461" s="97">
        <f ca="1">_xll.meDateFromTenor(O1460,"1D","FOLLOWING","TGT")</f>
        <v>44581</v>
      </c>
      <c r="P1461" s="95">
        <f ca="1"/>
        <v>9.1773797276708639E-3</v>
      </c>
      <c r="Q1461" s="5" t="s">
        <v>4</v>
      </c>
      <c r="R1461" s="83" t="s">
        <v>4</v>
      </c>
    </row>
    <row r="1462" spans="1:18" x14ac:dyDescent="0.25">
      <c r="A1462" s="88">
        <v>1448</v>
      </c>
      <c r="B1462" s="82"/>
      <c r="C1462" s="97">
        <f ca="1">_xll.meDateFromTenor(C1461,"1D","FOLLOWING","TGT")</f>
        <v>44582</v>
      </c>
      <c r="D1462" s="95">
        <f ca="1"/>
        <v>3.4935453422659801E-3</v>
      </c>
      <c r="E1462" s="92"/>
      <c r="F1462" s="97">
        <f ca="1">_xll.meDateFromTenor(F1461,"1D","FOLLOWING","TGT")</f>
        <v>44582</v>
      </c>
      <c r="G1462" s="95">
        <f ca="1"/>
        <v>4.2250686798574674E-3</v>
      </c>
      <c r="H1462" s="92" t="s">
        <v>4</v>
      </c>
      <c r="I1462" s="97">
        <f ca="1">_xll.meDateFromTenor(I1461,"1D","FOLLOWING","TGT")</f>
        <v>44582</v>
      </c>
      <c r="J1462" s="95">
        <f ca="1"/>
        <v>5.45267568039705E-3</v>
      </c>
      <c r="K1462" s="5" t="s">
        <v>4</v>
      </c>
      <c r="L1462" s="97">
        <f ca="1">_xll.meDateFromTenor(L1461,"1D","FOLLOWING","TGT")</f>
        <v>44582</v>
      </c>
      <c r="M1462" s="95">
        <f ca="1"/>
        <v>7.2604456927823045E-3</v>
      </c>
      <c r="N1462" s="5" t="s">
        <v>4</v>
      </c>
      <c r="O1462" s="97">
        <f ca="1">_xll.meDateFromTenor(O1461,"1D","FOLLOWING","TGT")</f>
        <v>44582</v>
      </c>
      <c r="P1462" s="95">
        <f ca="1"/>
        <v>9.1847102123179675E-3</v>
      </c>
      <c r="Q1462" s="5" t="s">
        <v>4</v>
      </c>
      <c r="R1462" s="83" t="s">
        <v>4</v>
      </c>
    </row>
    <row r="1463" spans="1:18" x14ac:dyDescent="0.25">
      <c r="A1463" s="88">
        <v>1449</v>
      </c>
      <c r="B1463" s="82"/>
      <c r="C1463" s="97">
        <f ca="1">_xll.meDateFromTenor(C1462,"1D","FOLLOWING","TGT")</f>
        <v>44585</v>
      </c>
      <c r="D1463" s="95">
        <f ca="1"/>
        <v>3.5151731834923705E-3</v>
      </c>
      <c r="E1463" s="92"/>
      <c r="F1463" s="97">
        <f ca="1">_xll.meDateFromTenor(F1462,"1D","FOLLOWING","TGT")</f>
        <v>44585</v>
      </c>
      <c r="G1463" s="95">
        <f ca="1"/>
        <v>4.2479917939780574E-3</v>
      </c>
      <c r="H1463" s="92" t="s">
        <v>4</v>
      </c>
      <c r="I1463" s="97">
        <f ca="1">_xll.meDateFromTenor(I1462,"1D","FOLLOWING","TGT")</f>
        <v>44585</v>
      </c>
      <c r="J1463" s="95">
        <f ca="1"/>
        <v>5.4780187390636014E-3</v>
      </c>
      <c r="K1463" s="5" t="s">
        <v>4</v>
      </c>
      <c r="L1463" s="97">
        <f ca="1">_xll.meDateFromTenor(L1462,"1D","FOLLOWING","TGT")</f>
        <v>44585</v>
      </c>
      <c r="M1463" s="95">
        <f ca="1"/>
        <v>7.2854284301069397E-3</v>
      </c>
      <c r="N1463" s="5" t="s">
        <v>4</v>
      </c>
      <c r="O1463" s="97">
        <f ca="1">_xll.meDateFromTenor(O1462,"1D","FOLLOWING","TGT")</f>
        <v>44585</v>
      </c>
      <c r="P1463" s="95">
        <f ca="1"/>
        <v>9.2066973646634607E-3</v>
      </c>
      <c r="Q1463" s="5" t="s">
        <v>4</v>
      </c>
      <c r="R1463" s="83" t="s">
        <v>4</v>
      </c>
    </row>
    <row r="1464" spans="1:18" x14ac:dyDescent="0.25">
      <c r="A1464" s="88">
        <v>1450</v>
      </c>
      <c r="B1464" s="82"/>
      <c r="C1464" s="97">
        <f ca="1">_xll.meDateFromTenor(C1463,"1D","FOLLOWING","TGT")</f>
        <v>44586</v>
      </c>
      <c r="D1464" s="95">
        <f ca="1"/>
        <v>3.522329052940254E-3</v>
      </c>
      <c r="E1464" s="92"/>
      <c r="F1464" s="97">
        <f ca="1">_xll.meDateFromTenor(F1463,"1D","FOLLOWING","TGT")</f>
        <v>44586</v>
      </c>
      <c r="G1464" s="95">
        <f ca="1"/>
        <v>4.2557334954902108E-3</v>
      </c>
      <c r="H1464" s="92" t="s">
        <v>4</v>
      </c>
      <c r="I1464" s="97">
        <f ca="1">_xll.meDateFromTenor(I1463,"1D","FOLLOWING","TGT")</f>
        <v>44586</v>
      </c>
      <c r="J1464" s="95">
        <f ca="1"/>
        <v>5.4864717707626444E-3</v>
      </c>
      <c r="K1464" s="5" t="s">
        <v>4</v>
      </c>
      <c r="L1464" s="97">
        <f ca="1">_xll.meDateFromTenor(L1463,"1D","FOLLOWING","TGT")</f>
        <v>44586</v>
      </c>
      <c r="M1464" s="95">
        <f ca="1"/>
        <v>7.2937605526442557E-3</v>
      </c>
      <c r="N1464" s="5" t="s">
        <v>4</v>
      </c>
      <c r="O1464" s="97">
        <f ca="1">_xll.meDateFromTenor(O1463,"1D","FOLLOWING","TGT")</f>
        <v>44586</v>
      </c>
      <c r="P1464" s="95">
        <f ca="1"/>
        <v>9.2140249717468734E-3</v>
      </c>
      <c r="Q1464" s="5" t="s">
        <v>4</v>
      </c>
      <c r="R1464" s="83" t="s">
        <v>4</v>
      </c>
    </row>
    <row r="1465" spans="1:18" x14ac:dyDescent="0.25">
      <c r="A1465" s="88">
        <v>1451</v>
      </c>
      <c r="B1465" s="82"/>
      <c r="C1465" s="97">
        <f ca="1">_xll.meDateFromTenor(C1464,"1D","FOLLOWING","TGT")</f>
        <v>44587</v>
      </c>
      <c r="D1465" s="95">
        <f ca="1"/>
        <v>3.5294582149956177E-3</v>
      </c>
      <c r="E1465" s="92"/>
      <c r="F1465" s="97">
        <f ca="1">_xll.meDateFromTenor(F1464,"1D","FOLLOWING","TGT")</f>
        <v>44587</v>
      </c>
      <c r="G1465" s="95">
        <f ca="1"/>
        <v>4.2635307626918677E-3</v>
      </c>
      <c r="H1465" s="92" t="s">
        <v>4</v>
      </c>
      <c r="I1465" s="97">
        <f ca="1">_xll.meDateFromTenor(I1464,"1D","FOLLOWING","TGT")</f>
        <v>44587</v>
      </c>
      <c r="J1465" s="95">
        <f ca="1"/>
        <v>5.4949273759316479E-3</v>
      </c>
      <c r="K1465" s="5" t="s">
        <v>4</v>
      </c>
      <c r="L1465" s="97">
        <f ca="1">_xll.meDateFromTenor(L1464,"1D","FOLLOWING","TGT")</f>
        <v>44587</v>
      </c>
      <c r="M1465" s="95">
        <f ca="1"/>
        <v>7.3020947120805207E-3</v>
      </c>
      <c r="N1465" s="5" t="s">
        <v>4</v>
      </c>
      <c r="O1465" s="97">
        <f ca="1">_xll.meDateFromTenor(O1464,"1D","FOLLOWING","TGT")</f>
        <v>44587</v>
      </c>
      <c r="P1465" s="95">
        <f ca="1"/>
        <v>9.2213518520645032E-3</v>
      </c>
      <c r="Q1465" s="5" t="s">
        <v>4</v>
      </c>
      <c r="R1465" s="83" t="s">
        <v>4</v>
      </c>
    </row>
    <row r="1466" spans="1:18" x14ac:dyDescent="0.25">
      <c r="A1466" s="88">
        <v>1452</v>
      </c>
      <c r="B1466" s="82"/>
      <c r="C1466" s="97">
        <f ca="1">_xll.meDateFromTenor(C1465,"1D","FOLLOWING","TGT")</f>
        <v>44588</v>
      </c>
      <c r="D1466" s="95">
        <f ca="1"/>
        <v>3.5365606681230233E-3</v>
      </c>
      <c r="E1466" s="92"/>
      <c r="F1466" s="97">
        <f ca="1">_xll.meDateFromTenor(F1465,"1D","FOLLOWING","TGT")</f>
        <v>44588</v>
      </c>
      <c r="G1466" s="95">
        <f ca="1"/>
        <v>4.2713867359551443E-3</v>
      </c>
      <c r="H1466" s="92" t="s">
        <v>4</v>
      </c>
      <c r="I1466" s="97">
        <f ca="1">_xll.meDateFromTenor(I1465,"1D","FOLLOWING","TGT")</f>
        <v>44588</v>
      </c>
      <c r="J1466" s="95">
        <f ca="1"/>
        <v>5.5033854950095277E-3</v>
      </c>
      <c r="K1466" s="5" t="s">
        <v>4</v>
      </c>
      <c r="L1466" s="97">
        <f ca="1">_xll.meDateFromTenor(L1465,"1D","FOLLOWING","TGT")</f>
        <v>44588</v>
      </c>
      <c r="M1466" s="95">
        <f ca="1"/>
        <v>7.3104307675263712E-3</v>
      </c>
      <c r="N1466" s="5" t="s">
        <v>4</v>
      </c>
      <c r="O1466" s="97">
        <f ca="1">_xll.meDateFromTenor(O1465,"1D","FOLLOWING","TGT")</f>
        <v>44588</v>
      </c>
      <c r="P1466" s="95">
        <f ca="1"/>
        <v>9.2286780026664093E-3</v>
      </c>
      <c r="Q1466" s="5" t="s">
        <v>4</v>
      </c>
      <c r="R1466" s="83" t="s">
        <v>4</v>
      </c>
    </row>
    <row r="1467" spans="1:18" x14ac:dyDescent="0.25">
      <c r="A1467" s="88">
        <v>1453</v>
      </c>
      <c r="B1467" s="82"/>
      <c r="C1467" s="97">
        <f ca="1">_xll.meDateFromTenor(C1466,"1D","FOLLOWING","TGT")</f>
        <v>44589</v>
      </c>
      <c r="D1467" s="95">
        <f ca="1"/>
        <v>3.5436364116003816E-3</v>
      </c>
      <c r="E1467" s="92"/>
      <c r="F1467" s="97">
        <f ca="1">_xll.meDateFromTenor(F1466,"1D","FOLLOWING","TGT")</f>
        <v>44589</v>
      </c>
      <c r="G1467" s="95">
        <f ca="1"/>
        <v>4.2793045556521548E-3</v>
      </c>
      <c r="H1467" s="92" t="s">
        <v>4</v>
      </c>
      <c r="I1467" s="97">
        <f ca="1">_xll.meDateFromTenor(I1466,"1D","FOLLOWING","TGT")</f>
        <v>44589</v>
      </c>
      <c r="J1467" s="95">
        <f ca="1"/>
        <v>5.5118460684352028E-3</v>
      </c>
      <c r="K1467" s="5" t="s">
        <v>4</v>
      </c>
      <c r="L1467" s="97">
        <f ca="1">_xll.meDateFromTenor(L1466,"1D","FOLLOWING","TGT")</f>
        <v>44589</v>
      </c>
      <c r="M1467" s="95">
        <f ca="1"/>
        <v>7.3187685780924426E-3</v>
      </c>
      <c r="N1467" s="5" t="s">
        <v>4</v>
      </c>
      <c r="O1467" s="97">
        <f ca="1">_xll.meDateFromTenor(O1466,"1D","FOLLOWING","TGT")</f>
        <v>44589</v>
      </c>
      <c r="P1467" s="95">
        <f ca="1"/>
        <v>9.2360034206026408E-3</v>
      </c>
      <c r="Q1467" s="5" t="s">
        <v>4</v>
      </c>
      <c r="R1467" s="83" t="s">
        <v>4</v>
      </c>
    </row>
    <row r="1468" spans="1:18" x14ac:dyDescent="0.25">
      <c r="A1468" s="88">
        <v>1454</v>
      </c>
      <c r="B1468" s="82"/>
      <c r="C1468" s="97">
        <f ca="1">_xll.meDateFromTenor(C1467,"1D","FOLLOWING","TGT")</f>
        <v>44592</v>
      </c>
      <c r="D1468" s="95">
        <f ca="1"/>
        <v>3.564703370622313E-3</v>
      </c>
      <c r="E1468" s="92"/>
      <c r="F1468" s="97">
        <f ca="1">_xll.meDateFromTenor(F1467,"1D","FOLLOWING","TGT")</f>
        <v>44592</v>
      </c>
      <c r="G1468" s="95">
        <f ca="1"/>
        <v>4.3034604970667665E-3</v>
      </c>
      <c r="H1468" s="92" t="s">
        <v>4</v>
      </c>
      <c r="I1468" s="97">
        <f ca="1">_xll.meDateFromTenor(I1467,"1D","FOLLOWING","TGT")</f>
        <v>44592</v>
      </c>
      <c r="J1468" s="95">
        <f ca="1"/>
        <v>5.5372419191881891E-3</v>
      </c>
      <c r="K1468" s="5" t="s">
        <v>4</v>
      </c>
      <c r="L1468" s="97">
        <f ca="1">_xll.meDateFromTenor(L1467,"1D","FOLLOWING","TGT")</f>
        <v>44592</v>
      </c>
      <c r="M1468" s="95">
        <f ca="1"/>
        <v>7.3437911316183721E-3</v>
      </c>
      <c r="N1468" s="5" t="s">
        <v>4</v>
      </c>
      <c r="O1468" s="97">
        <f ca="1">_xll.meDateFromTenor(O1467,"1D","FOLLOWING","TGT")</f>
        <v>44592</v>
      </c>
      <c r="P1468" s="95">
        <f ca="1"/>
        <v>9.2579752489178845E-3</v>
      </c>
      <c r="Q1468" s="5" t="s">
        <v>4</v>
      </c>
      <c r="R1468" s="83" t="s">
        <v>4</v>
      </c>
    </row>
    <row r="1469" spans="1:18" x14ac:dyDescent="0.25">
      <c r="A1469" s="88">
        <v>1455</v>
      </c>
      <c r="B1469" s="82"/>
      <c r="C1469" s="97">
        <f ca="1">_xll.meDateFromTenor(C1468,"1D","FOLLOWING","TGT")</f>
        <v>44593</v>
      </c>
      <c r="D1469" s="95">
        <f ca="1"/>
        <v>3.5716722624072883E-3</v>
      </c>
      <c r="E1469" s="92"/>
      <c r="F1469" s="97">
        <f ca="1">_xll.meDateFromTenor(F1468,"1D","FOLLOWING","TGT")</f>
        <v>44593</v>
      </c>
      <c r="G1469" s="95">
        <f ca="1"/>
        <v>4.311657106219881E-3</v>
      </c>
      <c r="H1469" s="92" t="s">
        <v>4</v>
      </c>
      <c r="I1469" s="97">
        <f ca="1">_xll.meDateFromTenor(I1468,"1D","FOLLOWING","TGT")</f>
        <v>44593</v>
      </c>
      <c r="J1469" s="95">
        <f ca="1"/>
        <v>5.5457117143942313E-3</v>
      </c>
      <c r="K1469" s="5" t="s">
        <v>4</v>
      </c>
      <c r="L1469" s="97">
        <f ca="1">_xll.meDateFromTenor(L1468,"1D","FOLLOWING","TGT")</f>
        <v>44593</v>
      </c>
      <c r="M1469" s="95">
        <f ca="1"/>
        <v>7.3521345537717105E-3</v>
      </c>
      <c r="N1469" s="5" t="s">
        <v>4</v>
      </c>
      <c r="O1469" s="97">
        <f ca="1">_xll.meDateFromTenor(O1468,"1D","FOLLOWING","TGT")</f>
        <v>44593</v>
      </c>
      <c r="P1469" s="95">
        <f ca="1"/>
        <v>9.2652977066920005E-3</v>
      </c>
      <c r="Q1469" s="5" t="s">
        <v>4</v>
      </c>
      <c r="R1469" s="83" t="s">
        <v>4</v>
      </c>
    </row>
    <row r="1470" spans="1:18" x14ac:dyDescent="0.25">
      <c r="A1470" s="88">
        <v>1456</v>
      </c>
      <c r="B1470" s="82"/>
      <c r="C1470" s="97">
        <f ca="1">_xll.meDateFromTenor(C1469,"1D","FOLLOWING","TGT")</f>
        <v>44594</v>
      </c>
      <c r="D1470" s="95">
        <f ca="1"/>
        <v>3.5786144382934371E-3</v>
      </c>
      <c r="E1470" s="92"/>
      <c r="F1470" s="97">
        <f ca="1">_xll.meDateFromTenor(F1469,"1D","FOLLOWING","TGT")</f>
        <v>44594</v>
      </c>
      <c r="G1470" s="95">
        <f ca="1"/>
        <v>4.3199312636673093E-3</v>
      </c>
      <c r="H1470" s="92" t="s">
        <v>4</v>
      </c>
      <c r="I1470" s="97">
        <f ca="1">_xll.meDateFromTenor(I1469,"1D","FOLLOWING","TGT")</f>
        <v>44594</v>
      </c>
      <c r="J1470" s="95">
        <f ca="1"/>
        <v>5.5541836661426591E-3</v>
      </c>
      <c r="K1470" s="5" t="s">
        <v>4</v>
      </c>
      <c r="L1470" s="97">
        <f ca="1">_xll.meDateFromTenor(L1469,"1D","FOLLOWING","TGT")</f>
        <v>44594</v>
      </c>
      <c r="M1470" s="95">
        <f ca="1"/>
        <v>7.3604790265984583E-3</v>
      </c>
      <c r="N1470" s="5" t="s">
        <v>4</v>
      </c>
      <c r="O1470" s="97">
        <f ca="1">_xll.meDateFromTenor(O1469,"1D","FOLLOWING","TGT")</f>
        <v>44594</v>
      </c>
      <c r="P1470" s="95">
        <f ca="1"/>
        <v>9.2726194170507266E-3</v>
      </c>
      <c r="Q1470" s="5" t="s">
        <v>4</v>
      </c>
      <c r="R1470" s="83" t="s">
        <v>4</v>
      </c>
    </row>
    <row r="1471" spans="1:18" x14ac:dyDescent="0.25">
      <c r="A1471" s="88">
        <v>1457</v>
      </c>
      <c r="B1471" s="82"/>
      <c r="C1471" s="97">
        <f ca="1">_xll.meDateFromTenor(C1470,"1D","FOLLOWING","TGT")</f>
        <v>44595</v>
      </c>
      <c r="D1471" s="95">
        <f ca="1"/>
        <v>3.58552989692007E-3</v>
      </c>
      <c r="E1471" s="92"/>
      <c r="F1471" s="97">
        <f ca="1">_xll.meDateFromTenor(F1470,"1D","FOLLOWING","TGT")</f>
        <v>44595</v>
      </c>
      <c r="G1471" s="95">
        <f ca="1"/>
        <v>4.3282844817538017E-3</v>
      </c>
      <c r="H1471" s="92" t="s">
        <v>4</v>
      </c>
      <c r="I1471" s="97">
        <f ca="1">_xll.meDateFromTenor(I1470,"1D","FOLLOWING","TGT")</f>
        <v>44595</v>
      </c>
      <c r="J1471" s="95">
        <f ca="1"/>
        <v>5.5626577148723926E-3</v>
      </c>
      <c r="K1471" s="5" t="s">
        <v>4</v>
      </c>
      <c r="L1471" s="97">
        <f ca="1">_xll.meDateFromTenor(L1470,"1D","FOLLOWING","TGT")</f>
        <v>44595</v>
      </c>
      <c r="M1471" s="95">
        <f ca="1"/>
        <v>7.3688244092092528E-3</v>
      </c>
      <c r="N1471" s="5" t="s">
        <v>4</v>
      </c>
      <c r="O1471" s="97">
        <f ca="1">_xll.meDateFromTenor(O1470,"1D","FOLLOWING","TGT")</f>
        <v>44595</v>
      </c>
      <c r="P1471" s="95">
        <f ca="1"/>
        <v>9.279940377044122E-3</v>
      </c>
      <c r="Q1471" s="5" t="s">
        <v>4</v>
      </c>
      <c r="R1471" s="83" t="s">
        <v>4</v>
      </c>
    </row>
    <row r="1472" spans="1:18" x14ac:dyDescent="0.25">
      <c r="A1472" s="88">
        <v>1458</v>
      </c>
      <c r="B1472" s="82"/>
      <c r="C1472" s="97">
        <f ca="1">_xll.meDateFromTenor(C1471,"1D","FOLLOWING","TGT")</f>
        <v>44596</v>
      </c>
      <c r="D1472" s="95">
        <f ca="1"/>
        <v>3.5924186373392786E-3</v>
      </c>
      <c r="E1472" s="92"/>
      <c r="F1472" s="97">
        <f ca="1">_xll.meDateFromTenor(F1471,"1D","FOLLOWING","TGT")</f>
        <v>44596</v>
      </c>
      <c r="G1472" s="95">
        <f ca="1"/>
        <v>4.3367117607146346E-3</v>
      </c>
      <c r="H1472" s="92" t="s">
        <v>4</v>
      </c>
      <c r="I1472" s="97">
        <f ca="1">_xll.meDateFromTenor(I1471,"1D","FOLLOWING","TGT")</f>
        <v>44596</v>
      </c>
      <c r="J1472" s="95">
        <f ca="1"/>
        <v>5.5711338010223481E-3</v>
      </c>
      <c r="K1472" s="5" t="s">
        <v>4</v>
      </c>
      <c r="L1472" s="97">
        <f ca="1">_xll.meDateFromTenor(L1471,"1D","FOLLOWING","TGT")</f>
        <v>44596</v>
      </c>
      <c r="M1472" s="95">
        <f ca="1"/>
        <v>7.3771705607147322E-3</v>
      </c>
      <c r="N1472" s="5" t="s">
        <v>4</v>
      </c>
      <c r="O1472" s="97">
        <f ca="1">_xll.meDateFromTenor(O1471,"1D","FOLLOWING","TGT")</f>
        <v>44596</v>
      </c>
      <c r="P1472" s="95">
        <f ca="1"/>
        <v>9.2872605837222393E-3</v>
      </c>
      <c r="Q1472" s="5" t="s">
        <v>4</v>
      </c>
      <c r="R1472" s="83" t="s">
        <v>4</v>
      </c>
    </row>
    <row r="1473" spans="1:18" x14ac:dyDescent="0.25">
      <c r="A1473" s="88">
        <v>1459</v>
      </c>
      <c r="B1473" s="82"/>
      <c r="C1473" s="97">
        <f ca="1">_xll.meDateFromTenor(C1472,"1D","FOLLOWING","TGT")</f>
        <v>44599</v>
      </c>
      <c r="D1473" s="95">
        <f ca="1"/>
        <v>3.6129245358300643E-3</v>
      </c>
      <c r="E1473" s="92"/>
      <c r="F1473" s="97">
        <f ca="1">_xll.meDateFromTenor(F1472,"1D","FOLLOWING","TGT")</f>
        <v>44599</v>
      </c>
      <c r="G1473" s="95">
        <f ca="1"/>
        <v>4.3623716849222798E-3</v>
      </c>
      <c r="H1473" s="92" t="s">
        <v>4</v>
      </c>
      <c r="I1473" s="97">
        <f ca="1">_xll.meDateFromTenor(I1472,"1D","FOLLOWING","TGT")</f>
        <v>44599</v>
      </c>
      <c r="J1473" s="95">
        <f ca="1"/>
        <v>5.5965736883827272E-3</v>
      </c>
      <c r="K1473" s="5" t="s">
        <v>4</v>
      </c>
      <c r="L1473" s="97">
        <f ca="1">_xll.meDateFromTenor(L1472,"1D","FOLLOWING","TGT")</f>
        <v>44599</v>
      </c>
      <c r="M1473" s="95">
        <f ca="1"/>
        <v>7.4022122197056461E-3</v>
      </c>
      <c r="N1473" s="5" t="s">
        <v>4</v>
      </c>
      <c r="O1473" s="97">
        <f ca="1">_xll.meDateFromTenor(O1472,"1D","FOLLOWING","TGT")</f>
        <v>44599</v>
      </c>
      <c r="P1473" s="95">
        <f ca="1"/>
        <v>9.3092166543654875E-3</v>
      </c>
      <c r="Q1473" s="5" t="s">
        <v>4</v>
      </c>
      <c r="R1473" s="83" t="s">
        <v>4</v>
      </c>
    </row>
    <row r="1474" spans="1:18" x14ac:dyDescent="0.25">
      <c r="A1474" s="88">
        <v>1460</v>
      </c>
      <c r="B1474" s="82"/>
      <c r="C1474" s="97">
        <f ca="1">_xll.meDateFromTenor(C1473,"1D","FOLLOWING","TGT")</f>
        <v>44600</v>
      </c>
      <c r="D1474" s="95">
        <f ca="1"/>
        <v>3.6197063905585303E-3</v>
      </c>
      <c r="E1474" s="92"/>
      <c r="F1474" s="97">
        <f ca="1">_xll.meDateFromTenor(F1473,"1D","FOLLOWING","TGT")</f>
        <v>44600</v>
      </c>
      <c r="G1474" s="95">
        <f ca="1"/>
        <v>4.3710289294595795E-3</v>
      </c>
      <c r="H1474" s="92" t="s">
        <v>4</v>
      </c>
      <c r="I1474" s="97">
        <f ca="1">_xll.meDateFromTenor(I1473,"1D","FOLLOWING","TGT")</f>
        <v>44600</v>
      </c>
      <c r="J1474" s="95">
        <f ca="1"/>
        <v>5.6050573286027536E-3</v>
      </c>
      <c r="K1474" s="5" t="s">
        <v>4</v>
      </c>
      <c r="L1474" s="97">
        <f ca="1">_xll.meDateFromTenor(L1473,"1D","FOLLOWING","TGT")</f>
        <v>44600</v>
      </c>
      <c r="M1474" s="95">
        <f ca="1"/>
        <v>7.4105600378962348E-3</v>
      </c>
      <c r="N1474" s="5" t="s">
        <v>4</v>
      </c>
      <c r="O1474" s="97">
        <f ca="1">_xll.meDateFromTenor(O1473,"1D","FOLLOWING","TGT")</f>
        <v>44600</v>
      </c>
      <c r="P1474" s="95">
        <f ca="1"/>
        <v>9.3165338182830595E-3</v>
      </c>
      <c r="Q1474" s="5" t="s">
        <v>4</v>
      </c>
      <c r="R1474" s="83" t="s">
        <v>4</v>
      </c>
    </row>
    <row r="1475" spans="1:18" x14ac:dyDescent="0.25">
      <c r="A1475" s="88">
        <v>1461</v>
      </c>
      <c r="B1475" s="82"/>
      <c r="C1475" s="97">
        <f ca="1">_xll.meDateFromTenor(C1474,"1D","FOLLOWING","TGT")</f>
        <v>44601</v>
      </c>
      <c r="D1475" s="95">
        <f ca="1"/>
        <v>3.6264615204184558E-3</v>
      </c>
      <c r="E1475" s="92"/>
      <c r="F1475" s="97">
        <f ca="1">_xll.meDateFromTenor(F1474,"1D","FOLLOWING","TGT")</f>
        <v>44601</v>
      </c>
      <c r="G1475" s="95">
        <f ca="1"/>
        <v>4.3797270959107732E-3</v>
      </c>
      <c r="H1475" s="92" t="s">
        <v>4</v>
      </c>
      <c r="I1475" s="97">
        <f ca="1">_xll.meDateFromTenor(I1474,"1D","FOLLOWING","TGT")</f>
        <v>44601</v>
      </c>
      <c r="J1475" s="95">
        <f ca="1"/>
        <v>5.6135427084375925E-3</v>
      </c>
      <c r="K1475" s="5" t="s">
        <v>4</v>
      </c>
      <c r="L1475" s="97">
        <f ca="1">_xll.meDateFromTenor(L1474,"1D","FOLLOWING","TGT")</f>
        <v>44601</v>
      </c>
      <c r="M1475" s="95">
        <f ca="1"/>
        <v>7.4189079233151593E-3</v>
      </c>
      <c r="N1475" s="5" t="s">
        <v>4</v>
      </c>
      <c r="O1475" s="97">
        <f ca="1">_xll.meDateFromTenor(O1474,"1D","FOLLOWING","TGT")</f>
        <v>44601</v>
      </c>
      <c r="P1475" s="95">
        <f ca="1"/>
        <v>9.3238502141356344E-3</v>
      </c>
      <c r="Q1475" s="5" t="s">
        <v>4</v>
      </c>
      <c r="R1475" s="83" t="s">
        <v>4</v>
      </c>
    </row>
    <row r="1476" spans="1:18" x14ac:dyDescent="0.25">
      <c r="A1476" s="88">
        <v>1462</v>
      </c>
      <c r="B1476" s="82"/>
      <c r="C1476" s="97">
        <f ca="1">_xll.meDateFromTenor(C1475,"1D","FOLLOWING","TGT")</f>
        <v>44602</v>
      </c>
      <c r="D1476" s="95">
        <f ca="1"/>
        <v>3.6331899247956656E-3</v>
      </c>
      <c r="E1476" s="92"/>
      <c r="F1476" s="97">
        <f ca="1">_xll.meDateFromTenor(F1475,"1D","FOLLOWING","TGT")</f>
        <v>44602</v>
      </c>
      <c r="G1476" s="95">
        <f ca="1"/>
        <v>4.3884595564837696E-3</v>
      </c>
      <c r="H1476" s="92" t="s">
        <v>4</v>
      </c>
      <c r="I1476" s="97">
        <f ca="1">_xll.meDateFromTenor(I1475,"1D","FOLLOWING","TGT")</f>
        <v>44602</v>
      </c>
      <c r="J1476" s="95">
        <f ca="1"/>
        <v>5.6220297683261629E-3</v>
      </c>
      <c r="K1476" s="5" t="s">
        <v>4</v>
      </c>
      <c r="L1476" s="97">
        <f ca="1">_xll.meDateFromTenor(L1475,"1D","FOLLOWING","TGT")</f>
        <v>44602</v>
      </c>
      <c r="M1476" s="95">
        <f ca="1"/>
        <v>7.4272557906306484E-3</v>
      </c>
      <c r="N1476" s="5" t="s">
        <v>4</v>
      </c>
      <c r="O1476" s="97">
        <f ca="1">_xll.meDateFromTenor(O1475,"1D","FOLLOWING","TGT")</f>
        <v>44602</v>
      </c>
      <c r="P1476" s="95">
        <f ca="1"/>
        <v>9.3311658389732717E-3</v>
      </c>
      <c r="Q1476" s="5" t="s">
        <v>4</v>
      </c>
      <c r="R1476" s="83" t="s">
        <v>4</v>
      </c>
    </row>
    <row r="1477" spans="1:18" x14ac:dyDescent="0.25">
      <c r="A1477" s="88">
        <v>1463</v>
      </c>
      <c r="B1477" s="82"/>
      <c r="C1477" s="97">
        <f ca="1">_xll.meDateFromTenor(C1476,"1D","FOLLOWING","TGT")</f>
        <v>44603</v>
      </c>
      <c r="D1477" s="95">
        <f ca="1"/>
        <v>3.6398916018653971E-3</v>
      </c>
      <c r="E1477" s="92"/>
      <c r="F1477" s="97">
        <f ca="1">_xll.meDateFromTenor(F1476,"1D","FOLLOWING","TGT")</f>
        <v>44603</v>
      </c>
      <c r="G1477" s="95">
        <f ca="1"/>
        <v>4.3972196833864784E-3</v>
      </c>
      <c r="H1477" s="92" t="s">
        <v>4</v>
      </c>
      <c r="I1477" s="97">
        <f ca="1">_xll.meDateFromTenor(I1476,"1D","FOLLOWING","TGT")</f>
        <v>44603</v>
      </c>
      <c r="J1477" s="95">
        <f ca="1"/>
        <v>5.630518448707383E-3</v>
      </c>
      <c r="K1477" s="5" t="s">
        <v>4</v>
      </c>
      <c r="L1477" s="97">
        <f ca="1">_xll.meDateFromTenor(L1476,"1D","FOLLOWING","TGT")</f>
        <v>44603</v>
      </c>
      <c r="M1477" s="95">
        <f ca="1"/>
        <v>7.4356036017387645E-3</v>
      </c>
      <c r="N1477" s="5" t="s">
        <v>4</v>
      </c>
      <c r="O1477" s="97">
        <f ca="1">_xll.meDateFromTenor(O1476,"1D","FOLLOWING","TGT")</f>
        <v>44603</v>
      </c>
      <c r="P1477" s="95">
        <f ca="1"/>
        <v>9.3384806898460238E-3</v>
      </c>
      <c r="Q1477" s="5" t="s">
        <v>4</v>
      </c>
      <c r="R1477" s="83" t="s">
        <v>4</v>
      </c>
    </row>
    <row r="1478" spans="1:18" x14ac:dyDescent="0.25">
      <c r="A1478" s="88">
        <v>1464</v>
      </c>
      <c r="B1478" s="82"/>
      <c r="C1478" s="97">
        <f ca="1">_xll.meDateFromTenor(C1477,"1D","FOLLOWING","TGT")</f>
        <v>44606</v>
      </c>
      <c r="D1478" s="95">
        <f ca="1"/>
        <v>3.6598362589392863E-3</v>
      </c>
      <c r="E1478" s="92"/>
      <c r="F1478" s="97">
        <f ca="1">_xll.meDateFromTenor(F1477,"1D","FOLLOWING","TGT")</f>
        <v>44606</v>
      </c>
      <c r="G1478" s="95">
        <f ca="1"/>
        <v>4.4235997841519893E-3</v>
      </c>
      <c r="H1478" s="92" t="s">
        <v>4</v>
      </c>
      <c r="I1478" s="97">
        <f ca="1">_xll.meDateFromTenor(I1477,"1D","FOLLOWING","TGT")</f>
        <v>44606</v>
      </c>
      <c r="J1478" s="95">
        <f ca="1"/>
        <v>5.655993617196116E-3</v>
      </c>
      <c r="K1478" s="5" t="s">
        <v>4</v>
      </c>
      <c r="L1478" s="97">
        <f ca="1">_xll.meDateFromTenor(L1477,"1D","FOLLOWING","TGT")</f>
        <v>44606</v>
      </c>
      <c r="M1478" s="95">
        <f ca="1"/>
        <v>7.460646333442583E-3</v>
      </c>
      <c r="N1478" s="5" t="s">
        <v>4</v>
      </c>
      <c r="O1478" s="97">
        <f ca="1">_xll.meDateFromTenor(O1477,"1D","FOLLOWING","TGT")</f>
        <v>44606</v>
      </c>
      <c r="P1478" s="95">
        <f ca="1"/>
        <v>9.3604205691755395E-3</v>
      </c>
      <c r="Q1478" s="5" t="s">
        <v>4</v>
      </c>
      <c r="R1478" s="83" t="s">
        <v>4</v>
      </c>
    </row>
    <row r="1479" spans="1:18" x14ac:dyDescent="0.25">
      <c r="A1479" s="88">
        <v>1465</v>
      </c>
      <c r="B1479" s="82"/>
      <c r="C1479" s="97">
        <f ca="1">_xll.meDateFromTenor(C1478,"1D","FOLLOWING","TGT")</f>
        <v>44607</v>
      </c>
      <c r="D1479" s="95">
        <f ca="1"/>
        <v>3.6664310156875324E-3</v>
      </c>
      <c r="E1479" s="92"/>
      <c r="F1479" s="97">
        <f ca="1">_xll.meDateFromTenor(F1478,"1D","FOLLOWING","TGT")</f>
        <v>44607</v>
      </c>
      <c r="G1479" s="95">
        <f ca="1"/>
        <v>4.4324042984526532E-3</v>
      </c>
      <c r="H1479" s="92" t="s">
        <v>4</v>
      </c>
      <c r="I1479" s="97">
        <f ca="1">_xll.meDateFromTenor(I1478,"1D","FOLLOWING","TGT")</f>
        <v>44607</v>
      </c>
      <c r="J1479" s="95">
        <f ca="1"/>
        <v>5.66448818393711E-3</v>
      </c>
      <c r="K1479" s="5" t="s">
        <v>4</v>
      </c>
      <c r="L1479" s="97">
        <f ca="1">_xll.meDateFromTenor(L1478,"1D","FOLLOWING","TGT")</f>
        <v>44607</v>
      </c>
      <c r="M1479" s="95">
        <f ca="1"/>
        <v>7.4689935553449152E-3</v>
      </c>
      <c r="N1479" s="5" t="s">
        <v>4</v>
      </c>
      <c r="O1479" s="97">
        <f ca="1">_xll.meDateFromTenor(O1478,"1D","FOLLOWING","TGT")</f>
        <v>44607</v>
      </c>
      <c r="P1479" s="95">
        <f ca="1"/>
        <v>9.3677322946893165E-3</v>
      </c>
      <c r="Q1479" s="5" t="s">
        <v>4</v>
      </c>
      <c r="R1479" s="83" t="s">
        <v>4</v>
      </c>
    </row>
    <row r="1480" spans="1:18" x14ac:dyDescent="0.25">
      <c r="A1480" s="88">
        <v>1466</v>
      </c>
      <c r="B1480" s="82"/>
      <c r="C1480" s="97">
        <f ca="1">_xll.meDateFromTenor(C1479,"1D","FOLLOWING","TGT")</f>
        <v>44608</v>
      </c>
      <c r="D1480" s="95">
        <f ca="1"/>
        <v>3.6729990390318434E-3</v>
      </c>
      <c r="E1480" s="92"/>
      <c r="F1480" s="97">
        <f ca="1">_xll.meDateFromTenor(F1479,"1D","FOLLOWING","TGT")</f>
        <v>44608</v>
      </c>
      <c r="G1480" s="95">
        <f ca="1"/>
        <v>4.4412033401225832E-3</v>
      </c>
      <c r="H1480" s="92" t="s">
        <v>4</v>
      </c>
      <c r="I1480" s="97">
        <f ca="1">_xll.meDateFromTenor(I1479,"1D","FOLLOWING","TGT")</f>
        <v>44608</v>
      </c>
      <c r="J1480" s="95">
        <f ca="1"/>
        <v>5.6729840733653449E-3</v>
      </c>
      <c r="K1480" s="5" t="s">
        <v>4</v>
      </c>
      <c r="L1480" s="97">
        <f ca="1">_xll.meDateFromTenor(L1479,"1D","FOLLOWING","TGT")</f>
        <v>44608</v>
      </c>
      <c r="M1480" s="95">
        <f ca="1"/>
        <v>7.4773405388517322E-3</v>
      </c>
      <c r="N1480" s="5" t="s">
        <v>4</v>
      </c>
      <c r="O1480" s="97">
        <f ca="1">_xll.meDateFromTenor(O1479,"1D","FOLLOWING","TGT")</f>
        <v>44608</v>
      </c>
      <c r="P1480" s="95">
        <f ca="1"/>
        <v>9.3750432314884929E-3</v>
      </c>
      <c r="Q1480" s="5" t="s">
        <v>4</v>
      </c>
      <c r="R1480" s="83" t="s">
        <v>4</v>
      </c>
    </row>
    <row r="1481" spans="1:18" x14ac:dyDescent="0.25">
      <c r="A1481" s="88">
        <v>1467</v>
      </c>
      <c r="B1481" s="82"/>
      <c r="C1481" s="97">
        <f ca="1">_xll.meDateFromTenor(C1480,"1D","FOLLOWING","TGT")</f>
        <v>44609</v>
      </c>
      <c r="D1481" s="95">
        <f ca="1"/>
        <v>3.6795403278016003E-3</v>
      </c>
      <c r="E1481" s="92"/>
      <c r="F1481" s="97">
        <f ca="1">_xll.meDateFromTenor(F1480,"1D","FOLLOWING","TGT")</f>
        <v>44609</v>
      </c>
      <c r="G1481" s="95">
        <f ca="1"/>
        <v>4.4499902813696897E-3</v>
      </c>
      <c r="H1481" s="92" t="s">
        <v>4</v>
      </c>
      <c r="I1481" s="97">
        <f ca="1">_xll.meDateFromTenor(I1480,"1D","FOLLOWING","TGT")</f>
        <v>44609</v>
      </c>
      <c r="J1481" s="95">
        <f ca="1"/>
        <v>5.6814812259197399E-3</v>
      </c>
      <c r="K1481" s="5" t="s">
        <v>4</v>
      </c>
      <c r="L1481" s="97">
        <f ca="1">_xll.meDateFromTenor(L1480,"1D","FOLLOWING","TGT")</f>
        <v>44609</v>
      </c>
      <c r="M1481" s="95">
        <f ca="1"/>
        <v>7.4856872475254025E-3</v>
      </c>
      <c r="N1481" s="5" t="s">
        <v>4</v>
      </c>
      <c r="O1481" s="97">
        <f ca="1">_xll.meDateFromTenor(O1480,"1D","FOLLOWING","TGT")</f>
        <v>44609</v>
      </c>
      <c r="P1481" s="95">
        <f ca="1"/>
        <v>9.3823533766231211E-3</v>
      </c>
      <c r="Q1481" s="5" t="s">
        <v>4</v>
      </c>
      <c r="R1481" s="83" t="s">
        <v>4</v>
      </c>
    </row>
    <row r="1482" spans="1:18" x14ac:dyDescent="0.25">
      <c r="A1482" s="88">
        <v>1468</v>
      </c>
      <c r="B1482" s="82"/>
      <c r="C1482" s="97">
        <f ca="1">_xll.meDateFromTenor(C1481,"1D","FOLLOWING","TGT")</f>
        <v>44610</v>
      </c>
      <c r="D1482" s="95">
        <f ca="1"/>
        <v>3.6860548807575721E-3</v>
      </c>
      <c r="E1482" s="92"/>
      <c r="F1482" s="97">
        <f ca="1">_xll.meDateFromTenor(F1481,"1D","FOLLOWING","TGT")</f>
        <v>44610</v>
      </c>
      <c r="G1482" s="95">
        <f ca="1"/>
        <v>4.4587584944018824E-3</v>
      </c>
      <c r="H1482" s="92" t="s">
        <v>4</v>
      </c>
      <c r="I1482" s="97">
        <f ca="1">_xll.meDateFromTenor(I1481,"1D","FOLLOWING","TGT")</f>
        <v>44610</v>
      </c>
      <c r="J1482" s="95">
        <f ca="1"/>
        <v>5.689979582039208E-3</v>
      </c>
      <c r="K1482" s="5" t="s">
        <v>4</v>
      </c>
      <c r="L1482" s="97">
        <f ca="1">_xll.meDateFromTenor(L1481,"1D","FOLLOWING","TGT")</f>
        <v>44610</v>
      </c>
      <c r="M1482" s="95">
        <f ca="1"/>
        <v>7.4940336449282972E-3</v>
      </c>
      <c r="N1482" s="5" t="s">
        <v>4</v>
      </c>
      <c r="O1482" s="97">
        <f ca="1">_xll.meDateFromTenor(O1481,"1D","FOLLOWING","TGT")</f>
        <v>44610</v>
      </c>
      <c r="P1482" s="95">
        <f ca="1"/>
        <v>9.3896627271432605E-3</v>
      </c>
      <c r="Q1482" s="5" t="s">
        <v>4</v>
      </c>
      <c r="R1482" s="83" t="s">
        <v>4</v>
      </c>
    </row>
    <row r="1483" spans="1:18" x14ac:dyDescent="0.25">
      <c r="A1483" s="88">
        <v>1469</v>
      </c>
      <c r="B1483" s="82"/>
      <c r="C1483" s="97">
        <f ca="1">_xll.meDateFromTenor(C1482,"1D","FOLLOWING","TGT")</f>
        <v>44613</v>
      </c>
      <c r="D1483" s="95">
        <f ca="1"/>
        <v>3.7054381121561786E-3</v>
      </c>
      <c r="E1483" s="92"/>
      <c r="F1483" s="97">
        <f ca="1">_xll.meDateFromTenor(F1482,"1D","FOLLOWING","TGT")</f>
        <v>44613</v>
      </c>
      <c r="G1483" s="95">
        <f ca="1"/>
        <v>4.4848844862880755E-3</v>
      </c>
      <c r="H1483" s="92" t="s">
        <v>4</v>
      </c>
      <c r="I1483" s="97">
        <f ca="1">_xll.meDateFromTenor(I1482,"1D","FOLLOWING","TGT")</f>
        <v>44613</v>
      </c>
      <c r="J1483" s="95">
        <f ca="1"/>
        <v>5.7154812761772509E-3</v>
      </c>
      <c r="K1483" s="5" t="s">
        <v>4</v>
      </c>
      <c r="L1483" s="97">
        <f ca="1">_xll.meDateFromTenor(L1482,"1D","FOLLOWING","TGT")</f>
        <v>44613</v>
      </c>
      <c r="M1483" s="95">
        <f ca="1"/>
        <v>7.5190706051360447E-3</v>
      </c>
      <c r="N1483" s="5" t="s">
        <v>4</v>
      </c>
      <c r="O1483" s="97">
        <f ca="1">_xll.meDateFromTenor(O1482,"1D","FOLLOWING","TGT")</f>
        <v>44613</v>
      </c>
      <c r="P1483" s="95">
        <f ca="1"/>
        <v>9.4115859815172981E-3</v>
      </c>
      <c r="Q1483" s="5" t="s">
        <v>4</v>
      </c>
      <c r="R1483" s="83" t="s">
        <v>4</v>
      </c>
    </row>
    <row r="1484" spans="1:18" x14ac:dyDescent="0.25">
      <c r="A1484" s="88">
        <v>1470</v>
      </c>
      <c r="B1484" s="82"/>
      <c r="C1484" s="97">
        <f ca="1">_xll.meDateFromTenor(C1483,"1D","FOLLOWING","TGT")</f>
        <v>44614</v>
      </c>
      <c r="D1484" s="95">
        <f ca="1"/>
        <v>3.7118457093707757E-3</v>
      </c>
      <c r="E1484" s="92"/>
      <c r="F1484" s="97">
        <f ca="1">_xll.meDateFromTenor(F1483,"1D","FOLLOWING","TGT")</f>
        <v>44614</v>
      </c>
      <c r="G1484" s="95">
        <f ca="1"/>
        <v>4.4935115085397125E-3</v>
      </c>
      <c r="H1484" s="92" t="s">
        <v>4</v>
      </c>
      <c r="I1484" s="97">
        <f ca="1">_xll.meDateFromTenor(I1483,"1D","FOLLOWING","TGT")</f>
        <v>44614</v>
      </c>
      <c r="J1484" s="95">
        <f ca="1"/>
        <v>5.7239838509462035E-3</v>
      </c>
      <c r="K1484" s="5" t="s">
        <v>4</v>
      </c>
      <c r="L1484" s="97">
        <f ca="1">_xll.meDateFromTenor(L1483,"1D","FOLLOWING","TGT")</f>
        <v>44614</v>
      </c>
      <c r="M1484" s="95">
        <f ca="1"/>
        <v>7.5274153930795515E-3</v>
      </c>
      <c r="N1484" s="5" t="s">
        <v>4</v>
      </c>
      <c r="O1484" s="97">
        <f ca="1">_xll.meDateFromTenor(O1483,"1D","FOLLOWING","TGT")</f>
        <v>44614</v>
      </c>
      <c r="P1484" s="95">
        <f ca="1"/>
        <v>9.4188921240800378E-3</v>
      </c>
      <c r="Q1484" s="5" t="s">
        <v>4</v>
      </c>
      <c r="R1484" s="83" t="s">
        <v>4</v>
      </c>
    </row>
    <row r="1485" spans="1:18" x14ac:dyDescent="0.25">
      <c r="A1485" s="88">
        <v>1471</v>
      </c>
      <c r="B1485" s="82"/>
      <c r="C1485" s="97">
        <f ca="1">_xll.meDateFromTenor(C1484,"1D","FOLLOWING","TGT")</f>
        <v>44615</v>
      </c>
      <c r="D1485" s="95">
        <f ca="1"/>
        <v>3.7182265641777512E-3</v>
      </c>
      <c r="E1485" s="92"/>
      <c r="F1485" s="97">
        <f ca="1">_xll.meDateFromTenor(F1484,"1D","FOLLOWING","TGT")</f>
        <v>44615</v>
      </c>
      <c r="G1485" s="95">
        <f ca="1"/>
        <v>4.5020866636159874E-3</v>
      </c>
      <c r="H1485" s="92" t="s">
        <v>4</v>
      </c>
      <c r="I1485" s="97">
        <f ca="1">_xll.meDateFromTenor(I1484,"1D","FOLLOWING","TGT")</f>
        <v>44615</v>
      </c>
      <c r="J1485" s="95">
        <f ca="1"/>
        <v>5.7324873314748221E-3</v>
      </c>
      <c r="K1485" s="5" t="s">
        <v>4</v>
      </c>
      <c r="L1485" s="97">
        <f ca="1">_xll.meDateFromTenor(L1484,"1D","FOLLOWING","TGT")</f>
        <v>44615</v>
      </c>
      <c r="M1485" s="95">
        <f ca="1"/>
        <v>7.5357596875641397E-3</v>
      </c>
      <c r="N1485" s="5" t="s">
        <v>4</v>
      </c>
      <c r="O1485" s="97">
        <f ca="1">_xll.meDateFromTenor(O1484,"1D","FOLLOWING","TGT")</f>
        <v>44615</v>
      </c>
      <c r="P1485" s="95">
        <f ca="1"/>
        <v>9.4261974572785682E-3</v>
      </c>
      <c r="Q1485" s="5" t="s">
        <v>4</v>
      </c>
      <c r="R1485" s="83" t="s">
        <v>4</v>
      </c>
    </row>
    <row r="1486" spans="1:18" x14ac:dyDescent="0.25">
      <c r="A1486" s="88">
        <v>1472</v>
      </c>
      <c r="B1486" s="82"/>
      <c r="C1486" s="97">
        <f ca="1">_xll.meDateFromTenor(C1485,"1D","FOLLOWING","TGT")</f>
        <v>44616</v>
      </c>
      <c r="D1486" s="95">
        <f ca="1"/>
        <v>3.724580675511513E-3</v>
      </c>
      <c r="E1486" s="92"/>
      <c r="F1486" s="97">
        <f ca="1">_xll.meDateFromTenor(F1485,"1D","FOLLOWING","TGT")</f>
        <v>44616</v>
      </c>
      <c r="G1486" s="95">
        <f ca="1"/>
        <v>4.5106033237248076E-3</v>
      </c>
      <c r="H1486" s="92" t="s">
        <v>4</v>
      </c>
      <c r="I1486" s="97">
        <f ca="1">_xll.meDateFromTenor(I1485,"1D","FOLLOWING","TGT")</f>
        <v>44616</v>
      </c>
      <c r="J1486" s="95">
        <f ca="1"/>
        <v>5.7409916582020215E-3</v>
      </c>
      <c r="K1486" s="5" t="s">
        <v>4</v>
      </c>
      <c r="L1486" s="97">
        <f ca="1">_xll.meDateFromTenor(L1485,"1D","FOLLOWING","TGT")</f>
        <v>44616</v>
      </c>
      <c r="M1486" s="95">
        <f ca="1"/>
        <v>7.5441034521521767E-3</v>
      </c>
      <c r="N1486" s="5" t="s">
        <v>4</v>
      </c>
      <c r="O1486" s="97">
        <f ca="1">_xll.meDateFromTenor(O1485,"1D","FOLLOWING","TGT")</f>
        <v>44616</v>
      </c>
      <c r="P1486" s="95">
        <f ca="1"/>
        <v>9.4335019781629417E-3</v>
      </c>
      <c r="Q1486" s="5" t="s">
        <v>4</v>
      </c>
      <c r="R1486" s="83" t="s">
        <v>4</v>
      </c>
    </row>
    <row r="1487" spans="1:18" x14ac:dyDescent="0.25">
      <c r="A1487" s="88">
        <v>1473</v>
      </c>
      <c r="B1487" s="82"/>
      <c r="C1487" s="97">
        <f ca="1">_xll.meDateFromTenor(C1486,"1D","FOLLOWING","TGT")</f>
        <v>44617</v>
      </c>
      <c r="D1487" s="95">
        <f ca="1"/>
        <v>3.7309080423786334E-3</v>
      </c>
      <c r="E1487" s="92"/>
      <c r="F1487" s="97">
        <f ca="1">_xll.meDateFromTenor(F1486,"1D","FOLLOWING","TGT")</f>
        <v>44617</v>
      </c>
      <c r="G1487" s="95">
        <f ca="1"/>
        <v>4.5190548610740894E-3</v>
      </c>
      <c r="H1487" s="92" t="s">
        <v>4</v>
      </c>
      <c r="I1487" s="97">
        <f ca="1">_xll.meDateFromTenor(I1486,"1D","FOLLOWING","TGT")</f>
        <v>44617</v>
      </c>
      <c r="J1487" s="95">
        <f ca="1"/>
        <v>5.7494967715667261E-3</v>
      </c>
      <c r="K1487" s="5" t="s">
        <v>4</v>
      </c>
      <c r="L1487" s="97">
        <f ca="1">_xll.meDateFromTenor(L1486,"1D","FOLLOWING","TGT")</f>
        <v>44617</v>
      </c>
      <c r="M1487" s="95">
        <f ca="1"/>
        <v>7.5524466504060389E-3</v>
      </c>
      <c r="N1487" s="5" t="s">
        <v>4</v>
      </c>
      <c r="O1487" s="97">
        <f ca="1">_xll.meDateFromTenor(O1486,"1D","FOLLOWING","TGT")</f>
        <v>44617</v>
      </c>
      <c r="P1487" s="95">
        <f ca="1"/>
        <v>9.4408056837832193E-3</v>
      </c>
      <c r="Q1487" s="5" t="s">
        <v>4</v>
      </c>
      <c r="R1487" s="83" t="s">
        <v>4</v>
      </c>
    </row>
    <row r="1488" spans="1:18" x14ac:dyDescent="0.25">
      <c r="A1488" s="88">
        <v>1474</v>
      </c>
      <c r="B1488" s="82"/>
      <c r="C1488" s="97">
        <f ca="1">_xll.meDateFromTenor(C1487,"1D","FOLLOWING","TGT")</f>
        <v>44620</v>
      </c>
      <c r="D1488" s="95">
        <f ca="1"/>
        <v>3.74972966121212E-3</v>
      </c>
      <c r="E1488" s="92"/>
      <c r="F1488" s="97">
        <f ca="1">_xll.meDateFromTenor(F1487,"1D","FOLLOWING","TGT")</f>
        <v>44620</v>
      </c>
      <c r="G1488" s="95">
        <f ca="1"/>
        <v>4.5439524586437831E-3</v>
      </c>
      <c r="H1488" s="92" t="s">
        <v>4</v>
      </c>
      <c r="I1488" s="97">
        <f ca="1">_xll.meDateFromTenor(I1487,"1D","FOLLOWING","TGT")</f>
        <v>44620</v>
      </c>
      <c r="J1488" s="95">
        <f ca="1"/>
        <v>5.7750162358750348E-3</v>
      </c>
      <c r="K1488" s="5" t="s">
        <v>4</v>
      </c>
      <c r="L1488" s="97">
        <f ca="1">_xll.meDateFromTenor(L1487,"1D","FOLLOWING","TGT")</f>
        <v>44620</v>
      </c>
      <c r="M1488" s="95">
        <f ca="1"/>
        <v>7.5774724827862771E-3</v>
      </c>
      <c r="N1488" s="5" t="s">
        <v>4</v>
      </c>
      <c r="O1488" s="97">
        <f ca="1">_xll.meDateFromTenor(O1487,"1D","FOLLOWING","TGT")</f>
        <v>44620</v>
      </c>
      <c r="P1488" s="95">
        <f ca="1"/>
        <v>9.4627118795600346E-3</v>
      </c>
      <c r="Q1488" s="5" t="s">
        <v>4</v>
      </c>
      <c r="R1488" s="83" t="s">
        <v>4</v>
      </c>
    </row>
    <row r="1489" spans="1:18" x14ac:dyDescent="0.25">
      <c r="A1489" s="88">
        <v>1475</v>
      </c>
      <c r="B1489" s="82"/>
      <c r="C1489" s="97">
        <f ca="1">_xll.meDateFromTenor(C1488,"1D","FOLLOWING","TGT")</f>
        <v>44621</v>
      </c>
      <c r="D1489" s="95">
        <f ca="1"/>
        <v>3.7559500359678477E-3</v>
      </c>
      <c r="E1489" s="92"/>
      <c r="F1489" s="97">
        <f ca="1">_xll.meDateFromTenor(F1488,"1D","FOLLOWING","TGT")</f>
        <v>44621</v>
      </c>
      <c r="G1489" s="95">
        <f ca="1"/>
        <v>4.5520772270339991E-3</v>
      </c>
      <c r="H1489" s="92" t="s">
        <v>4</v>
      </c>
      <c r="I1489" s="97">
        <f ca="1">_xll.meDateFromTenor(I1488,"1D","FOLLOWING","TGT")</f>
        <v>44621</v>
      </c>
      <c r="J1489" s="95">
        <f ca="1"/>
        <v>5.7835239001789284E-3</v>
      </c>
      <c r="K1489" s="5" t="s">
        <v>4</v>
      </c>
      <c r="L1489" s="97">
        <f ca="1">_xll.meDateFromTenor(L1488,"1D","FOLLOWING","TGT")</f>
        <v>44621</v>
      </c>
      <c r="M1489" s="95">
        <f ca="1"/>
        <v>7.5858130513271442E-3</v>
      </c>
      <c r="N1489" s="5" t="s">
        <v>4</v>
      </c>
      <c r="O1489" s="97">
        <f ca="1">_xll.meDateFromTenor(O1488,"1D","FOLLOWING","TGT")</f>
        <v>44621</v>
      </c>
      <c r="P1489" s="95">
        <f ca="1"/>
        <v>9.4700122946244861E-3</v>
      </c>
      <c r="Q1489" s="5" t="s">
        <v>4</v>
      </c>
      <c r="R1489" s="83" t="s">
        <v>4</v>
      </c>
    </row>
    <row r="1490" spans="1:18" x14ac:dyDescent="0.25">
      <c r="A1490" s="88">
        <v>1476</v>
      </c>
      <c r="B1490" s="82"/>
      <c r="C1490" s="97">
        <f ca="1">_xll.meDateFromTenor(C1489,"1D","FOLLOWING","TGT")</f>
        <v>44622</v>
      </c>
      <c r="D1490" s="95">
        <f ca="1"/>
        <v>3.7621535430507613E-3</v>
      </c>
      <c r="E1490" s="92"/>
      <c r="F1490" s="97">
        <f ca="1">_xll.meDateFromTenor(F1489,"1D","FOLLOWING","TGT")</f>
        <v>44622</v>
      </c>
      <c r="G1490" s="95">
        <f ca="1"/>
        <v>4.5601037337042252E-3</v>
      </c>
      <c r="H1490" s="92" t="s">
        <v>4</v>
      </c>
      <c r="I1490" s="97">
        <f ca="1">_xll.meDateFromTenor(I1489,"1D","FOLLOWING","TGT")</f>
        <v>44622</v>
      </c>
      <c r="J1490" s="95">
        <f ca="1"/>
        <v>5.7920320533149149E-3</v>
      </c>
      <c r="K1490" s="5" t="s">
        <v>4</v>
      </c>
      <c r="L1490" s="97">
        <f ca="1">_xll.meDateFromTenor(L1489,"1D","FOLLOWING","TGT")</f>
        <v>44622</v>
      </c>
      <c r="M1490" s="95">
        <f ca="1"/>
        <v>7.5941528713456908E-3</v>
      </c>
      <c r="N1490" s="5" t="s">
        <v>4</v>
      </c>
      <c r="O1490" s="97">
        <f ca="1">_xll.meDateFromTenor(O1489,"1D","FOLLOWING","TGT")</f>
        <v>44622</v>
      </c>
      <c r="P1490" s="95">
        <f ca="1"/>
        <v>9.4773118796751231E-3</v>
      </c>
      <c r="Q1490" s="5" t="s">
        <v>4</v>
      </c>
      <c r="R1490" s="83" t="s">
        <v>4</v>
      </c>
    </row>
    <row r="1491" spans="1:18" x14ac:dyDescent="0.25">
      <c r="A1491" s="88">
        <v>1477</v>
      </c>
      <c r="B1491" s="82"/>
      <c r="C1491" s="97">
        <f ca="1">_xll.meDateFromTenor(C1490,"1D","FOLLOWING","TGT")</f>
        <v>44623</v>
      </c>
      <c r="D1491" s="95">
        <f ca="1"/>
        <v>3.7683797153635901E-3</v>
      </c>
      <c r="E1491" s="92"/>
      <c r="F1491" s="97">
        <f ca="1">_xll.meDateFromTenor(F1490,"1D","FOLLOWING","TGT")</f>
        <v>44623</v>
      </c>
      <c r="G1491" s="95">
        <f ca="1"/>
        <v>4.5680274232533929E-3</v>
      </c>
      <c r="H1491" s="92" t="s">
        <v>4</v>
      </c>
      <c r="I1491" s="97">
        <f ca="1">_xll.meDateFromTenor(I1490,"1D","FOLLOWING","TGT")</f>
        <v>44623</v>
      </c>
      <c r="J1491" s="95">
        <f ca="1"/>
        <v>5.800540642510706E-3</v>
      </c>
      <c r="K1491" s="5" t="s">
        <v>4</v>
      </c>
      <c r="L1491" s="97">
        <f ca="1">_xll.meDateFromTenor(L1490,"1D","FOLLOWING","TGT")</f>
        <v>44623</v>
      </c>
      <c r="M1491" s="95">
        <f ca="1"/>
        <v>7.6024919064042844E-3</v>
      </c>
      <c r="N1491" s="5" t="s">
        <v>4</v>
      </c>
      <c r="O1491" s="97">
        <f ca="1">_xll.meDateFromTenor(O1490,"1D","FOLLOWING","TGT")</f>
        <v>44623</v>
      </c>
      <c r="P1491" s="95">
        <f ca="1"/>
        <v>9.4846106317619926E-3</v>
      </c>
      <c r="Q1491" s="5" t="s">
        <v>4</v>
      </c>
      <c r="R1491" s="83" t="s">
        <v>4</v>
      </c>
    </row>
    <row r="1492" spans="1:18" x14ac:dyDescent="0.25">
      <c r="A1492" s="88">
        <v>1478</v>
      </c>
      <c r="B1492" s="82"/>
      <c r="C1492" s="97">
        <f ca="1">_xll.meDateFromTenor(C1491,"1D","FOLLOWING","TGT")</f>
        <v>44624</v>
      </c>
      <c r="D1492" s="95">
        <f ca="1"/>
        <v>3.7746384381218689E-3</v>
      </c>
      <c r="E1492" s="92"/>
      <c r="F1492" s="97">
        <f ca="1">_xll.meDateFromTenor(F1491,"1D","FOLLOWING","TGT")</f>
        <v>44624</v>
      </c>
      <c r="G1492" s="95">
        <f ca="1"/>
        <v>4.5758520298445435E-3</v>
      </c>
      <c r="H1492" s="92" t="s">
        <v>4</v>
      </c>
      <c r="I1492" s="97">
        <f ca="1">_xll.meDateFromTenor(I1491,"1D","FOLLOWING","TGT")</f>
        <v>44624</v>
      </c>
      <c r="J1492" s="95">
        <f ca="1"/>
        <v>5.8090496421492142E-3</v>
      </c>
      <c r="K1492" s="5" t="s">
        <v>4</v>
      </c>
      <c r="L1492" s="97">
        <f ca="1">_xll.meDateFromTenor(L1491,"1D","FOLLOWING","TGT")</f>
        <v>44624</v>
      </c>
      <c r="M1492" s="95">
        <f ca="1"/>
        <v>7.6108301200653039E-3</v>
      </c>
      <c r="N1492" s="5" t="s">
        <v>4</v>
      </c>
      <c r="O1492" s="97">
        <f ca="1">_xll.meDateFromTenor(O1491,"1D","FOLLOWING","TGT")</f>
        <v>44624</v>
      </c>
      <c r="P1492" s="95">
        <f ca="1"/>
        <v>9.4919085479351663E-3</v>
      </c>
      <c r="Q1492" s="5" t="s">
        <v>4</v>
      </c>
      <c r="R1492" s="83" t="s">
        <v>4</v>
      </c>
    </row>
    <row r="1493" spans="1:18" x14ac:dyDescent="0.25">
      <c r="A1493" s="88">
        <v>1479</v>
      </c>
      <c r="B1493" s="82"/>
      <c r="C1493" s="97">
        <f ca="1">_xll.meDateFromTenor(C1492,"1D","FOLLOWING","TGT")</f>
        <v>44627</v>
      </c>
      <c r="D1493" s="95">
        <f ca="1"/>
        <v>3.7936099334281437E-3</v>
      </c>
      <c r="E1493" s="92"/>
      <c r="F1493" s="97">
        <f ca="1">_xll.meDateFromTenor(F1492,"1D","FOLLOWING","TGT")</f>
        <v>44627</v>
      </c>
      <c r="G1493" s="95">
        <f ca="1"/>
        <v>4.5987894174104168E-3</v>
      </c>
      <c r="H1493" s="92" t="s">
        <v>4</v>
      </c>
      <c r="I1493" s="97">
        <f ca="1">_xll.meDateFromTenor(I1492,"1D","FOLLOWING","TGT")</f>
        <v>44627</v>
      </c>
      <c r="J1493" s="95">
        <f ca="1"/>
        <v>5.834578915437991E-3</v>
      </c>
      <c r="K1493" s="5" t="s">
        <v>4</v>
      </c>
      <c r="L1493" s="97">
        <f ca="1">_xll.meDateFromTenor(L1492,"1D","FOLLOWING","TGT")</f>
        <v>44627</v>
      </c>
      <c r="M1493" s="95">
        <f ca="1"/>
        <v>7.6358394682865946E-3</v>
      </c>
      <c r="N1493" s="5" t="s">
        <v>4</v>
      </c>
      <c r="O1493" s="97">
        <f ca="1">_xll.meDateFromTenor(O1492,"1D","FOLLOWING","TGT")</f>
        <v>44627</v>
      </c>
      <c r="P1493" s="95">
        <f ca="1"/>
        <v>9.5137972514730135E-3</v>
      </c>
      <c r="Q1493" s="5" t="s">
        <v>4</v>
      </c>
      <c r="R1493" s="83" t="s">
        <v>4</v>
      </c>
    </row>
    <row r="1494" spans="1:18" x14ac:dyDescent="0.25">
      <c r="A1494" s="88">
        <v>1480</v>
      </c>
      <c r="B1494" s="82"/>
      <c r="C1494" s="97">
        <f ca="1">_xll.meDateFromTenor(C1493,"1D","FOLLOWING","TGT")</f>
        <v>44628</v>
      </c>
      <c r="D1494" s="95">
        <f ca="1"/>
        <v>3.7999988817905006E-3</v>
      </c>
      <c r="E1494" s="92"/>
      <c r="F1494" s="97">
        <f ca="1">_xll.meDateFromTenor(F1493,"1D","FOLLOWING","TGT")</f>
        <v>44628</v>
      </c>
      <c r="G1494" s="95">
        <f ca="1"/>
        <v>4.6062757577100431E-3</v>
      </c>
      <c r="H1494" s="92" t="s">
        <v>4</v>
      </c>
      <c r="I1494" s="97">
        <f ca="1">_xll.meDateFromTenor(I1493,"1D","FOLLOWING","TGT")</f>
        <v>44628</v>
      </c>
      <c r="J1494" s="95">
        <f ca="1"/>
        <v>5.8430893685643397E-3</v>
      </c>
      <c r="K1494" s="5" t="s">
        <v>4</v>
      </c>
      <c r="L1494" s="97">
        <f ca="1">_xll.meDateFromTenor(L1493,"1D","FOLLOWING","TGT")</f>
        <v>44628</v>
      </c>
      <c r="M1494" s="95">
        <f ca="1"/>
        <v>7.6441740319810082E-3</v>
      </c>
      <c r="N1494" s="5" t="s">
        <v>4</v>
      </c>
      <c r="O1494" s="97">
        <f ca="1">_xll.meDateFromTenor(O1493,"1D","FOLLOWING","TGT")</f>
        <v>44628</v>
      </c>
      <c r="P1494" s="95">
        <f ca="1"/>
        <v>9.5210917944919295E-3</v>
      </c>
      <c r="Q1494" s="5" t="s">
        <v>4</v>
      </c>
      <c r="R1494" s="83" t="s">
        <v>4</v>
      </c>
    </row>
    <row r="1495" spans="1:18" x14ac:dyDescent="0.25">
      <c r="A1495" s="88">
        <v>1481</v>
      </c>
      <c r="B1495" s="82"/>
      <c r="C1495" s="97">
        <f ca="1">_xll.meDateFromTenor(C1494,"1D","FOLLOWING","TGT")</f>
        <v>44629</v>
      </c>
      <c r="D1495" s="95">
        <f ca="1"/>
        <v>3.8064203922445472E-3</v>
      </c>
      <c r="E1495" s="92"/>
      <c r="F1495" s="97">
        <f ca="1">_xll.meDateFromTenor(F1494,"1D","FOLLOWING","TGT")</f>
        <v>44629</v>
      </c>
      <c r="G1495" s="95">
        <f ca="1"/>
        <v>4.613692047821933E-3</v>
      </c>
      <c r="H1495" s="92" t="s">
        <v>4</v>
      </c>
      <c r="I1495" s="97">
        <f ca="1">_xll.meDateFromTenor(I1494,"1D","FOLLOWING","TGT")</f>
        <v>44629</v>
      </c>
      <c r="J1495" s="95">
        <f ca="1"/>
        <v>5.8516001379918985E-3</v>
      </c>
      <c r="K1495" s="5" t="s">
        <v>4</v>
      </c>
      <c r="L1495" s="97">
        <f ca="1">_xll.meDateFromTenor(L1494,"1D","FOLLOWING","TGT")</f>
        <v>44629</v>
      </c>
      <c r="M1495" s="95">
        <f ca="1"/>
        <v>7.6525075920897004E-3</v>
      </c>
      <c r="N1495" s="5" t="s">
        <v>4</v>
      </c>
      <c r="O1495" s="97">
        <f ca="1">_xll.meDateFromTenor(O1494,"1D","FOLLOWING","TGT")</f>
        <v>44629</v>
      </c>
      <c r="P1495" s="95">
        <f ca="1"/>
        <v>9.5283854868474203E-3</v>
      </c>
      <c r="Q1495" s="5" t="s">
        <v>4</v>
      </c>
      <c r="R1495" s="83" t="s">
        <v>4</v>
      </c>
    </row>
    <row r="1496" spans="1:18" x14ac:dyDescent="0.25">
      <c r="A1496" s="88">
        <v>1482</v>
      </c>
      <c r="B1496" s="82"/>
      <c r="C1496" s="97">
        <f ca="1">_xll.meDateFromTenor(C1495,"1D","FOLLOWING","TGT")</f>
        <v>44630</v>
      </c>
      <c r="D1496" s="95">
        <f ca="1"/>
        <v>3.812874467102878E-3</v>
      </c>
      <c r="E1496" s="92"/>
      <c r="F1496" s="97">
        <f ca="1">_xll.meDateFromTenor(F1495,"1D","FOLLOWING","TGT")</f>
        <v>44630</v>
      </c>
      <c r="G1496" s="95">
        <f ca="1"/>
        <v>4.6210440943001418E-3</v>
      </c>
      <c r="H1496" s="92" t="s">
        <v>4</v>
      </c>
      <c r="I1496" s="97">
        <f ca="1">_xll.meDateFromTenor(I1495,"1D","FOLLOWING","TGT")</f>
        <v>44630</v>
      </c>
      <c r="J1496" s="95">
        <f ca="1"/>
        <v>5.860111204892369E-3</v>
      </c>
      <c r="K1496" s="5" t="s">
        <v>4</v>
      </c>
      <c r="L1496" s="97">
        <f ca="1">_xll.meDateFromTenor(L1495,"1D","FOLLOWING","TGT")</f>
        <v>44630</v>
      </c>
      <c r="M1496" s="95">
        <f ca="1"/>
        <v>7.6608401121750404E-3</v>
      </c>
      <c r="N1496" s="5" t="s">
        <v>4</v>
      </c>
      <c r="O1496" s="97">
        <f ca="1">_xll.meDateFromTenor(O1495,"1D","FOLLOWING","TGT")</f>
        <v>44630</v>
      </c>
      <c r="P1496" s="95">
        <f ca="1"/>
        <v>9.5356783255895472E-3</v>
      </c>
      <c r="Q1496" s="5" t="s">
        <v>4</v>
      </c>
      <c r="R1496" s="83" t="s">
        <v>4</v>
      </c>
    </row>
    <row r="1497" spans="1:18" x14ac:dyDescent="0.25">
      <c r="A1497" s="88">
        <v>1483</v>
      </c>
      <c r="B1497" s="82"/>
      <c r="C1497" s="97">
        <f ca="1">_xll.meDateFromTenor(C1496,"1D","FOLLOWING","TGT")</f>
        <v>44631</v>
      </c>
      <c r="D1497" s="95">
        <f ca="1"/>
        <v>3.8193611090726609E-3</v>
      </c>
      <c r="E1497" s="92"/>
      <c r="F1497" s="97">
        <f ca="1">_xll.meDateFromTenor(F1496,"1D","FOLLOWING","TGT")</f>
        <v>44631</v>
      </c>
      <c r="G1497" s="95">
        <f ca="1"/>
        <v>4.6283377036987266E-3</v>
      </c>
      <c r="H1497" s="92" t="s">
        <v>4</v>
      </c>
      <c r="I1497" s="97">
        <f ca="1">_xll.meDateFromTenor(I1496,"1D","FOLLOWING","TGT")</f>
        <v>44631</v>
      </c>
      <c r="J1497" s="95">
        <f ca="1"/>
        <v>5.8686225504374495E-3</v>
      </c>
      <c r="K1497" s="5" t="s">
        <v>4</v>
      </c>
      <c r="L1497" s="97">
        <f ca="1">_xll.meDateFromTenor(L1496,"1D","FOLLOWING","TGT")</f>
        <v>44631</v>
      </c>
      <c r="M1497" s="95">
        <f ca="1"/>
        <v>7.6691715557994011E-3</v>
      </c>
      <c r="N1497" s="5" t="s">
        <v>4</v>
      </c>
      <c r="O1497" s="97">
        <f ca="1">_xll.meDateFromTenor(O1496,"1D","FOLLOWING","TGT")</f>
        <v>44631</v>
      </c>
      <c r="P1497" s="95">
        <f ca="1"/>
        <v>9.5429703077683625E-3</v>
      </c>
      <c r="Q1497" s="5" t="s">
        <v>4</v>
      </c>
      <c r="R1497" s="83" t="s">
        <v>4</v>
      </c>
    </row>
    <row r="1498" spans="1:18" x14ac:dyDescent="0.25">
      <c r="A1498" s="88">
        <v>1484</v>
      </c>
      <c r="B1498" s="82"/>
      <c r="C1498" s="97">
        <f ca="1">_xll.meDateFromTenor(C1497,"1D","FOLLOWING","TGT")</f>
        <v>44634</v>
      </c>
      <c r="D1498" s="95">
        <f ca="1"/>
        <v>3.8390164587411846E-3</v>
      </c>
      <c r="E1498" s="92"/>
      <c r="F1498" s="97">
        <f ca="1">_xll.meDateFromTenor(F1497,"1D","FOLLOWING","TGT")</f>
        <v>44634</v>
      </c>
      <c r="G1498" s="95">
        <f ca="1"/>
        <v>4.6499259749573129E-3</v>
      </c>
      <c r="H1498" s="92" t="s">
        <v>4</v>
      </c>
      <c r="I1498" s="97">
        <f ca="1">_xll.meDateFromTenor(I1497,"1D","FOLLOWING","TGT")</f>
        <v>44634</v>
      </c>
      <c r="J1498" s="95">
        <f ca="1"/>
        <v>5.8941580706573576E-3</v>
      </c>
      <c r="K1498" s="5" t="s">
        <v>4</v>
      </c>
      <c r="L1498" s="97">
        <f ca="1">_xll.meDateFromTenor(L1497,"1D","FOLLOWING","TGT")</f>
        <v>44634</v>
      </c>
      <c r="M1498" s="95">
        <f ca="1"/>
        <v>7.6941590635303076E-3</v>
      </c>
      <c r="N1498" s="5" t="s">
        <v>4</v>
      </c>
      <c r="O1498" s="97">
        <f ca="1">_xll.meDateFromTenor(O1497,"1D","FOLLOWING","TGT")</f>
        <v>44634</v>
      </c>
      <c r="P1498" s="95">
        <f ca="1"/>
        <v>9.5648410854254993E-3</v>
      </c>
      <c r="Q1498" s="5" t="s">
        <v>4</v>
      </c>
      <c r="R1498" s="83" t="s">
        <v>4</v>
      </c>
    </row>
    <row r="1499" spans="1:18" x14ac:dyDescent="0.25">
      <c r="A1499" s="88">
        <v>1485</v>
      </c>
      <c r="B1499" s="82"/>
      <c r="C1499" s="97">
        <f ca="1">_xll.meDateFromTenor(C1498,"1D","FOLLOWING","TGT")</f>
        <v>44635</v>
      </c>
      <c r="D1499" s="95">
        <f ca="1"/>
        <v>3.8456333916174756E-3</v>
      </c>
      <c r="E1499" s="92"/>
      <c r="F1499" s="97">
        <f ca="1">_xll.meDateFromTenor(F1498,"1D","FOLLOWING","TGT")</f>
        <v>44635</v>
      </c>
      <c r="G1499" s="95">
        <f ca="1"/>
        <v>4.6570439015779751E-3</v>
      </c>
      <c r="H1499" s="92" t="s">
        <v>4</v>
      </c>
      <c r="I1499" s="97">
        <f ca="1">_xll.meDateFromTenor(I1498,"1D","FOLLOWING","TGT")</f>
        <v>44635</v>
      </c>
      <c r="J1499" s="95">
        <f ca="1"/>
        <v>5.9026703424978847E-3</v>
      </c>
      <c r="K1499" s="5" t="s">
        <v>4</v>
      </c>
      <c r="L1499" s="97">
        <f ca="1">_xll.meDateFromTenor(L1498,"1D","FOLLOWING","TGT")</f>
        <v>44635</v>
      </c>
      <c r="M1499" s="95">
        <f ca="1"/>
        <v>7.7024858369344577E-3</v>
      </c>
      <c r="N1499" s="5" t="s">
        <v>4</v>
      </c>
      <c r="O1499" s="97">
        <f ca="1">_xll.meDateFromTenor(O1498,"1D","FOLLOWING","TGT")</f>
        <v>44635</v>
      </c>
      <c r="P1499" s="95">
        <f ca="1"/>
        <v>9.5721296118516305E-3</v>
      </c>
      <c r="Q1499" s="5" t="s">
        <v>4</v>
      </c>
      <c r="R1499" s="83" t="s">
        <v>4</v>
      </c>
    </row>
    <row r="1500" spans="1:18" x14ac:dyDescent="0.25">
      <c r="A1500" s="88">
        <v>1486</v>
      </c>
      <c r="B1500" s="82"/>
      <c r="C1500" s="97">
        <f ca="1">_xll.meDateFromTenor(C1499,"1D","FOLLOWING","TGT")</f>
        <v>44636</v>
      </c>
      <c r="D1500" s="95">
        <f ca="1"/>
        <v>3.8522829027300975E-3</v>
      </c>
      <c r="E1500" s="92"/>
      <c r="F1500" s="97">
        <f ca="1">_xll.meDateFromTenor(F1499,"1D","FOLLOWING","TGT")</f>
        <v>44636</v>
      </c>
      <c r="G1500" s="95">
        <f ca="1"/>
        <v>4.6641324238893E-3</v>
      </c>
      <c r="H1500" s="92" t="s">
        <v>4</v>
      </c>
      <c r="I1500" s="97">
        <f ca="1">_xll.meDateFromTenor(I1499,"1D","FOLLOWING","TGT")</f>
        <v>44636</v>
      </c>
      <c r="J1500" s="95">
        <f ca="1"/>
        <v>5.9111827988415216E-3</v>
      </c>
      <c r="K1500" s="5" t="s">
        <v>4</v>
      </c>
      <c r="L1500" s="97">
        <f ca="1">_xll.meDateFromTenor(L1499,"1D","FOLLOWING","TGT")</f>
        <v>44636</v>
      </c>
      <c r="M1500" s="95">
        <f ca="1"/>
        <v>7.7108113516894828E-3</v>
      </c>
      <c r="N1500" s="5" t="s">
        <v>4</v>
      </c>
      <c r="O1500" s="97">
        <f ca="1">_xll.meDateFromTenor(O1499,"1D","FOLLOWING","TGT")</f>
        <v>44636</v>
      </c>
      <c r="P1500" s="95">
        <f ca="1"/>
        <v>9.5794172669647331E-3</v>
      </c>
      <c r="Q1500" s="5" t="s">
        <v>4</v>
      </c>
      <c r="R1500" s="83" t="s">
        <v>4</v>
      </c>
    </row>
    <row r="1501" spans="1:18" x14ac:dyDescent="0.25">
      <c r="A1501" s="88">
        <v>1487</v>
      </c>
      <c r="B1501" s="82"/>
      <c r="C1501" s="97">
        <f ca="1">_xll.meDateFromTenor(C1500,"1D","FOLLOWING","TGT")</f>
        <v>44637</v>
      </c>
      <c r="D1501" s="95">
        <f ca="1"/>
        <v>3.8589649952118776E-3</v>
      </c>
      <c r="E1501" s="92"/>
      <c r="F1501" s="97">
        <f ca="1">_xll.meDateFromTenor(F1500,"1D","FOLLOWING","TGT")</f>
        <v>44637</v>
      </c>
      <c r="G1501" s="95">
        <f ca="1"/>
        <v>4.6711973484453448E-3</v>
      </c>
      <c r="H1501" s="92" t="s">
        <v>4</v>
      </c>
      <c r="I1501" s="97">
        <f ca="1">_xll.meDateFromTenor(I1500,"1D","FOLLOWING","TGT")</f>
        <v>44637</v>
      </c>
      <c r="J1501" s="95">
        <f ca="1"/>
        <v>5.919695420859971E-3</v>
      </c>
      <c r="K1501" s="5" t="s">
        <v>4</v>
      </c>
      <c r="L1501" s="97">
        <f ca="1">_xll.meDateFromTenor(L1500,"1D","FOLLOWING","TGT")</f>
        <v>44637</v>
      </c>
      <c r="M1501" s="95">
        <f ca="1"/>
        <v>7.7191355713577547E-3</v>
      </c>
      <c r="N1501" s="5" t="s">
        <v>4</v>
      </c>
      <c r="O1501" s="97">
        <f ca="1">_xll.meDateFromTenor(O1500,"1D","FOLLOWING","TGT")</f>
        <v>44637</v>
      </c>
      <c r="P1501" s="95">
        <f ca="1"/>
        <v>9.5867040478148612E-3</v>
      </c>
      <c r="Q1501" s="5" t="s">
        <v>4</v>
      </c>
      <c r="R1501" s="83" t="s">
        <v>4</v>
      </c>
    </row>
    <row r="1502" spans="1:18" x14ac:dyDescent="0.25">
      <c r="A1502" s="88">
        <v>1488</v>
      </c>
      <c r="B1502" s="82"/>
      <c r="C1502" s="97">
        <f ca="1">_xll.meDateFromTenor(C1501,"1D","FOLLOWING","TGT")</f>
        <v>44638</v>
      </c>
      <c r="D1502" s="95">
        <f ca="1"/>
        <v>3.8656796712315256E-3</v>
      </c>
      <c r="E1502" s="92"/>
      <c r="F1502" s="97">
        <f ca="1">_xll.meDateFromTenor(F1501,"1D","FOLLOWING","TGT")</f>
        <v>44638</v>
      </c>
      <c r="G1502" s="95">
        <f ca="1"/>
        <v>4.6782444818001664E-3</v>
      </c>
      <c r="H1502" s="92" t="s">
        <v>4</v>
      </c>
      <c r="I1502" s="97">
        <f ca="1">_xll.meDateFromTenor(I1501,"1D","FOLLOWING","TGT")</f>
        <v>44638</v>
      </c>
      <c r="J1502" s="95">
        <f ca="1"/>
        <v>5.9282081897249319E-3</v>
      </c>
      <c r="K1502" s="5" t="s">
        <v>4</v>
      </c>
      <c r="L1502" s="97">
        <f ca="1">_xll.meDateFromTenor(L1501,"1D","FOLLOWING","TGT")</f>
        <v>44638</v>
      </c>
      <c r="M1502" s="95">
        <f ca="1"/>
        <v>7.7274584595016437E-3</v>
      </c>
      <c r="N1502" s="5" t="s">
        <v>4</v>
      </c>
      <c r="O1502" s="97">
        <f ca="1">_xll.meDateFromTenor(O1501,"1D","FOLLOWING","TGT")</f>
        <v>44638</v>
      </c>
      <c r="P1502" s="95">
        <f ca="1"/>
        <v>9.5939899514520723E-3</v>
      </c>
      <c r="Q1502" s="5" t="s">
        <v>4</v>
      </c>
      <c r="R1502" s="83" t="s">
        <v>4</v>
      </c>
    </row>
    <row r="1503" spans="1:18" x14ac:dyDescent="0.25">
      <c r="A1503" s="88">
        <v>1489</v>
      </c>
      <c r="B1503" s="82"/>
      <c r="C1503" s="97">
        <f ca="1">_xll.meDateFromTenor(C1502,"1D","FOLLOWING","TGT")</f>
        <v>44641</v>
      </c>
      <c r="D1503" s="95">
        <f ca="1"/>
        <v>3.8860192240006697E-3</v>
      </c>
      <c r="E1503" s="92"/>
      <c r="F1503" s="97">
        <f ca="1">_xll.meDateFromTenor(F1502,"1D","FOLLOWING","TGT")</f>
        <v>44641</v>
      </c>
      <c r="G1503" s="95">
        <f ca="1"/>
        <v>4.6993372001978536E-3</v>
      </c>
      <c r="H1503" s="92" t="s">
        <v>4</v>
      </c>
      <c r="I1503" s="97">
        <f ca="1">_xll.meDateFromTenor(I1502,"1D","FOLLOWING","TGT")</f>
        <v>44641</v>
      </c>
      <c r="J1503" s="95">
        <f ca="1"/>
        <v>5.9537471891158798E-3</v>
      </c>
      <c r="K1503" s="5" t="s">
        <v>4</v>
      </c>
      <c r="L1503" s="97">
        <f ca="1">_xll.meDateFromTenor(L1502,"1D","FOLLOWING","TGT")</f>
        <v>44641</v>
      </c>
      <c r="M1503" s="95">
        <f ca="1"/>
        <v>7.7524187704107296E-3</v>
      </c>
      <c r="N1503" s="5" t="s">
        <v>4</v>
      </c>
      <c r="O1503" s="97">
        <f ca="1">_xll.meDateFromTenor(O1502,"1D","FOLLOWING","TGT")</f>
        <v>44641</v>
      </c>
      <c r="P1503" s="95">
        <f ca="1"/>
        <v>9.6158423695867565E-3</v>
      </c>
      <c r="Q1503" s="5" t="s">
        <v>4</v>
      </c>
      <c r="R1503" s="83" t="s">
        <v>4</v>
      </c>
    </row>
    <row r="1504" spans="1:18" x14ac:dyDescent="0.25">
      <c r="A1504" s="88">
        <v>1490</v>
      </c>
      <c r="B1504" s="82"/>
      <c r="C1504" s="97">
        <f ca="1">_xll.meDateFromTenor(C1503,"1D","FOLLOWING","TGT")</f>
        <v>44642</v>
      </c>
      <c r="D1504" s="95">
        <f ca="1"/>
        <v>3.8928642579814099E-3</v>
      </c>
      <c r="E1504" s="92"/>
      <c r="F1504" s="97">
        <f ca="1">_xll.meDateFromTenor(F1503,"1D","FOLLOWING","TGT")</f>
        <v>44642</v>
      </c>
      <c r="G1504" s="95">
        <f ca="1"/>
        <v>4.70637123428835E-3</v>
      </c>
      <c r="H1504" s="92" t="s">
        <v>4</v>
      </c>
      <c r="I1504" s="97">
        <f ca="1">_xll.meDateFromTenor(I1503,"1D","FOLLOWING","TGT")</f>
        <v>44642</v>
      </c>
      <c r="J1504" s="95">
        <f ca="1"/>
        <v>5.9622603570838872E-3</v>
      </c>
      <c r="K1504" s="5" t="s">
        <v>4</v>
      </c>
      <c r="L1504" s="97">
        <f ca="1">_xll.meDateFromTenor(L1503,"1D","FOLLOWING","TGT")</f>
        <v>44642</v>
      </c>
      <c r="M1504" s="95">
        <f ca="1"/>
        <v>7.7607359680808025E-3</v>
      </c>
      <c r="N1504" s="5" t="s">
        <v>4</v>
      </c>
      <c r="O1504" s="97">
        <f ca="1">_xll.meDateFromTenor(O1503,"1D","FOLLOWING","TGT")</f>
        <v>44642</v>
      </c>
      <c r="P1504" s="95">
        <f ca="1"/>
        <v>9.623124734872859E-3</v>
      </c>
      <c r="Q1504" s="5" t="s">
        <v>4</v>
      </c>
      <c r="R1504" s="83" t="s">
        <v>4</v>
      </c>
    </row>
    <row r="1505" spans="1:18" x14ac:dyDescent="0.25">
      <c r="A1505" s="88">
        <v>1491</v>
      </c>
      <c r="B1505" s="82"/>
      <c r="C1505" s="97">
        <f ca="1">_xll.meDateFromTenor(C1504,"1D","FOLLOWING","TGT")</f>
        <v>44643</v>
      </c>
      <c r="D1505" s="95">
        <f ca="1"/>
        <v>3.8997418877819712E-3</v>
      </c>
      <c r="E1505" s="92"/>
      <c r="F1505" s="97">
        <f ca="1">_xll.meDateFromTenor(F1504,"1D","FOLLOWING","TGT")</f>
        <v>44643</v>
      </c>
      <c r="G1505" s="95">
        <f ca="1"/>
        <v>4.7134165099479092E-3</v>
      </c>
      <c r="H1505" s="92" t="s">
        <v>4</v>
      </c>
      <c r="I1505" s="97">
        <f ca="1">_xll.meDateFromTenor(I1504,"1D","FOLLOWING","TGT")</f>
        <v>44643</v>
      </c>
      <c r="J1505" s="95">
        <f ca="1"/>
        <v>5.970773577756907E-3</v>
      </c>
      <c r="K1505" s="5" t="s">
        <v>4</v>
      </c>
      <c r="L1505" s="97">
        <f ca="1">_xll.meDateFromTenor(L1504,"1D","FOLLOWING","TGT")</f>
        <v>44643</v>
      </c>
      <c r="M1505" s="95">
        <f ca="1"/>
        <v>7.7690516520383486E-3</v>
      </c>
      <c r="N1505" s="5" t="s">
        <v>4</v>
      </c>
      <c r="O1505" s="97">
        <f ca="1">_xll.meDateFromTenor(O1504,"1D","FOLLOWING","TGT")</f>
        <v>44643</v>
      </c>
      <c r="P1505" s="95">
        <f ca="1"/>
        <v>9.6304062081963241E-3</v>
      </c>
      <c r="Q1505" s="5" t="s">
        <v>4</v>
      </c>
      <c r="R1505" s="83" t="s">
        <v>4</v>
      </c>
    </row>
    <row r="1506" spans="1:18" x14ac:dyDescent="0.25">
      <c r="A1506" s="88">
        <v>1492</v>
      </c>
      <c r="B1506" s="82"/>
      <c r="C1506" s="97">
        <f ca="1">_xll.meDateFromTenor(C1505,"1D","FOLLOWING","TGT")</f>
        <v>44644</v>
      </c>
      <c r="D1506" s="95">
        <f ca="1"/>
        <v>3.906652115669651E-3</v>
      </c>
      <c r="E1506" s="92"/>
      <c r="F1506" s="97">
        <f ca="1">_xll.meDateFromTenor(F1505,"1D","FOLLOWING","TGT")</f>
        <v>44644</v>
      </c>
      <c r="G1506" s="95">
        <f ca="1"/>
        <v>4.7204788337305865E-3</v>
      </c>
      <c r="H1506" s="92" t="s">
        <v>4</v>
      </c>
      <c r="I1506" s="97">
        <f ca="1">_xll.meDateFromTenor(I1505,"1D","FOLLOWING","TGT")</f>
        <v>44644</v>
      </c>
      <c r="J1506" s="95">
        <f ca="1"/>
        <v>5.9792868323066371E-3</v>
      </c>
      <c r="K1506" s="5" t="s">
        <v>4</v>
      </c>
      <c r="L1506" s="97">
        <f ca="1">_xll.meDateFromTenor(L1505,"1D","FOLLOWING","TGT")</f>
        <v>44644</v>
      </c>
      <c r="M1506" s="95">
        <f ca="1"/>
        <v>7.7773657858457397E-3</v>
      </c>
      <c r="N1506" s="5" t="s">
        <v>4</v>
      </c>
      <c r="O1506" s="97">
        <f ca="1">_xll.meDateFromTenor(O1505,"1D","FOLLOWING","TGT")</f>
        <v>44644</v>
      </c>
      <c r="P1506" s="95">
        <f ca="1"/>
        <v>9.6376867866072077E-3</v>
      </c>
      <c r="Q1506" s="5" t="s">
        <v>4</v>
      </c>
      <c r="R1506" s="83" t="s">
        <v>4</v>
      </c>
    </row>
    <row r="1507" spans="1:18" x14ac:dyDescent="0.25">
      <c r="A1507" s="88">
        <v>1493</v>
      </c>
      <c r="B1507" s="82"/>
      <c r="C1507" s="97">
        <f ca="1">_xll.meDateFromTenor(C1506,"1D","FOLLOWING","TGT")</f>
        <v>44645</v>
      </c>
      <c r="D1507" s="95">
        <f ca="1"/>
        <v>3.9135949440853857E-3</v>
      </c>
      <c r="E1507" s="92"/>
      <c r="F1507" s="97">
        <f ca="1">_xll.meDateFromTenor(F1506,"1D","FOLLOWING","TGT")</f>
        <v>44645</v>
      </c>
      <c r="G1507" s="95">
        <f ca="1"/>
        <v>4.7275640121904388E-3</v>
      </c>
      <c r="H1507" s="92" t="s">
        <v>4</v>
      </c>
      <c r="I1507" s="97">
        <f ca="1">_xll.meDateFromTenor(I1506,"1D","FOLLOWING","TGT")</f>
        <v>44645</v>
      </c>
      <c r="J1507" s="95">
        <f ca="1"/>
        <v>5.9878001019047803E-3</v>
      </c>
      <c r="K1507" s="5" t="s">
        <v>4</v>
      </c>
      <c r="L1507" s="97">
        <f ca="1">_xll.meDateFromTenor(L1506,"1D","FOLLOWING","TGT")</f>
        <v>44645</v>
      </c>
      <c r="M1507" s="95">
        <f ca="1"/>
        <v>7.7856783330653477E-3</v>
      </c>
      <c r="N1507" s="5" t="s">
        <v>4</v>
      </c>
      <c r="O1507" s="97">
        <f ca="1">_xll.meDateFromTenor(O1506,"1D","FOLLOWING","TGT")</f>
        <v>44645</v>
      </c>
      <c r="P1507" s="95">
        <f ca="1"/>
        <v>9.6449664671555656E-3</v>
      </c>
      <c r="Q1507" s="5" t="s">
        <v>4</v>
      </c>
      <c r="R1507" s="83" t="s">
        <v>4</v>
      </c>
    </row>
    <row r="1508" spans="1:18" x14ac:dyDescent="0.25">
      <c r="A1508" s="88">
        <v>1494</v>
      </c>
      <c r="B1508" s="82"/>
      <c r="C1508" s="97">
        <f ca="1">_xll.meDateFromTenor(C1507,"1D","FOLLOWING","TGT")</f>
        <v>44648</v>
      </c>
      <c r="D1508" s="95">
        <f ca="1"/>
        <v>3.9346190579345741E-3</v>
      </c>
      <c r="E1508" s="92"/>
      <c r="F1508" s="97">
        <f ca="1">_xll.meDateFromTenor(F1507,"1D","FOLLOWING","TGT")</f>
        <v>44648</v>
      </c>
      <c r="G1508" s="95">
        <f ca="1"/>
        <v>4.7490147411736244E-3</v>
      </c>
      <c r="H1508" s="92" t="s">
        <v>4</v>
      </c>
      <c r="I1508" s="97">
        <f ca="1">_xll.meDateFromTenor(I1507,"1D","FOLLOWING","TGT")</f>
        <v>44648</v>
      </c>
      <c r="J1508" s="95">
        <f ca="1"/>
        <v>6.0133398127066792E-3</v>
      </c>
      <c r="K1508" s="5" t="s">
        <v>4</v>
      </c>
      <c r="L1508" s="97">
        <f ca="1">_xll.meDateFromTenor(L1507,"1D","FOLLOWING","TGT")</f>
        <v>44648</v>
      </c>
      <c r="M1508" s="95">
        <f ca="1"/>
        <v>7.8106060908211764E-3</v>
      </c>
      <c r="N1508" s="5" t="s">
        <v>4</v>
      </c>
      <c r="O1508" s="97">
        <f ca="1">_xll.meDateFromTenor(O1507,"1D","FOLLOWING","TGT")</f>
        <v>44648</v>
      </c>
      <c r="P1508" s="95">
        <f ca="1"/>
        <v>9.6668000921260582E-3</v>
      </c>
      <c r="Q1508" s="5" t="s">
        <v>4</v>
      </c>
      <c r="R1508" s="83" t="s">
        <v>4</v>
      </c>
    </row>
    <row r="1509" spans="1:18" x14ac:dyDescent="0.25">
      <c r="A1509" s="88">
        <v>1495</v>
      </c>
      <c r="B1509" s="82"/>
      <c r="C1509" s="97">
        <f ca="1">_xll.meDateFromTenor(C1508,"1D","FOLLOWING","TGT")</f>
        <v>44649</v>
      </c>
      <c r="D1509" s="95">
        <f ca="1"/>
        <v>3.9416923136810222E-3</v>
      </c>
      <c r="E1509" s="92"/>
      <c r="F1509" s="97">
        <f ca="1">_xll.meDateFromTenor(F1508,"1D","FOLLOWING","TGT")</f>
        <v>44649</v>
      </c>
      <c r="G1509" s="95">
        <f ca="1"/>
        <v>4.7562494038827516E-3</v>
      </c>
      <c r="H1509" s="92" t="s">
        <v>4</v>
      </c>
      <c r="I1509" s="97">
        <f ca="1">_xll.meDateFromTenor(I1508,"1D","FOLLOWING","TGT")</f>
        <v>44649</v>
      </c>
      <c r="J1509" s="95">
        <f ca="1"/>
        <v>6.0218529542154708E-3</v>
      </c>
      <c r="K1509" s="5" t="s">
        <v>4</v>
      </c>
      <c r="L1509" s="97">
        <f ca="1">_xll.meDateFromTenor(L1508,"1D","FOLLOWING","TGT")</f>
        <v>44649</v>
      </c>
      <c r="M1509" s="95">
        <f ca="1"/>
        <v>7.8189119273133611E-3</v>
      </c>
      <c r="N1509" s="5" t="s">
        <v>4</v>
      </c>
      <c r="O1509" s="97">
        <f ca="1">_xll.meDateFromTenor(O1508,"1D","FOLLOWING","TGT")</f>
        <v>44649</v>
      </c>
      <c r="P1509" s="95">
        <f ca="1"/>
        <v>9.6740761517248794E-3</v>
      </c>
      <c r="Q1509" s="5" t="s">
        <v>4</v>
      </c>
      <c r="R1509" s="83" t="s">
        <v>4</v>
      </c>
    </row>
    <row r="1510" spans="1:18" x14ac:dyDescent="0.25">
      <c r="A1510" s="88">
        <v>1496</v>
      </c>
      <c r="B1510" s="82"/>
      <c r="C1510" s="97">
        <f ca="1">_xll.meDateFromTenor(C1509,"1D","FOLLOWING","TGT")</f>
        <v>44650</v>
      </c>
      <c r="D1510" s="95">
        <f ca="1"/>
        <v>3.9487981826609175E-3</v>
      </c>
      <c r="E1510" s="92"/>
      <c r="F1510" s="97">
        <f ca="1">_xll.meDateFromTenor(F1509,"1D","FOLLOWING","TGT")</f>
        <v>44650</v>
      </c>
      <c r="G1510" s="95">
        <f ca="1"/>
        <v>4.7635359540393373E-3</v>
      </c>
      <c r="H1510" s="92" t="s">
        <v>4</v>
      </c>
      <c r="I1510" s="97">
        <f ca="1">_xll.meDateFromTenor(I1509,"1D","FOLLOWING","TGT")</f>
        <v>44650</v>
      </c>
      <c r="J1510" s="95">
        <f ca="1"/>
        <v>6.0303660166311709E-3</v>
      </c>
      <c r="K1510" s="5" t="s">
        <v>4</v>
      </c>
      <c r="L1510" s="97">
        <f ca="1">_xll.meDateFromTenor(L1509,"1D","FOLLOWING","TGT")</f>
        <v>44650</v>
      </c>
      <c r="M1510" s="95">
        <f ca="1"/>
        <v>7.8272159950296127E-3</v>
      </c>
      <c r="N1510" s="5" t="s">
        <v>4</v>
      </c>
      <c r="O1510" s="97">
        <f ca="1">_xll.meDateFromTenor(O1509,"1D","FOLLOWING","TGT")</f>
        <v>44650</v>
      </c>
      <c r="P1510" s="95">
        <f ca="1"/>
        <v>9.6813512987114561E-3</v>
      </c>
      <c r="Q1510" s="5" t="s">
        <v>4</v>
      </c>
      <c r="R1510" s="83" t="s">
        <v>4</v>
      </c>
    </row>
    <row r="1511" spans="1:18" x14ac:dyDescent="0.25">
      <c r="A1511" s="88">
        <v>1497</v>
      </c>
      <c r="B1511" s="82"/>
      <c r="C1511" s="97">
        <f ca="1">_xll.meDateFromTenor(C1510,"1D","FOLLOWING","TGT")</f>
        <v>44651</v>
      </c>
      <c r="D1511" s="95">
        <f ca="1"/>
        <v>3.9559366670136598E-3</v>
      </c>
      <c r="E1511" s="92"/>
      <c r="F1511" s="97">
        <f ca="1">_xll.meDateFromTenor(F1510,"1D","FOLLOWING","TGT")</f>
        <v>44651</v>
      </c>
      <c r="G1511" s="95">
        <f ca="1"/>
        <v>4.7708801981974445E-3</v>
      </c>
      <c r="H1511" s="92" t="s">
        <v>4</v>
      </c>
      <c r="I1511" s="97">
        <f ca="1">_xll.meDateFromTenor(I1510,"1D","FOLLOWING","TGT")</f>
        <v>44651</v>
      </c>
      <c r="J1511" s="95">
        <f ca="1"/>
        <v>6.0388789811254865E-3</v>
      </c>
      <c r="K1511" s="5" t="s">
        <v>4</v>
      </c>
      <c r="L1511" s="97">
        <f ca="1">_xll.meDateFromTenor(L1510,"1D","FOLLOWING","TGT")</f>
        <v>44651</v>
      </c>
      <c r="M1511" s="95">
        <f ca="1"/>
        <v>7.8355182575323094E-3</v>
      </c>
      <c r="N1511" s="5" t="s">
        <v>4</v>
      </c>
      <c r="O1511" s="97">
        <f ca="1">_xll.meDateFromTenor(O1510,"1D","FOLLOWING","TGT")</f>
        <v>44651</v>
      </c>
      <c r="P1511" s="95">
        <f ca="1"/>
        <v>9.6886255301358477E-3</v>
      </c>
      <c r="Q1511" s="5" t="s">
        <v>4</v>
      </c>
      <c r="R1511" s="83" t="s">
        <v>4</v>
      </c>
    </row>
    <row r="1512" spans="1:18" x14ac:dyDescent="0.25">
      <c r="A1512" s="88">
        <v>1498</v>
      </c>
      <c r="B1512" s="82"/>
      <c r="C1512" s="97">
        <f ca="1">_xll.meDateFromTenor(C1511,"1D","FOLLOWING","TGT")</f>
        <v>44652</v>
      </c>
      <c r="D1512" s="95">
        <f ca="1"/>
        <v>3.9631077698349948E-3</v>
      </c>
      <c r="E1512" s="92"/>
      <c r="F1512" s="97">
        <f ca="1">_xll.meDateFromTenor(F1511,"1D","FOLLOWING","TGT")</f>
        <v>44652</v>
      </c>
      <c r="G1512" s="95">
        <f ca="1"/>
        <v>4.7782879429111268E-3</v>
      </c>
      <c r="H1512" s="92" t="s">
        <v>4</v>
      </c>
      <c r="I1512" s="97">
        <f ca="1">_xll.meDateFromTenor(I1511,"1D","FOLLOWING","TGT")</f>
        <v>44652</v>
      </c>
      <c r="J1512" s="95">
        <f ca="1"/>
        <v>6.0473918288701141E-3</v>
      </c>
      <c r="K1512" s="5" t="s">
        <v>4</v>
      </c>
      <c r="L1512" s="97">
        <f ca="1">_xll.meDateFromTenor(L1511,"1D","FOLLOWING","TGT")</f>
        <v>44652</v>
      </c>
      <c r="M1512" s="95">
        <f ca="1"/>
        <v>7.843818678383822E-3</v>
      </c>
      <c r="N1512" s="5" t="s">
        <v>4</v>
      </c>
      <c r="O1512" s="97">
        <f ca="1">_xll.meDateFromTenor(O1511,"1D","FOLLOWING","TGT")</f>
        <v>44652</v>
      </c>
      <c r="P1512" s="95">
        <f ca="1"/>
        <v>9.6958988430481084E-3</v>
      </c>
      <c r="Q1512" s="5" t="s">
        <v>4</v>
      </c>
      <c r="R1512" s="83" t="s">
        <v>4</v>
      </c>
    </row>
    <row r="1513" spans="1:18" x14ac:dyDescent="0.25">
      <c r="A1513" s="88">
        <v>1499</v>
      </c>
      <c r="B1513" s="82"/>
      <c r="C1513" s="97">
        <f ca="1">_xll.meDateFromTenor(C1512,"1D","FOLLOWING","TGT")</f>
        <v>44655</v>
      </c>
      <c r="D1513" s="95">
        <f ca="1"/>
        <v>3.9848168124800853E-3</v>
      </c>
      <c r="E1513" s="92"/>
      <c r="F1513" s="97">
        <f ca="1">_xll.meDateFromTenor(F1512,"1D","FOLLOWING","TGT")</f>
        <v>44655</v>
      </c>
      <c r="G1513" s="95">
        <f ca="1"/>
        <v>4.800950245926197E-3</v>
      </c>
      <c r="H1513" s="92" t="s">
        <v>4</v>
      </c>
      <c r="I1513" s="97">
        <f ca="1">_xll.meDateFromTenor(I1512,"1D","FOLLOWING","TGT")</f>
        <v>44655</v>
      </c>
      <c r="J1513" s="95">
        <f ca="1"/>
        <v>6.0729294833228708E-3</v>
      </c>
      <c r="K1513" s="5" t="s">
        <v>4</v>
      </c>
      <c r="L1513" s="97">
        <f ca="1">_xll.meDateFromTenor(L1512,"1D","FOLLOWING","TGT")</f>
        <v>44655</v>
      </c>
      <c r="M1513" s="95">
        <f ca="1"/>
        <v>7.8687085266549561E-3</v>
      </c>
      <c r="N1513" s="5" t="s">
        <v>4</v>
      </c>
      <c r="O1513" s="97">
        <f ca="1">_xll.meDateFromTenor(O1512,"1D","FOLLOWING","TGT")</f>
        <v>44655</v>
      </c>
      <c r="P1513" s="95">
        <f ca="1"/>
        <v>9.7177132412126603E-3</v>
      </c>
      <c r="Q1513" s="5" t="s">
        <v>4</v>
      </c>
      <c r="R1513" s="83" t="s">
        <v>4</v>
      </c>
    </row>
    <row r="1514" spans="1:18" x14ac:dyDescent="0.25">
      <c r="A1514" s="88">
        <v>1500</v>
      </c>
      <c r="B1514" s="82"/>
      <c r="C1514" s="98">
        <f ca="1">_xll.meDateFromTenor(C1513,"1D","FOLLOWING","TGT")</f>
        <v>44656</v>
      </c>
      <c r="D1514" s="96">
        <f ca="1"/>
        <v>3.9921184133544507E-3</v>
      </c>
      <c r="E1514" s="92"/>
      <c r="F1514" s="98">
        <f ca="1">_xll.meDateFromTenor(F1513,"1D","FOLLOWING","TGT")</f>
        <v>44656</v>
      </c>
      <c r="G1514" s="96">
        <f ca="1"/>
        <v>4.8086684185986916E-3</v>
      </c>
      <c r="H1514" s="92" t="s">
        <v>4</v>
      </c>
      <c r="I1514" s="98">
        <f ca="1">_xll.meDateFromTenor(I1513,"1D","FOLLOWING","TGT")</f>
        <v>44656</v>
      </c>
      <c r="J1514" s="96">
        <f ca="1"/>
        <v>6.0814416757857476E-3</v>
      </c>
      <c r="K1514" s="5" t="s">
        <v>4</v>
      </c>
      <c r="L1514" s="98">
        <f ca="1">_xll.meDateFromTenor(L1513,"1D","FOLLOWING","TGT")</f>
        <v>44656</v>
      </c>
      <c r="M1514" s="96">
        <f ca="1"/>
        <v>7.8770012165254363E-3</v>
      </c>
      <c r="N1514" s="5" t="s">
        <v>4</v>
      </c>
      <c r="O1514" s="98">
        <f ca="1">_xll.meDateFromTenor(O1513,"1D","FOLLOWING","TGT")</f>
        <v>44656</v>
      </c>
      <c r="P1514" s="96">
        <f ca="1"/>
        <v>9.7249828505769562E-3</v>
      </c>
      <c r="Q1514" s="5" t="s">
        <v>4</v>
      </c>
      <c r="R1514" s="83" t="s">
        <v>4</v>
      </c>
    </row>
    <row r="1515" spans="1:18" x14ac:dyDescent="0.25">
      <c r="B1515" s="99" t="s">
        <v>4</v>
      </c>
      <c r="C1515" s="100" t="s">
        <v>4</v>
      </c>
      <c r="D1515" s="100" t="s">
        <v>4</v>
      </c>
      <c r="E1515" s="100" t="s">
        <v>4</v>
      </c>
      <c r="F1515" s="100" t="s">
        <v>4</v>
      </c>
      <c r="G1515" s="100" t="s">
        <v>4</v>
      </c>
      <c r="H1515" s="100" t="s">
        <v>4</v>
      </c>
      <c r="I1515" s="100" t="s">
        <v>4</v>
      </c>
      <c r="J1515" s="100" t="s">
        <v>4</v>
      </c>
      <c r="K1515" s="100" t="s">
        <v>4</v>
      </c>
      <c r="L1515" s="100" t="s">
        <v>4</v>
      </c>
      <c r="M1515" s="100" t="s">
        <v>4</v>
      </c>
      <c r="N1515" s="100" t="s">
        <v>4</v>
      </c>
      <c r="O1515" s="100" t="s">
        <v>4</v>
      </c>
      <c r="P1515" s="100" t="s">
        <v>4</v>
      </c>
      <c r="Q1515" s="100" t="s">
        <v>4</v>
      </c>
      <c r="R1515" s="101" t="s">
        <v>4</v>
      </c>
    </row>
    <row r="1516" spans="1:18" x14ac:dyDescent="0.25">
      <c r="A1516" s="88" t="s">
        <v>4</v>
      </c>
      <c r="B1516" s="88" t="s">
        <v>4</v>
      </c>
      <c r="C1516" s="88" t="s">
        <v>4</v>
      </c>
      <c r="D1516" s="88" t="s">
        <v>4</v>
      </c>
      <c r="E1516" s="88"/>
      <c r="F1516" s="88" t="s">
        <v>4</v>
      </c>
      <c r="G1516" s="88" t="s">
        <v>4</v>
      </c>
      <c r="H1516" s="88"/>
      <c r="I1516" s="88" t="s">
        <v>4</v>
      </c>
      <c r="J1516" s="88" t="s">
        <v>4</v>
      </c>
      <c r="K1516" s="88" t="s">
        <v>4</v>
      </c>
      <c r="L1516" s="88" t="s">
        <v>4</v>
      </c>
      <c r="M1516" s="88" t="s">
        <v>4</v>
      </c>
      <c r="N1516" s="88" t="s">
        <v>4</v>
      </c>
      <c r="O1516" s="88" t="s">
        <v>4</v>
      </c>
      <c r="P1516" s="88" t="s">
        <v>4</v>
      </c>
      <c r="Q1516" s="88"/>
      <c r="R1516" s="88" t="s">
        <v>4</v>
      </c>
    </row>
  </sheetData>
  <dataValidations count="1">
    <dataValidation type="list" allowBlank="1" showInputMessage="1" showErrorMessage="1" sqref="D10 M10 J10 G10 P10">
      <formula1>"TRUE,FALSE"</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5" tint="0.39997558519241921"/>
  </sheetPr>
  <dimension ref="B2:L71"/>
  <sheetViews>
    <sheetView showGridLines="0" workbookViewId="0"/>
  </sheetViews>
  <sheetFormatPr defaultRowHeight="15" x14ac:dyDescent="0.25"/>
  <cols>
    <col min="2" max="2" width="4.7109375" customWidth="1"/>
    <col min="3" max="3" width="25.7109375" customWidth="1"/>
    <col min="4" max="5" width="18.7109375" customWidth="1"/>
    <col min="6" max="6" width="4.7109375" customWidth="1"/>
    <col min="8" max="8" width="4.7109375" customWidth="1"/>
    <col min="9" max="9" width="25.7109375" customWidth="1"/>
    <col min="10" max="11" width="18.7109375" customWidth="1"/>
    <col min="12" max="12" width="4.7109375" customWidth="1"/>
  </cols>
  <sheetData>
    <row r="2" spans="2:12" s="125" customFormat="1" x14ac:dyDescent="0.25">
      <c r="B2" s="151" t="s">
        <v>440</v>
      </c>
      <c r="C2" s="316"/>
      <c r="D2" s="424"/>
      <c r="E2" s="424"/>
      <c r="G2" s="317"/>
      <c r="H2" s="151" t="s">
        <v>442</v>
      </c>
      <c r="I2" s="316"/>
      <c r="J2" s="424"/>
      <c r="K2" s="424"/>
    </row>
    <row r="3" spans="2:12" s="125" customFormat="1" x14ac:dyDescent="0.25">
      <c r="B3" s="126"/>
      <c r="C3" s="318"/>
      <c r="D3" s="240"/>
      <c r="E3" s="240"/>
      <c r="F3" s="128"/>
      <c r="G3" s="317"/>
      <c r="H3" s="126"/>
      <c r="I3" s="318"/>
      <c r="J3" s="240"/>
      <c r="K3" s="240"/>
      <c r="L3" s="128"/>
    </row>
    <row r="4" spans="2:12" s="125" customFormat="1" x14ac:dyDescent="0.25">
      <c r="B4" s="129"/>
      <c r="C4" s="319" t="s">
        <v>385</v>
      </c>
      <c r="D4" s="320" t="s">
        <v>441</v>
      </c>
      <c r="E4" s="321"/>
      <c r="F4" s="131" t="s">
        <v>4</v>
      </c>
      <c r="G4" s="317"/>
      <c r="H4" s="129"/>
      <c r="I4" s="319" t="s">
        <v>385</v>
      </c>
      <c r="J4" s="320" t="s">
        <v>441</v>
      </c>
      <c r="K4" s="321"/>
      <c r="L4" s="131" t="s">
        <v>4</v>
      </c>
    </row>
    <row r="5" spans="2:12" s="125" customFormat="1" x14ac:dyDescent="0.25">
      <c r="B5" s="129"/>
      <c r="C5" s="322">
        <f ca="1">IF(AND(NOW(),isEUROISLoaded),_xll.meCurveDiscountFactors(D5,D10,D11),"Load Curve")</f>
        <v>0.97129903304678178</v>
      </c>
      <c r="D5" s="345">
        <f ca="1">COB+3650</f>
        <v>46171</v>
      </c>
      <c r="E5" s="324"/>
      <c r="F5" s="131"/>
      <c r="G5" s="317"/>
      <c r="H5" s="129"/>
      <c r="I5" s="322">
        <f t="array" aca="1" ref="I5:I8" ca="1">IF(AND(NOW(),isEUROISLoaded),_xll.meCurveDiscountFactors(J5:J8,$J$23,$J$24),"Load Curve")</f>
        <v>1.0038839678429567</v>
      </c>
      <c r="J5" s="345">
        <f ca="1">COB+365</f>
        <v>42886</v>
      </c>
      <c r="K5" s="324"/>
      <c r="L5" s="131"/>
    </row>
    <row r="6" spans="2:12" s="125" customFormat="1" x14ac:dyDescent="0.25">
      <c r="B6" s="129"/>
      <c r="C6" s="322"/>
      <c r="D6" s="326"/>
      <c r="E6" s="327"/>
      <c r="F6" s="131"/>
      <c r="G6" s="317"/>
      <c r="H6" s="129"/>
      <c r="I6" s="322">
        <f ca="1"/>
        <v>1.0081768758901672</v>
      </c>
      <c r="J6" s="231">
        <f ca="1">J5+365</f>
        <v>43251</v>
      </c>
      <c r="K6" s="327"/>
      <c r="L6" s="131"/>
    </row>
    <row r="7" spans="2:12" s="125" customFormat="1" x14ac:dyDescent="0.25">
      <c r="B7" s="129"/>
      <c r="C7" s="322"/>
      <c r="D7" s="326"/>
      <c r="E7" s="327"/>
      <c r="F7" s="131"/>
      <c r="G7" s="317"/>
      <c r="H7" s="129"/>
      <c r="I7" s="322">
        <f ca="1"/>
        <v>1.0118122799520919</v>
      </c>
      <c r="J7" s="231">
        <f ca="1">J6+365</f>
        <v>43616</v>
      </c>
      <c r="K7" s="327"/>
      <c r="L7" s="131"/>
    </row>
    <row r="8" spans="2:12" s="125" customFormat="1" x14ac:dyDescent="0.25">
      <c r="B8" s="129"/>
      <c r="C8" s="325"/>
      <c r="D8" s="328"/>
      <c r="E8" s="329"/>
      <c r="F8" s="131"/>
      <c r="G8" s="317"/>
      <c r="H8" s="129"/>
      <c r="I8" s="325">
        <f ca="1"/>
        <v>1.0140465022144145</v>
      </c>
      <c r="J8" s="347">
        <f ca="1">J7+365</f>
        <v>43981</v>
      </c>
      <c r="K8" s="329"/>
      <c r="L8" s="131"/>
    </row>
    <row r="9" spans="2:12" s="125" customFormat="1" x14ac:dyDescent="0.25">
      <c r="B9" s="129"/>
      <c r="C9" s="330"/>
      <c r="D9" s="172"/>
      <c r="E9" s="172"/>
      <c r="F9" s="131"/>
      <c r="G9" s="317"/>
      <c r="H9" s="129"/>
      <c r="I9" s="330"/>
      <c r="J9" s="172"/>
      <c r="K9" s="172"/>
      <c r="L9" s="131"/>
    </row>
    <row r="10" spans="2:12" s="125" customFormat="1" x14ac:dyDescent="0.25">
      <c r="B10" s="129"/>
      <c r="C10" s="331" t="s">
        <v>80</v>
      </c>
      <c r="D10" s="332" t="s">
        <v>78</v>
      </c>
      <c r="E10" s="333"/>
      <c r="F10" s="131"/>
      <c r="G10" s="317"/>
      <c r="H10" s="129"/>
      <c r="I10" s="331" t="s">
        <v>80</v>
      </c>
      <c r="J10" s="332" t="s">
        <v>78</v>
      </c>
      <c r="K10" s="333"/>
      <c r="L10" s="131"/>
    </row>
    <row r="11" spans="2:12" s="125" customFormat="1" x14ac:dyDescent="0.25">
      <c r="B11" s="129"/>
      <c r="C11" s="334" t="s">
        <v>387</v>
      </c>
      <c r="D11" s="335" t="s">
        <v>9</v>
      </c>
      <c r="E11" s="336"/>
      <c r="F11" s="131"/>
      <c r="G11" s="317"/>
      <c r="H11" s="129"/>
      <c r="I11" s="334" t="s">
        <v>387</v>
      </c>
      <c r="J11" s="335" t="s">
        <v>9</v>
      </c>
      <c r="K11" s="336"/>
      <c r="L11" s="131"/>
    </row>
    <row r="12" spans="2:12" s="125" customFormat="1" x14ac:dyDescent="0.25">
      <c r="B12" s="133"/>
      <c r="C12" s="337"/>
      <c r="D12" s="239"/>
      <c r="E12" s="239"/>
      <c r="F12" s="135"/>
      <c r="G12" s="317"/>
      <c r="H12" s="133"/>
      <c r="I12" s="337"/>
      <c r="J12" s="239"/>
      <c r="K12" s="239"/>
      <c r="L12" s="135"/>
    </row>
    <row r="13" spans="2:12" s="125" customFormat="1" x14ac:dyDescent="0.25"/>
    <row r="14" spans="2:12" s="125" customFormat="1" x14ac:dyDescent="0.25"/>
    <row r="15" spans="2:12" x14ac:dyDescent="0.25">
      <c r="B15" s="151" t="s">
        <v>383</v>
      </c>
      <c r="C15" s="316"/>
      <c r="D15" s="313"/>
      <c r="E15" s="313"/>
      <c r="F15" s="125"/>
      <c r="G15" s="317"/>
      <c r="H15" s="151" t="s">
        <v>384</v>
      </c>
      <c r="I15" s="316"/>
      <c r="J15" s="313"/>
      <c r="K15" s="313"/>
      <c r="L15" s="125"/>
    </row>
    <row r="16" spans="2:12" x14ac:dyDescent="0.25">
      <c r="B16" s="126"/>
      <c r="C16" s="318"/>
      <c r="D16" s="240"/>
      <c r="E16" s="240"/>
      <c r="F16" s="128"/>
      <c r="G16" s="317"/>
      <c r="H16" s="126"/>
      <c r="I16" s="318"/>
      <c r="J16" s="240"/>
      <c r="K16" s="240"/>
      <c r="L16" s="128"/>
    </row>
    <row r="17" spans="2:12" x14ac:dyDescent="0.25">
      <c r="B17" s="129"/>
      <c r="C17" s="319" t="s">
        <v>385</v>
      </c>
      <c r="D17" s="320" t="s">
        <v>386</v>
      </c>
      <c r="E17" s="321"/>
      <c r="F17" s="131" t="s">
        <v>4</v>
      </c>
      <c r="G17" s="317"/>
      <c r="H17" s="129"/>
      <c r="I17" s="319" t="s">
        <v>385</v>
      </c>
      <c r="J17" s="320" t="s">
        <v>386</v>
      </c>
      <c r="K17" s="321"/>
      <c r="L17" s="131" t="s">
        <v>4</v>
      </c>
    </row>
    <row r="18" spans="2:12" x14ac:dyDescent="0.25">
      <c r="B18" s="129"/>
      <c r="C18" s="322">
        <f ca="1">IF(AND(NOW(),isEUROISLoaded),_xll.meCurveDiscountFactorsFromYearFractions(D18,D25,D23,D24),"Load Curve")</f>
        <v>1.0017960164731896</v>
      </c>
      <c r="D18" s="323">
        <v>0.5</v>
      </c>
      <c r="E18" s="324"/>
      <c r="F18" s="131"/>
      <c r="G18" s="317"/>
      <c r="H18" s="129"/>
      <c r="I18" s="322">
        <f t="array" aca="1" ref="I18:I21" ca="1">IF(AND(NOW(),isEUROISLoaded),_xll.meCurveDiscountFactorsFromYearFractions(J18:J21,J25,$J$23,$J$24),"Load Curve")</f>
        <v>1.0017960164731896</v>
      </c>
      <c r="J18" s="323">
        <v>0.5</v>
      </c>
      <c r="K18" s="324"/>
      <c r="L18" s="131"/>
    </row>
    <row r="19" spans="2:12" x14ac:dyDescent="0.25">
      <c r="B19" s="129"/>
      <c r="C19" s="322"/>
      <c r="D19" s="326"/>
      <c r="E19" s="327"/>
      <c r="F19" s="131"/>
      <c r="G19" s="317"/>
      <c r="H19" s="129"/>
      <c r="I19" s="322">
        <f ca="1"/>
        <v>1.0059406757428997</v>
      </c>
      <c r="J19" s="326">
        <v>1.5</v>
      </c>
      <c r="K19" s="327"/>
      <c r="L19" s="131"/>
    </row>
    <row r="20" spans="2:12" x14ac:dyDescent="0.25">
      <c r="B20" s="129"/>
      <c r="C20" s="322"/>
      <c r="D20" s="326"/>
      <c r="E20" s="327"/>
      <c r="F20" s="131"/>
      <c r="G20" s="317"/>
      <c r="H20" s="129"/>
      <c r="I20" s="322">
        <f ca="1"/>
        <v>1.0080623916310183</v>
      </c>
      <c r="J20" s="326">
        <v>2</v>
      </c>
      <c r="K20" s="327"/>
      <c r="L20" s="131"/>
    </row>
    <row r="21" spans="2:12" x14ac:dyDescent="0.25">
      <c r="B21" s="129"/>
      <c r="C21" s="325"/>
      <c r="D21" s="328"/>
      <c r="E21" s="329"/>
      <c r="F21" s="131"/>
      <c r="G21" s="317"/>
      <c r="H21" s="129"/>
      <c r="I21" s="325">
        <f ca="1"/>
        <v>1.0099983491265423</v>
      </c>
      <c r="J21" s="328">
        <v>2.5</v>
      </c>
      <c r="K21" s="329"/>
      <c r="L21" s="131"/>
    </row>
    <row r="22" spans="2:12" x14ac:dyDescent="0.25">
      <c r="B22" s="129"/>
      <c r="C22" s="330"/>
      <c r="D22" s="172"/>
      <c r="E22" s="172"/>
      <c r="F22" s="131"/>
      <c r="G22" s="317"/>
      <c r="H22" s="129"/>
      <c r="I22" s="330"/>
      <c r="J22" s="172"/>
      <c r="K22" s="172"/>
      <c r="L22" s="131"/>
    </row>
    <row r="23" spans="2:12" x14ac:dyDescent="0.25">
      <c r="B23" s="129"/>
      <c r="C23" s="331" t="s">
        <v>80</v>
      </c>
      <c r="D23" s="332" t="s">
        <v>78</v>
      </c>
      <c r="E23" s="333"/>
      <c r="F23" s="131"/>
      <c r="G23" s="317"/>
      <c r="H23" s="129"/>
      <c r="I23" s="331" t="s">
        <v>80</v>
      </c>
      <c r="J23" s="332" t="s">
        <v>78</v>
      </c>
      <c r="K23" s="333"/>
      <c r="L23" s="131"/>
    </row>
    <row r="24" spans="2:12" x14ac:dyDescent="0.25">
      <c r="B24" s="129"/>
      <c r="C24" s="341" t="s">
        <v>387</v>
      </c>
      <c r="D24" s="342" t="s">
        <v>9</v>
      </c>
      <c r="E24" s="343"/>
      <c r="F24" s="131"/>
      <c r="G24" s="317"/>
      <c r="H24" s="129"/>
      <c r="I24" s="341" t="s">
        <v>387</v>
      </c>
      <c r="J24" s="342" t="s">
        <v>9</v>
      </c>
      <c r="K24" s="343"/>
      <c r="L24" s="131"/>
    </row>
    <row r="25" spans="2:12" s="125" customFormat="1" x14ac:dyDescent="0.25">
      <c r="B25" s="129"/>
      <c r="C25" s="334" t="s">
        <v>18</v>
      </c>
      <c r="D25" s="335" t="s">
        <v>6</v>
      </c>
      <c r="E25" s="336"/>
      <c r="F25" s="131"/>
      <c r="G25" s="317"/>
      <c r="H25" s="129"/>
      <c r="I25" s="334" t="s">
        <v>18</v>
      </c>
      <c r="J25" s="335" t="s">
        <v>6</v>
      </c>
      <c r="K25" s="336"/>
      <c r="L25" s="131"/>
    </row>
    <row r="26" spans="2:12" x14ac:dyDescent="0.25">
      <c r="B26" s="133"/>
      <c r="C26" s="337"/>
      <c r="D26" s="239"/>
      <c r="E26" s="239"/>
      <c r="F26" s="135"/>
      <c r="G26" s="317"/>
      <c r="H26" s="133"/>
      <c r="I26" s="337"/>
      <c r="J26" s="239"/>
      <c r="K26" s="239"/>
      <c r="L26" s="135"/>
    </row>
    <row r="27" spans="2:12" x14ac:dyDescent="0.25">
      <c r="B27" s="317"/>
      <c r="C27" s="338"/>
      <c r="D27" s="339"/>
      <c r="E27" s="339"/>
      <c r="F27" s="317"/>
      <c r="G27" s="317"/>
      <c r="H27" s="317"/>
      <c r="I27" s="338"/>
      <c r="J27" s="339"/>
      <c r="K27" s="339"/>
      <c r="L27" s="317"/>
    </row>
    <row r="28" spans="2:12" x14ac:dyDescent="0.25">
      <c r="B28" s="317"/>
      <c r="C28" s="340"/>
      <c r="D28" s="339"/>
      <c r="E28" s="339"/>
      <c r="F28" s="317"/>
      <c r="G28" s="317"/>
      <c r="H28" s="317"/>
      <c r="I28" s="340"/>
      <c r="J28" s="339"/>
      <c r="K28" s="339"/>
      <c r="L28" s="317"/>
    </row>
    <row r="29" spans="2:12" x14ac:dyDescent="0.25">
      <c r="B29" s="151" t="s">
        <v>388</v>
      </c>
      <c r="C29" s="316"/>
      <c r="D29" s="313"/>
      <c r="E29" s="313"/>
      <c r="F29" s="125"/>
      <c r="G29" s="317"/>
      <c r="H29" s="151" t="s">
        <v>389</v>
      </c>
      <c r="I29" s="316"/>
      <c r="J29" s="313"/>
      <c r="K29" s="313"/>
      <c r="L29" s="125"/>
    </row>
    <row r="30" spans="2:12" x14ac:dyDescent="0.25">
      <c r="B30" s="126"/>
      <c r="C30" s="318"/>
      <c r="D30" s="240"/>
      <c r="E30" s="240"/>
      <c r="F30" s="128"/>
      <c r="G30" s="317"/>
      <c r="H30" s="126"/>
      <c r="I30" s="318"/>
      <c r="J30" s="240"/>
      <c r="K30" s="240"/>
      <c r="L30" s="128"/>
    </row>
    <row r="31" spans="2:12" x14ac:dyDescent="0.25">
      <c r="B31" s="129"/>
      <c r="C31" s="319" t="s">
        <v>385</v>
      </c>
      <c r="D31" s="320" t="s">
        <v>390</v>
      </c>
      <c r="E31" s="321"/>
      <c r="F31" s="131" t="s">
        <v>4</v>
      </c>
      <c r="G31" s="317"/>
      <c r="H31" s="129"/>
      <c r="I31" s="319" t="s">
        <v>385</v>
      </c>
      <c r="J31" s="320" t="s">
        <v>390</v>
      </c>
      <c r="K31" s="321"/>
      <c r="L31" s="131" t="s">
        <v>4</v>
      </c>
    </row>
    <row r="32" spans="2:12" x14ac:dyDescent="0.25">
      <c r="B32" s="129"/>
      <c r="C32" s="322">
        <f ca="1">IF(AND(NOW(),isEUROISLoaded),_xll.meCurveDiscountFactorsFromTenors(D32,$D$39,$D$40,$D$37,$D$38),"Load Curve")</f>
        <v>1.0018279077407679</v>
      </c>
      <c r="D32" s="323" t="s">
        <v>94</v>
      </c>
      <c r="E32" s="324"/>
      <c r="F32" s="131"/>
      <c r="G32" s="317"/>
      <c r="H32" s="129"/>
      <c r="I32" s="322">
        <f t="array" aca="1" ref="I32:I35" ca="1">IF(AND(NOW(),isEUROISLoaded),_xll.meCurveDiscountFactorsFromTenors(J32:J35,$J$39,$J$40,$J$37,$J$38),"Load Curve")</f>
        <v>1.0018279077407679</v>
      </c>
      <c r="J32" s="323" t="s">
        <v>94</v>
      </c>
      <c r="K32" s="324"/>
      <c r="L32" s="131"/>
    </row>
    <row r="33" spans="2:12" x14ac:dyDescent="0.25">
      <c r="B33" s="129"/>
      <c r="C33" s="322"/>
      <c r="D33" s="326"/>
      <c r="E33" s="327"/>
      <c r="F33" s="131"/>
      <c r="G33" s="317"/>
      <c r="H33" s="129"/>
      <c r="I33" s="322">
        <f ca="1"/>
        <v>1.0038839678429567</v>
      </c>
      <c r="J33" s="326" t="s">
        <v>159</v>
      </c>
      <c r="K33" s="327"/>
      <c r="L33" s="131"/>
    </row>
    <row r="34" spans="2:12" x14ac:dyDescent="0.25">
      <c r="B34" s="129"/>
      <c r="C34" s="322"/>
      <c r="D34" s="326"/>
      <c r="E34" s="327"/>
      <c r="F34" s="131"/>
      <c r="G34" s="317"/>
      <c r="H34" s="129"/>
      <c r="I34" s="322">
        <f ca="1"/>
        <v>1.0060348939785819</v>
      </c>
      <c r="J34" s="326" t="s">
        <v>58</v>
      </c>
      <c r="K34" s="327"/>
      <c r="L34" s="131"/>
    </row>
    <row r="35" spans="2:12" x14ac:dyDescent="0.25">
      <c r="B35" s="129"/>
      <c r="C35" s="325"/>
      <c r="D35" s="328"/>
      <c r="E35" s="329"/>
      <c r="F35" s="131"/>
      <c r="G35" s="317"/>
      <c r="H35" s="129"/>
      <c r="I35" s="325">
        <f ca="1"/>
        <v>1.0081768758901672</v>
      </c>
      <c r="J35" s="328" t="s">
        <v>47</v>
      </c>
      <c r="K35" s="329"/>
      <c r="L35" s="131"/>
    </row>
    <row r="36" spans="2:12" x14ac:dyDescent="0.25">
      <c r="B36" s="129"/>
      <c r="C36" s="330"/>
      <c r="D36" s="172"/>
      <c r="E36" s="172"/>
      <c r="F36" s="131"/>
      <c r="G36" s="317"/>
      <c r="H36" s="129"/>
      <c r="I36" s="330"/>
      <c r="J36" s="172"/>
      <c r="K36" s="172"/>
      <c r="L36" s="131"/>
    </row>
    <row r="37" spans="2:12" x14ac:dyDescent="0.25">
      <c r="B37" s="129"/>
      <c r="C37" s="331" t="s">
        <v>391</v>
      </c>
      <c r="D37" s="332" t="s">
        <v>78</v>
      </c>
      <c r="E37" s="333"/>
      <c r="F37" s="131"/>
      <c r="G37" s="317"/>
      <c r="H37" s="129"/>
      <c r="I37" s="331" t="s">
        <v>391</v>
      </c>
      <c r="J37" s="332" t="s">
        <v>78</v>
      </c>
      <c r="K37" s="333"/>
      <c r="L37" s="131"/>
    </row>
    <row r="38" spans="2:12" x14ac:dyDescent="0.25">
      <c r="B38" s="129"/>
      <c r="C38" s="341" t="s">
        <v>387</v>
      </c>
      <c r="D38" s="342" t="s">
        <v>9</v>
      </c>
      <c r="E38" s="343"/>
      <c r="F38" s="131"/>
      <c r="G38" s="344"/>
      <c r="H38" s="129"/>
      <c r="I38" s="341" t="s">
        <v>387</v>
      </c>
      <c r="J38" s="342" t="s">
        <v>9</v>
      </c>
      <c r="K38" s="343"/>
      <c r="L38" s="131"/>
    </row>
    <row r="39" spans="2:12" x14ac:dyDescent="0.25">
      <c r="B39" s="129"/>
      <c r="C39" s="341" t="s">
        <v>392</v>
      </c>
      <c r="D39" s="342" t="s">
        <v>22</v>
      </c>
      <c r="E39" s="343"/>
      <c r="F39" s="131"/>
      <c r="G39" s="344"/>
      <c r="H39" s="129"/>
      <c r="I39" s="341" t="s">
        <v>392</v>
      </c>
      <c r="J39" s="342" t="s">
        <v>22</v>
      </c>
      <c r="K39" s="343"/>
      <c r="L39" s="131"/>
    </row>
    <row r="40" spans="2:12" x14ac:dyDescent="0.25">
      <c r="B40" s="129"/>
      <c r="C40" s="334" t="s">
        <v>1</v>
      </c>
      <c r="D40" s="335" t="s">
        <v>2</v>
      </c>
      <c r="E40" s="336"/>
      <c r="F40" s="131"/>
      <c r="G40" s="344"/>
      <c r="H40" s="129"/>
      <c r="I40" s="334" t="s">
        <v>1</v>
      </c>
      <c r="J40" s="335" t="s">
        <v>2</v>
      </c>
      <c r="K40" s="336"/>
      <c r="L40" s="131"/>
    </row>
    <row r="41" spans="2:12" x14ac:dyDescent="0.25">
      <c r="B41" s="133"/>
      <c r="C41" s="337"/>
      <c r="D41" s="239"/>
      <c r="E41" s="239"/>
      <c r="F41" s="135"/>
      <c r="G41" s="317"/>
      <c r="H41" s="133"/>
      <c r="I41" s="337"/>
      <c r="J41" s="239"/>
      <c r="K41" s="239"/>
      <c r="L41" s="135"/>
    </row>
    <row r="42" spans="2:12" x14ac:dyDescent="0.25">
      <c r="B42" s="317"/>
      <c r="C42" s="338"/>
      <c r="D42" s="339"/>
      <c r="E42" s="339"/>
      <c r="F42" s="317"/>
      <c r="G42" s="317"/>
      <c r="H42" s="317"/>
      <c r="I42" s="338"/>
      <c r="J42" s="339"/>
      <c r="K42" s="339"/>
      <c r="L42" s="317"/>
    </row>
    <row r="43" spans="2:12" x14ac:dyDescent="0.25">
      <c r="B43" s="317"/>
      <c r="C43" s="338"/>
      <c r="D43" s="339"/>
      <c r="E43" s="339"/>
      <c r="F43" s="317"/>
      <c r="G43" s="317"/>
      <c r="H43" s="317"/>
      <c r="I43" s="338"/>
      <c r="J43" s="339"/>
      <c r="K43" s="339"/>
      <c r="L43" s="317"/>
    </row>
    <row r="44" spans="2:12" x14ac:dyDescent="0.25">
      <c r="B44" s="151" t="s">
        <v>393</v>
      </c>
      <c r="C44" s="316"/>
      <c r="D44" s="313"/>
      <c r="E44" s="339"/>
      <c r="F44" s="125"/>
      <c r="G44" s="317"/>
      <c r="H44" s="151" t="s">
        <v>394</v>
      </c>
      <c r="I44" s="316"/>
      <c r="J44" s="313"/>
      <c r="K44" s="313"/>
      <c r="L44" s="125"/>
    </row>
    <row r="45" spans="2:12" x14ac:dyDescent="0.25">
      <c r="B45" s="126"/>
      <c r="C45" s="318"/>
      <c r="D45" s="240"/>
      <c r="E45" s="240"/>
      <c r="F45" s="128"/>
      <c r="G45" s="317"/>
      <c r="H45" s="126"/>
      <c r="I45" s="318"/>
      <c r="J45" s="240"/>
      <c r="K45" s="240"/>
      <c r="L45" s="128"/>
    </row>
    <row r="46" spans="2:12" x14ac:dyDescent="0.25">
      <c r="B46" s="129"/>
      <c r="C46" s="319" t="s">
        <v>385</v>
      </c>
      <c r="D46" s="320" t="s">
        <v>13</v>
      </c>
      <c r="E46" s="321" t="s">
        <v>14</v>
      </c>
      <c r="F46" s="131" t="s">
        <v>4</v>
      </c>
      <c r="G46" s="317"/>
      <c r="H46" s="129"/>
      <c r="I46" s="319" t="s">
        <v>385</v>
      </c>
      <c r="J46" s="320" t="s">
        <v>13</v>
      </c>
      <c r="K46" s="321" t="s">
        <v>14</v>
      </c>
      <c r="L46" s="131" t="s">
        <v>4</v>
      </c>
    </row>
    <row r="47" spans="2:12" x14ac:dyDescent="0.25">
      <c r="B47" s="129"/>
      <c r="C47" s="322">
        <f ca="1">IF(AND(NOW(),isEUROISLoaded),_xll.meCurveDiscountFactorsForwardStarting(D47,E47,$D$37,$D$38),"Load Curve")</f>
        <v>1.0007641873866457</v>
      </c>
      <c r="D47" s="345">
        <f ca="1">COB</f>
        <v>42521</v>
      </c>
      <c r="E47" s="346">
        <v>42601</v>
      </c>
      <c r="F47" s="131"/>
      <c r="G47" s="317"/>
      <c r="H47" s="129"/>
      <c r="I47" s="322">
        <f t="array" aca="1" ref="I47:I50" ca="1">IF(AND(NOW(),isEUROISLoaded),_xll.meCurveDiscountFactorsForwardStarting($J$47:$J$50,$K$47:$K$50,$J$37,$J$38),"Load Curve")</f>
        <v>1.0018279077407679</v>
      </c>
      <c r="J47" s="345">
        <f ca="1">COB</f>
        <v>42521</v>
      </c>
      <c r="K47" s="346">
        <f ca="1">IF(NOW(),_xll.meDateFromTenor(J47,J32))</f>
        <v>42704</v>
      </c>
      <c r="L47" s="131"/>
    </row>
    <row r="48" spans="2:12" x14ac:dyDescent="0.25">
      <c r="B48" s="129"/>
      <c r="C48" s="322"/>
      <c r="D48" s="231"/>
      <c r="E48" s="232"/>
      <c r="F48" s="131"/>
      <c r="G48" s="317"/>
      <c r="H48" s="129"/>
      <c r="I48" s="322">
        <f ca="1"/>
        <v>1.0038839678429567</v>
      </c>
      <c r="J48" s="231">
        <f ca="1">COB</f>
        <v>42521</v>
      </c>
      <c r="K48" s="232">
        <f ca="1">IF(NOW(),_xll.meDateFromTenor(J48,J33))</f>
        <v>42886</v>
      </c>
      <c r="L48" s="131"/>
    </row>
    <row r="49" spans="2:12" x14ac:dyDescent="0.25">
      <c r="B49" s="129"/>
      <c r="C49" s="322"/>
      <c r="D49" s="231"/>
      <c r="E49" s="232"/>
      <c r="F49" s="131"/>
      <c r="G49" s="317"/>
      <c r="H49" s="129"/>
      <c r="I49" s="322">
        <f ca="1"/>
        <v>1.0060348939785819</v>
      </c>
      <c r="J49" s="231">
        <f ca="1">COB</f>
        <v>42521</v>
      </c>
      <c r="K49" s="232">
        <f ca="1">IF(NOW(),_xll.meDateFromTenor(J49,J34))</f>
        <v>43069</v>
      </c>
      <c r="L49" s="131"/>
    </row>
    <row r="50" spans="2:12" x14ac:dyDescent="0.25">
      <c r="B50" s="129"/>
      <c r="C50" s="325"/>
      <c r="D50" s="347"/>
      <c r="E50" s="348"/>
      <c r="F50" s="131"/>
      <c r="G50" s="317"/>
      <c r="H50" s="129"/>
      <c r="I50" s="325">
        <f ca="1"/>
        <v>1.0081768758901672</v>
      </c>
      <c r="J50" s="347">
        <f ca="1">COB</f>
        <v>42521</v>
      </c>
      <c r="K50" s="348">
        <f ca="1">IF(NOW(),_xll.meDateFromTenor(J50,J35))</f>
        <v>43251</v>
      </c>
      <c r="L50" s="131"/>
    </row>
    <row r="51" spans="2:12" x14ac:dyDescent="0.25">
      <c r="B51" s="133"/>
      <c r="C51" s="337"/>
      <c r="D51" s="239"/>
      <c r="E51" s="239"/>
      <c r="F51" s="135"/>
      <c r="G51" s="317"/>
      <c r="H51" s="133"/>
      <c r="I51" s="337"/>
      <c r="J51" s="239"/>
      <c r="K51" s="239"/>
      <c r="L51" s="135"/>
    </row>
    <row r="52" spans="2:12" x14ac:dyDescent="0.25">
      <c r="B52" s="317"/>
      <c r="C52" s="338"/>
      <c r="D52" s="339"/>
      <c r="E52" s="339"/>
      <c r="F52" s="317"/>
      <c r="G52" s="317"/>
      <c r="H52" s="317"/>
      <c r="I52" s="338"/>
      <c r="J52" s="339"/>
      <c r="K52" s="339"/>
      <c r="L52" s="317"/>
    </row>
    <row r="53" spans="2:12" x14ac:dyDescent="0.25">
      <c r="B53" s="317"/>
      <c r="C53" s="338"/>
      <c r="D53" s="339"/>
      <c r="E53" s="339"/>
      <c r="F53" s="317"/>
      <c r="G53" s="317"/>
      <c r="H53" s="317"/>
      <c r="I53" s="338"/>
      <c r="J53" s="339"/>
      <c r="K53" s="339"/>
      <c r="L53" s="317"/>
    </row>
    <row r="54" spans="2:12" x14ac:dyDescent="0.25">
      <c r="B54" s="151" t="s">
        <v>395</v>
      </c>
      <c r="C54" s="316"/>
      <c r="D54" s="313"/>
      <c r="E54" s="339"/>
      <c r="F54" s="125"/>
      <c r="G54" s="317"/>
      <c r="H54" s="151" t="s">
        <v>396</v>
      </c>
      <c r="I54" s="316"/>
      <c r="J54" s="313"/>
      <c r="K54" s="313"/>
      <c r="L54" s="125"/>
    </row>
    <row r="55" spans="2:12" x14ac:dyDescent="0.25">
      <c r="B55" s="126"/>
      <c r="C55" s="318"/>
      <c r="D55" s="240"/>
      <c r="E55" s="240"/>
      <c r="F55" s="128"/>
      <c r="G55" s="317"/>
      <c r="H55" s="126"/>
      <c r="I55" s="318"/>
      <c r="J55" s="240"/>
      <c r="K55" s="240"/>
      <c r="L55" s="128"/>
    </row>
    <row r="56" spans="2:12" x14ac:dyDescent="0.25">
      <c r="B56" s="129"/>
      <c r="C56" s="319" t="s">
        <v>385</v>
      </c>
      <c r="D56" s="320" t="s">
        <v>13</v>
      </c>
      <c r="E56" s="321" t="s">
        <v>386</v>
      </c>
      <c r="F56" s="131" t="s">
        <v>4</v>
      </c>
      <c r="G56" s="317"/>
      <c r="H56" s="129"/>
      <c r="I56" s="319" t="s">
        <v>385</v>
      </c>
      <c r="J56" s="320" t="s">
        <v>13</v>
      </c>
      <c r="K56" s="321" t="s">
        <v>386</v>
      </c>
      <c r="L56" s="131" t="s">
        <v>4</v>
      </c>
    </row>
    <row r="57" spans="2:12" x14ac:dyDescent="0.25">
      <c r="B57" s="129"/>
      <c r="C57" s="322">
        <f ca="1">IF(AND(NOW(),isEUROISLoaded),_xll.meCurveDiscountFactorsForwardStartingFromYearFractions(D57,E57,D25,$D$37,$D$38),"Load Curve")</f>
        <v>1.0017960164731896</v>
      </c>
      <c r="D57" s="345">
        <f ca="1">COB</f>
        <v>42521</v>
      </c>
      <c r="E57" s="349">
        <v>0.5</v>
      </c>
      <c r="F57" s="131"/>
      <c r="G57" s="317"/>
      <c r="H57" s="129"/>
      <c r="I57" s="322">
        <f t="array" aca="1" ref="I57:I60" ca="1">IF(AND(NOW(),isEUROISLoaded),_xll.meCurveDiscountFactorsForwardStartingFromYearFractions($J$57:$J$60,$K$57:$K$60,J25,$J$37,$J$38),"Load Curve")</f>
        <v>1.0007447281775959</v>
      </c>
      <c r="J57" s="345">
        <v>42419</v>
      </c>
      <c r="K57" s="349">
        <v>0.5</v>
      </c>
      <c r="L57" s="131"/>
    </row>
    <row r="58" spans="2:12" x14ac:dyDescent="0.25">
      <c r="B58" s="129"/>
      <c r="C58" s="322"/>
      <c r="D58" s="231"/>
      <c r="E58" s="350"/>
      <c r="F58" s="131"/>
      <c r="G58" s="317"/>
      <c r="H58" s="129"/>
      <c r="I58" s="322">
        <f ca="1"/>
        <v>1.0010310124920931</v>
      </c>
      <c r="J58" s="231">
        <f ca="1">_xll.meDateFromTenor(J57,"1M")</f>
        <v>42448</v>
      </c>
      <c r="K58" s="350">
        <v>0.5</v>
      </c>
      <c r="L58" s="131"/>
    </row>
    <row r="59" spans="2:12" x14ac:dyDescent="0.25">
      <c r="B59" s="129"/>
      <c r="C59" s="322"/>
      <c r="D59" s="231"/>
      <c r="E59" s="350"/>
      <c r="F59" s="131"/>
      <c r="G59" s="317"/>
      <c r="H59" s="129"/>
      <c r="I59" s="322">
        <f ca="1"/>
        <v>1.0013508683477048</v>
      </c>
      <c r="J59" s="231">
        <f ca="1">_xll.meDateFromTenor(J58,"1M")</f>
        <v>42479</v>
      </c>
      <c r="K59" s="350">
        <v>0.5</v>
      </c>
      <c r="L59" s="131"/>
    </row>
    <row r="60" spans="2:12" x14ac:dyDescent="0.25">
      <c r="B60" s="129"/>
      <c r="C60" s="325"/>
      <c r="D60" s="347"/>
      <c r="E60" s="351"/>
      <c r="F60" s="131"/>
      <c r="G60" s="317"/>
      <c r="H60" s="129"/>
      <c r="I60" s="325">
        <f ca="1"/>
        <v>1.0016684612990114</v>
      </c>
      <c r="J60" s="347">
        <f ca="1">_xll.meDateFromTenor(J59,"1M")</f>
        <v>42509</v>
      </c>
      <c r="K60" s="351">
        <v>0.5</v>
      </c>
      <c r="L60" s="131"/>
    </row>
    <row r="61" spans="2:12" x14ac:dyDescent="0.25">
      <c r="B61" s="133"/>
      <c r="C61" s="337"/>
      <c r="D61" s="239"/>
      <c r="E61" s="239"/>
      <c r="F61" s="135"/>
      <c r="G61" s="317"/>
      <c r="H61" s="133"/>
      <c r="I61" s="337"/>
      <c r="J61" s="239"/>
      <c r="K61" s="239"/>
      <c r="L61" s="135"/>
    </row>
    <row r="62" spans="2:12" x14ac:dyDescent="0.25">
      <c r="B62" s="317"/>
      <c r="C62" s="338"/>
      <c r="D62" s="339"/>
      <c r="E62" s="339"/>
      <c r="F62" s="317"/>
      <c r="G62" s="317"/>
      <c r="H62" s="317"/>
      <c r="I62" s="338"/>
      <c r="J62" s="339"/>
      <c r="K62" s="339"/>
      <c r="L62" s="317"/>
    </row>
    <row r="63" spans="2:12" x14ac:dyDescent="0.25">
      <c r="B63" s="317"/>
      <c r="C63" s="316"/>
      <c r="D63" s="339"/>
      <c r="E63" s="339"/>
      <c r="F63" s="317"/>
      <c r="G63" s="317"/>
      <c r="H63" s="317"/>
      <c r="I63" s="338"/>
      <c r="J63" s="339"/>
      <c r="K63" s="339"/>
      <c r="L63" s="317"/>
    </row>
    <row r="64" spans="2:12" x14ac:dyDescent="0.25">
      <c r="B64" s="151" t="s">
        <v>397</v>
      </c>
      <c r="C64" s="316"/>
      <c r="D64" s="313"/>
      <c r="E64" s="339"/>
      <c r="F64" s="125"/>
      <c r="G64" s="317"/>
      <c r="H64" s="151" t="s">
        <v>398</v>
      </c>
      <c r="I64" s="316"/>
      <c r="J64" s="313"/>
      <c r="K64" s="313"/>
      <c r="L64" s="125"/>
    </row>
    <row r="65" spans="2:12" x14ac:dyDescent="0.25">
      <c r="B65" s="126"/>
      <c r="C65" s="318"/>
      <c r="D65" s="240"/>
      <c r="E65" s="240"/>
      <c r="F65" s="128"/>
      <c r="G65" s="317"/>
      <c r="H65" s="126"/>
      <c r="I65" s="318"/>
      <c r="J65" s="240"/>
      <c r="K65" s="240"/>
      <c r="L65" s="128"/>
    </row>
    <row r="66" spans="2:12" x14ac:dyDescent="0.25">
      <c r="B66" s="129"/>
      <c r="C66" s="352" t="s">
        <v>385</v>
      </c>
      <c r="D66" s="353" t="s">
        <v>13</v>
      </c>
      <c r="E66" s="353" t="s">
        <v>399</v>
      </c>
      <c r="F66" s="131" t="s">
        <v>4</v>
      </c>
      <c r="G66" s="317"/>
      <c r="H66" s="129"/>
      <c r="I66" s="352" t="s">
        <v>385</v>
      </c>
      <c r="J66" s="353" t="s">
        <v>13</v>
      </c>
      <c r="K66" s="353" t="s">
        <v>399</v>
      </c>
      <c r="L66" s="131" t="s">
        <v>4</v>
      </c>
    </row>
    <row r="67" spans="2:12" x14ac:dyDescent="0.25">
      <c r="B67" s="129"/>
      <c r="C67" s="322">
        <f ca="1">IF(AND(NOW(),isEUROISLoaded),_xll.meCurveDiscountFactorsForwardStartingFromTenor(D67,E67,$D$37,$D$38,$D$39,$D$40),"Load Curve")</f>
        <v>1.0007641873866457</v>
      </c>
      <c r="D67" s="354">
        <v>42419</v>
      </c>
      <c r="E67" s="354" t="s">
        <v>94</v>
      </c>
      <c r="F67" s="131"/>
      <c r="G67" s="317"/>
      <c r="H67" s="129"/>
      <c r="I67" s="322">
        <f t="array" aca="1" ref="I67:I70" ca="1">IF(AND(NOW(),isEUROISLoaded),_xll.meCurveDiscountFactorsForwardStartingFromTenor($J$67:$J$70,$K$67:$K$70,$J$37,$J$38,$J$39,$J$40),"Load Curve")</f>
        <v>1.0007641873866457</v>
      </c>
      <c r="J67" s="354">
        <v>42419</v>
      </c>
      <c r="K67" s="354" t="s">
        <v>94</v>
      </c>
      <c r="L67" s="131"/>
    </row>
    <row r="68" spans="2:12" x14ac:dyDescent="0.25">
      <c r="B68" s="129"/>
      <c r="C68" s="322"/>
      <c r="D68" s="355"/>
      <c r="E68" s="355"/>
      <c r="F68" s="131"/>
      <c r="G68" s="317"/>
      <c r="H68" s="129"/>
      <c r="I68" s="322">
        <f ca="1"/>
        <v>1.0010722785970672</v>
      </c>
      <c r="J68" s="355">
        <f ca="1">_xll.meDateFromTenor(J67,"1M")</f>
        <v>42448</v>
      </c>
      <c r="K68" s="355" t="s">
        <v>94</v>
      </c>
      <c r="L68" s="131"/>
    </row>
    <row r="69" spans="2:12" x14ac:dyDescent="0.25">
      <c r="B69" s="129"/>
      <c r="C69" s="322"/>
      <c r="D69" s="355"/>
      <c r="E69" s="355"/>
      <c r="F69" s="131"/>
      <c r="G69" s="317"/>
      <c r="H69" s="129"/>
      <c r="I69" s="322">
        <f ca="1"/>
        <v>1.0013818274962532</v>
      </c>
      <c r="J69" s="355">
        <f ca="1">_xll.meDateFromTenor(J68,"1M")</f>
        <v>42479</v>
      </c>
      <c r="K69" s="355" t="s">
        <v>94</v>
      </c>
      <c r="L69" s="131"/>
    </row>
    <row r="70" spans="2:12" x14ac:dyDescent="0.25">
      <c r="B70" s="129"/>
      <c r="C70" s="325"/>
      <c r="D70" s="356"/>
      <c r="E70" s="356"/>
      <c r="F70" s="131"/>
      <c r="G70" s="317"/>
      <c r="H70" s="129"/>
      <c r="I70" s="325">
        <f ca="1"/>
        <v>1.0017322368979504</v>
      </c>
      <c r="J70" s="356">
        <f ca="1">_xll.meDateFromTenor(J69,"1M")</f>
        <v>42509</v>
      </c>
      <c r="K70" s="356" t="s">
        <v>94</v>
      </c>
      <c r="L70" s="131"/>
    </row>
    <row r="71" spans="2:12" x14ac:dyDescent="0.25">
      <c r="B71" s="133"/>
      <c r="C71" s="337"/>
      <c r="D71" s="239"/>
      <c r="E71" s="239"/>
      <c r="F71" s="135"/>
      <c r="G71" s="317"/>
      <c r="H71" s="133"/>
      <c r="I71" s="337"/>
      <c r="J71" s="239"/>
      <c r="K71" s="239"/>
      <c r="L71" s="135"/>
    </row>
  </sheetData>
  <dataValidations count="1">
    <dataValidation type="list" allowBlank="1" showInputMessage="1" showErrorMessage="1" sqref="D39 J39">
      <formula1>"MOD_FOLLOWING,FOLLOWING,PRECEDING,MOD_PRECEDING,NO_CHANGE"</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theme="5" tint="0.39997558519241921"/>
  </sheetPr>
  <dimension ref="A2:R88"/>
  <sheetViews>
    <sheetView showGridLines="0" zoomScaleNormal="100" workbookViewId="0"/>
  </sheetViews>
  <sheetFormatPr defaultRowHeight="15" x14ac:dyDescent="0.25"/>
  <cols>
    <col min="1" max="1" width="12.140625" style="125" bestFit="1" customWidth="1"/>
    <col min="2" max="2" width="31" style="125" bestFit="1" customWidth="1"/>
    <col min="3" max="3" width="25.7109375" style="125" customWidth="1"/>
    <col min="4" max="4" width="4.7109375" style="125" customWidth="1"/>
    <col min="5" max="8" width="15.7109375" style="125" customWidth="1"/>
    <col min="9" max="9" width="20.42578125" style="125" bestFit="1" customWidth="1"/>
    <col min="10" max="10" width="15.7109375" style="125" customWidth="1"/>
    <col min="11" max="11" width="4.7109375" style="125" customWidth="1"/>
    <col min="12" max="12" width="18" style="125" customWidth="1"/>
    <col min="13" max="16384" width="9.140625" style="125"/>
  </cols>
  <sheetData>
    <row r="2" spans="1:12" ht="23.25" x14ac:dyDescent="0.35">
      <c r="B2" s="242" t="s">
        <v>426</v>
      </c>
      <c r="L2" s="281"/>
    </row>
    <row r="3" spans="1:12" ht="23.25" x14ac:dyDescent="0.35">
      <c r="B3" s="281" t="s">
        <v>445</v>
      </c>
      <c r="F3" s="281"/>
      <c r="L3" s="281"/>
    </row>
    <row r="5" spans="1:12" x14ac:dyDescent="0.25">
      <c r="B5" s="357" t="s">
        <v>429</v>
      </c>
      <c r="E5" s="357" t="s">
        <v>427</v>
      </c>
      <c r="L5" s="435" t="s">
        <v>444</v>
      </c>
    </row>
    <row r="6" spans="1:12" ht="15" customHeight="1" x14ac:dyDescent="0.25">
      <c r="A6" s="257" t="s">
        <v>334</v>
      </c>
      <c r="B6" s="396" t="s">
        <v>214</v>
      </c>
      <c r="C6" s="354">
        <f ca="1">_xll.meDateFromTenor(COB,A7,C10,C11)</f>
        <v>42523</v>
      </c>
      <c r="D6" s="358">
        <v>0</v>
      </c>
      <c r="E6" s="399" t="str">
        <f t="array" aca="1" ref="E6:J22" ca="1">_xll.meProductSwapSchedule(_xll.meUtilityLVB(B6:C22))</f>
        <v>FixingDate</v>
      </c>
      <c r="F6" s="400" t="str">
        <f ca="1"/>
        <v>AccrualStart</v>
      </c>
      <c r="G6" s="400" t="str">
        <f ca="1"/>
        <v>AccrualEnd</v>
      </c>
      <c r="H6" s="371" t="str">
        <f ca="1"/>
        <v>AccrualDays</v>
      </c>
      <c r="I6" s="443" t="str">
        <f ca="1"/>
        <v>AccrualYearFractions</v>
      </c>
      <c r="J6" s="401" t="str">
        <f ca="1"/>
        <v>PaymentDate</v>
      </c>
      <c r="L6" s="436" t="s">
        <v>386</v>
      </c>
    </row>
    <row r="7" spans="1:12" ht="15" customHeight="1" x14ac:dyDescent="0.25">
      <c r="A7" s="258" t="s">
        <v>176</v>
      </c>
      <c r="B7" s="397" t="s">
        <v>215</v>
      </c>
      <c r="C7" s="369" t="s">
        <v>47</v>
      </c>
      <c r="D7" s="358">
        <v>1</v>
      </c>
      <c r="E7" s="402">
        <f ca="1"/>
        <v>42523</v>
      </c>
      <c r="F7" s="403">
        <f ca="1"/>
        <v>42523</v>
      </c>
      <c r="G7" s="403">
        <f ca="1"/>
        <v>42888</v>
      </c>
      <c r="H7" s="374">
        <f ca="1"/>
        <v>365</v>
      </c>
      <c r="I7" s="394">
        <f ca="1"/>
        <v>1</v>
      </c>
      <c r="J7" s="404">
        <f ca="1"/>
        <v>42888</v>
      </c>
      <c r="L7" s="437">
        <f ca="1">IF(ISNA($E7),NA(),_xll.meDateYearFraction(F7,G7,$C$8))</f>
        <v>1</v>
      </c>
    </row>
    <row r="8" spans="1:12" x14ac:dyDescent="0.25">
      <c r="B8" s="397" t="s">
        <v>446</v>
      </c>
      <c r="C8" s="359" t="s">
        <v>20</v>
      </c>
      <c r="D8" s="358">
        <v>2</v>
      </c>
      <c r="E8" s="402">
        <f ca="1"/>
        <v>42888</v>
      </c>
      <c r="F8" s="403">
        <f ca="1"/>
        <v>42888</v>
      </c>
      <c r="G8" s="403">
        <f ca="1"/>
        <v>43255</v>
      </c>
      <c r="H8" s="374">
        <f ca="1"/>
        <v>367</v>
      </c>
      <c r="I8" s="394">
        <f ca="1"/>
        <v>1.0055555555555555</v>
      </c>
      <c r="J8" s="404">
        <f ca="1"/>
        <v>43255</v>
      </c>
      <c r="L8" s="437">
        <f ca="1">IF(ISNA($E8),NA(),_xll.meDateYearFraction(F8,G8,$C$8))</f>
        <v>1.0055555555555555</v>
      </c>
    </row>
    <row r="9" spans="1:12" x14ac:dyDescent="0.25">
      <c r="B9" s="397" t="s">
        <v>400</v>
      </c>
      <c r="C9" s="359" t="s">
        <v>26</v>
      </c>
      <c r="D9" s="358">
        <v>3</v>
      </c>
      <c r="E9" s="402" t="e">
        <f ca="1"/>
        <v>#N/A</v>
      </c>
      <c r="F9" s="403" t="e">
        <f ca="1"/>
        <v>#N/A</v>
      </c>
      <c r="G9" s="403" t="e">
        <f ca="1"/>
        <v>#N/A</v>
      </c>
      <c r="H9" s="374" t="e">
        <f ca="1"/>
        <v>#N/A</v>
      </c>
      <c r="I9" s="394" t="e">
        <f ca="1"/>
        <v>#N/A</v>
      </c>
      <c r="J9" s="404" t="e">
        <f ca="1"/>
        <v>#N/A</v>
      </c>
      <c r="L9" s="298" t="e">
        <f ca="1">IF(ISNA($E9),NA(),_xll.meDateYearFraction(F9,G9,$C$8))</f>
        <v>#N/A</v>
      </c>
    </row>
    <row r="10" spans="1:12" x14ac:dyDescent="0.25">
      <c r="B10" s="397" t="s">
        <v>401</v>
      </c>
      <c r="C10" s="360" t="s">
        <v>22</v>
      </c>
      <c r="D10" s="358">
        <v>4</v>
      </c>
      <c r="E10" s="402" t="e">
        <f ca="1"/>
        <v>#N/A</v>
      </c>
      <c r="F10" s="403" t="e">
        <f ca="1"/>
        <v>#N/A</v>
      </c>
      <c r="G10" s="403" t="e">
        <f ca="1"/>
        <v>#N/A</v>
      </c>
      <c r="H10" s="374" t="e">
        <f ca="1"/>
        <v>#N/A</v>
      </c>
      <c r="I10" s="394" t="e">
        <f ca="1"/>
        <v>#N/A</v>
      </c>
      <c r="J10" s="404" t="e">
        <f ca="1"/>
        <v>#N/A</v>
      </c>
      <c r="L10" s="298" t="e">
        <f ca="1">IF(ISNA($E10),NA(),_xll.meDateYearFraction(F10,G10,$C$8))</f>
        <v>#N/A</v>
      </c>
    </row>
    <row r="11" spans="1:12" x14ac:dyDescent="0.25">
      <c r="B11" s="397" t="s">
        <v>402</v>
      </c>
      <c r="C11" s="361" t="s">
        <v>2</v>
      </c>
      <c r="D11" s="358">
        <v>5</v>
      </c>
      <c r="E11" s="402" t="e">
        <f ca="1"/>
        <v>#N/A</v>
      </c>
      <c r="F11" s="403" t="e">
        <f ca="1"/>
        <v>#N/A</v>
      </c>
      <c r="G11" s="403" t="e">
        <f ca="1"/>
        <v>#N/A</v>
      </c>
      <c r="H11" s="374" t="e">
        <f ca="1"/>
        <v>#N/A</v>
      </c>
      <c r="I11" s="394" t="e">
        <f ca="1"/>
        <v>#N/A</v>
      </c>
      <c r="J11" s="404" t="e">
        <f ca="1"/>
        <v>#N/A</v>
      </c>
      <c r="L11" s="298" t="e">
        <f ca="1">IF(ISNA($E11),NA(),_xll.meDateYearFraction(F11,G11,$C$8))</f>
        <v>#N/A</v>
      </c>
    </row>
    <row r="12" spans="1:12" x14ac:dyDescent="0.25">
      <c r="B12" s="397" t="s">
        <v>403</v>
      </c>
      <c r="C12" s="359" t="s">
        <v>26</v>
      </c>
      <c r="D12" s="358">
        <v>6</v>
      </c>
      <c r="E12" s="402" t="e">
        <f ca="1"/>
        <v>#N/A</v>
      </c>
      <c r="F12" s="403" t="e">
        <f ca="1"/>
        <v>#N/A</v>
      </c>
      <c r="G12" s="403" t="e">
        <f ca="1"/>
        <v>#N/A</v>
      </c>
      <c r="H12" s="374" t="e">
        <f ca="1"/>
        <v>#N/A</v>
      </c>
      <c r="I12" s="394" t="e">
        <f ca="1"/>
        <v>#N/A</v>
      </c>
      <c r="J12" s="404" t="e">
        <f ca="1"/>
        <v>#N/A</v>
      </c>
      <c r="L12" s="298" t="e">
        <f ca="1">IF(ISNA($E12),NA(),_xll.meDateYearFraction(F12,G12,$C$8))</f>
        <v>#N/A</v>
      </c>
    </row>
    <row r="13" spans="1:12" x14ac:dyDescent="0.25">
      <c r="B13" s="397" t="s">
        <v>404</v>
      </c>
      <c r="C13" s="360" t="s">
        <v>22</v>
      </c>
      <c r="D13" s="358">
        <v>7</v>
      </c>
      <c r="E13" s="402" t="e">
        <f ca="1"/>
        <v>#N/A</v>
      </c>
      <c r="F13" s="403" t="e">
        <f ca="1"/>
        <v>#N/A</v>
      </c>
      <c r="G13" s="403" t="e">
        <f ca="1"/>
        <v>#N/A</v>
      </c>
      <c r="H13" s="374" t="e">
        <f ca="1"/>
        <v>#N/A</v>
      </c>
      <c r="I13" s="394" t="e">
        <f ca="1"/>
        <v>#N/A</v>
      </c>
      <c r="J13" s="404" t="e">
        <f ca="1"/>
        <v>#N/A</v>
      </c>
      <c r="L13" s="298" t="e">
        <f ca="1">IF(ISNA($E13),NA(),_xll.meDateYearFraction(F13,G13,$C$8))</f>
        <v>#N/A</v>
      </c>
    </row>
    <row r="14" spans="1:12" x14ac:dyDescent="0.25">
      <c r="B14" s="397" t="s">
        <v>405</v>
      </c>
      <c r="C14" s="286" t="s">
        <v>2</v>
      </c>
      <c r="D14" s="358">
        <v>8</v>
      </c>
      <c r="E14" s="402" t="e">
        <f ca="1"/>
        <v>#N/A</v>
      </c>
      <c r="F14" s="403" t="e">
        <f ca="1"/>
        <v>#N/A</v>
      </c>
      <c r="G14" s="403" t="e">
        <f ca="1"/>
        <v>#N/A</v>
      </c>
      <c r="H14" s="374" t="e">
        <f ca="1"/>
        <v>#N/A</v>
      </c>
      <c r="I14" s="394" t="e">
        <f ca="1"/>
        <v>#N/A</v>
      </c>
      <c r="J14" s="404" t="e">
        <f ca="1"/>
        <v>#N/A</v>
      </c>
      <c r="L14" s="298" t="e">
        <f ca="1">IF(ISNA($E14),NA(),_xll.meDateYearFraction(F14,G14,$C$8))</f>
        <v>#N/A</v>
      </c>
    </row>
    <row r="15" spans="1:12" x14ac:dyDescent="0.25">
      <c r="B15" s="397" t="s">
        <v>406</v>
      </c>
      <c r="C15" s="362" t="s">
        <v>172</v>
      </c>
      <c r="D15" s="358">
        <v>9</v>
      </c>
      <c r="E15" s="402" t="e">
        <f ca="1"/>
        <v>#N/A</v>
      </c>
      <c r="F15" s="403" t="e">
        <f ca="1"/>
        <v>#N/A</v>
      </c>
      <c r="G15" s="403" t="e">
        <f ca="1"/>
        <v>#N/A</v>
      </c>
      <c r="H15" s="374" t="e">
        <f ca="1"/>
        <v>#N/A</v>
      </c>
      <c r="I15" s="394" t="e">
        <f ca="1"/>
        <v>#N/A</v>
      </c>
      <c r="J15" s="404" t="e">
        <f ca="1"/>
        <v>#N/A</v>
      </c>
      <c r="L15" s="298" t="e">
        <f ca="1">IF(ISNA($E15),NA(),_xll.meDateYearFraction(F15,G15,$C$8))</f>
        <v>#N/A</v>
      </c>
    </row>
    <row r="16" spans="1:12" x14ac:dyDescent="0.25">
      <c r="B16" s="397" t="s">
        <v>407</v>
      </c>
      <c r="C16" s="363" t="s">
        <v>22</v>
      </c>
      <c r="D16" s="358">
        <v>10</v>
      </c>
      <c r="E16" s="402" t="e">
        <f ca="1"/>
        <v>#N/A</v>
      </c>
      <c r="F16" s="403" t="e">
        <f ca="1"/>
        <v>#N/A</v>
      </c>
      <c r="G16" s="403" t="e">
        <f ca="1"/>
        <v>#N/A</v>
      </c>
      <c r="H16" s="374" t="e">
        <f ca="1"/>
        <v>#N/A</v>
      </c>
      <c r="I16" s="394" t="e">
        <f ca="1"/>
        <v>#N/A</v>
      </c>
      <c r="J16" s="404" t="e">
        <f ca="1"/>
        <v>#N/A</v>
      </c>
      <c r="L16" s="298" t="e">
        <f ca="1">IF(ISNA($E16),NA(),_xll.meDateYearFraction(F16,G16,$C$8))</f>
        <v>#N/A</v>
      </c>
    </row>
    <row r="17" spans="1:12" x14ac:dyDescent="0.25">
      <c r="B17" s="397" t="s">
        <v>408</v>
      </c>
      <c r="C17" s="286" t="s">
        <v>2</v>
      </c>
      <c r="D17" s="358">
        <v>11</v>
      </c>
      <c r="E17" s="402" t="e">
        <f ca="1"/>
        <v>#N/A</v>
      </c>
      <c r="F17" s="403" t="e">
        <f ca="1"/>
        <v>#N/A</v>
      </c>
      <c r="G17" s="403" t="e">
        <f ca="1"/>
        <v>#N/A</v>
      </c>
      <c r="H17" s="374" t="e">
        <f ca="1"/>
        <v>#N/A</v>
      </c>
      <c r="I17" s="394" t="e">
        <f ca="1"/>
        <v>#N/A</v>
      </c>
      <c r="J17" s="404" t="e">
        <f ca="1"/>
        <v>#N/A</v>
      </c>
      <c r="L17" s="298" t="e">
        <f ca="1">IF(ISNA($E17),NA(),_xll.meDateYearFraction(F17,G17,$C$8))</f>
        <v>#N/A</v>
      </c>
    </row>
    <row r="18" spans="1:12" x14ac:dyDescent="0.25">
      <c r="B18" s="397" t="s">
        <v>409</v>
      </c>
      <c r="C18" s="364" t="s">
        <v>172</v>
      </c>
      <c r="D18" s="358">
        <v>12</v>
      </c>
      <c r="E18" s="402" t="e">
        <f ca="1"/>
        <v>#N/A</v>
      </c>
      <c r="F18" s="403" t="e">
        <f ca="1"/>
        <v>#N/A</v>
      </c>
      <c r="G18" s="403" t="e">
        <f ca="1"/>
        <v>#N/A</v>
      </c>
      <c r="H18" s="374" t="e">
        <f ca="1"/>
        <v>#N/A</v>
      </c>
      <c r="I18" s="394" t="e">
        <f ca="1"/>
        <v>#N/A</v>
      </c>
      <c r="J18" s="404" t="e">
        <f ca="1"/>
        <v>#N/A</v>
      </c>
      <c r="L18" s="298" t="e">
        <f ca="1">IF(ISNA($E18),NA(),_xll.meDateYearFraction(F18,G18,$C$8))</f>
        <v>#N/A</v>
      </c>
    </row>
    <row r="19" spans="1:12" x14ac:dyDescent="0.25">
      <c r="B19" s="397" t="s">
        <v>410</v>
      </c>
      <c r="C19" s="365" t="s">
        <v>411</v>
      </c>
      <c r="D19" s="358">
        <v>13</v>
      </c>
      <c r="E19" s="402" t="e">
        <f ca="1"/>
        <v>#N/A</v>
      </c>
      <c r="F19" s="403" t="e">
        <f ca="1"/>
        <v>#N/A</v>
      </c>
      <c r="G19" s="403" t="e">
        <f ca="1"/>
        <v>#N/A</v>
      </c>
      <c r="H19" s="374" t="e">
        <f ca="1"/>
        <v>#N/A</v>
      </c>
      <c r="I19" s="394" t="e">
        <f ca="1"/>
        <v>#N/A</v>
      </c>
      <c r="J19" s="404" t="e">
        <f ca="1"/>
        <v>#N/A</v>
      </c>
      <c r="L19" s="298" t="e">
        <f ca="1">IF(ISNA($E19),NA(),_xll.meDateYearFraction(F19,G19,$C$8))</f>
        <v>#N/A</v>
      </c>
    </row>
    <row r="20" spans="1:12" x14ac:dyDescent="0.25">
      <c r="B20" s="397" t="s">
        <v>412</v>
      </c>
      <c r="C20" s="366"/>
      <c r="D20" s="358">
        <v>14</v>
      </c>
      <c r="E20" s="402" t="e">
        <f ca="1"/>
        <v>#N/A</v>
      </c>
      <c r="F20" s="403" t="e">
        <f ca="1"/>
        <v>#N/A</v>
      </c>
      <c r="G20" s="403" t="e">
        <f ca="1"/>
        <v>#N/A</v>
      </c>
      <c r="H20" s="374" t="e">
        <f ca="1"/>
        <v>#N/A</v>
      </c>
      <c r="I20" s="394" t="e">
        <f ca="1"/>
        <v>#N/A</v>
      </c>
      <c r="J20" s="404" t="e">
        <f ca="1"/>
        <v>#N/A</v>
      </c>
      <c r="L20" s="298" t="e">
        <f ca="1">IF(ISNA($E20),NA(),_xll.meDateYearFraction(F20,G20,$C$8))</f>
        <v>#N/A</v>
      </c>
    </row>
    <row r="21" spans="1:12" x14ac:dyDescent="0.25">
      <c r="B21" s="397" t="s">
        <v>413</v>
      </c>
      <c r="C21" s="366"/>
      <c r="D21" s="358">
        <v>15</v>
      </c>
      <c r="E21" s="402" t="e">
        <f ca="1"/>
        <v>#N/A</v>
      </c>
      <c r="F21" s="403" t="e">
        <f ca="1"/>
        <v>#N/A</v>
      </c>
      <c r="G21" s="403" t="e">
        <f ca="1"/>
        <v>#N/A</v>
      </c>
      <c r="H21" s="374" t="e">
        <f ca="1"/>
        <v>#N/A</v>
      </c>
      <c r="I21" s="394" t="e">
        <f ca="1"/>
        <v>#N/A</v>
      </c>
      <c r="J21" s="404" t="e">
        <f ca="1"/>
        <v>#N/A</v>
      </c>
      <c r="L21" s="298" t="e">
        <f ca="1">IF(ISNA($E21),NA(),_xll.meDateYearFraction(F21,G21,$C$8))</f>
        <v>#N/A</v>
      </c>
    </row>
    <row r="22" spans="1:12" x14ac:dyDescent="0.25">
      <c r="B22" s="398" t="s">
        <v>414</v>
      </c>
      <c r="C22" s="367"/>
      <c r="D22" s="358">
        <v>18</v>
      </c>
      <c r="E22" s="405" t="e">
        <f ca="1"/>
        <v>#N/A</v>
      </c>
      <c r="F22" s="406" t="e">
        <f ca="1"/>
        <v>#N/A</v>
      </c>
      <c r="G22" s="406" t="e">
        <f ca="1"/>
        <v>#N/A</v>
      </c>
      <c r="H22" s="440" t="e">
        <f ca="1"/>
        <v>#N/A</v>
      </c>
      <c r="I22" s="395" t="e">
        <f ca="1"/>
        <v>#N/A</v>
      </c>
      <c r="J22" s="407" t="e">
        <f ca="1"/>
        <v>#N/A</v>
      </c>
      <c r="L22" s="438" t="e">
        <f ca="1">IF(ISNA($E22),NA(),_xll.meDateYearFraction(F22,G22,$C$8))</f>
        <v>#N/A</v>
      </c>
    </row>
    <row r="23" spans="1:12" x14ac:dyDescent="0.25">
      <c r="H23" s="441"/>
      <c r="I23" s="442"/>
    </row>
    <row r="24" spans="1:12" x14ac:dyDescent="0.25">
      <c r="B24" s="357" t="s">
        <v>428</v>
      </c>
      <c r="E24" s="357" t="s">
        <v>415</v>
      </c>
      <c r="H24" s="441"/>
      <c r="I24" s="442"/>
      <c r="L24" s="435" t="s">
        <v>444</v>
      </c>
    </row>
    <row r="25" spans="1:12" x14ac:dyDescent="0.25">
      <c r="A25" s="257" t="s">
        <v>334</v>
      </c>
      <c r="B25" s="396" t="s">
        <v>214</v>
      </c>
      <c r="C25" s="354">
        <f ca="1">C6</f>
        <v>42523</v>
      </c>
      <c r="D25" s="358">
        <v>0</v>
      </c>
      <c r="E25" s="399" t="str">
        <f t="array" aca="1" ref="E25:J41" ca="1">_xll.meProductSwapSchedule(_xll.meUtilityLVB(B25:C41))</f>
        <v>FixingDate</v>
      </c>
      <c r="F25" s="400" t="str">
        <f ca="1"/>
        <v>AccrualStart</v>
      </c>
      <c r="G25" s="400" t="str">
        <f ca="1"/>
        <v>AccrualEnd</v>
      </c>
      <c r="H25" s="371" t="str">
        <f ca="1"/>
        <v>AccrualDays</v>
      </c>
      <c r="I25" s="443" t="str">
        <f ca="1"/>
        <v>AccrualYearFractions</v>
      </c>
      <c r="J25" s="401" t="str">
        <f ca="1"/>
        <v>PaymentDate</v>
      </c>
      <c r="L25" s="436" t="s">
        <v>386</v>
      </c>
    </row>
    <row r="26" spans="1:12" x14ac:dyDescent="0.25">
      <c r="A26" s="258" t="s">
        <v>176</v>
      </c>
      <c r="B26" s="397" t="s">
        <v>215</v>
      </c>
      <c r="C26" s="369" t="str">
        <f>C7</f>
        <v>2Y</v>
      </c>
      <c r="D26" s="358">
        <v>1</v>
      </c>
      <c r="E26" s="402">
        <f ca="1"/>
        <v>42523</v>
      </c>
      <c r="F26" s="403">
        <f ca="1"/>
        <v>42523</v>
      </c>
      <c r="G26" s="403">
        <f ca="1"/>
        <v>42615</v>
      </c>
      <c r="H26" s="374">
        <f ca="1"/>
        <v>92</v>
      </c>
      <c r="I26" s="394">
        <f ca="1"/>
        <v>0.25555555555555554</v>
      </c>
      <c r="J26" s="404">
        <f ca="1"/>
        <v>42615</v>
      </c>
      <c r="L26" s="437">
        <f ca="1">IF(ISNA($E26),NA(),_xll.meDateYearFraction(F26,G26,$C$27))</f>
        <v>0.25555555555555554</v>
      </c>
    </row>
    <row r="27" spans="1:12" x14ac:dyDescent="0.25">
      <c r="B27" s="397" t="s">
        <v>446</v>
      </c>
      <c r="C27" s="359" t="s">
        <v>6</v>
      </c>
      <c r="D27" s="358">
        <v>2</v>
      </c>
      <c r="E27" s="402">
        <f ca="1"/>
        <v>42615</v>
      </c>
      <c r="F27" s="403">
        <f ca="1"/>
        <v>42615</v>
      </c>
      <c r="G27" s="403">
        <f ca="1"/>
        <v>42706</v>
      </c>
      <c r="H27" s="374">
        <f ca="1"/>
        <v>91</v>
      </c>
      <c r="I27" s="394">
        <f ca="1"/>
        <v>0.25277777777777777</v>
      </c>
      <c r="J27" s="404">
        <f ca="1"/>
        <v>42706</v>
      </c>
      <c r="L27" s="437">
        <f ca="1">IF(ISNA($E27),NA(),_xll.meDateYearFraction(F27,G27,$C$27))</f>
        <v>0.25277777777777777</v>
      </c>
    </row>
    <row r="28" spans="1:12" x14ac:dyDescent="0.25">
      <c r="B28" s="397" t="s">
        <v>400</v>
      </c>
      <c r="C28" s="425" t="s">
        <v>28</v>
      </c>
      <c r="D28" s="358">
        <v>3</v>
      </c>
      <c r="E28" s="402">
        <f ca="1"/>
        <v>42706</v>
      </c>
      <c r="F28" s="403">
        <f ca="1"/>
        <v>42706</v>
      </c>
      <c r="G28" s="403">
        <f ca="1"/>
        <v>42796</v>
      </c>
      <c r="H28" s="374">
        <f ca="1"/>
        <v>90</v>
      </c>
      <c r="I28" s="394">
        <f ca="1"/>
        <v>0.25</v>
      </c>
      <c r="J28" s="404">
        <f ca="1"/>
        <v>42796</v>
      </c>
      <c r="L28" s="437">
        <f ca="1">IF(ISNA($E28),NA(),_xll.meDateYearFraction(F28,G28,$C$27))</f>
        <v>0.25</v>
      </c>
    </row>
    <row r="29" spans="1:12" x14ac:dyDescent="0.25">
      <c r="B29" s="397" t="s">
        <v>401</v>
      </c>
      <c r="C29" s="426" t="s">
        <v>22</v>
      </c>
      <c r="D29" s="358">
        <v>4</v>
      </c>
      <c r="E29" s="402">
        <f ca="1"/>
        <v>42796</v>
      </c>
      <c r="F29" s="403">
        <f ca="1"/>
        <v>42796</v>
      </c>
      <c r="G29" s="403">
        <f ca="1"/>
        <v>42888</v>
      </c>
      <c r="H29" s="374">
        <f ca="1"/>
        <v>92</v>
      </c>
      <c r="I29" s="394">
        <f ca="1"/>
        <v>0.25555555555555554</v>
      </c>
      <c r="J29" s="404">
        <f ca="1"/>
        <v>42888</v>
      </c>
      <c r="L29" s="437">
        <f ca="1">IF(ISNA($E29),NA(),_xll.meDateYearFraction(F29,G29,$C$27))</f>
        <v>0.25555555555555554</v>
      </c>
    </row>
    <row r="30" spans="1:12" x14ac:dyDescent="0.25">
      <c r="B30" s="397" t="s">
        <v>402</v>
      </c>
      <c r="C30" s="427" t="s">
        <v>2</v>
      </c>
      <c r="D30" s="358">
        <v>5</v>
      </c>
      <c r="E30" s="402">
        <f ca="1"/>
        <v>42888</v>
      </c>
      <c r="F30" s="403">
        <f ca="1"/>
        <v>42888</v>
      </c>
      <c r="G30" s="403">
        <f ca="1"/>
        <v>42982</v>
      </c>
      <c r="H30" s="374">
        <f ca="1"/>
        <v>94</v>
      </c>
      <c r="I30" s="394">
        <f ca="1"/>
        <v>0.26111111111111113</v>
      </c>
      <c r="J30" s="404">
        <f ca="1"/>
        <v>42982</v>
      </c>
      <c r="L30" s="437">
        <f ca="1">IF(ISNA($E30),NA(),_xll.meDateYearFraction(F30,G30,$C$27))</f>
        <v>0.26111111111111113</v>
      </c>
    </row>
    <row r="31" spans="1:12" x14ac:dyDescent="0.25">
      <c r="B31" s="397" t="s">
        <v>403</v>
      </c>
      <c r="C31" s="425" t="s">
        <v>28</v>
      </c>
      <c r="D31" s="358">
        <v>6</v>
      </c>
      <c r="E31" s="402">
        <f ca="1"/>
        <v>42982</v>
      </c>
      <c r="F31" s="403">
        <f ca="1"/>
        <v>42982</v>
      </c>
      <c r="G31" s="403">
        <f ca="1"/>
        <v>43073</v>
      </c>
      <c r="H31" s="374">
        <f ca="1"/>
        <v>91</v>
      </c>
      <c r="I31" s="394">
        <f ca="1"/>
        <v>0.25277777777777777</v>
      </c>
      <c r="J31" s="404">
        <f ca="1"/>
        <v>43073</v>
      </c>
      <c r="L31" s="437">
        <f ca="1">IF(ISNA($E31),NA(),_xll.meDateYearFraction(F31,G31,$C$27))</f>
        <v>0.25277777777777777</v>
      </c>
    </row>
    <row r="32" spans="1:12" x14ac:dyDescent="0.25">
      <c r="B32" s="397" t="s">
        <v>404</v>
      </c>
      <c r="C32" s="426" t="s">
        <v>22</v>
      </c>
      <c r="D32" s="358">
        <v>7</v>
      </c>
      <c r="E32" s="402">
        <f ca="1"/>
        <v>43073</v>
      </c>
      <c r="F32" s="403">
        <f ca="1"/>
        <v>43073</v>
      </c>
      <c r="G32" s="403">
        <f ca="1"/>
        <v>43161</v>
      </c>
      <c r="H32" s="374">
        <f ca="1"/>
        <v>88</v>
      </c>
      <c r="I32" s="394">
        <f ca="1"/>
        <v>0.24444444444444444</v>
      </c>
      <c r="J32" s="404">
        <f ca="1"/>
        <v>43161</v>
      </c>
      <c r="L32" s="437">
        <f ca="1">IF(ISNA($E32),NA(),_xll.meDateYearFraction(F32,G32,$C$27))</f>
        <v>0.24444444444444444</v>
      </c>
    </row>
    <row r="33" spans="2:12" x14ac:dyDescent="0.25">
      <c r="B33" s="397" t="s">
        <v>405</v>
      </c>
      <c r="C33" s="426" t="s">
        <v>2</v>
      </c>
      <c r="D33" s="358">
        <v>8</v>
      </c>
      <c r="E33" s="402">
        <f ca="1"/>
        <v>43161</v>
      </c>
      <c r="F33" s="403">
        <f ca="1"/>
        <v>43161</v>
      </c>
      <c r="G33" s="403">
        <f ca="1"/>
        <v>43255</v>
      </c>
      <c r="H33" s="374">
        <f ca="1"/>
        <v>94</v>
      </c>
      <c r="I33" s="394">
        <f ca="1"/>
        <v>0.26111111111111113</v>
      </c>
      <c r="J33" s="404">
        <f ca="1"/>
        <v>43255</v>
      </c>
      <c r="L33" s="437">
        <f ca="1">IF(ISNA($E33),NA(),_xll.meDateYearFraction(F33,G33,$C$27))</f>
        <v>0.26111111111111113</v>
      </c>
    </row>
    <row r="34" spans="2:12" x14ac:dyDescent="0.25">
      <c r="B34" s="397" t="s">
        <v>406</v>
      </c>
      <c r="C34" s="428" t="s">
        <v>172</v>
      </c>
      <c r="D34" s="358">
        <v>9</v>
      </c>
      <c r="E34" s="402" t="e">
        <f ca="1"/>
        <v>#N/A</v>
      </c>
      <c r="F34" s="403" t="e">
        <f ca="1"/>
        <v>#N/A</v>
      </c>
      <c r="G34" s="403" t="e">
        <f ca="1"/>
        <v>#N/A</v>
      </c>
      <c r="H34" s="374" t="e">
        <f ca="1"/>
        <v>#N/A</v>
      </c>
      <c r="I34" s="394" t="e">
        <f ca="1"/>
        <v>#N/A</v>
      </c>
      <c r="J34" s="404" t="e">
        <f ca="1"/>
        <v>#N/A</v>
      </c>
      <c r="L34" s="437" t="e">
        <f ca="1">IF(ISNA($E34),NA(),_xll.meDateYearFraction(F34,G34,$C$27))</f>
        <v>#N/A</v>
      </c>
    </row>
    <row r="35" spans="2:12" x14ac:dyDescent="0.25">
      <c r="B35" s="397" t="s">
        <v>407</v>
      </c>
      <c r="C35" s="429" t="s">
        <v>22</v>
      </c>
      <c r="D35" s="358">
        <v>10</v>
      </c>
      <c r="E35" s="402" t="e">
        <f ca="1"/>
        <v>#N/A</v>
      </c>
      <c r="F35" s="403" t="e">
        <f ca="1"/>
        <v>#N/A</v>
      </c>
      <c r="G35" s="403" t="e">
        <f ca="1"/>
        <v>#N/A</v>
      </c>
      <c r="H35" s="374" t="e">
        <f ca="1"/>
        <v>#N/A</v>
      </c>
      <c r="I35" s="394" t="e">
        <f ca="1"/>
        <v>#N/A</v>
      </c>
      <c r="J35" s="404" t="e">
        <f ca="1"/>
        <v>#N/A</v>
      </c>
      <c r="L35" s="437" t="e">
        <f ca="1">IF(ISNA($E35),NA(),_xll.meDateYearFraction(F35,G35,$C$27))</f>
        <v>#N/A</v>
      </c>
    </row>
    <row r="36" spans="2:12" x14ac:dyDescent="0.25">
      <c r="B36" s="397" t="s">
        <v>408</v>
      </c>
      <c r="C36" s="426" t="s">
        <v>2</v>
      </c>
      <c r="D36" s="358">
        <v>11</v>
      </c>
      <c r="E36" s="402" t="e">
        <f ca="1"/>
        <v>#N/A</v>
      </c>
      <c r="F36" s="403" t="e">
        <f ca="1"/>
        <v>#N/A</v>
      </c>
      <c r="G36" s="403" t="e">
        <f ca="1"/>
        <v>#N/A</v>
      </c>
      <c r="H36" s="374" t="e">
        <f ca="1"/>
        <v>#N/A</v>
      </c>
      <c r="I36" s="394" t="e">
        <f ca="1"/>
        <v>#N/A</v>
      </c>
      <c r="J36" s="404" t="e">
        <f ca="1"/>
        <v>#N/A</v>
      </c>
      <c r="L36" s="437" t="e">
        <f ca="1">IF(ISNA($E36),NA(),_xll.meDateYearFraction(F36,G36,$C$27))</f>
        <v>#N/A</v>
      </c>
    </row>
    <row r="37" spans="2:12" x14ac:dyDescent="0.25">
      <c r="B37" s="397" t="s">
        <v>409</v>
      </c>
      <c r="C37" s="430" t="s">
        <v>172</v>
      </c>
      <c r="D37" s="358">
        <v>12</v>
      </c>
      <c r="E37" s="402" t="e">
        <f ca="1"/>
        <v>#N/A</v>
      </c>
      <c r="F37" s="403" t="e">
        <f ca="1"/>
        <v>#N/A</v>
      </c>
      <c r="G37" s="403" t="e">
        <f ca="1"/>
        <v>#N/A</v>
      </c>
      <c r="H37" s="374" t="e">
        <f ca="1"/>
        <v>#N/A</v>
      </c>
      <c r="I37" s="394" t="e">
        <f ca="1"/>
        <v>#N/A</v>
      </c>
      <c r="J37" s="404" t="e">
        <f ca="1"/>
        <v>#N/A</v>
      </c>
      <c r="L37" s="437" t="e">
        <f ca="1">IF(ISNA($E37),NA(),_xll.meDateYearFraction(F37,G37,$C$27))</f>
        <v>#N/A</v>
      </c>
    </row>
    <row r="38" spans="2:12" x14ac:dyDescent="0.25">
      <c r="B38" s="397" t="s">
        <v>410</v>
      </c>
      <c r="C38" s="427" t="s">
        <v>411</v>
      </c>
      <c r="D38" s="358">
        <v>13</v>
      </c>
      <c r="E38" s="402" t="e">
        <f ca="1"/>
        <v>#N/A</v>
      </c>
      <c r="F38" s="403" t="e">
        <f ca="1"/>
        <v>#N/A</v>
      </c>
      <c r="G38" s="403" t="e">
        <f ca="1"/>
        <v>#N/A</v>
      </c>
      <c r="H38" s="374" t="e">
        <f ca="1"/>
        <v>#N/A</v>
      </c>
      <c r="I38" s="394" t="e">
        <f ca="1"/>
        <v>#N/A</v>
      </c>
      <c r="J38" s="404" t="e">
        <f ca="1"/>
        <v>#N/A</v>
      </c>
      <c r="L38" s="437" t="e">
        <f ca="1">IF(ISNA($E38),NA(),_xll.meDateYearFraction(F38,G38,$C$27))</f>
        <v>#N/A</v>
      </c>
    </row>
    <row r="39" spans="2:12" x14ac:dyDescent="0.25">
      <c r="B39" s="397" t="s">
        <v>412</v>
      </c>
      <c r="C39" s="366"/>
      <c r="D39" s="358">
        <v>14</v>
      </c>
      <c r="E39" s="402" t="e">
        <f ca="1"/>
        <v>#N/A</v>
      </c>
      <c r="F39" s="403" t="e">
        <f ca="1"/>
        <v>#N/A</v>
      </c>
      <c r="G39" s="403" t="e">
        <f ca="1"/>
        <v>#N/A</v>
      </c>
      <c r="H39" s="374" t="e">
        <f ca="1"/>
        <v>#N/A</v>
      </c>
      <c r="I39" s="394" t="e">
        <f ca="1"/>
        <v>#N/A</v>
      </c>
      <c r="J39" s="404" t="e">
        <f ca="1"/>
        <v>#N/A</v>
      </c>
      <c r="L39" s="437" t="e">
        <f ca="1">IF(ISNA($E39),NA(),_xll.meDateYearFraction(F39,G39,$C$27))</f>
        <v>#N/A</v>
      </c>
    </row>
    <row r="40" spans="2:12" x14ac:dyDescent="0.25">
      <c r="B40" s="397" t="s">
        <v>413</v>
      </c>
      <c r="C40" s="366"/>
      <c r="D40" s="358">
        <v>15</v>
      </c>
      <c r="E40" s="402" t="e">
        <f ca="1"/>
        <v>#N/A</v>
      </c>
      <c r="F40" s="403" t="e">
        <f ca="1"/>
        <v>#N/A</v>
      </c>
      <c r="G40" s="403" t="e">
        <f ca="1"/>
        <v>#N/A</v>
      </c>
      <c r="H40" s="374" t="e">
        <f ca="1"/>
        <v>#N/A</v>
      </c>
      <c r="I40" s="394" t="e">
        <f ca="1"/>
        <v>#N/A</v>
      </c>
      <c r="J40" s="404" t="e">
        <f ca="1"/>
        <v>#N/A</v>
      </c>
      <c r="L40" s="437" t="e">
        <f ca="1">IF(ISNA($E40),NA(),_xll.meDateYearFraction(F40,G40,$C$27))</f>
        <v>#N/A</v>
      </c>
    </row>
    <row r="41" spans="2:12" x14ac:dyDescent="0.25">
      <c r="B41" s="398" t="s">
        <v>414</v>
      </c>
      <c r="C41" s="367"/>
      <c r="D41" s="358">
        <v>18</v>
      </c>
      <c r="E41" s="405" t="e">
        <f ca="1"/>
        <v>#N/A</v>
      </c>
      <c r="F41" s="406" t="e">
        <f ca="1"/>
        <v>#N/A</v>
      </c>
      <c r="G41" s="406" t="e">
        <f ca="1"/>
        <v>#N/A</v>
      </c>
      <c r="H41" s="440" t="e">
        <f ca="1"/>
        <v>#N/A</v>
      </c>
      <c r="I41" s="395" t="e">
        <f ca="1"/>
        <v>#N/A</v>
      </c>
      <c r="J41" s="407" t="e">
        <f ca="1"/>
        <v>#N/A</v>
      </c>
      <c r="L41" s="439" t="e">
        <f ca="1">IF(ISNA($E41),NA(),_xll.meDateYearFraction(F41,G41,$C$27))</f>
        <v>#N/A</v>
      </c>
    </row>
    <row r="42" spans="2:12" x14ac:dyDescent="0.25">
      <c r="E42" s="368"/>
    </row>
    <row r="43" spans="2:12" x14ac:dyDescent="0.25">
      <c r="E43" s="112"/>
      <c r="G43" s="421"/>
    </row>
    <row r="44" spans="2:12" x14ac:dyDescent="0.25">
      <c r="E44" s="420"/>
      <c r="G44" s="102"/>
    </row>
    <row r="45" spans="2:12" x14ac:dyDescent="0.25">
      <c r="E45" s="420"/>
      <c r="G45" s="423"/>
    </row>
    <row r="46" spans="2:12" x14ac:dyDescent="0.25">
      <c r="E46" s="419"/>
    </row>
    <row r="47" spans="2:12" x14ac:dyDescent="0.25">
      <c r="G47" s="421"/>
      <c r="H47" s="421"/>
    </row>
    <row r="48" spans="2:12" x14ac:dyDescent="0.25">
      <c r="G48" s="422"/>
      <c r="H48" s="421"/>
    </row>
    <row r="49" spans="7:8" x14ac:dyDescent="0.25">
      <c r="G49" s="422"/>
      <c r="H49" s="421"/>
    </row>
    <row r="50" spans="7:8" x14ac:dyDescent="0.25">
      <c r="G50" s="422"/>
      <c r="H50" s="421"/>
    </row>
    <row r="51" spans="7:8" x14ac:dyDescent="0.25">
      <c r="G51" s="422"/>
      <c r="H51" s="421"/>
    </row>
    <row r="52" spans="7:8" x14ac:dyDescent="0.25">
      <c r="G52" s="422"/>
      <c r="H52" s="421"/>
    </row>
    <row r="53" spans="7:8" x14ac:dyDescent="0.25">
      <c r="G53" s="422"/>
      <c r="H53" s="421"/>
    </row>
    <row r="54" spans="7:8" x14ac:dyDescent="0.25">
      <c r="G54" s="422"/>
      <c r="H54" s="421"/>
    </row>
    <row r="55" spans="7:8" x14ac:dyDescent="0.25">
      <c r="G55" s="422"/>
      <c r="H55" s="421"/>
    </row>
    <row r="84" spans="13:18" ht="15" customHeight="1" x14ac:dyDescent="0.25">
      <c r="M84" s="454"/>
      <c r="O84" s="454" t="s">
        <v>176</v>
      </c>
      <c r="P84" s="454"/>
      <c r="Q84" s="454"/>
    </row>
    <row r="85" spans="13:18" ht="15" customHeight="1" x14ac:dyDescent="0.25">
      <c r="M85" s="454"/>
      <c r="O85" s="454"/>
      <c r="P85" s="454"/>
      <c r="Q85" s="454"/>
    </row>
    <row r="86" spans="13:18" ht="21.75" thickBot="1" x14ac:dyDescent="0.3">
      <c r="M86" s="411"/>
      <c r="N86" s="414"/>
      <c r="O86" s="415"/>
      <c r="P86" s="415"/>
      <c r="Q86" s="415"/>
      <c r="R86" s="412"/>
    </row>
    <row r="87" spans="13:18" ht="15.75" thickTop="1" x14ac:dyDescent="0.25">
      <c r="O87" s="413"/>
      <c r="P87" s="123"/>
      <c r="Q87" s="123"/>
      <c r="R87" s="413"/>
    </row>
    <row r="88" spans="13:18" ht="18.75" x14ac:dyDescent="0.25">
      <c r="M88" s="453" t="s">
        <v>434</v>
      </c>
      <c r="N88" s="453"/>
      <c r="O88" s="453"/>
      <c r="P88" s="453"/>
      <c r="Q88" s="453" t="s">
        <v>436</v>
      </c>
      <c r="R88" s="453"/>
    </row>
  </sheetData>
  <mergeCells count="4">
    <mergeCell ref="M88:P88"/>
    <mergeCell ref="Q88:R88"/>
    <mergeCell ref="M84:M85"/>
    <mergeCell ref="O84:Q85"/>
  </mergeCells>
  <dataValidations count="5">
    <dataValidation type="list" allowBlank="1" showInputMessage="1" showErrorMessage="1" sqref="C27 C8">
      <formula1>"ACT/365,ACT/365_ISDA,ACT/360,30/360,30E/360,ACT/365FJ"</formula1>
    </dataValidation>
    <dataValidation type="list" allowBlank="1" showInputMessage="1" showErrorMessage="1" sqref="C38 C19">
      <formula1>"ADVANCE,ARREARS"</formula1>
    </dataValidation>
    <dataValidation type="list" allowBlank="1" showInputMessage="1" showErrorMessage="1" sqref="C29 C35 C32 C10 C16 C13">
      <formula1>"FOLLOWING,MOD_FOLLOWING,PRECEDING,MOD_PRECEDING,NO_CHANGE"</formula1>
    </dataValidation>
    <dataValidation type="list" allowBlank="1" showInputMessage="1" showErrorMessage="1" sqref="C31 C28 C12 C9">
      <formula1>"Annual,Semi-Annual,Quarterly,Monthly,Weekly"</formula1>
    </dataValidation>
    <dataValidation type="list" allowBlank="1" showInputMessage="1" showErrorMessage="1" sqref="C41 C22">
      <formula1>"TRUE,FALSE"</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theme="5" tint="0.39997558519241921"/>
  </sheetPr>
  <dimension ref="A1:AJ87"/>
  <sheetViews>
    <sheetView showGridLines="0" zoomScaleNormal="100" workbookViewId="0"/>
  </sheetViews>
  <sheetFormatPr defaultRowHeight="15" x14ac:dyDescent="0.25"/>
  <cols>
    <col min="1" max="1" width="12.140625" style="125" bestFit="1" customWidth="1"/>
    <col min="2" max="2" width="31" style="125" bestFit="1" customWidth="1"/>
    <col min="3" max="3" width="25.7109375" style="125" customWidth="1"/>
    <col min="4" max="4" width="4.7109375" style="125" customWidth="1"/>
    <col min="5" max="8" width="15.7109375" style="125" customWidth="1"/>
    <col min="9" max="9" width="20.42578125" style="125" bestFit="1" customWidth="1"/>
    <col min="10" max="10" width="15.7109375" style="125" customWidth="1"/>
    <col min="11" max="11" width="4.7109375" style="125" customWidth="1"/>
    <col min="12" max="12" width="18" style="125" customWidth="1"/>
    <col min="13" max="13" width="4.7109375" style="125" customWidth="1"/>
    <col min="14" max="14" width="15.28515625" style="125" customWidth="1"/>
    <col min="15" max="16" width="12.7109375" style="125" customWidth="1"/>
    <col min="17" max="17" width="13.140625" style="125" customWidth="1"/>
    <col min="18" max="18" width="12.7109375" style="125" customWidth="1"/>
    <col min="19" max="19" width="13.42578125" style="125" customWidth="1"/>
    <col min="20" max="20" width="4.7109375" style="125" customWidth="1"/>
    <col min="21" max="21" width="38.5703125" style="125" customWidth="1"/>
    <col min="22" max="22" width="20.7109375" style="125" customWidth="1"/>
    <col min="23" max="23" width="9.28515625" style="125" customWidth="1"/>
    <col min="24" max="16384" width="9.140625" style="125"/>
  </cols>
  <sheetData>
    <row r="1" spans="1:22" x14ac:dyDescent="0.25">
      <c r="N1" s="280"/>
    </row>
    <row r="2" spans="1:22" ht="23.25" x14ac:dyDescent="0.35">
      <c r="B2" s="242" t="s">
        <v>426</v>
      </c>
      <c r="F2" s="281" t="s">
        <v>445</v>
      </c>
      <c r="L2" s="281"/>
      <c r="N2" s="378"/>
      <c r="O2" s="115"/>
      <c r="P2" s="370"/>
    </row>
    <row r="4" spans="1:22" x14ac:dyDescent="0.25">
      <c r="B4" s="357" t="s">
        <v>429</v>
      </c>
      <c r="E4" s="357" t="s">
        <v>427</v>
      </c>
      <c r="L4" s="435" t="s">
        <v>444</v>
      </c>
      <c r="N4" s="357" t="s">
        <v>430</v>
      </c>
      <c r="U4" s="357" t="s">
        <v>432</v>
      </c>
    </row>
    <row r="5" spans="1:22" ht="15" customHeight="1" x14ac:dyDescent="0.25">
      <c r="A5" s="257" t="s">
        <v>334</v>
      </c>
      <c r="B5" s="396" t="s">
        <v>214</v>
      </c>
      <c r="C5" s="354">
        <f ca="1">_xll.meDateFromTenor(COB,A6,C9,C10)</f>
        <v>42523</v>
      </c>
      <c r="D5" s="358">
        <v>0</v>
      </c>
      <c r="E5" s="399" t="str">
        <f t="array" aca="1" ref="E5:J21" ca="1">_xll.meProductSwapSchedule(_xll.meUtilityLVB(B5:C21))</f>
        <v>FixingDate</v>
      </c>
      <c r="F5" s="400" t="str">
        <f ca="1"/>
        <v>AccrualStart</v>
      </c>
      <c r="G5" s="400" t="str">
        <f ca="1"/>
        <v>AccrualEnd</v>
      </c>
      <c r="H5" s="371" t="str">
        <f ca="1"/>
        <v>AccrualDays</v>
      </c>
      <c r="I5" s="443" t="str">
        <f ca="1"/>
        <v>AccrualYearFractions</v>
      </c>
      <c r="J5" s="401" t="str">
        <f ca="1"/>
        <v>PaymentDate</v>
      </c>
      <c r="L5" s="436" t="s">
        <v>386</v>
      </c>
      <c r="N5" s="379" t="s">
        <v>171</v>
      </c>
      <c r="O5" s="380" t="s">
        <v>216</v>
      </c>
      <c r="P5" s="381" t="s">
        <v>417</v>
      </c>
      <c r="Q5" s="381" t="s">
        <v>416</v>
      </c>
      <c r="R5" s="382" t="s">
        <v>418</v>
      </c>
      <c r="S5" s="408" t="s">
        <v>359</v>
      </c>
      <c r="U5" s="309" t="s">
        <v>171</v>
      </c>
      <c r="V5" s="310">
        <v>1000000</v>
      </c>
    </row>
    <row r="6" spans="1:22" ht="15" customHeight="1" x14ac:dyDescent="0.25">
      <c r="A6" s="258" t="s">
        <v>176</v>
      </c>
      <c r="B6" s="397" t="s">
        <v>215</v>
      </c>
      <c r="C6" s="369" t="s">
        <v>47</v>
      </c>
      <c r="D6" s="358">
        <v>1</v>
      </c>
      <c r="E6" s="402">
        <f ca="1"/>
        <v>42523</v>
      </c>
      <c r="F6" s="403">
        <f ca="1"/>
        <v>42523</v>
      </c>
      <c r="G6" s="403">
        <f ca="1"/>
        <v>42888</v>
      </c>
      <c r="H6" s="374">
        <f ca="1"/>
        <v>365</v>
      </c>
      <c r="I6" s="394">
        <f ca="1"/>
        <v>1</v>
      </c>
      <c r="J6" s="404">
        <f ca="1"/>
        <v>42888</v>
      </c>
      <c r="L6" s="437">
        <f ca="1">IF(ISNA($E6),NA(),_xll.meDateYearFraction(F6,G6,$C$7))</f>
        <v>1</v>
      </c>
      <c r="N6" s="383">
        <f t="shared" ref="N6:N21" ca="1" si="0">IF(ISNA(E6),NA(),$V$5)</f>
        <v>1000000</v>
      </c>
      <c r="O6" s="384">
        <f t="shared" ref="O6:O21" ca="1" si="1">IF(ISNA(E6),NA(),$V$23)</f>
        <v>0.01</v>
      </c>
      <c r="P6" s="385">
        <f t="shared" ref="P6:P21" ca="1" si="2">IF(ISNA(E6),NA(),N6*O6*I6)</f>
        <v>10000</v>
      </c>
      <c r="Q6" s="386">
        <f ca="1">IF(ISNA(E6),NA(),_xll.meCurveDiscountFactorsForwardStarting(COB,$J6,$V$9,$V$11))</f>
        <v>1.003907355861789</v>
      </c>
      <c r="R6" s="385">
        <f t="shared" ref="R6:R21" ca="1" si="3">IF(ISNA(E6),NA(),P6*Q6)</f>
        <v>10039.073558617891</v>
      </c>
      <c r="S6" s="409" t="s">
        <v>359</v>
      </c>
      <c r="U6" s="245" t="s">
        <v>213</v>
      </c>
      <c r="V6" s="243" t="s">
        <v>209</v>
      </c>
    </row>
    <row r="7" spans="1:22" x14ac:dyDescent="0.25">
      <c r="B7" s="397" t="s">
        <v>446</v>
      </c>
      <c r="C7" s="359" t="s">
        <v>20</v>
      </c>
      <c r="D7" s="358">
        <v>2</v>
      </c>
      <c r="E7" s="402">
        <f ca="1"/>
        <v>42888</v>
      </c>
      <c r="F7" s="403">
        <f ca="1"/>
        <v>42888</v>
      </c>
      <c r="G7" s="403">
        <f ca="1"/>
        <v>43255</v>
      </c>
      <c r="H7" s="374">
        <f ca="1"/>
        <v>367</v>
      </c>
      <c r="I7" s="394">
        <f ca="1"/>
        <v>1.0055555555555555</v>
      </c>
      <c r="J7" s="404">
        <f ca="1"/>
        <v>43255</v>
      </c>
      <c r="L7" s="437">
        <f ca="1">IF(ISNA($E7),NA(),_xll.meDateYearFraction(F7,G7,$C$7))</f>
        <v>1.0055555555555555</v>
      </c>
      <c r="N7" s="383">
        <f t="shared" ca="1" si="0"/>
        <v>1000000</v>
      </c>
      <c r="O7" s="384">
        <f t="shared" ca="1" si="1"/>
        <v>0.01</v>
      </c>
      <c r="P7" s="385">
        <f t="shared" ca="1" si="2"/>
        <v>10055.555555555555</v>
      </c>
      <c r="Q7" s="386">
        <f ca="1">IF(ISNA(E7),NA(),_xll.meCurveDiscountFactorsForwardStarting(COB,$J7,$V$9,$V$11))</f>
        <v>1.0082223323895707</v>
      </c>
      <c r="R7" s="385">
        <f t="shared" ca="1" si="3"/>
        <v>10138.235675695127</v>
      </c>
      <c r="S7" s="409" t="s">
        <v>359</v>
      </c>
      <c r="U7" s="245" t="s">
        <v>214</v>
      </c>
      <c r="V7" s="307">
        <v>42523</v>
      </c>
    </row>
    <row r="8" spans="1:22" x14ac:dyDescent="0.25">
      <c r="B8" s="397" t="s">
        <v>400</v>
      </c>
      <c r="C8" s="359" t="s">
        <v>26</v>
      </c>
      <c r="D8" s="358">
        <v>3</v>
      </c>
      <c r="E8" s="402" t="e">
        <f ca="1"/>
        <v>#N/A</v>
      </c>
      <c r="F8" s="403" t="e">
        <f ca="1"/>
        <v>#N/A</v>
      </c>
      <c r="G8" s="403" t="e">
        <f ca="1"/>
        <v>#N/A</v>
      </c>
      <c r="H8" s="374" t="e">
        <f ca="1"/>
        <v>#N/A</v>
      </c>
      <c r="I8" s="394" t="e">
        <f ca="1"/>
        <v>#N/A</v>
      </c>
      <c r="J8" s="404" t="e">
        <f ca="1"/>
        <v>#N/A</v>
      </c>
      <c r="L8" s="298" t="e">
        <f ca="1">IF(ISNA($E8),NA(),_xll.meDateYearFraction(F8,G8,$C$7))</f>
        <v>#N/A</v>
      </c>
      <c r="N8" s="383" t="e">
        <f t="shared" ca="1" si="0"/>
        <v>#N/A</v>
      </c>
      <c r="O8" s="384" t="e">
        <f t="shared" ca="1" si="1"/>
        <v>#N/A</v>
      </c>
      <c r="P8" s="385" t="e">
        <f t="shared" ca="1" si="2"/>
        <v>#N/A</v>
      </c>
      <c r="Q8" s="386" t="e">
        <f ca="1">IF(ISNA(E8),NA(),_xll.meCurveDiscountFactorsForwardStarting(COB,$J8,$V$9,$V$11))</f>
        <v>#N/A</v>
      </c>
      <c r="R8" s="385" t="e">
        <f t="shared" ca="1" si="3"/>
        <v>#N/A</v>
      </c>
      <c r="S8" s="409" t="s">
        <v>359</v>
      </c>
      <c r="U8" s="245" t="s">
        <v>215</v>
      </c>
      <c r="V8" s="308" t="s">
        <v>47</v>
      </c>
    </row>
    <row r="9" spans="1:22" x14ac:dyDescent="0.25">
      <c r="B9" s="397" t="s">
        <v>401</v>
      </c>
      <c r="C9" s="360" t="s">
        <v>22</v>
      </c>
      <c r="D9" s="358">
        <v>4</v>
      </c>
      <c r="E9" s="402" t="e">
        <f ca="1"/>
        <v>#N/A</v>
      </c>
      <c r="F9" s="403" t="e">
        <f ca="1"/>
        <v>#N/A</v>
      </c>
      <c r="G9" s="403" t="e">
        <f ca="1"/>
        <v>#N/A</v>
      </c>
      <c r="H9" s="374" t="e">
        <f ca="1"/>
        <v>#N/A</v>
      </c>
      <c r="I9" s="394" t="e">
        <f ca="1"/>
        <v>#N/A</v>
      </c>
      <c r="J9" s="404" t="e">
        <f ca="1"/>
        <v>#N/A</v>
      </c>
      <c r="L9" s="298" t="e">
        <f ca="1">IF(ISNA($E9),NA(),_xll.meDateYearFraction(F9,G9,$C$7))</f>
        <v>#N/A</v>
      </c>
      <c r="N9" s="383" t="e">
        <f t="shared" ca="1" si="0"/>
        <v>#N/A</v>
      </c>
      <c r="O9" s="384" t="e">
        <f t="shared" ca="1" si="1"/>
        <v>#N/A</v>
      </c>
      <c r="P9" s="385" t="e">
        <f t="shared" ca="1" si="2"/>
        <v>#N/A</v>
      </c>
      <c r="Q9" s="386" t="e">
        <f ca="1">IF(ISNA(E9),NA(),_xll.meCurveDiscountFactorsForwardStarting(COB,$J9,$V$9,$V$11))</f>
        <v>#N/A</v>
      </c>
      <c r="R9" s="385" t="e">
        <f t="shared" ca="1" si="3"/>
        <v>#N/A</v>
      </c>
      <c r="S9" s="409" t="s">
        <v>359</v>
      </c>
      <c r="U9" s="245" t="s">
        <v>80</v>
      </c>
      <c r="V9" s="308" t="s">
        <v>78</v>
      </c>
    </row>
    <row r="10" spans="1:22" x14ac:dyDescent="0.25">
      <c r="B10" s="397" t="s">
        <v>402</v>
      </c>
      <c r="C10" s="361" t="s">
        <v>2</v>
      </c>
      <c r="D10" s="358">
        <v>5</v>
      </c>
      <c r="E10" s="402" t="e">
        <f ca="1"/>
        <v>#N/A</v>
      </c>
      <c r="F10" s="403" t="e">
        <f ca="1"/>
        <v>#N/A</v>
      </c>
      <c r="G10" s="403" t="e">
        <f ca="1"/>
        <v>#N/A</v>
      </c>
      <c r="H10" s="374" t="e">
        <f ca="1"/>
        <v>#N/A</v>
      </c>
      <c r="I10" s="394" t="e">
        <f ca="1"/>
        <v>#N/A</v>
      </c>
      <c r="J10" s="404" t="e">
        <f ca="1"/>
        <v>#N/A</v>
      </c>
      <c r="L10" s="298" t="e">
        <f ca="1">IF(ISNA($E10),NA(),_xll.meDateYearFraction(F10,G10,$C$7))</f>
        <v>#N/A</v>
      </c>
      <c r="N10" s="383" t="e">
        <f t="shared" ca="1" si="0"/>
        <v>#N/A</v>
      </c>
      <c r="O10" s="384" t="e">
        <f t="shared" ca="1" si="1"/>
        <v>#N/A</v>
      </c>
      <c r="P10" s="385" t="e">
        <f t="shared" ca="1" si="2"/>
        <v>#N/A</v>
      </c>
      <c r="Q10" s="386" t="e">
        <f ca="1">IF(ISNA(E10),NA(),_xll.meCurveDiscountFactorsForwardStarting(COB,$J10,$V$9,$V$11))</f>
        <v>#N/A</v>
      </c>
      <c r="R10" s="385" t="e">
        <f t="shared" ca="1" si="3"/>
        <v>#N/A</v>
      </c>
      <c r="S10" s="409" t="s">
        <v>359</v>
      </c>
      <c r="U10" s="245" t="s">
        <v>231</v>
      </c>
      <c r="V10" s="244" t="s">
        <v>170</v>
      </c>
    </row>
    <row r="11" spans="1:22" x14ac:dyDescent="0.25">
      <c r="B11" s="397" t="s">
        <v>403</v>
      </c>
      <c r="C11" s="359" t="s">
        <v>26</v>
      </c>
      <c r="D11" s="358">
        <v>6</v>
      </c>
      <c r="E11" s="402" t="e">
        <f ca="1"/>
        <v>#N/A</v>
      </c>
      <c r="F11" s="403" t="e">
        <f ca="1"/>
        <v>#N/A</v>
      </c>
      <c r="G11" s="403" t="e">
        <f ca="1"/>
        <v>#N/A</v>
      </c>
      <c r="H11" s="374" t="e">
        <f ca="1"/>
        <v>#N/A</v>
      </c>
      <c r="I11" s="394" t="e">
        <f ca="1"/>
        <v>#N/A</v>
      </c>
      <c r="J11" s="404" t="e">
        <f ca="1"/>
        <v>#N/A</v>
      </c>
      <c r="L11" s="298" t="e">
        <f ca="1">IF(ISNA($E11),NA(),_xll.meDateYearFraction(F11,G11,$C$7))</f>
        <v>#N/A</v>
      </c>
      <c r="N11" s="383" t="e">
        <f t="shared" ca="1" si="0"/>
        <v>#N/A</v>
      </c>
      <c r="O11" s="384" t="e">
        <f t="shared" ca="1" si="1"/>
        <v>#N/A</v>
      </c>
      <c r="P11" s="385" t="e">
        <f t="shared" ca="1" si="2"/>
        <v>#N/A</v>
      </c>
      <c r="Q11" s="386" t="e">
        <f ca="1">IF(ISNA(E11),NA(),_xll.meCurveDiscountFactorsForwardStarting(COB,$J11,$V$9,$V$11))</f>
        <v>#N/A</v>
      </c>
      <c r="R11" s="385" t="e">
        <f t="shared" ca="1" si="3"/>
        <v>#N/A</v>
      </c>
      <c r="S11" s="409" t="s">
        <v>359</v>
      </c>
      <c r="U11" s="245" t="s">
        <v>232</v>
      </c>
      <c r="V11" s="311" t="s">
        <v>9</v>
      </c>
    </row>
    <row r="12" spans="1:22" x14ac:dyDescent="0.25">
      <c r="B12" s="397" t="s">
        <v>404</v>
      </c>
      <c r="C12" s="360" t="s">
        <v>22</v>
      </c>
      <c r="D12" s="358">
        <v>7</v>
      </c>
      <c r="E12" s="402" t="e">
        <f ca="1"/>
        <v>#N/A</v>
      </c>
      <c r="F12" s="403" t="e">
        <f ca="1"/>
        <v>#N/A</v>
      </c>
      <c r="G12" s="403" t="e">
        <f ca="1"/>
        <v>#N/A</v>
      </c>
      <c r="H12" s="374" t="e">
        <f ca="1"/>
        <v>#N/A</v>
      </c>
      <c r="I12" s="394" t="e">
        <f ca="1"/>
        <v>#N/A</v>
      </c>
      <c r="J12" s="404" t="e">
        <f ca="1"/>
        <v>#N/A</v>
      </c>
      <c r="L12" s="298" t="e">
        <f ca="1">IF(ISNA($E12),NA(),_xll.meDateYearFraction(F12,G12,$C$7))</f>
        <v>#N/A</v>
      </c>
      <c r="N12" s="383" t="e">
        <f t="shared" ca="1" si="0"/>
        <v>#N/A</v>
      </c>
      <c r="O12" s="384" t="e">
        <f t="shared" ca="1" si="1"/>
        <v>#N/A</v>
      </c>
      <c r="P12" s="385" t="e">
        <f t="shared" ca="1" si="2"/>
        <v>#N/A</v>
      </c>
      <c r="Q12" s="386" t="e">
        <f ca="1">IF(ISNA(E12),NA(),_xll.meCurveDiscountFactorsForwardStarting(COB,$J12,$V$9,$V$11))</f>
        <v>#N/A</v>
      </c>
      <c r="R12" s="385" t="e">
        <f t="shared" ca="1" si="3"/>
        <v>#N/A</v>
      </c>
      <c r="S12" s="409" t="s">
        <v>359</v>
      </c>
      <c r="U12" s="245" t="s">
        <v>217</v>
      </c>
      <c r="V12" s="260" t="s">
        <v>26</v>
      </c>
    </row>
    <row r="13" spans="1:22" x14ac:dyDescent="0.25">
      <c r="B13" s="397" t="s">
        <v>405</v>
      </c>
      <c r="C13" s="286" t="s">
        <v>2</v>
      </c>
      <c r="D13" s="358">
        <v>8</v>
      </c>
      <c r="E13" s="402" t="e">
        <f ca="1"/>
        <v>#N/A</v>
      </c>
      <c r="F13" s="403" t="e">
        <f ca="1"/>
        <v>#N/A</v>
      </c>
      <c r="G13" s="403" t="e">
        <f ca="1"/>
        <v>#N/A</v>
      </c>
      <c r="H13" s="374" t="e">
        <f ca="1"/>
        <v>#N/A</v>
      </c>
      <c r="I13" s="394" t="e">
        <f ca="1"/>
        <v>#N/A</v>
      </c>
      <c r="J13" s="404" t="e">
        <f ca="1"/>
        <v>#N/A</v>
      </c>
      <c r="L13" s="298" t="e">
        <f ca="1">IF(ISNA($E13),NA(),_xll.meDateYearFraction(F13,G13,$C$7))</f>
        <v>#N/A</v>
      </c>
      <c r="N13" s="383" t="e">
        <f t="shared" ca="1" si="0"/>
        <v>#N/A</v>
      </c>
      <c r="O13" s="384" t="e">
        <f t="shared" ca="1" si="1"/>
        <v>#N/A</v>
      </c>
      <c r="P13" s="385" t="e">
        <f t="shared" ca="1" si="2"/>
        <v>#N/A</v>
      </c>
      <c r="Q13" s="386" t="e">
        <f ca="1">IF(ISNA(E13),NA(),_xll.meCurveDiscountFactorsForwardStarting(COB,$J13,$V$9,$V$11))</f>
        <v>#N/A</v>
      </c>
      <c r="R13" s="385" t="e">
        <f t="shared" ca="1" si="3"/>
        <v>#N/A</v>
      </c>
      <c r="S13" s="409" t="s">
        <v>359</v>
      </c>
      <c r="U13" s="245" t="s">
        <v>218</v>
      </c>
      <c r="V13" s="259" t="s">
        <v>20</v>
      </c>
    </row>
    <row r="14" spans="1:22" x14ac:dyDescent="0.25">
      <c r="B14" s="397" t="s">
        <v>406</v>
      </c>
      <c r="C14" s="362" t="s">
        <v>172</v>
      </c>
      <c r="D14" s="358">
        <v>9</v>
      </c>
      <c r="E14" s="402" t="e">
        <f ca="1"/>
        <v>#N/A</v>
      </c>
      <c r="F14" s="403" t="e">
        <f ca="1"/>
        <v>#N/A</v>
      </c>
      <c r="G14" s="403" t="e">
        <f ca="1"/>
        <v>#N/A</v>
      </c>
      <c r="H14" s="374" t="e">
        <f ca="1"/>
        <v>#N/A</v>
      </c>
      <c r="I14" s="394" t="e">
        <f ca="1"/>
        <v>#N/A</v>
      </c>
      <c r="J14" s="404" t="e">
        <f ca="1"/>
        <v>#N/A</v>
      </c>
      <c r="L14" s="298" t="e">
        <f ca="1">IF(ISNA($E14),NA(),_xll.meDateYearFraction(F14,G14,$C$7))</f>
        <v>#N/A</v>
      </c>
      <c r="N14" s="383" t="e">
        <f t="shared" ca="1" si="0"/>
        <v>#N/A</v>
      </c>
      <c r="O14" s="384" t="e">
        <f t="shared" ca="1" si="1"/>
        <v>#N/A</v>
      </c>
      <c r="P14" s="385" t="e">
        <f t="shared" ca="1" si="2"/>
        <v>#N/A</v>
      </c>
      <c r="Q14" s="386" t="e">
        <f ca="1">IF(ISNA(E14),NA(),_xll.meCurveDiscountFactorsForwardStarting(COB,$J14,$V$9,$V$11))</f>
        <v>#N/A</v>
      </c>
      <c r="R14" s="385" t="e">
        <f t="shared" ca="1" si="3"/>
        <v>#N/A</v>
      </c>
      <c r="S14" s="409" t="s">
        <v>359</v>
      </c>
      <c r="U14" s="245" t="s">
        <v>336</v>
      </c>
      <c r="V14" s="260" t="s">
        <v>22</v>
      </c>
    </row>
    <row r="15" spans="1:22" x14ac:dyDescent="0.25">
      <c r="B15" s="397" t="s">
        <v>407</v>
      </c>
      <c r="C15" s="363" t="s">
        <v>22</v>
      </c>
      <c r="D15" s="358">
        <v>10</v>
      </c>
      <c r="E15" s="402" t="e">
        <f ca="1"/>
        <v>#N/A</v>
      </c>
      <c r="F15" s="403" t="e">
        <f ca="1"/>
        <v>#N/A</v>
      </c>
      <c r="G15" s="403" t="e">
        <f ca="1"/>
        <v>#N/A</v>
      </c>
      <c r="H15" s="374" t="e">
        <f ca="1"/>
        <v>#N/A</v>
      </c>
      <c r="I15" s="394" t="e">
        <f ca="1"/>
        <v>#N/A</v>
      </c>
      <c r="J15" s="404" t="e">
        <f ca="1"/>
        <v>#N/A</v>
      </c>
      <c r="L15" s="298" t="e">
        <f ca="1">IF(ISNA($E15),NA(),_xll.meDateYearFraction(F15,G15,$C$7))</f>
        <v>#N/A</v>
      </c>
      <c r="N15" s="383" t="e">
        <f t="shared" ca="1" si="0"/>
        <v>#N/A</v>
      </c>
      <c r="O15" s="384" t="e">
        <f t="shared" ca="1" si="1"/>
        <v>#N/A</v>
      </c>
      <c r="P15" s="385" t="e">
        <f t="shared" ca="1" si="2"/>
        <v>#N/A</v>
      </c>
      <c r="Q15" s="386" t="e">
        <f ca="1">IF(ISNA(E15),NA(),_xll.meCurveDiscountFactorsForwardStarting(COB,$J15,$V$9,$V$11))</f>
        <v>#N/A</v>
      </c>
      <c r="R15" s="385" t="e">
        <f t="shared" ca="1" si="3"/>
        <v>#N/A</v>
      </c>
      <c r="S15" s="409" t="s">
        <v>359</v>
      </c>
      <c r="U15" s="245" t="s">
        <v>338</v>
      </c>
      <c r="V15" s="260" t="s">
        <v>2</v>
      </c>
    </row>
    <row r="16" spans="1:22" x14ac:dyDescent="0.25">
      <c r="B16" s="397" t="s">
        <v>408</v>
      </c>
      <c r="C16" s="286" t="s">
        <v>2</v>
      </c>
      <c r="D16" s="358">
        <v>11</v>
      </c>
      <c r="E16" s="402" t="e">
        <f ca="1"/>
        <v>#N/A</v>
      </c>
      <c r="F16" s="403" t="e">
        <f ca="1"/>
        <v>#N/A</v>
      </c>
      <c r="G16" s="403" t="e">
        <f ca="1"/>
        <v>#N/A</v>
      </c>
      <c r="H16" s="374" t="e">
        <f ca="1"/>
        <v>#N/A</v>
      </c>
      <c r="I16" s="394" t="e">
        <f ca="1"/>
        <v>#N/A</v>
      </c>
      <c r="J16" s="404" t="e">
        <f ca="1"/>
        <v>#N/A</v>
      </c>
      <c r="L16" s="298" t="e">
        <f ca="1">IF(ISNA($E16),NA(),_xll.meDateYearFraction(F16,G16,$C$7))</f>
        <v>#N/A</v>
      </c>
      <c r="N16" s="383" t="e">
        <f t="shared" ca="1" si="0"/>
        <v>#N/A</v>
      </c>
      <c r="O16" s="384" t="e">
        <f t="shared" ca="1" si="1"/>
        <v>#N/A</v>
      </c>
      <c r="P16" s="385" t="e">
        <f t="shared" ca="1" si="2"/>
        <v>#N/A</v>
      </c>
      <c r="Q16" s="386" t="e">
        <f ca="1">IF(ISNA(E16),NA(),_xll.meCurveDiscountFactorsForwardStarting(COB,$J16,$V$9,$V$11))</f>
        <v>#N/A</v>
      </c>
      <c r="R16" s="385" t="e">
        <f t="shared" ca="1" si="3"/>
        <v>#N/A</v>
      </c>
      <c r="S16" s="409" t="s">
        <v>359</v>
      </c>
      <c r="U16" s="245" t="s">
        <v>337</v>
      </c>
      <c r="V16" s="260" t="s">
        <v>22</v>
      </c>
    </row>
    <row r="17" spans="1:22" x14ac:dyDescent="0.25">
      <c r="B17" s="397" t="s">
        <v>409</v>
      </c>
      <c r="C17" s="364" t="s">
        <v>172</v>
      </c>
      <c r="D17" s="358">
        <v>12</v>
      </c>
      <c r="E17" s="402" t="e">
        <f ca="1"/>
        <v>#N/A</v>
      </c>
      <c r="F17" s="403" t="e">
        <f ca="1"/>
        <v>#N/A</v>
      </c>
      <c r="G17" s="403" t="e">
        <f ca="1"/>
        <v>#N/A</v>
      </c>
      <c r="H17" s="374" t="e">
        <f ca="1"/>
        <v>#N/A</v>
      </c>
      <c r="I17" s="394" t="e">
        <f ca="1"/>
        <v>#N/A</v>
      </c>
      <c r="J17" s="404" t="e">
        <f ca="1"/>
        <v>#N/A</v>
      </c>
      <c r="L17" s="298" t="e">
        <f ca="1">IF(ISNA($E17),NA(),_xll.meDateYearFraction(F17,G17,$C$7))</f>
        <v>#N/A</v>
      </c>
      <c r="N17" s="383" t="e">
        <f t="shared" ca="1" si="0"/>
        <v>#N/A</v>
      </c>
      <c r="O17" s="384" t="e">
        <f t="shared" ca="1" si="1"/>
        <v>#N/A</v>
      </c>
      <c r="P17" s="385" t="e">
        <f t="shared" ca="1" si="2"/>
        <v>#N/A</v>
      </c>
      <c r="Q17" s="386" t="e">
        <f ca="1">IF(ISNA(E17),NA(),_xll.meCurveDiscountFactorsForwardStarting(COB,$J17,$V$9,$V$11))</f>
        <v>#N/A</v>
      </c>
      <c r="R17" s="385" t="e">
        <f t="shared" ca="1" si="3"/>
        <v>#N/A</v>
      </c>
      <c r="S17" s="409" t="s">
        <v>359</v>
      </c>
      <c r="U17" s="245" t="s">
        <v>339</v>
      </c>
      <c r="V17" s="260" t="s">
        <v>2</v>
      </c>
    </row>
    <row r="18" spans="1:22" x14ac:dyDescent="0.25">
      <c r="B18" s="397" t="s">
        <v>410</v>
      </c>
      <c r="C18" s="365" t="s">
        <v>411</v>
      </c>
      <c r="D18" s="358">
        <v>13</v>
      </c>
      <c r="E18" s="402" t="e">
        <f ca="1"/>
        <v>#N/A</v>
      </c>
      <c r="F18" s="403" t="e">
        <f ca="1"/>
        <v>#N/A</v>
      </c>
      <c r="G18" s="403" t="e">
        <f ca="1"/>
        <v>#N/A</v>
      </c>
      <c r="H18" s="374" t="e">
        <f ca="1"/>
        <v>#N/A</v>
      </c>
      <c r="I18" s="394" t="e">
        <f ca="1"/>
        <v>#N/A</v>
      </c>
      <c r="J18" s="404" t="e">
        <f ca="1"/>
        <v>#N/A</v>
      </c>
      <c r="L18" s="298" t="e">
        <f ca="1">IF(ISNA($E18),NA(),_xll.meDateYearFraction(F18,G18,$C$7))</f>
        <v>#N/A</v>
      </c>
      <c r="N18" s="383" t="e">
        <f t="shared" ca="1" si="0"/>
        <v>#N/A</v>
      </c>
      <c r="O18" s="384" t="e">
        <f t="shared" ca="1" si="1"/>
        <v>#N/A</v>
      </c>
      <c r="P18" s="385" t="e">
        <f t="shared" ca="1" si="2"/>
        <v>#N/A</v>
      </c>
      <c r="Q18" s="386" t="e">
        <f ca="1">IF(ISNA(E18),NA(),_xll.meCurveDiscountFactorsForwardStarting(COB,$J18,$V$9,$V$11))</f>
        <v>#N/A</v>
      </c>
      <c r="R18" s="385" t="e">
        <f t="shared" ca="1" si="3"/>
        <v>#N/A</v>
      </c>
      <c r="S18" s="409" t="s">
        <v>359</v>
      </c>
      <c r="U18" s="245" t="s">
        <v>239</v>
      </c>
      <c r="V18" s="261"/>
    </row>
    <row r="19" spans="1:22" x14ac:dyDescent="0.25">
      <c r="B19" s="397" t="s">
        <v>412</v>
      </c>
      <c r="C19" s="366"/>
      <c r="D19" s="358">
        <v>14</v>
      </c>
      <c r="E19" s="402" t="e">
        <f ca="1"/>
        <v>#N/A</v>
      </c>
      <c r="F19" s="403" t="e">
        <f ca="1"/>
        <v>#N/A</v>
      </c>
      <c r="G19" s="403" t="e">
        <f ca="1"/>
        <v>#N/A</v>
      </c>
      <c r="H19" s="374" t="e">
        <f ca="1"/>
        <v>#N/A</v>
      </c>
      <c r="I19" s="394" t="e">
        <f ca="1"/>
        <v>#N/A</v>
      </c>
      <c r="J19" s="404" t="e">
        <f ca="1"/>
        <v>#N/A</v>
      </c>
      <c r="L19" s="298" t="e">
        <f ca="1">IF(ISNA($E19),NA(),_xll.meDateYearFraction(F19,G19,$C$7))</f>
        <v>#N/A</v>
      </c>
      <c r="N19" s="383" t="e">
        <f t="shared" ca="1" si="0"/>
        <v>#N/A</v>
      </c>
      <c r="O19" s="384" t="e">
        <f t="shared" ca="1" si="1"/>
        <v>#N/A</v>
      </c>
      <c r="P19" s="385" t="e">
        <f t="shared" ca="1" si="2"/>
        <v>#N/A</v>
      </c>
      <c r="Q19" s="386" t="e">
        <f ca="1">IF(ISNA(E19),NA(),_xll.meCurveDiscountFactorsForwardStarting(COB,$J19,$V$9,$V$11))</f>
        <v>#N/A</v>
      </c>
      <c r="R19" s="385" t="e">
        <f t="shared" ca="1" si="3"/>
        <v>#N/A</v>
      </c>
      <c r="S19" s="409" t="s">
        <v>359</v>
      </c>
      <c r="U19" s="245" t="s">
        <v>240</v>
      </c>
      <c r="V19" s="261"/>
    </row>
    <row r="20" spans="1:22" x14ac:dyDescent="0.25">
      <c r="B20" s="397" t="s">
        <v>413</v>
      </c>
      <c r="C20" s="366"/>
      <c r="D20" s="358">
        <v>15</v>
      </c>
      <c r="E20" s="402" t="e">
        <f ca="1"/>
        <v>#N/A</v>
      </c>
      <c r="F20" s="403" t="e">
        <f ca="1"/>
        <v>#N/A</v>
      </c>
      <c r="G20" s="403" t="e">
        <f ca="1"/>
        <v>#N/A</v>
      </c>
      <c r="H20" s="374" t="e">
        <f ca="1"/>
        <v>#N/A</v>
      </c>
      <c r="I20" s="394" t="e">
        <f ca="1"/>
        <v>#N/A</v>
      </c>
      <c r="J20" s="404" t="e">
        <f ca="1"/>
        <v>#N/A</v>
      </c>
      <c r="L20" s="298" t="e">
        <f ca="1">IF(ISNA($E20),NA(),_xll.meDateYearFraction(F20,G20,$C$7))</f>
        <v>#N/A</v>
      </c>
      <c r="N20" s="383" t="e">
        <f t="shared" ca="1" si="0"/>
        <v>#N/A</v>
      </c>
      <c r="O20" s="384" t="e">
        <f t="shared" ca="1" si="1"/>
        <v>#N/A</v>
      </c>
      <c r="P20" s="385" t="e">
        <f t="shared" ca="1" si="2"/>
        <v>#N/A</v>
      </c>
      <c r="Q20" s="386" t="e">
        <f ca="1">IF(ISNA(E20),NA(),_xll.meCurveDiscountFactorsForwardStarting(COB,$J20,$V$9,$V$11))</f>
        <v>#N/A</v>
      </c>
      <c r="R20" s="385" t="e">
        <f t="shared" ca="1" si="3"/>
        <v>#N/A</v>
      </c>
      <c r="S20" s="409" t="s">
        <v>359</v>
      </c>
      <c r="U20" s="245" t="s">
        <v>219</v>
      </c>
      <c r="V20" s="260" t="s">
        <v>364</v>
      </c>
    </row>
    <row r="21" spans="1:22" x14ac:dyDescent="0.25">
      <c r="B21" s="398" t="s">
        <v>414</v>
      </c>
      <c r="C21" s="367"/>
      <c r="D21" s="358">
        <v>18</v>
      </c>
      <c r="E21" s="405" t="e">
        <f ca="1"/>
        <v>#N/A</v>
      </c>
      <c r="F21" s="406" t="e">
        <f ca="1"/>
        <v>#N/A</v>
      </c>
      <c r="G21" s="406" t="e">
        <f ca="1"/>
        <v>#N/A</v>
      </c>
      <c r="H21" s="440" t="e">
        <f ca="1"/>
        <v>#N/A</v>
      </c>
      <c r="I21" s="395" t="e">
        <f ca="1"/>
        <v>#N/A</v>
      </c>
      <c r="J21" s="407" t="e">
        <f ca="1"/>
        <v>#N/A</v>
      </c>
      <c r="L21" s="438" t="e">
        <f ca="1">IF(ISNA($E21),NA(),_xll.meDateYearFraction(F21,G21,$C$7))</f>
        <v>#N/A</v>
      </c>
      <c r="N21" s="387" t="e">
        <f t="shared" ca="1" si="0"/>
        <v>#N/A</v>
      </c>
      <c r="O21" s="388" t="e">
        <f t="shared" ca="1" si="1"/>
        <v>#N/A</v>
      </c>
      <c r="P21" s="389" t="e">
        <f t="shared" ca="1" si="2"/>
        <v>#N/A</v>
      </c>
      <c r="Q21" s="390" t="e">
        <f ca="1">IF(ISNA(E21),NA(),_xll.meCurveDiscountFactorsForwardStarting(COB,$J21,$V$9,$V$11))</f>
        <v>#N/A</v>
      </c>
      <c r="R21" s="389" t="e">
        <f t="shared" ca="1" si="3"/>
        <v>#N/A</v>
      </c>
      <c r="S21" s="410" t="s">
        <v>359</v>
      </c>
      <c r="U21" s="245" t="s">
        <v>220</v>
      </c>
      <c r="V21" s="259" t="s">
        <v>172</v>
      </c>
    </row>
    <row r="22" spans="1:22" x14ac:dyDescent="0.25">
      <c r="H22" s="441"/>
      <c r="I22" s="442"/>
      <c r="O22" s="264"/>
      <c r="U22" s="245" t="s">
        <v>221</v>
      </c>
      <c r="V22" s="259" t="s">
        <v>173</v>
      </c>
    </row>
    <row r="23" spans="1:22" x14ac:dyDescent="0.25">
      <c r="B23" s="357" t="s">
        <v>428</v>
      </c>
      <c r="E23" s="357" t="s">
        <v>415</v>
      </c>
      <c r="H23" s="441"/>
      <c r="I23" s="442"/>
      <c r="L23" s="435" t="s">
        <v>444</v>
      </c>
      <c r="N23" s="357" t="s">
        <v>431</v>
      </c>
      <c r="O23" s="264"/>
      <c r="U23" s="245" t="s">
        <v>216</v>
      </c>
      <c r="V23" s="303">
        <v>0.01</v>
      </c>
    </row>
    <row r="24" spans="1:22" x14ac:dyDescent="0.25">
      <c r="A24" s="257" t="s">
        <v>334</v>
      </c>
      <c r="B24" s="396" t="s">
        <v>214</v>
      </c>
      <c r="C24" s="354">
        <f ca="1">C5</f>
        <v>42523</v>
      </c>
      <c r="D24" s="358">
        <v>0</v>
      </c>
      <c r="E24" s="399" t="str">
        <f t="array" aca="1" ref="E24:J40" ca="1">_xll.meProductSwapSchedule(_xll.meUtilityLVB(B24:C40))</f>
        <v>FixingDate</v>
      </c>
      <c r="F24" s="400" t="str">
        <f ca="1"/>
        <v>AccrualStart</v>
      </c>
      <c r="G24" s="400" t="str">
        <f ca="1"/>
        <v>AccrualEnd</v>
      </c>
      <c r="H24" s="371" t="str">
        <f ca="1"/>
        <v>AccrualDays</v>
      </c>
      <c r="I24" s="443" t="str">
        <f ca="1"/>
        <v>AccrualYearFractions</v>
      </c>
      <c r="J24" s="401" t="str">
        <f ca="1"/>
        <v>PaymentDate</v>
      </c>
      <c r="L24" s="436" t="s">
        <v>386</v>
      </c>
      <c r="N24" s="379" t="s">
        <v>171</v>
      </c>
      <c r="O24" s="380" t="s">
        <v>419</v>
      </c>
      <c r="P24" s="381" t="s">
        <v>420</v>
      </c>
      <c r="Q24" s="381" t="s">
        <v>417</v>
      </c>
      <c r="R24" s="381" t="s">
        <v>416</v>
      </c>
      <c r="S24" s="391" t="s">
        <v>418</v>
      </c>
      <c r="U24" s="245" t="s">
        <v>222</v>
      </c>
      <c r="V24" s="262" t="s">
        <v>28</v>
      </c>
    </row>
    <row r="25" spans="1:22" x14ac:dyDescent="0.25">
      <c r="A25" s="258" t="s">
        <v>176</v>
      </c>
      <c r="B25" s="397" t="s">
        <v>215</v>
      </c>
      <c r="C25" s="369" t="str">
        <f>C6</f>
        <v>2Y</v>
      </c>
      <c r="D25" s="358">
        <v>1</v>
      </c>
      <c r="E25" s="402">
        <f ca="1"/>
        <v>42523</v>
      </c>
      <c r="F25" s="403">
        <f ca="1"/>
        <v>42523</v>
      </c>
      <c r="G25" s="403">
        <f ca="1"/>
        <v>42615</v>
      </c>
      <c r="H25" s="374">
        <f ca="1"/>
        <v>92</v>
      </c>
      <c r="I25" s="394">
        <f ca="1"/>
        <v>0.25555555555555554</v>
      </c>
      <c r="J25" s="404">
        <f ca="1"/>
        <v>42615</v>
      </c>
      <c r="L25" s="437">
        <f ca="1">IF(ISNA($E25),NA(),_xll.meDateYearFraction(F25,G25,$C$26))</f>
        <v>0.25555555555555554</v>
      </c>
      <c r="N25" s="383">
        <f t="shared" ref="N25:N40" ca="1" si="4">IF(ISNA(E25),NA(),$V$5)</f>
        <v>1000000</v>
      </c>
      <c r="O25" s="384">
        <f t="array" aca="1" ref="O25:O34" ca="1">_xll.meCurveForwardRates($E$25:$E$32,$V$9,$V$10)</f>
        <v>-2.6099999999998199E-3</v>
      </c>
      <c r="P25" s="385">
        <f t="shared" ref="P25:P40" ca="1" si="5">IF(ISNA(E25),NA(),$V$40)</f>
        <v>0</v>
      </c>
      <c r="Q25" s="385">
        <f t="shared" ref="Q25:Q40" ca="1" si="6">IF(ISNA(E25),NA(),N25*(O25+(P25/10000))*I25)</f>
        <v>-666.99999999995396</v>
      </c>
      <c r="R25" s="386">
        <f ca="1">IF(ISNA(E25),NA(),_xll.meCurveDiscountFactors(J25,$V$9,$V$11))</f>
        <v>1.0009004130126742</v>
      </c>
      <c r="S25" s="392">
        <f ca="1">IF(ISNA(E25),NA(),Q25*R25)</f>
        <v>-667.60057547940755</v>
      </c>
      <c r="U25" s="245" t="s">
        <v>223</v>
      </c>
      <c r="V25" s="259" t="s">
        <v>6</v>
      </c>
    </row>
    <row r="26" spans="1:22" x14ac:dyDescent="0.25">
      <c r="B26" s="397" t="s">
        <v>446</v>
      </c>
      <c r="C26" s="359" t="s">
        <v>6</v>
      </c>
      <c r="D26" s="358">
        <v>2</v>
      </c>
      <c r="E26" s="402">
        <f ca="1"/>
        <v>42615</v>
      </c>
      <c r="F26" s="403">
        <f ca="1"/>
        <v>42615</v>
      </c>
      <c r="G26" s="403">
        <f ca="1"/>
        <v>42706</v>
      </c>
      <c r="H26" s="374">
        <f ca="1"/>
        <v>91</v>
      </c>
      <c r="I26" s="394">
        <f ca="1"/>
        <v>0.25277777777777777</v>
      </c>
      <c r="J26" s="404">
        <f ca="1"/>
        <v>42706</v>
      </c>
      <c r="L26" s="437">
        <f ca="1">IF(ISNA($E26),NA(),_xll.meDateYearFraction(F26,G26,$C$26))</f>
        <v>0.25277777777777777</v>
      </c>
      <c r="N26" s="383">
        <f t="shared" ca="1" si="4"/>
        <v>1000000</v>
      </c>
      <c r="O26" s="384">
        <f ca="1"/>
        <v>-2.76663317143224E-3</v>
      </c>
      <c r="P26" s="385">
        <f t="shared" ca="1" si="5"/>
        <v>0</v>
      </c>
      <c r="Q26" s="385">
        <f t="shared" ca="1" si="6"/>
        <v>-699.34338500092736</v>
      </c>
      <c r="R26" s="386">
        <f ca="1">IF(ISNA(E26),NA(),_xll.meCurveDiscountFactors(J26,$V$9,$V$11))</f>
        <v>1.0018491690936635</v>
      </c>
      <c r="S26" s="392">
        <f t="shared" ref="S26:S40" ca="1" si="7">IF(ISNA(E26),NA(),Q26*R26)</f>
        <v>-700.63658917432906</v>
      </c>
      <c r="U26" s="245" t="s">
        <v>344</v>
      </c>
      <c r="V26" s="260" t="s">
        <v>22</v>
      </c>
    </row>
    <row r="27" spans="1:22" x14ac:dyDescent="0.25">
      <c r="B27" s="397" t="s">
        <v>400</v>
      </c>
      <c r="C27" s="425" t="s">
        <v>28</v>
      </c>
      <c r="D27" s="358">
        <v>3</v>
      </c>
      <c r="E27" s="402">
        <f ca="1"/>
        <v>42706</v>
      </c>
      <c r="F27" s="403">
        <f ca="1"/>
        <v>42706</v>
      </c>
      <c r="G27" s="403">
        <f ca="1"/>
        <v>42796</v>
      </c>
      <c r="H27" s="374">
        <f ca="1"/>
        <v>90</v>
      </c>
      <c r="I27" s="394">
        <f ca="1"/>
        <v>0.25</v>
      </c>
      <c r="J27" s="404">
        <f ca="1"/>
        <v>42796</v>
      </c>
      <c r="L27" s="437">
        <f ca="1">IF(ISNA($E27),NA(),_xll.meDateYearFraction(F27,G27,$C$26))</f>
        <v>0.25</v>
      </c>
      <c r="N27" s="383">
        <f t="shared" ca="1" si="4"/>
        <v>1000000</v>
      </c>
      <c r="O27" s="384">
        <f ca="1"/>
        <v>-2.9308595582733261E-3</v>
      </c>
      <c r="P27" s="385">
        <f t="shared" ca="1" si="5"/>
        <v>0</v>
      </c>
      <c r="Q27" s="385">
        <f t="shared" ca="1" si="6"/>
        <v>-732.7148895683315</v>
      </c>
      <c r="R27" s="386">
        <f ca="1">IF(ISNA(E27),NA(),_xll.meCurveDiscountFactors(J27,$V$9,$V$11))</f>
        <v>1.0028386270280514</v>
      </c>
      <c r="S27" s="392">
        <f t="shared" ca="1" si="7"/>
        <v>-734.79479385771583</v>
      </c>
      <c r="U27" s="245" t="s">
        <v>345</v>
      </c>
      <c r="V27" s="260" t="s">
        <v>2</v>
      </c>
    </row>
    <row r="28" spans="1:22" x14ac:dyDescent="0.25">
      <c r="B28" s="397" t="s">
        <v>401</v>
      </c>
      <c r="C28" s="426" t="s">
        <v>22</v>
      </c>
      <c r="D28" s="358">
        <v>4</v>
      </c>
      <c r="E28" s="402">
        <f ca="1"/>
        <v>42796</v>
      </c>
      <c r="F28" s="403">
        <f ca="1"/>
        <v>42796</v>
      </c>
      <c r="G28" s="403">
        <f ca="1"/>
        <v>42888</v>
      </c>
      <c r="H28" s="374">
        <f ca="1"/>
        <v>92</v>
      </c>
      <c r="I28" s="394">
        <f ca="1"/>
        <v>0.25555555555555554</v>
      </c>
      <c r="J28" s="404">
        <f ca="1"/>
        <v>42888</v>
      </c>
      <c r="L28" s="437">
        <f ca="1">IF(ISNA($E28),NA(),_xll.meDateYearFraction(F28,G28,$C$26))</f>
        <v>0.25555555555555554</v>
      </c>
      <c r="N28" s="383">
        <f t="shared" ca="1" si="4"/>
        <v>1000000</v>
      </c>
      <c r="O28" s="384">
        <f ca="1"/>
        <v>-2.9349026536801379E-3</v>
      </c>
      <c r="P28" s="385">
        <f t="shared" ca="1" si="5"/>
        <v>0</v>
      </c>
      <c r="Q28" s="385">
        <f t="shared" ca="1" si="6"/>
        <v>-750.03067816270186</v>
      </c>
      <c r="R28" s="386">
        <f ca="1">IF(ISNA(E28),NA(),_xll.meCurveDiscountFactors(J28,$V$9,$V$11))</f>
        <v>1.003907355861789</v>
      </c>
      <c r="S28" s="392">
        <f t="shared" ca="1" si="7"/>
        <v>-752.96131492954248</v>
      </c>
      <c r="U28" s="245" t="s">
        <v>340</v>
      </c>
      <c r="V28" s="260" t="s">
        <v>22</v>
      </c>
    </row>
    <row r="29" spans="1:22" x14ac:dyDescent="0.25">
      <c r="B29" s="397" t="s">
        <v>402</v>
      </c>
      <c r="C29" s="427" t="s">
        <v>2</v>
      </c>
      <c r="D29" s="358">
        <v>5</v>
      </c>
      <c r="E29" s="402">
        <f ca="1"/>
        <v>42888</v>
      </c>
      <c r="F29" s="403">
        <f ca="1"/>
        <v>42888</v>
      </c>
      <c r="G29" s="403">
        <f ca="1"/>
        <v>42982</v>
      </c>
      <c r="H29" s="374">
        <f ca="1"/>
        <v>94</v>
      </c>
      <c r="I29" s="394">
        <f ca="1"/>
        <v>0.26111111111111113</v>
      </c>
      <c r="J29" s="404">
        <f ca="1"/>
        <v>42982</v>
      </c>
      <c r="L29" s="437">
        <f ca="1">IF(ISNA($E29),NA(),_xll.meDateYearFraction(F29,G29,$C$26))</f>
        <v>0.26111111111111113</v>
      </c>
      <c r="N29" s="383">
        <f t="shared" ca="1" si="4"/>
        <v>1000000</v>
      </c>
      <c r="O29" s="384">
        <f ca="1"/>
        <v>-3.0971457361312683E-3</v>
      </c>
      <c r="P29" s="385">
        <f t="shared" ca="1" si="5"/>
        <v>0</v>
      </c>
      <c r="Q29" s="385">
        <f t="shared" ca="1" si="6"/>
        <v>-808.69916443427564</v>
      </c>
      <c r="R29" s="386">
        <f ca="1">IF(ISNA(E29),NA(),_xll.meCurveDiscountFactors(J29,$V$9,$V$11))</f>
        <v>1.0050119599317862</v>
      </c>
      <c r="S29" s="392">
        <f t="shared" ca="1" si="7"/>
        <v>-812.75233224328917</v>
      </c>
      <c r="U29" s="245" t="s">
        <v>341</v>
      </c>
      <c r="V29" s="260" t="s">
        <v>2</v>
      </c>
    </row>
    <row r="30" spans="1:22" x14ac:dyDescent="0.25">
      <c r="B30" s="397" t="s">
        <v>403</v>
      </c>
      <c r="C30" s="425" t="s">
        <v>28</v>
      </c>
      <c r="D30" s="358">
        <v>6</v>
      </c>
      <c r="E30" s="402">
        <f ca="1"/>
        <v>42982</v>
      </c>
      <c r="F30" s="403">
        <f ca="1"/>
        <v>42982</v>
      </c>
      <c r="G30" s="403">
        <f ca="1"/>
        <v>43073</v>
      </c>
      <c r="H30" s="374">
        <f ca="1"/>
        <v>91</v>
      </c>
      <c r="I30" s="394">
        <f ca="1"/>
        <v>0.25277777777777777</v>
      </c>
      <c r="J30" s="404">
        <f ca="1"/>
        <v>43073</v>
      </c>
      <c r="L30" s="437">
        <f ca="1">IF(ISNA($E30),NA(),_xll.meDateYearFraction(F30,G30,$C$26))</f>
        <v>0.25277777777777777</v>
      </c>
      <c r="N30" s="383">
        <f t="shared" ca="1" si="4"/>
        <v>1000000</v>
      </c>
      <c r="O30" s="384">
        <f ca="1"/>
        <v>-3.0742416746623912E-3</v>
      </c>
      <c r="P30" s="385">
        <f t="shared" ca="1" si="5"/>
        <v>0</v>
      </c>
      <c r="Q30" s="385">
        <f t="shared" ca="1" si="6"/>
        <v>-777.09997887299335</v>
      </c>
      <c r="R30" s="386">
        <f ca="1">IF(ISNA(E30),NA(),_xll.meCurveDiscountFactors(J30,$V$9,$V$11))</f>
        <v>1.0060820935214005</v>
      </c>
      <c r="S30" s="392">
        <f t="shared" ca="1" si="7"/>
        <v>-781.82637361997729</v>
      </c>
      <c r="U30" s="245" t="s">
        <v>342</v>
      </c>
      <c r="V30" s="260" t="s">
        <v>22</v>
      </c>
    </row>
    <row r="31" spans="1:22" x14ac:dyDescent="0.25">
      <c r="B31" s="397" t="s">
        <v>404</v>
      </c>
      <c r="C31" s="426" t="s">
        <v>22</v>
      </c>
      <c r="D31" s="358">
        <v>7</v>
      </c>
      <c r="E31" s="402">
        <f ca="1"/>
        <v>43073</v>
      </c>
      <c r="F31" s="403">
        <f ca="1"/>
        <v>43073</v>
      </c>
      <c r="G31" s="403">
        <f ca="1"/>
        <v>43161</v>
      </c>
      <c r="H31" s="374">
        <f ca="1"/>
        <v>88</v>
      </c>
      <c r="I31" s="394">
        <f ca="1"/>
        <v>0.24444444444444444</v>
      </c>
      <c r="J31" s="404">
        <f ca="1"/>
        <v>43161</v>
      </c>
      <c r="L31" s="437">
        <f ca="1">IF(ISNA($E31),NA(),_xll.meDateYearFraction(F31,G31,$C$26))</f>
        <v>0.24444444444444444</v>
      </c>
      <c r="N31" s="383">
        <f t="shared" ca="1" si="4"/>
        <v>1000000</v>
      </c>
      <c r="O31" s="384">
        <f ca="1"/>
        <v>-3.6167805172929693E-3</v>
      </c>
      <c r="P31" s="385">
        <f t="shared" ca="1" si="5"/>
        <v>0</v>
      </c>
      <c r="Q31" s="385">
        <f t="shared" ca="1" si="6"/>
        <v>-884.10190422717028</v>
      </c>
      <c r="R31" s="386">
        <f ca="1">IF(ISNA(E31),NA(),_xll.meCurveDiscountFactors(J31,$V$9,$V$11))</f>
        <v>1.007125530132601</v>
      </c>
      <c r="S31" s="392">
        <f t="shared" ca="1" si="7"/>
        <v>-890.40159898603088</v>
      </c>
      <c r="U31" s="245" t="s">
        <v>343</v>
      </c>
      <c r="V31" s="260" t="s">
        <v>2</v>
      </c>
    </row>
    <row r="32" spans="1:22" x14ac:dyDescent="0.25">
      <c r="B32" s="397" t="s">
        <v>405</v>
      </c>
      <c r="C32" s="426" t="s">
        <v>2</v>
      </c>
      <c r="D32" s="358">
        <v>8</v>
      </c>
      <c r="E32" s="402">
        <f ca="1"/>
        <v>43161</v>
      </c>
      <c r="F32" s="403">
        <f ca="1"/>
        <v>43161</v>
      </c>
      <c r="G32" s="403">
        <f ca="1"/>
        <v>43255</v>
      </c>
      <c r="H32" s="374">
        <f ca="1"/>
        <v>94</v>
      </c>
      <c r="I32" s="394">
        <f ca="1"/>
        <v>0.26111111111111113</v>
      </c>
      <c r="J32" s="404">
        <f ca="1"/>
        <v>43255</v>
      </c>
      <c r="L32" s="437">
        <f ca="1">IF(ISNA($E32),NA(),_xll.meDateYearFraction(F32,G32,$C$26))</f>
        <v>0.26111111111111113</v>
      </c>
      <c r="N32" s="383">
        <f t="shared" ca="1" si="4"/>
        <v>1000000</v>
      </c>
      <c r="O32" s="384">
        <f ca="1"/>
        <v>-2.2691195845554626E-3</v>
      </c>
      <c r="P32" s="385">
        <f t="shared" ca="1" si="5"/>
        <v>0</v>
      </c>
      <c r="Q32" s="385">
        <f t="shared" ca="1" si="6"/>
        <v>-592.49233596725969</v>
      </c>
      <c r="R32" s="386">
        <f ca="1">IF(ISNA(E32),NA(),_xll.meCurveDiscountFactors(J32,$V$9,$V$11))</f>
        <v>1.0082223323895707</v>
      </c>
      <c r="S32" s="392">
        <f t="shared" ca="1" si="7"/>
        <v>-597.36400489185576</v>
      </c>
      <c r="U32" s="245" t="s">
        <v>241</v>
      </c>
      <c r="V32" s="261"/>
    </row>
    <row r="33" spans="2:22" x14ac:dyDescent="0.25">
      <c r="B33" s="397" t="s">
        <v>406</v>
      </c>
      <c r="C33" s="428" t="s">
        <v>172</v>
      </c>
      <c r="D33" s="358">
        <v>9</v>
      </c>
      <c r="E33" s="402" t="e">
        <f ca="1"/>
        <v>#N/A</v>
      </c>
      <c r="F33" s="403" t="e">
        <f ca="1"/>
        <v>#N/A</v>
      </c>
      <c r="G33" s="403" t="e">
        <f ca="1"/>
        <v>#N/A</v>
      </c>
      <c r="H33" s="374" t="e">
        <f ca="1"/>
        <v>#N/A</v>
      </c>
      <c r="I33" s="394" t="e">
        <f ca="1"/>
        <v>#N/A</v>
      </c>
      <c r="J33" s="404" t="e">
        <f ca="1"/>
        <v>#N/A</v>
      </c>
      <c r="L33" s="437" t="e">
        <f ca="1">IF(ISNA($E33),NA(),_xll.meDateYearFraction(F33,G33,$C$26))</f>
        <v>#N/A</v>
      </c>
      <c r="N33" s="383" t="e">
        <f t="shared" ca="1" si="4"/>
        <v>#N/A</v>
      </c>
      <c r="O33" s="384" t="e">
        <f ca="1"/>
        <v>#N/A</v>
      </c>
      <c r="P33" s="385" t="e">
        <f t="shared" ca="1" si="5"/>
        <v>#N/A</v>
      </c>
      <c r="Q33" s="385" t="e">
        <f t="shared" ca="1" si="6"/>
        <v>#N/A</v>
      </c>
      <c r="R33" s="386" t="e">
        <f ca="1">IF(ISNA(E33),NA(),_xll.meCurveDiscountFactors(J33,$V$9,$V$11))</f>
        <v>#N/A</v>
      </c>
      <c r="S33" s="392" t="e">
        <f t="shared" ca="1" si="7"/>
        <v>#N/A</v>
      </c>
      <c r="U33" s="245" t="s">
        <v>242</v>
      </c>
      <c r="V33" s="261"/>
    </row>
    <row r="34" spans="2:22" x14ac:dyDescent="0.25">
      <c r="B34" s="397" t="s">
        <v>407</v>
      </c>
      <c r="C34" s="429" t="s">
        <v>22</v>
      </c>
      <c r="D34" s="358">
        <v>10</v>
      </c>
      <c r="E34" s="402" t="e">
        <f ca="1"/>
        <v>#N/A</v>
      </c>
      <c r="F34" s="403" t="e">
        <f ca="1"/>
        <v>#N/A</v>
      </c>
      <c r="G34" s="403" t="e">
        <f ca="1"/>
        <v>#N/A</v>
      </c>
      <c r="H34" s="374" t="e">
        <f ca="1"/>
        <v>#N/A</v>
      </c>
      <c r="I34" s="394" t="e">
        <f ca="1"/>
        <v>#N/A</v>
      </c>
      <c r="J34" s="404" t="e">
        <f ca="1"/>
        <v>#N/A</v>
      </c>
      <c r="L34" s="437" t="e">
        <f ca="1">IF(ISNA($E34),NA(),_xll.meDateYearFraction(F34,G34,$C$26))</f>
        <v>#N/A</v>
      </c>
      <c r="N34" s="383" t="e">
        <f t="shared" ca="1" si="4"/>
        <v>#N/A</v>
      </c>
      <c r="O34" s="384" t="e">
        <f ca="1"/>
        <v>#N/A</v>
      </c>
      <c r="P34" s="385" t="e">
        <f t="shared" ca="1" si="5"/>
        <v>#N/A</v>
      </c>
      <c r="Q34" s="385" t="e">
        <f t="shared" ca="1" si="6"/>
        <v>#N/A</v>
      </c>
      <c r="R34" s="386" t="e">
        <f ca="1">IF(ISNA(E34),NA(),_xll.meCurveDiscountFactors(J34,$V$9,$V$11))</f>
        <v>#N/A</v>
      </c>
      <c r="S34" s="392" t="e">
        <f t="shared" ca="1" si="7"/>
        <v>#N/A</v>
      </c>
      <c r="U34" s="245" t="s">
        <v>224</v>
      </c>
      <c r="V34" s="260" t="s">
        <v>364</v>
      </c>
    </row>
    <row r="35" spans="2:22" x14ac:dyDescent="0.25">
      <c r="B35" s="397" t="s">
        <v>408</v>
      </c>
      <c r="C35" s="426" t="s">
        <v>2</v>
      </c>
      <c r="D35" s="358">
        <v>11</v>
      </c>
      <c r="E35" s="402" t="e">
        <f ca="1"/>
        <v>#N/A</v>
      </c>
      <c r="F35" s="403" t="e">
        <f ca="1"/>
        <v>#N/A</v>
      </c>
      <c r="G35" s="403" t="e">
        <f ca="1"/>
        <v>#N/A</v>
      </c>
      <c r="H35" s="374" t="e">
        <f ca="1"/>
        <v>#N/A</v>
      </c>
      <c r="I35" s="394" t="e">
        <f ca="1"/>
        <v>#N/A</v>
      </c>
      <c r="J35" s="404" t="e">
        <f ca="1"/>
        <v>#N/A</v>
      </c>
      <c r="L35" s="437" t="e">
        <f ca="1">IF(ISNA($E35),NA(),_xll.meDateYearFraction(F35,G35,$C$26))</f>
        <v>#N/A</v>
      </c>
      <c r="N35" s="383" t="e">
        <f t="shared" ca="1" si="4"/>
        <v>#N/A</v>
      </c>
      <c r="O35" s="384" t="e">
        <f t="shared" ref="O35:O40" ca="1" si="8">IF(ISNA(E35),NA(),$O$2)</f>
        <v>#N/A</v>
      </c>
      <c r="P35" s="385" t="e">
        <f t="shared" ca="1" si="5"/>
        <v>#N/A</v>
      </c>
      <c r="Q35" s="385" t="e">
        <f t="shared" ca="1" si="6"/>
        <v>#N/A</v>
      </c>
      <c r="R35" s="386" t="e">
        <f ca="1">IF(ISNA(E35),NA(),_xll.meCurveDiscountFactors(J35,$V$9,$V$11))</f>
        <v>#N/A</v>
      </c>
      <c r="S35" s="392" t="e">
        <f t="shared" ca="1" si="7"/>
        <v>#N/A</v>
      </c>
      <c r="U35" s="245" t="s">
        <v>225</v>
      </c>
      <c r="V35" s="259" t="s">
        <v>172</v>
      </c>
    </row>
    <row r="36" spans="2:22" x14ac:dyDescent="0.25">
      <c r="B36" s="397" t="s">
        <v>409</v>
      </c>
      <c r="C36" s="430" t="s">
        <v>172</v>
      </c>
      <c r="D36" s="358">
        <v>12</v>
      </c>
      <c r="E36" s="402" t="e">
        <f ca="1"/>
        <v>#N/A</v>
      </c>
      <c r="F36" s="403" t="e">
        <f ca="1"/>
        <v>#N/A</v>
      </c>
      <c r="G36" s="403" t="e">
        <f ca="1"/>
        <v>#N/A</v>
      </c>
      <c r="H36" s="374" t="e">
        <f ca="1"/>
        <v>#N/A</v>
      </c>
      <c r="I36" s="394" t="e">
        <f ca="1"/>
        <v>#N/A</v>
      </c>
      <c r="J36" s="404" t="e">
        <f ca="1"/>
        <v>#N/A</v>
      </c>
      <c r="L36" s="437" t="e">
        <f ca="1">IF(ISNA($E36),NA(),_xll.meDateYearFraction(F36,G36,$C$26))</f>
        <v>#N/A</v>
      </c>
      <c r="N36" s="383" t="e">
        <f t="shared" ca="1" si="4"/>
        <v>#N/A</v>
      </c>
      <c r="O36" s="384" t="e">
        <f t="shared" ca="1" si="8"/>
        <v>#N/A</v>
      </c>
      <c r="P36" s="385" t="e">
        <f t="shared" ca="1" si="5"/>
        <v>#N/A</v>
      </c>
      <c r="Q36" s="385" t="e">
        <f t="shared" ca="1" si="6"/>
        <v>#N/A</v>
      </c>
      <c r="R36" s="386" t="e">
        <f ca="1">IF(ISNA(E36),NA(),_xll.meCurveDiscountFactors(J36,$V$9,$V$11))</f>
        <v>#N/A</v>
      </c>
      <c r="S36" s="392" t="e">
        <f t="shared" ca="1" si="7"/>
        <v>#N/A</v>
      </c>
      <c r="U36" s="245" t="s">
        <v>226</v>
      </c>
      <c r="V36" s="263"/>
    </row>
    <row r="37" spans="2:22" x14ac:dyDescent="0.25">
      <c r="B37" s="397" t="s">
        <v>410</v>
      </c>
      <c r="C37" s="427" t="s">
        <v>411</v>
      </c>
      <c r="D37" s="358">
        <v>13</v>
      </c>
      <c r="E37" s="402" t="e">
        <f ca="1"/>
        <v>#N/A</v>
      </c>
      <c r="F37" s="403" t="e">
        <f ca="1"/>
        <v>#N/A</v>
      </c>
      <c r="G37" s="403" t="e">
        <f ca="1"/>
        <v>#N/A</v>
      </c>
      <c r="H37" s="374" t="e">
        <f ca="1"/>
        <v>#N/A</v>
      </c>
      <c r="I37" s="394" t="e">
        <f ca="1"/>
        <v>#N/A</v>
      </c>
      <c r="J37" s="404" t="e">
        <f ca="1"/>
        <v>#N/A</v>
      </c>
      <c r="L37" s="437" t="e">
        <f ca="1">IF(ISNA($E37),NA(),_xll.meDateYearFraction(F37,G37,$C$26))</f>
        <v>#N/A</v>
      </c>
      <c r="N37" s="383" t="e">
        <f t="shared" ca="1" si="4"/>
        <v>#N/A</v>
      </c>
      <c r="O37" s="384" t="e">
        <f t="shared" ca="1" si="8"/>
        <v>#N/A</v>
      </c>
      <c r="P37" s="385" t="e">
        <f t="shared" ca="1" si="5"/>
        <v>#N/A</v>
      </c>
      <c r="Q37" s="385" t="e">
        <f t="shared" ca="1" si="6"/>
        <v>#N/A</v>
      </c>
      <c r="R37" s="386" t="e">
        <f ca="1">IF(ISNA(E37),NA(),_xll.meCurveDiscountFactors(J37,$V$9,$V$11))</f>
        <v>#N/A</v>
      </c>
      <c r="S37" s="392" t="e">
        <f t="shared" ca="1" si="7"/>
        <v>#N/A</v>
      </c>
      <c r="U37" s="245" t="s">
        <v>227</v>
      </c>
      <c r="V37" s="263"/>
    </row>
    <row r="38" spans="2:22" x14ac:dyDescent="0.25">
      <c r="B38" s="397" t="s">
        <v>412</v>
      </c>
      <c r="C38" s="366"/>
      <c r="D38" s="358">
        <v>14</v>
      </c>
      <c r="E38" s="402" t="e">
        <f ca="1"/>
        <v>#N/A</v>
      </c>
      <c r="F38" s="403" t="e">
        <f ca="1"/>
        <v>#N/A</v>
      </c>
      <c r="G38" s="403" t="e">
        <f ca="1"/>
        <v>#N/A</v>
      </c>
      <c r="H38" s="374" t="e">
        <f ca="1"/>
        <v>#N/A</v>
      </c>
      <c r="I38" s="394" t="e">
        <f ca="1"/>
        <v>#N/A</v>
      </c>
      <c r="J38" s="404" t="e">
        <f ca="1"/>
        <v>#N/A</v>
      </c>
      <c r="L38" s="437" t="e">
        <f ca="1">IF(ISNA($E38),NA(),_xll.meDateYearFraction(F38,G38,$C$26))</f>
        <v>#N/A</v>
      </c>
      <c r="N38" s="383" t="e">
        <f t="shared" ca="1" si="4"/>
        <v>#N/A</v>
      </c>
      <c r="O38" s="384" t="e">
        <f t="shared" ca="1" si="8"/>
        <v>#N/A</v>
      </c>
      <c r="P38" s="385" t="e">
        <f t="shared" ca="1" si="5"/>
        <v>#N/A</v>
      </c>
      <c r="Q38" s="385" t="e">
        <f t="shared" ca="1" si="6"/>
        <v>#N/A</v>
      </c>
      <c r="R38" s="386" t="e">
        <f ca="1">IF(ISNA(E38),NA(),_xll.meCurveDiscountFactors(J38,$V$9,$V$11))</f>
        <v>#N/A</v>
      </c>
      <c r="S38" s="392" t="e">
        <f t="shared" ca="1" si="7"/>
        <v>#N/A</v>
      </c>
      <c r="U38" s="245" t="s">
        <v>228</v>
      </c>
      <c r="V38" s="259" t="s">
        <v>172</v>
      </c>
    </row>
    <row r="39" spans="2:22" x14ac:dyDescent="0.25">
      <c r="B39" s="397" t="s">
        <v>413</v>
      </c>
      <c r="C39" s="366"/>
      <c r="D39" s="358">
        <v>15</v>
      </c>
      <c r="E39" s="402" t="e">
        <f ca="1"/>
        <v>#N/A</v>
      </c>
      <c r="F39" s="403" t="e">
        <f ca="1"/>
        <v>#N/A</v>
      </c>
      <c r="G39" s="403" t="e">
        <f ca="1"/>
        <v>#N/A</v>
      </c>
      <c r="H39" s="374" t="e">
        <f ca="1"/>
        <v>#N/A</v>
      </c>
      <c r="I39" s="394" t="e">
        <f ca="1"/>
        <v>#N/A</v>
      </c>
      <c r="J39" s="404" t="e">
        <f ca="1"/>
        <v>#N/A</v>
      </c>
      <c r="L39" s="437" t="e">
        <f ca="1">IF(ISNA($E39),NA(),_xll.meDateYearFraction(F39,G39,$C$26))</f>
        <v>#N/A</v>
      </c>
      <c r="N39" s="383" t="e">
        <f t="shared" ca="1" si="4"/>
        <v>#N/A</v>
      </c>
      <c r="O39" s="384" t="e">
        <f t="shared" ca="1" si="8"/>
        <v>#N/A</v>
      </c>
      <c r="P39" s="385" t="e">
        <f t="shared" ca="1" si="5"/>
        <v>#N/A</v>
      </c>
      <c r="Q39" s="385" t="e">
        <f t="shared" ca="1" si="6"/>
        <v>#N/A</v>
      </c>
      <c r="R39" s="386" t="e">
        <f ca="1">IF(ISNA(E39),NA(),_xll.meCurveDiscountFactors(J39,$V$9,$V$11))</f>
        <v>#N/A</v>
      </c>
      <c r="S39" s="392" t="e">
        <f t="shared" ca="1" si="7"/>
        <v>#N/A</v>
      </c>
      <c r="U39" s="245" t="s">
        <v>230</v>
      </c>
      <c r="V39" s="259" t="s">
        <v>173</v>
      </c>
    </row>
    <row r="40" spans="2:22" x14ac:dyDescent="0.25">
      <c r="B40" s="398" t="s">
        <v>414</v>
      </c>
      <c r="C40" s="367"/>
      <c r="D40" s="358">
        <v>18</v>
      </c>
      <c r="E40" s="405" t="e">
        <f ca="1"/>
        <v>#N/A</v>
      </c>
      <c r="F40" s="406" t="e">
        <f ca="1"/>
        <v>#N/A</v>
      </c>
      <c r="G40" s="406" t="e">
        <f ca="1"/>
        <v>#N/A</v>
      </c>
      <c r="H40" s="440" t="e">
        <f ca="1"/>
        <v>#N/A</v>
      </c>
      <c r="I40" s="395" t="e">
        <f ca="1"/>
        <v>#N/A</v>
      </c>
      <c r="J40" s="407" t="e">
        <f ca="1"/>
        <v>#N/A</v>
      </c>
      <c r="L40" s="439" t="e">
        <f ca="1">IF(ISNA($E40),NA(),_xll.meDateYearFraction(F40,G40,$C$26))</f>
        <v>#N/A</v>
      </c>
      <c r="N40" s="387" t="e">
        <f t="shared" ca="1" si="4"/>
        <v>#N/A</v>
      </c>
      <c r="O40" s="388" t="e">
        <f t="shared" ca="1" si="8"/>
        <v>#N/A</v>
      </c>
      <c r="P40" s="389" t="e">
        <f t="shared" ca="1" si="5"/>
        <v>#N/A</v>
      </c>
      <c r="Q40" s="389" t="e">
        <f t="shared" ca="1" si="6"/>
        <v>#N/A</v>
      </c>
      <c r="R40" s="390" t="e">
        <f ca="1">IF(ISNA(E40),NA(),_xll.meCurveDiscountFactors(J40,$V$9,$V$11))</f>
        <v>#N/A</v>
      </c>
      <c r="S40" s="393" t="e">
        <f t="shared" ca="1" si="7"/>
        <v>#N/A</v>
      </c>
      <c r="U40" s="246" t="s">
        <v>229</v>
      </c>
      <c r="V40" s="312">
        <v>0</v>
      </c>
    </row>
    <row r="41" spans="2:22" x14ac:dyDescent="0.25">
      <c r="E41" s="368"/>
    </row>
    <row r="42" spans="2:22" x14ac:dyDescent="0.25">
      <c r="E42" s="112"/>
      <c r="G42" s="424"/>
      <c r="N42" s="378" t="s">
        <v>424</v>
      </c>
      <c r="U42" s="378" t="s">
        <v>425</v>
      </c>
    </row>
    <row r="43" spans="2:22" x14ac:dyDescent="0.25">
      <c r="E43" s="420"/>
      <c r="G43" s="102"/>
      <c r="N43" s="126" t="s">
        <v>329</v>
      </c>
      <c r="O43" s="373">
        <f ca="1">R44/R45</f>
        <v>-2.9430770546369795E-3</v>
      </c>
      <c r="P43" s="372"/>
      <c r="Q43" s="198" t="s">
        <v>421</v>
      </c>
      <c r="R43" s="371">
        <f ca="1">SUMIF(R6:R21,"&lt;&gt;#N/A")</f>
        <v>20177.309234313019</v>
      </c>
      <c r="S43" s="128"/>
      <c r="U43" s="247" t="s">
        <v>329</v>
      </c>
      <c r="V43" s="248">
        <f ca="1">IF(AND(NOW(),isEUR12MLLoaded),_xll.meProductSwapParRate($U$5:$V$40,FALSE),"Load Curve")</f>
        <v>-2.9430770546369795E-3</v>
      </c>
    </row>
    <row r="44" spans="2:22" x14ac:dyDescent="0.25">
      <c r="E44" s="420"/>
      <c r="G44" s="423"/>
      <c r="N44" s="129" t="s">
        <v>330</v>
      </c>
      <c r="O44" s="374">
        <f ca="1">IF(V6="RECEIVER",R43-R44,R44-R43)</f>
        <v>26115.646817495166</v>
      </c>
      <c r="P44" s="375"/>
      <c r="Q44" s="199" t="s">
        <v>422</v>
      </c>
      <c r="R44" s="374">
        <f ca="1">SUMIF(S25:S40,"&lt;&gt;#N/A")</f>
        <v>-5938.3375831821477</v>
      </c>
      <c r="S44" s="131"/>
      <c r="U44" s="249" t="s">
        <v>330</v>
      </c>
      <c r="V44" s="251">
        <f ca="1">IF(AND(NOW(),isEUR12MLLoaded),_xll.meProductSwapPV($U$5:$V$40,FALSE),"Load Curve")</f>
        <v>26115.646817495162</v>
      </c>
    </row>
    <row r="45" spans="2:22" x14ac:dyDescent="0.25">
      <c r="E45" s="424"/>
      <c r="N45" s="129" t="s">
        <v>175</v>
      </c>
      <c r="O45" s="374">
        <f ca="1">R45/10000</f>
        <v>201.77309234313014</v>
      </c>
      <c r="P45" s="375"/>
      <c r="Q45" s="130" t="s">
        <v>423</v>
      </c>
      <c r="R45" s="374">
        <f ca="1">SUMPRODUCT(I6:I7,Q6:Q7)*$V$5</f>
        <v>2017730.9234313015</v>
      </c>
      <c r="S45" s="131"/>
      <c r="U45" s="249" t="s">
        <v>331</v>
      </c>
      <c r="V45" s="251">
        <f ca="1">IF(AND(NOW(),isEUR12MLLoaded),_xll.meProductSwapPV01($U$5:$V$40,FALSE),"Load Curve")</f>
        <v>201.77309234313017</v>
      </c>
    </row>
    <row r="46" spans="2:22" x14ac:dyDescent="0.25">
      <c r="G46" s="424"/>
      <c r="H46" s="424"/>
      <c r="N46" s="376"/>
      <c r="O46" s="377"/>
      <c r="P46" s="377"/>
      <c r="Q46" s="134"/>
      <c r="R46" s="134"/>
      <c r="S46" s="135"/>
      <c r="U46" s="250" t="s">
        <v>332</v>
      </c>
      <c r="V46" s="252">
        <f ca="1">IF(AND(NOW(),isEUR12MLLoaded),_xll.meProductSwapDV01($U$5:$V$40,FALSE),"Load Curve")</f>
        <v>206.12333291361378</v>
      </c>
    </row>
    <row r="47" spans="2:22" x14ac:dyDescent="0.25">
      <c r="G47" s="422"/>
      <c r="H47" s="424"/>
    </row>
    <row r="48" spans="2:22" x14ac:dyDescent="0.25">
      <c r="G48" s="422"/>
      <c r="H48" s="424"/>
    </row>
    <row r="49" spans="7:8" x14ac:dyDescent="0.25">
      <c r="G49" s="422"/>
      <c r="H49" s="424"/>
    </row>
    <row r="50" spans="7:8" x14ac:dyDescent="0.25">
      <c r="G50" s="422"/>
      <c r="H50" s="424"/>
    </row>
    <row r="51" spans="7:8" x14ac:dyDescent="0.25">
      <c r="G51" s="422"/>
      <c r="H51" s="424"/>
    </row>
    <row r="52" spans="7:8" x14ac:dyDescent="0.25">
      <c r="G52" s="422"/>
      <c r="H52" s="424"/>
    </row>
    <row r="53" spans="7:8" x14ac:dyDescent="0.25">
      <c r="G53" s="422"/>
      <c r="H53" s="424"/>
    </row>
    <row r="54" spans="7:8" x14ac:dyDescent="0.25">
      <c r="G54" s="422"/>
      <c r="H54" s="424"/>
    </row>
    <row r="83" spans="24:36" x14ac:dyDescent="0.25">
      <c r="Y83" s="454" t="s">
        <v>176</v>
      </c>
      <c r="Z83" s="454"/>
      <c r="AA83" s="454"/>
      <c r="AC83" s="454" t="s">
        <v>94</v>
      </c>
      <c r="AD83" s="454"/>
      <c r="AE83" s="454"/>
      <c r="AG83" s="454" t="s">
        <v>176</v>
      </c>
      <c r="AH83" s="454"/>
      <c r="AI83" s="454"/>
    </row>
    <row r="84" spans="24:36" x14ac:dyDescent="0.25">
      <c r="Y84" s="454"/>
      <c r="Z84" s="454"/>
      <c r="AA84" s="454"/>
      <c r="AC84" s="454"/>
      <c r="AD84" s="454"/>
      <c r="AE84" s="454"/>
      <c r="AG84" s="454"/>
      <c r="AH84" s="454"/>
      <c r="AI84" s="454"/>
    </row>
    <row r="85" spans="24:36" ht="21.75" thickBot="1" x14ac:dyDescent="0.3">
      <c r="X85" s="414"/>
      <c r="Y85" s="415"/>
      <c r="Z85" s="415"/>
      <c r="AA85" s="415"/>
      <c r="AB85" s="412"/>
      <c r="AC85" s="411"/>
      <c r="AD85" s="411"/>
      <c r="AE85" s="411"/>
      <c r="AF85" s="414"/>
      <c r="AG85" s="415"/>
      <c r="AH85" s="415"/>
      <c r="AI85" s="415"/>
      <c r="AJ85" s="412"/>
    </row>
    <row r="86" spans="24:36" ht="15.75" thickTop="1" x14ac:dyDescent="0.25">
      <c r="Y86" s="413"/>
      <c r="Z86" s="123"/>
      <c r="AB86" s="413"/>
      <c r="AG86" s="413"/>
      <c r="AH86" s="123"/>
      <c r="AI86" s="123"/>
      <c r="AJ86" s="413"/>
    </row>
    <row r="87" spans="24:36" ht="18.75" x14ac:dyDescent="0.25">
      <c r="X87" s="453" t="s">
        <v>433</v>
      </c>
      <c r="Y87" s="453"/>
      <c r="Z87" s="453" t="s">
        <v>435</v>
      </c>
      <c r="AA87" s="453"/>
      <c r="AB87" s="453"/>
      <c r="AC87" s="453"/>
      <c r="AD87" s="416"/>
      <c r="AE87" s="453" t="s">
        <v>434</v>
      </c>
      <c r="AF87" s="453"/>
      <c r="AG87" s="453"/>
      <c r="AH87" s="453"/>
      <c r="AI87" s="453" t="s">
        <v>436</v>
      </c>
      <c r="AJ87" s="453"/>
    </row>
  </sheetData>
  <mergeCells count="7">
    <mergeCell ref="Y83:AA84"/>
    <mergeCell ref="AC83:AE84"/>
    <mergeCell ref="AG83:AI84"/>
    <mergeCell ref="X87:Y87"/>
    <mergeCell ref="Z87:AC87"/>
    <mergeCell ref="AE87:AH87"/>
    <mergeCell ref="AI87:AJ87"/>
  </mergeCells>
  <dataValidations count="11">
    <dataValidation type="list" allowBlank="1" showInputMessage="1" showErrorMessage="1" sqref="V15 V27 V29 V31 V17">
      <formula1>"TGT,NYB:LNB,LNB,TKB:LNB"</formula1>
    </dataValidation>
    <dataValidation type="list" allowBlank="1" showInputMessage="1" showErrorMessage="1" sqref="V22 V39">
      <formula1>"None,ShortStart,ShortEnd,LongStart,LongEnd"</formula1>
    </dataValidation>
    <dataValidation type="list" allowBlank="1" showInputMessage="1" showErrorMessage="1" sqref="V13 V25">
      <formula1>"30/360,ACT/360,ACT/365"</formula1>
    </dataValidation>
    <dataValidation type="list" allowBlank="1" showInputMessage="1" showErrorMessage="1" sqref="V24 V12">
      <formula1>"Annual,Semi-Annual,Quarterly,Monthly"</formula1>
    </dataValidation>
    <dataValidation type="list" allowBlank="1" showInputMessage="1" showErrorMessage="1" sqref="V14 V16 V28 V30 V26">
      <formula1>"MOD_FOLLOWING,FOLLOWING,MOD_PRECEDING,PRECEDING,NO_CHANGE"</formula1>
    </dataValidation>
    <dataValidation type="list" allowBlank="1" showInputMessage="1" showErrorMessage="1" sqref="V6">
      <formula1>"PAYER,RECEIVER"</formula1>
    </dataValidation>
    <dataValidation type="list" allowBlank="1" showInputMessage="1" showErrorMessage="1" sqref="C40 C21">
      <formula1>"TRUE,FALSE"</formula1>
    </dataValidation>
    <dataValidation type="list" allowBlank="1" showInputMessage="1" showErrorMessage="1" sqref="C30 C27 C11 C8">
      <formula1>"Annual,Semi-Annual,Quarterly,Monthly,Weekly"</formula1>
    </dataValidation>
    <dataValidation type="list" allowBlank="1" showInputMessage="1" showErrorMessage="1" sqref="C28 C34 C31 C9 C15 C12">
      <formula1>"FOLLOWING,MOD_FOLLOWING,PRECEDING,MOD_PRECEDING,NO_CHANGE"</formula1>
    </dataValidation>
    <dataValidation type="list" allowBlank="1" showInputMessage="1" showErrorMessage="1" sqref="C37 C18">
      <formula1>"ADVANCE,ARREARS"</formula1>
    </dataValidation>
    <dataValidation type="list" allowBlank="1" showInputMessage="1" showErrorMessage="1" sqref="C26 C7">
      <formula1>"ACT/365,ACT/365_ISDA,ACT/360,30/360,30E/360,ACT/365FJ"</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3"/>
  </sheetPr>
  <dimension ref="A2:C48"/>
  <sheetViews>
    <sheetView showGridLines="0" tabSelected="1" zoomScaleNormal="100" workbookViewId="0"/>
  </sheetViews>
  <sheetFormatPr defaultRowHeight="15" x14ac:dyDescent="0.25"/>
  <cols>
    <col min="1" max="1" width="12.7109375" style="125" customWidth="1"/>
    <col min="2" max="2" width="36.42578125" style="125" customWidth="1"/>
    <col min="3" max="3" width="25.7109375" style="125" customWidth="1"/>
    <col min="4" max="16384" width="9.140625" style="125"/>
  </cols>
  <sheetData>
    <row r="2" spans="1:3" ht="23.25" x14ac:dyDescent="0.35">
      <c r="B2" s="103" t="s">
        <v>379</v>
      </c>
    </row>
    <row r="4" spans="1:3" ht="23.25" x14ac:dyDescent="0.35">
      <c r="B4" s="281" t="s">
        <v>373</v>
      </c>
    </row>
    <row r="5" spans="1:3" ht="23.25" x14ac:dyDescent="0.35">
      <c r="B5" s="281" t="s">
        <v>372</v>
      </c>
    </row>
    <row r="7" spans="1:3" x14ac:dyDescent="0.25">
      <c r="B7" s="146" t="s">
        <v>366</v>
      </c>
      <c r="C7" s="306"/>
    </row>
    <row r="8" spans="1:3" x14ac:dyDescent="0.25">
      <c r="B8" s="288" t="s">
        <v>171</v>
      </c>
      <c r="C8" s="296">
        <v>1000000</v>
      </c>
    </row>
    <row r="9" spans="1:3" x14ac:dyDescent="0.25">
      <c r="A9" s="257" t="s">
        <v>334</v>
      </c>
      <c r="B9" s="289" t="s">
        <v>213</v>
      </c>
      <c r="C9" s="297" t="s">
        <v>209</v>
      </c>
    </row>
    <row r="10" spans="1:3" x14ac:dyDescent="0.25">
      <c r="A10" s="258" t="s">
        <v>176</v>
      </c>
      <c r="B10" s="289" t="s">
        <v>214</v>
      </c>
      <c r="C10" s="298">
        <f ca="1">_xll.meDateFromTenor(COB,$A$10,C$20,C$21)</f>
        <v>42523</v>
      </c>
    </row>
    <row r="11" spans="1:3" x14ac:dyDescent="0.25">
      <c r="B11" s="289" t="s">
        <v>80</v>
      </c>
      <c r="C11" s="299" t="s">
        <v>78</v>
      </c>
    </row>
    <row r="12" spans="1:3" x14ac:dyDescent="0.25">
      <c r="B12" s="289" t="s">
        <v>231</v>
      </c>
      <c r="C12" s="299" t="s">
        <v>9</v>
      </c>
    </row>
    <row r="13" spans="1:3" x14ac:dyDescent="0.25">
      <c r="B13" s="289" t="s">
        <v>232</v>
      </c>
      <c r="C13" s="300" t="s">
        <v>328</v>
      </c>
    </row>
    <row r="14" spans="1:3" x14ac:dyDescent="0.25">
      <c r="B14" s="289" t="s">
        <v>362</v>
      </c>
      <c r="C14" s="297" t="s">
        <v>363</v>
      </c>
    </row>
    <row r="15" spans="1:3" x14ac:dyDescent="0.25">
      <c r="B15" s="289" t="s">
        <v>215</v>
      </c>
      <c r="C15" s="301" t="s">
        <v>52</v>
      </c>
    </row>
    <row r="16" spans="1:3" x14ac:dyDescent="0.25">
      <c r="B16" s="289" t="s">
        <v>217</v>
      </c>
      <c r="C16" s="293" t="s">
        <v>26</v>
      </c>
    </row>
    <row r="17" spans="2:3" x14ac:dyDescent="0.25">
      <c r="B17" s="289" t="s">
        <v>218</v>
      </c>
      <c r="C17" s="286" t="s">
        <v>124</v>
      </c>
    </row>
    <row r="18" spans="2:3" x14ac:dyDescent="0.25">
      <c r="B18" s="289" t="s">
        <v>336</v>
      </c>
      <c r="C18" s="286" t="s">
        <v>22</v>
      </c>
    </row>
    <row r="19" spans="2:3" x14ac:dyDescent="0.25">
      <c r="B19" s="289" t="s">
        <v>338</v>
      </c>
      <c r="C19" s="286" t="s">
        <v>2</v>
      </c>
    </row>
    <row r="20" spans="2:3" x14ac:dyDescent="0.25">
      <c r="B20" s="289" t="s">
        <v>337</v>
      </c>
      <c r="C20" s="286" t="s">
        <v>22</v>
      </c>
    </row>
    <row r="21" spans="2:3" x14ac:dyDescent="0.25">
      <c r="B21" s="289" t="s">
        <v>339</v>
      </c>
      <c r="C21" s="286" t="s">
        <v>2</v>
      </c>
    </row>
    <row r="22" spans="2:3" x14ac:dyDescent="0.25">
      <c r="B22" s="289" t="s">
        <v>239</v>
      </c>
      <c r="C22" s="286"/>
    </row>
    <row r="23" spans="2:3" x14ac:dyDescent="0.25">
      <c r="B23" s="289" t="s">
        <v>240</v>
      </c>
      <c r="C23" s="286"/>
    </row>
    <row r="24" spans="2:3" x14ac:dyDescent="0.25">
      <c r="B24" s="289" t="s">
        <v>219</v>
      </c>
      <c r="C24" s="286" t="s">
        <v>364</v>
      </c>
    </row>
    <row r="25" spans="2:3" x14ac:dyDescent="0.25">
      <c r="B25" s="289" t="s">
        <v>220</v>
      </c>
      <c r="C25" s="286" t="s">
        <v>172</v>
      </c>
    </row>
    <row r="26" spans="2:3" x14ac:dyDescent="0.25">
      <c r="B26" s="289" t="s">
        <v>221</v>
      </c>
      <c r="C26" s="286" t="s">
        <v>365</v>
      </c>
    </row>
    <row r="27" spans="2:3" x14ac:dyDescent="0.25">
      <c r="B27" s="289" t="s">
        <v>216</v>
      </c>
      <c r="C27" s="295">
        <v>0.01</v>
      </c>
    </row>
    <row r="28" spans="2:3" x14ac:dyDescent="0.25">
      <c r="B28" s="289" t="s">
        <v>222</v>
      </c>
      <c r="C28" s="286" t="s">
        <v>26</v>
      </c>
    </row>
    <row r="29" spans="2:3" x14ac:dyDescent="0.25">
      <c r="B29" s="289" t="s">
        <v>223</v>
      </c>
      <c r="C29" s="286" t="s">
        <v>124</v>
      </c>
    </row>
    <row r="30" spans="2:3" x14ac:dyDescent="0.25">
      <c r="B30" s="289" t="s">
        <v>344</v>
      </c>
      <c r="C30" s="286" t="s">
        <v>22</v>
      </c>
    </row>
    <row r="31" spans="2:3" x14ac:dyDescent="0.25">
      <c r="B31" s="289" t="s">
        <v>345</v>
      </c>
      <c r="C31" s="286" t="s">
        <v>2</v>
      </c>
    </row>
    <row r="32" spans="2:3" x14ac:dyDescent="0.25">
      <c r="B32" s="289" t="s">
        <v>340</v>
      </c>
      <c r="C32" s="286" t="s">
        <v>22</v>
      </c>
    </row>
    <row r="33" spans="2:3" x14ac:dyDescent="0.25">
      <c r="B33" s="289" t="s">
        <v>341</v>
      </c>
      <c r="C33" s="286" t="s">
        <v>2</v>
      </c>
    </row>
    <row r="34" spans="2:3" x14ac:dyDescent="0.25">
      <c r="B34" s="289" t="s">
        <v>342</v>
      </c>
      <c r="C34" s="286" t="s">
        <v>22</v>
      </c>
    </row>
    <row r="35" spans="2:3" x14ac:dyDescent="0.25">
      <c r="B35" s="289" t="s">
        <v>343</v>
      </c>
      <c r="C35" s="286" t="s">
        <v>2</v>
      </c>
    </row>
    <row r="36" spans="2:3" x14ac:dyDescent="0.25">
      <c r="B36" s="289" t="s">
        <v>241</v>
      </c>
      <c r="C36" s="286"/>
    </row>
    <row r="37" spans="2:3" x14ac:dyDescent="0.25">
      <c r="B37" s="289" t="s">
        <v>242</v>
      </c>
      <c r="C37" s="286"/>
    </row>
    <row r="38" spans="2:3" x14ac:dyDescent="0.25">
      <c r="B38" s="289" t="s">
        <v>224</v>
      </c>
      <c r="C38" s="286" t="s">
        <v>364</v>
      </c>
    </row>
    <row r="39" spans="2:3" x14ac:dyDescent="0.25">
      <c r="B39" s="289" t="s">
        <v>228</v>
      </c>
      <c r="C39" s="286" t="s">
        <v>172</v>
      </c>
    </row>
    <row r="40" spans="2:3" x14ac:dyDescent="0.25">
      <c r="B40" s="289" t="s">
        <v>230</v>
      </c>
      <c r="C40" s="286" t="s">
        <v>365</v>
      </c>
    </row>
    <row r="41" spans="2:3" x14ac:dyDescent="0.25">
      <c r="B41" s="289" t="s">
        <v>229</v>
      </c>
      <c r="C41" s="294">
        <v>0</v>
      </c>
    </row>
    <row r="42" spans="2:3" x14ac:dyDescent="0.25">
      <c r="B42" s="289" t="s">
        <v>225</v>
      </c>
      <c r="C42" s="286" t="s">
        <v>176</v>
      </c>
    </row>
    <row r="43" spans="2:3" x14ac:dyDescent="0.25">
      <c r="B43" s="289" t="s">
        <v>226</v>
      </c>
      <c r="C43" s="286"/>
    </row>
    <row r="44" spans="2:3" x14ac:dyDescent="0.25">
      <c r="B44" s="290" t="s">
        <v>227</v>
      </c>
      <c r="C44" s="287"/>
    </row>
    <row r="45" spans="2:3" x14ac:dyDescent="0.25">
      <c r="C45" s="285"/>
    </row>
    <row r="46" spans="2:3" x14ac:dyDescent="0.25">
      <c r="B46" s="267" t="s">
        <v>368</v>
      </c>
      <c r="C46" s="285"/>
    </row>
    <row r="47" spans="2:3" x14ac:dyDescent="0.25">
      <c r="B47" s="265" t="s">
        <v>367</v>
      </c>
      <c r="C47" s="291">
        <f ca="1">IF(AND(NOW(),isEUROISLoaded),_xll.meProductOISPV(B8:C44,FALSE),"Load Curve")</f>
        <v>65177.329369660642</v>
      </c>
    </row>
    <row r="48" spans="2:3" x14ac:dyDescent="0.25">
      <c r="B48" s="266" t="s">
        <v>174</v>
      </c>
      <c r="C48" s="292">
        <f ca="1">IF(AND(NOW(),isEUROISLoaded),_xll.meProductOISParRate(B8:C44,FALSE),"Load Curve")</f>
        <v>-2.7177051662454548E-3</v>
      </c>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3"/>
  </sheetPr>
  <dimension ref="A2:I108"/>
  <sheetViews>
    <sheetView showGridLines="0" workbookViewId="0"/>
  </sheetViews>
  <sheetFormatPr defaultRowHeight="15" outlineLevelRow="1" x14ac:dyDescent="0.25"/>
  <cols>
    <col min="1" max="1" width="12.7109375" style="125" customWidth="1"/>
    <col min="2" max="2" width="37.5703125" style="125" customWidth="1"/>
    <col min="3" max="7" width="25.7109375" style="125" customWidth="1"/>
    <col min="8" max="16384" width="9.140625" style="125"/>
  </cols>
  <sheetData>
    <row r="2" spans="1:9" ht="23.25" x14ac:dyDescent="0.35">
      <c r="B2" s="103" t="s">
        <v>378</v>
      </c>
    </row>
    <row r="3" spans="1:9" s="253" customFormat="1" x14ac:dyDescent="0.25">
      <c r="B3" s="279"/>
    </row>
    <row r="4" spans="1:9" ht="23.25" x14ac:dyDescent="0.35">
      <c r="B4" s="242" t="s">
        <v>377</v>
      </c>
      <c r="D4" s="242" t="s">
        <v>375</v>
      </c>
      <c r="I4" s="242"/>
    </row>
    <row r="5" spans="1:9" ht="23.25" x14ac:dyDescent="0.35">
      <c r="B5" s="242" t="s">
        <v>376</v>
      </c>
      <c r="D5" s="242" t="s">
        <v>374</v>
      </c>
      <c r="I5" s="242"/>
    </row>
    <row r="6" spans="1:9" s="253" customFormat="1" x14ac:dyDescent="0.25"/>
    <row r="7" spans="1:9" s="253" customFormat="1" x14ac:dyDescent="0.25"/>
    <row r="8" spans="1:9" s="253" customFormat="1" x14ac:dyDescent="0.25">
      <c r="B8" s="302" t="s">
        <v>333</v>
      </c>
      <c r="C8" s="305"/>
    </row>
    <row r="9" spans="1:9" x14ac:dyDescent="0.25">
      <c r="B9" s="309" t="s">
        <v>171</v>
      </c>
      <c r="C9" s="310">
        <v>1000000</v>
      </c>
      <c r="D9" s="253"/>
      <c r="E9" s="253"/>
      <c r="F9" s="253"/>
      <c r="G9" s="253"/>
      <c r="H9" s="253"/>
    </row>
    <row r="10" spans="1:9" x14ac:dyDescent="0.25">
      <c r="A10" s="257" t="s">
        <v>334</v>
      </c>
      <c r="B10" s="245" t="s">
        <v>213</v>
      </c>
      <c r="C10" s="243" t="s">
        <v>209</v>
      </c>
      <c r="D10" s="253"/>
      <c r="E10" s="253"/>
      <c r="F10" s="253"/>
      <c r="G10" s="253"/>
      <c r="H10" s="253"/>
    </row>
    <row r="11" spans="1:9" x14ac:dyDescent="0.25">
      <c r="A11" s="258" t="s">
        <v>176</v>
      </c>
      <c r="B11" s="245" t="s">
        <v>214</v>
      </c>
      <c r="C11" s="307">
        <f ca="1">_xll.meDateFromTenor(COB,$A$11,C20,C21)</f>
        <v>42523</v>
      </c>
      <c r="D11" s="253"/>
      <c r="E11" s="253"/>
      <c r="F11" s="253"/>
      <c r="G11" s="253"/>
      <c r="H11" s="253"/>
    </row>
    <row r="12" spans="1:9" x14ac:dyDescent="0.25">
      <c r="B12" s="245" t="s">
        <v>215</v>
      </c>
      <c r="C12" s="308" t="s">
        <v>52</v>
      </c>
      <c r="D12" s="253"/>
      <c r="E12" s="253"/>
      <c r="F12" s="253"/>
      <c r="G12" s="253"/>
      <c r="H12" s="253"/>
    </row>
    <row r="13" spans="1:9" x14ac:dyDescent="0.25">
      <c r="B13" s="245" t="s">
        <v>80</v>
      </c>
      <c r="C13" s="308" t="s">
        <v>78</v>
      </c>
      <c r="D13" s="253"/>
      <c r="E13" s="253"/>
      <c r="F13" s="253"/>
      <c r="G13" s="253"/>
      <c r="H13" s="253"/>
    </row>
    <row r="14" spans="1:9" x14ac:dyDescent="0.25">
      <c r="B14" s="245" t="s">
        <v>231</v>
      </c>
      <c r="C14" s="244" t="s">
        <v>162</v>
      </c>
      <c r="D14" s="253"/>
      <c r="E14" s="253"/>
      <c r="F14" s="253"/>
      <c r="G14" s="253"/>
      <c r="H14" s="253"/>
    </row>
    <row r="15" spans="1:9" x14ac:dyDescent="0.25">
      <c r="B15" s="245" t="s">
        <v>232</v>
      </c>
      <c r="C15" s="311" t="s">
        <v>9</v>
      </c>
      <c r="D15" s="253"/>
      <c r="E15" s="253"/>
      <c r="F15" s="253"/>
      <c r="G15" s="253"/>
      <c r="H15" s="253"/>
    </row>
    <row r="16" spans="1:9" s="146" customFormat="1" x14ac:dyDescent="0.25">
      <c r="B16" s="245" t="s">
        <v>217</v>
      </c>
      <c r="C16" s="260" t="s">
        <v>26</v>
      </c>
      <c r="D16" s="253"/>
      <c r="E16" s="253"/>
      <c r="F16" s="253"/>
      <c r="G16" s="253"/>
      <c r="H16" s="253"/>
    </row>
    <row r="17" spans="2:8" x14ac:dyDescent="0.25">
      <c r="B17" s="245" t="s">
        <v>218</v>
      </c>
      <c r="C17" s="259" t="s">
        <v>20</v>
      </c>
      <c r="D17" s="253"/>
      <c r="E17" s="253"/>
      <c r="F17" s="253"/>
      <c r="G17" s="253"/>
      <c r="H17" s="253"/>
    </row>
    <row r="18" spans="2:8" x14ac:dyDescent="0.25">
      <c r="B18" s="245" t="s">
        <v>336</v>
      </c>
      <c r="C18" s="260" t="s">
        <v>22</v>
      </c>
      <c r="D18" s="253"/>
      <c r="E18" s="253"/>
      <c r="F18" s="253"/>
      <c r="G18" s="253"/>
      <c r="H18" s="253"/>
    </row>
    <row r="19" spans="2:8" x14ac:dyDescent="0.25">
      <c r="B19" s="245" t="s">
        <v>338</v>
      </c>
      <c r="C19" s="260" t="s">
        <v>2</v>
      </c>
      <c r="D19" s="253"/>
      <c r="E19" s="253"/>
      <c r="F19" s="253"/>
      <c r="G19" s="253"/>
      <c r="H19" s="253"/>
    </row>
    <row r="20" spans="2:8" x14ac:dyDescent="0.25">
      <c r="B20" s="245" t="s">
        <v>337</v>
      </c>
      <c r="C20" s="260" t="s">
        <v>22</v>
      </c>
      <c r="D20" s="253"/>
      <c r="E20" s="253"/>
      <c r="F20" s="253"/>
      <c r="G20" s="253"/>
      <c r="H20" s="253"/>
    </row>
    <row r="21" spans="2:8" x14ac:dyDescent="0.25">
      <c r="B21" s="245" t="s">
        <v>339</v>
      </c>
      <c r="C21" s="260" t="s">
        <v>2</v>
      </c>
      <c r="D21" s="253"/>
      <c r="E21" s="253"/>
      <c r="F21" s="253"/>
      <c r="G21" s="253"/>
      <c r="H21" s="253"/>
    </row>
    <row r="22" spans="2:8" x14ac:dyDescent="0.25">
      <c r="B22" s="245" t="s">
        <v>239</v>
      </c>
      <c r="C22" s="261"/>
      <c r="D22" s="253"/>
      <c r="E22" s="253"/>
      <c r="F22" s="253"/>
      <c r="G22" s="253"/>
      <c r="H22" s="253"/>
    </row>
    <row r="23" spans="2:8" x14ac:dyDescent="0.25">
      <c r="B23" s="245" t="s">
        <v>240</v>
      </c>
      <c r="C23" s="261"/>
      <c r="D23" s="253"/>
      <c r="E23" s="253"/>
      <c r="F23" s="253"/>
      <c r="G23" s="253"/>
      <c r="H23" s="253"/>
    </row>
    <row r="24" spans="2:8" x14ac:dyDescent="0.25">
      <c r="B24" s="245" t="s">
        <v>219</v>
      </c>
      <c r="C24" s="260" t="s">
        <v>364</v>
      </c>
      <c r="D24" s="253"/>
      <c r="E24" s="253"/>
      <c r="F24" s="253"/>
      <c r="G24" s="253"/>
      <c r="H24" s="253"/>
    </row>
    <row r="25" spans="2:8" x14ac:dyDescent="0.25">
      <c r="B25" s="245" t="s">
        <v>220</v>
      </c>
      <c r="C25" s="259" t="s">
        <v>172</v>
      </c>
      <c r="D25" s="253"/>
      <c r="E25" s="253"/>
      <c r="F25" s="253"/>
      <c r="G25" s="253"/>
      <c r="H25" s="253"/>
    </row>
    <row r="26" spans="2:8" x14ac:dyDescent="0.25">
      <c r="B26" s="245" t="s">
        <v>221</v>
      </c>
      <c r="C26" s="259" t="s">
        <v>173</v>
      </c>
      <c r="D26" s="253"/>
      <c r="E26" s="253"/>
      <c r="F26" s="253"/>
      <c r="G26" s="253"/>
      <c r="H26" s="253"/>
    </row>
    <row r="27" spans="2:8" x14ac:dyDescent="0.25">
      <c r="B27" s="245" t="s">
        <v>216</v>
      </c>
      <c r="C27" s="303">
        <v>0.01</v>
      </c>
      <c r="D27" s="253"/>
      <c r="E27" s="253"/>
      <c r="F27" s="253"/>
      <c r="G27" s="253"/>
      <c r="H27" s="253"/>
    </row>
    <row r="28" spans="2:8" x14ac:dyDescent="0.25">
      <c r="B28" s="245" t="s">
        <v>222</v>
      </c>
      <c r="C28" s="262" t="str">
        <f>VLOOKUP(C14,Settings.LookupTable.ForecastCurve,2,0)</f>
        <v>Semi-Annual</v>
      </c>
      <c r="D28" s="253"/>
      <c r="E28" s="253"/>
      <c r="F28" s="253"/>
      <c r="G28" s="253"/>
      <c r="H28" s="253"/>
    </row>
    <row r="29" spans="2:8" x14ac:dyDescent="0.25">
      <c r="B29" s="245" t="s">
        <v>223</v>
      </c>
      <c r="C29" s="259" t="s">
        <v>6</v>
      </c>
      <c r="D29" s="253"/>
      <c r="E29" s="253"/>
      <c r="F29" s="253"/>
      <c r="G29" s="253"/>
      <c r="H29" s="253"/>
    </row>
    <row r="30" spans="2:8" x14ac:dyDescent="0.25">
      <c r="B30" s="245" t="s">
        <v>344</v>
      </c>
      <c r="C30" s="260" t="s">
        <v>22</v>
      </c>
      <c r="D30" s="253"/>
      <c r="E30" s="253"/>
      <c r="F30" s="253"/>
      <c r="G30" s="253"/>
      <c r="H30" s="253"/>
    </row>
    <row r="31" spans="2:8" x14ac:dyDescent="0.25">
      <c r="B31" s="245" t="s">
        <v>345</v>
      </c>
      <c r="C31" s="260" t="s">
        <v>2</v>
      </c>
      <c r="D31" s="253"/>
      <c r="E31" s="253"/>
      <c r="F31" s="253"/>
      <c r="G31" s="253"/>
      <c r="H31" s="253"/>
    </row>
    <row r="32" spans="2:8" x14ac:dyDescent="0.25">
      <c r="B32" s="245" t="s">
        <v>340</v>
      </c>
      <c r="C32" s="260" t="s">
        <v>22</v>
      </c>
      <c r="D32" s="253"/>
      <c r="E32" s="253"/>
      <c r="F32" s="253"/>
      <c r="G32" s="253"/>
      <c r="H32" s="253"/>
    </row>
    <row r="33" spans="2:8" x14ac:dyDescent="0.25">
      <c r="B33" s="245" t="s">
        <v>341</v>
      </c>
      <c r="C33" s="260" t="s">
        <v>2</v>
      </c>
      <c r="D33" s="253"/>
      <c r="E33" s="253"/>
      <c r="F33" s="253"/>
      <c r="G33" s="253"/>
      <c r="H33" s="253"/>
    </row>
    <row r="34" spans="2:8" x14ac:dyDescent="0.25">
      <c r="B34" s="245" t="s">
        <v>342</v>
      </c>
      <c r="C34" s="260" t="s">
        <v>22</v>
      </c>
      <c r="D34" s="253"/>
      <c r="E34" s="253"/>
      <c r="F34" s="253"/>
      <c r="G34" s="253"/>
      <c r="H34" s="253"/>
    </row>
    <row r="35" spans="2:8" x14ac:dyDescent="0.25">
      <c r="B35" s="245" t="s">
        <v>343</v>
      </c>
      <c r="C35" s="260" t="s">
        <v>2</v>
      </c>
      <c r="D35" s="253"/>
      <c r="E35" s="253"/>
      <c r="F35" s="253"/>
      <c r="G35" s="253"/>
      <c r="H35" s="253"/>
    </row>
    <row r="36" spans="2:8" x14ac:dyDescent="0.25">
      <c r="B36" s="245" t="s">
        <v>241</v>
      </c>
      <c r="C36" s="261"/>
      <c r="D36" s="253"/>
      <c r="E36" s="253"/>
      <c r="F36" s="253"/>
      <c r="G36" s="253"/>
      <c r="H36" s="253"/>
    </row>
    <row r="37" spans="2:8" x14ac:dyDescent="0.25">
      <c r="B37" s="245" t="s">
        <v>242</v>
      </c>
      <c r="C37" s="261"/>
      <c r="D37" s="253"/>
      <c r="E37" s="253"/>
      <c r="F37" s="253"/>
      <c r="G37" s="253"/>
      <c r="H37" s="253"/>
    </row>
    <row r="38" spans="2:8" x14ac:dyDescent="0.25">
      <c r="B38" s="245" t="s">
        <v>224</v>
      </c>
      <c r="C38" s="260" t="s">
        <v>364</v>
      </c>
      <c r="D38" s="253"/>
      <c r="E38" s="253"/>
      <c r="F38" s="253"/>
      <c r="G38" s="253"/>
      <c r="H38" s="253"/>
    </row>
    <row r="39" spans="2:8" x14ac:dyDescent="0.25">
      <c r="B39" s="245" t="s">
        <v>225</v>
      </c>
      <c r="C39" s="259" t="s">
        <v>172</v>
      </c>
      <c r="D39" s="253"/>
      <c r="E39" s="253"/>
      <c r="F39" s="253"/>
      <c r="G39" s="253"/>
      <c r="H39" s="253"/>
    </row>
    <row r="40" spans="2:8" x14ac:dyDescent="0.25">
      <c r="B40" s="245" t="s">
        <v>226</v>
      </c>
      <c r="C40" s="263">
        <v>-1.49E-3</v>
      </c>
      <c r="D40" s="253"/>
      <c r="E40" s="253"/>
      <c r="F40" s="253"/>
      <c r="G40" s="253"/>
      <c r="H40" s="253"/>
    </row>
    <row r="41" spans="2:8" x14ac:dyDescent="0.25">
      <c r="B41" s="245" t="s">
        <v>227</v>
      </c>
      <c r="C41" s="263"/>
      <c r="D41" s="253"/>
      <c r="E41" s="253"/>
      <c r="F41" s="253"/>
      <c r="G41" s="253"/>
      <c r="H41" s="253"/>
    </row>
    <row r="42" spans="2:8" x14ac:dyDescent="0.25">
      <c r="B42" s="245" t="s">
        <v>228</v>
      </c>
      <c r="C42" s="259" t="s">
        <v>172</v>
      </c>
      <c r="D42" s="253"/>
      <c r="E42" s="253"/>
      <c r="F42" s="253"/>
      <c r="G42" s="253"/>
      <c r="H42" s="253"/>
    </row>
    <row r="43" spans="2:8" x14ac:dyDescent="0.25">
      <c r="B43" s="245" t="s">
        <v>230</v>
      </c>
      <c r="C43" s="259" t="s">
        <v>173</v>
      </c>
      <c r="D43" s="253"/>
      <c r="E43" s="253"/>
      <c r="F43" s="253"/>
      <c r="G43" s="253"/>
      <c r="H43" s="253"/>
    </row>
    <row r="44" spans="2:8" x14ac:dyDescent="0.25">
      <c r="B44" s="246" t="s">
        <v>229</v>
      </c>
      <c r="C44" s="312">
        <v>0</v>
      </c>
      <c r="D44" s="253"/>
      <c r="E44" s="253"/>
      <c r="F44" s="253"/>
      <c r="G44" s="253"/>
      <c r="H44" s="253"/>
    </row>
    <row r="45" spans="2:8" x14ac:dyDescent="0.25">
      <c r="D45" s="253"/>
      <c r="E45" s="253"/>
      <c r="F45" s="253"/>
      <c r="G45" s="253"/>
      <c r="H45" s="253"/>
    </row>
    <row r="46" spans="2:8" x14ac:dyDescent="0.25">
      <c r="D46" s="253"/>
      <c r="E46" s="253"/>
      <c r="F46" s="253"/>
      <c r="G46" s="253"/>
      <c r="H46" s="253"/>
    </row>
    <row r="47" spans="2:8" x14ac:dyDescent="0.25">
      <c r="B47" s="267" t="s">
        <v>335</v>
      </c>
      <c r="C47" s="264"/>
      <c r="D47" s="253"/>
      <c r="E47" s="253"/>
      <c r="F47" s="253"/>
      <c r="G47" s="253"/>
      <c r="H47" s="253"/>
    </row>
    <row r="48" spans="2:8" x14ac:dyDescent="0.25">
      <c r="B48" s="247" t="s">
        <v>329</v>
      </c>
      <c r="C48" s="248">
        <f ca="1">IF(AND(NOW(),isEUR12MLLoaded),_xll.meProductSwapParRate($B$9:$C$44,FALSE),"Load Curve")</f>
        <v>1.5288496815811631E-4</v>
      </c>
      <c r="D48" s="253"/>
      <c r="E48" s="253"/>
      <c r="F48" s="253"/>
      <c r="G48" s="253"/>
      <c r="H48" s="253"/>
    </row>
    <row r="49" spans="2:8" x14ac:dyDescent="0.25">
      <c r="B49" s="249" t="s">
        <v>330</v>
      </c>
      <c r="C49" s="251">
        <f ca="1">IF(AND(NOW(),isEUR12MLLoaded),_xll.meProductSwapPV(B9:C44,FALSE),"Load Curve")</f>
        <v>49747.087280156164</v>
      </c>
      <c r="D49" s="253"/>
      <c r="E49" s="253"/>
      <c r="F49" s="253"/>
      <c r="G49" s="253"/>
      <c r="H49" s="253"/>
    </row>
    <row r="50" spans="2:8" x14ac:dyDescent="0.25">
      <c r="B50" s="249" t="s">
        <v>331</v>
      </c>
      <c r="C50" s="251">
        <f ca="1">IF(AND(NOW(),isEUR12MLLoaded),_xll.meProductSwapPV01(B9:C44,FALSE),"Load Curve")</f>
        <v>505.19453788538783</v>
      </c>
      <c r="D50" s="253"/>
      <c r="E50" s="253"/>
      <c r="F50" s="253"/>
      <c r="G50" s="253"/>
      <c r="H50" s="253"/>
    </row>
    <row r="51" spans="2:8" x14ac:dyDescent="0.25">
      <c r="B51" s="250" t="s">
        <v>332</v>
      </c>
      <c r="C51" s="252">
        <f ca="1">IF(AND(NOW(),isEUR12MLLoaded),_xll.meProductSwapDV01(B9:C44,FALSE),"Load Curve")</f>
        <v>521.48709106977071</v>
      </c>
      <c r="D51" s="253"/>
      <c r="E51" s="253"/>
      <c r="F51" s="253"/>
      <c r="G51" s="253"/>
      <c r="H51" s="253"/>
    </row>
    <row r="52" spans="2:8" x14ac:dyDescent="0.25">
      <c r="D52" s="253"/>
      <c r="E52" s="253"/>
      <c r="F52" s="253"/>
      <c r="G52" s="253"/>
      <c r="H52" s="253"/>
    </row>
    <row r="53" spans="2:8" x14ac:dyDescent="0.25">
      <c r="D53" s="253"/>
      <c r="E53" s="253"/>
      <c r="F53" s="253"/>
      <c r="G53" s="253"/>
      <c r="H53" s="253"/>
    </row>
    <row r="95" outlineLevel="1" x14ac:dyDescent="0.25"/>
    <row r="96" outlineLevel="1" x14ac:dyDescent="0.25"/>
    <row r="97" outlineLevel="1" x14ac:dyDescent="0.25"/>
    <row r="98" outlineLevel="1" x14ac:dyDescent="0.25"/>
    <row r="99" outlineLevel="1" x14ac:dyDescent="0.25"/>
    <row r="100" outlineLevel="1" x14ac:dyDescent="0.25"/>
    <row r="101" outlineLevel="1" x14ac:dyDescent="0.25"/>
    <row r="102" outlineLevel="1" x14ac:dyDescent="0.25"/>
    <row r="103" outlineLevel="1" x14ac:dyDescent="0.25"/>
    <row r="104" outlineLevel="1" x14ac:dyDescent="0.25"/>
    <row r="105" outlineLevel="1" x14ac:dyDescent="0.25"/>
    <row r="106" outlineLevel="1" x14ac:dyDescent="0.25"/>
    <row r="107" outlineLevel="1" x14ac:dyDescent="0.25"/>
    <row r="108" outlineLevel="1" x14ac:dyDescent="0.25"/>
  </sheetData>
  <dataValidations disablePrompts="1" count="6">
    <dataValidation type="list" allowBlank="1" showInputMessage="1" showErrorMessage="1" sqref="C10">
      <formula1>"PAYER,RECEIVER"</formula1>
    </dataValidation>
    <dataValidation type="list" allowBlank="1" showInputMessage="1" showErrorMessage="1" sqref="C19 C31 C33 C35 C21">
      <formula1>"TGT,NYB:LNB,LNB,TKB:LNB"</formula1>
    </dataValidation>
    <dataValidation type="list" allowBlank="1" showInputMessage="1" showErrorMessage="1" sqref="C26 C43">
      <formula1>"None,ShortStart,ShortEnd,LongStart,LongEnd"</formula1>
    </dataValidation>
    <dataValidation type="list" allowBlank="1" showInputMessage="1" showErrorMessage="1" sqref="C17 C29">
      <formula1>"30/360,ACT/360,ACT/365"</formula1>
    </dataValidation>
    <dataValidation type="list" allowBlank="1" showInputMessage="1" showErrorMessage="1" sqref="C28 C16">
      <formula1>"Annual,Semi-Annual,Quarterly,Monthly"</formula1>
    </dataValidation>
    <dataValidation type="list" allowBlank="1" showInputMessage="1" showErrorMessage="1" sqref="C18 C20 C32 C34 C30">
      <formula1>"MOD_FOLLOWING,FOLLOWING,MOD_PRECEDING,PRECEDING,NO_CHANGE"</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74</vt:i4>
      </vt:variant>
    </vt:vector>
  </HeadingPairs>
  <TitlesOfParts>
    <vt:vector size="86" baseType="lpstr">
      <vt:lpstr>Settings</vt:lpstr>
      <vt:lpstr>EUROIS</vt:lpstr>
      <vt:lpstr>EUR3ML</vt:lpstr>
      <vt:lpstr>EUR6ML</vt:lpstr>
      <vt:lpstr>EUR1ML</vt:lpstr>
      <vt:lpstr>EUR12ML</vt:lpstr>
      <vt:lpstr>Forwards</vt:lpstr>
      <vt:lpstr>DiscountFactors</vt:lpstr>
      <vt:lpstr>SwapSchedule</vt:lpstr>
      <vt:lpstr>ManualPriceIRS</vt:lpstr>
      <vt:lpstr>PriceOIS</vt:lpstr>
      <vt:lpstr>PriceIRS</vt:lpstr>
      <vt:lpstr>ApplyTension</vt:lpstr>
      <vt:lpstr>CalcMode</vt:lpstr>
      <vt:lpstr>COB</vt:lpstr>
      <vt:lpstr>Curve.BuildProperties</vt:lpstr>
      <vt:lpstr>Curve.CollectionName</vt:lpstr>
      <vt:lpstr>Curve.MarketDataTable</vt:lpstr>
      <vt:lpstr>Curve.OISIndexName</vt:lpstr>
      <vt:lpstr>PriceIRS!EURSwaps.Portfolio</vt:lpstr>
      <vt:lpstr>Forwards!ForwardCurves.CurveID</vt:lpstr>
      <vt:lpstr>Forwards!ForwardCurves.Interpolation</vt:lpstr>
      <vt:lpstr>Forwards!ForwardCurves.Periodicity</vt:lpstr>
      <vt:lpstr>Forwards!Forwards.EUR1ML</vt:lpstr>
      <vt:lpstr>Forwards!Forwards.OIS</vt:lpstr>
      <vt:lpstr>Forwards!Forwards.StartDate</vt:lpstr>
      <vt:lpstr>FRA.Conventions</vt:lpstr>
      <vt:lpstr>FRA.MarketDataX3</vt:lpstr>
      <vt:lpstr>FRA.MarketDataX6</vt:lpstr>
      <vt:lpstr>Futures.Conventions</vt:lpstr>
      <vt:lpstr>Futures.MarketData</vt:lpstr>
      <vt:lpstr>EUR12ML!Info</vt:lpstr>
      <vt:lpstr>EUR1ML!Info</vt:lpstr>
      <vt:lpstr>EUR3ML!Info</vt:lpstr>
      <vt:lpstr>EUR6ML!Info</vt:lpstr>
      <vt:lpstr>EUROIS!Info</vt:lpstr>
      <vt:lpstr>Interpolation</vt:lpstr>
      <vt:lpstr>interpolationFunction</vt:lpstr>
      <vt:lpstr>isEUR12MLLoaded</vt:lpstr>
      <vt:lpstr>isEUR1MLLoaded</vt:lpstr>
      <vt:lpstr>isEUR3MLLoaded</vt:lpstr>
      <vt:lpstr>isEUR6MLLoaded</vt:lpstr>
      <vt:lpstr>isEUROISLoaded</vt:lpstr>
      <vt:lpstr>Libor.Conventions</vt:lpstr>
      <vt:lpstr>Libor.MarketData</vt:lpstr>
      <vt:lpstr>LiborOISBasis.Conventions</vt:lpstr>
      <vt:lpstr>LiborOISBasis.MarketData</vt:lpstr>
      <vt:lpstr>LiborSwap.Conventions</vt:lpstr>
      <vt:lpstr>LiborSwap.MarketData</vt:lpstr>
      <vt:lpstr>MoneyMarket.Conventions</vt:lpstr>
      <vt:lpstr>OIS.Conventions</vt:lpstr>
      <vt:lpstr>OIS.FixingTable</vt:lpstr>
      <vt:lpstr>OIS.MarketData</vt:lpstr>
      <vt:lpstr>Settings.ForecastCurveSet</vt:lpstr>
      <vt:lpstr>Settings.LookupTable.DiscountCurve</vt:lpstr>
      <vt:lpstr>Settings.LookupTable.ForecastCurve</vt:lpstr>
      <vt:lpstr>Settings.Risk.BumpMode</vt:lpstr>
      <vt:lpstr>Settings.Risk.BumpSize</vt:lpstr>
      <vt:lpstr>STDCurve.Buildproperties</vt:lpstr>
      <vt:lpstr>STDCurve.CollectionName</vt:lpstr>
      <vt:lpstr>STDCurve.IndexName</vt:lpstr>
      <vt:lpstr>STDCurve.StaticDataTable</vt:lpstr>
      <vt:lpstr>Swap.Conventions</vt:lpstr>
      <vt:lpstr>Swap.MarketData</vt:lpstr>
      <vt:lpstr>ManualPriceIRS!SwapDealInfo</vt:lpstr>
      <vt:lpstr>PriceIRS!SwapDealInfo</vt:lpstr>
      <vt:lpstr>PriceOIS!SwapDealInfo</vt:lpstr>
      <vt:lpstr>SwapSchedule!SwapDealInfo</vt:lpstr>
      <vt:lpstr>EUR12ML!TenorBasisCurve.EUR12ML.ForwardStarting</vt:lpstr>
      <vt:lpstr>EUR1ML!TenorBasisCurve.EUR1ML.ForwardStarting</vt:lpstr>
      <vt:lpstr>TenorBasisCurve.EUR3ML.ForwardStarting</vt:lpstr>
      <vt:lpstr>EUR1ML!TenorBasisCurve1M3M.BuildProperties</vt:lpstr>
      <vt:lpstr>EUR1ML!TenorBasisCurve1M3M.CollectionName</vt:lpstr>
      <vt:lpstr>EUR1ML!TenorBasisCurve1M3M.IndexName</vt:lpstr>
      <vt:lpstr>EUR1ML!TenorBasisCurve1M3M.StaticDataTable</vt:lpstr>
      <vt:lpstr>TenorBasisCurve3M6M.CollectionName</vt:lpstr>
      <vt:lpstr>TenorBasisCurve3M6M.IndexName</vt:lpstr>
      <vt:lpstr>TenorBasisCurve3M6M.StaticDataTable</vt:lpstr>
      <vt:lpstr>EUR12ML!TenorBasisCurve6M12M.BuildProperties</vt:lpstr>
      <vt:lpstr>EUR12ML!TenorBasisCurve6M12M.CollectionName</vt:lpstr>
      <vt:lpstr>EUR12ML!TenorBasisCurve6M12M.IndexName</vt:lpstr>
      <vt:lpstr>EUR12ML!TenorBasisCurve6M12M.StaticDataTable</vt:lpstr>
      <vt:lpstr>TenorBasisCurve6M6M.BuildProperties</vt:lpstr>
      <vt:lpstr>EUR1ML!TenorBasisSwap1M3M.Conventions</vt:lpstr>
      <vt:lpstr>TenorBasisSwap3M6M.Conventions</vt:lpstr>
      <vt:lpstr>EUR12ML!TenorBasisSwap6M12M.Conventions</vt:lpstr>
    </vt:vector>
  </TitlesOfParts>
  <Company>Mizuho International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Nicholas Burgess</dc:creator>
  <cp:lastModifiedBy>Nicholas Burgess</cp:lastModifiedBy>
  <dcterms:created xsi:type="dcterms:W3CDTF">2016-03-11T11:47:18Z</dcterms:created>
  <dcterms:modified xsi:type="dcterms:W3CDTF">2016-10-10T14:25:58Z</dcterms:modified>
</cp:coreProperties>
</file>