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90" windowWidth="27795" windowHeight="14625" activeTab="1"/>
  </bookViews>
  <sheets>
    <sheet name="OIS Curve" sheetId="2" r:id="rId1"/>
    <sheet name="Swap Curve" sheetId="3" r:id="rId2"/>
  </sheets>
  <externalReferences>
    <externalReference r:id="rId3"/>
  </externalReferences>
  <definedNames>
    <definedName name="COB">[1]Settings!$C$2</definedName>
    <definedName name="Curve.BuildProperties">'OIS Curve'!$C$20:$D$24</definedName>
    <definedName name="Curve.CollectionName">'OIS Curve'!$D$11</definedName>
    <definedName name="Curve.MarketDataTable">'OIS Curve'!$D$12</definedName>
    <definedName name="Curve.OISIndexName">'OIS Curve'!$D$13</definedName>
    <definedName name="ForwardCurves.CurveID">#REF!</definedName>
    <definedName name="ForwardCurves.Interpolation">#REF!</definedName>
    <definedName name="ForwardCurves.Periodicity">#REF!</definedName>
    <definedName name="Forwards.EUR12ML">#REF!</definedName>
    <definedName name="Forwards.EUR1ML">#REF!</definedName>
    <definedName name="Forwards.EUR3ML">#REF!</definedName>
    <definedName name="Forwards.EUR6ML">#REF!</definedName>
    <definedName name="Forwards.OIS">#REF!</definedName>
    <definedName name="Forwards.StartDate">#REF!</definedName>
    <definedName name="FRA.Conventions">'Swap Curve'!$C$51:$D$64</definedName>
    <definedName name="FRA.MarketDataX3">'Swap Curve'!$F$52:$G$64</definedName>
    <definedName name="FRA.MarketDataX6">'Swap Curve'!$I$52:$J$64</definedName>
    <definedName name="Futures.Conventions">'Swap Curve'!$C$72:$D$85</definedName>
    <definedName name="Futures.MarketData">'Swap Curve'!$F$73:$J$85</definedName>
    <definedName name="Libor.Conventions">'Swap Curve'!$F$38:$G$43</definedName>
    <definedName name="Libor.MarketData">'Swap Curve'!$I$39:$J$43</definedName>
    <definedName name="LiborOISBasis.Conventions">'OIS Curve'!$C$64:$D$89</definedName>
    <definedName name="LiborOISBasis.MarketData">'OIS Curve'!$F$65:$G$89</definedName>
    <definedName name="LiborSwap.Conventions">'OIS Curve'!$I$64:$J$89</definedName>
    <definedName name="LiborSwap.MarketData">'OIS Curve'!$L$65:$M$89</definedName>
    <definedName name="MoneyMarket.Conventions">'Swap Curve'!$C$38:$D$43</definedName>
    <definedName name="OIS.Conventions">'OIS Curve'!$C$31:$D$57</definedName>
    <definedName name="OIS.FixingTable">'OIS Curve'!$L$32:$M$57</definedName>
    <definedName name="OIS.MarketData">'OIS Curve'!$F$32:$J$57</definedName>
    <definedName name="STDCurve.Buildproperties">'Swap Curve'!$C$22:$D$31</definedName>
    <definedName name="STDCurve.CollectionName">'Swap Curve'!$D$13</definedName>
    <definedName name="STDCurve.IndexName">'Swap Curve'!$D$15</definedName>
    <definedName name="STDCurve.StaticDataTable">'Swap Curve'!$D$14</definedName>
    <definedName name="Swap.Conventions">'Swap Curve'!$C$93:$D$111</definedName>
    <definedName name="Swap.MarketData">'Swap Curve'!$F$94:$H$111</definedName>
    <definedName name="TenorBasisCurve3M6M.BuildProperties">#REF!</definedName>
    <definedName name="TenorBasisCurve3M6M.CollectionName">#REF!</definedName>
    <definedName name="TenorBasisCurve3M6M.IndexName">#REF!</definedName>
    <definedName name="TenorBasisCurve3M6M.StaticDataTable">#REF!</definedName>
    <definedName name="TenorBasisSwap3M6M.Conventions">#REF!</definedName>
    <definedName name="TenorBasisSwap3M6M.MarketData">#REF!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D8" i="3" l="1"/>
  <c r="D7" i="2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Future.Interpolation</t>
        </r>
        <r>
          <rPr>
            <sz val="12"/>
            <color indexed="81"/>
            <rFont val="Tahoma"/>
            <family val="2"/>
          </rPr>
          <t xml:space="preserve">
The interpolation method to be used for futures' start discount factor; when implying forwards from pairs of discount factors.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6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D108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D109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<sst xmlns="http://schemas.openxmlformats.org/spreadsheetml/2006/main" count="344" uniqueCount="158">
  <si>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</si>
  <si>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</si>
  <si>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</si>
  <si>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</si>
  <si>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</si>
  <si>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</si>
  <si>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</si>
  <si>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</si>
  <si>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</si>
  <si>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</si>
  <si>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</si>
  <si>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</si>
  <si>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</si>
  <si>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</si>
  <si>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</si>
  <si>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</si>
  <si>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</si>
  <si>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</si>
  <si>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</si>
  <si>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</si>
  <si>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</si>
  <si>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</si>
  <si>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</si>
  <si>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</si>
  <si>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</si>
  <si>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</si>
  <si>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</si>
  <si>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</si>
  <si>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</si>
  <si>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</si>
  <si>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</si>
  <si>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</si>
  <si>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</si>
  <si>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</si>
  <si>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</si>
  <si>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</si>
  <si>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</si>
  <si>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</si>
  <si>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</si>
  <si>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</si>
  <si>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</si>
  <si>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</si>
  <si>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</si>
  <si>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</si>
  <si>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</si>
  <si>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</si>
  <si>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</si>
  <si>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</si>
  <si>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</si>
  <si>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</si>
  <si>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</si>
  <si>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</si>
  <si>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</si>
  <si>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</si>
  <si>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</si>
  <si>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</si>
  <si>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</si>
  <si>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</si>
  <si>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</si>
  <si>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</si>
  <si>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</si>
  <si>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</si>
  <si>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</si>
  <si>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</si>
  <si>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</si>
  <si>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</si>
  <si>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</si>
  <si>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</si>
  <si>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</si>
  <si>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</si>
  <si>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</si>
  <si>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</si>
  <si>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</si>
  <si>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</si>
  <si>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</si>
  <si>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</si>
  <si>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</si>
  <si>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</si>
  <si>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</si>
  <si>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</si>
  <si>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mirSetUpOISCurve</t>
  </si>
  <si>
    <t>EURYC</t>
  </si>
  <si>
    <t>&lt;- This is a reference to a property file table and should remain fixed.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</si>
  <si>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</si>
  <si>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</si>
  <si>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</si>
  <si>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</si>
  <si>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</si>
  <si>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</si>
  <si>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</si>
  <si>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</si>
  <si>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</si>
  <si>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r>
      <t>mirSetUpOISCurve</t>
    </r>
    <r>
      <rPr>
        <i/>
        <sz val="11"/>
        <rFont val="Calibri"/>
        <family val="2"/>
        <scheme val="minor"/>
      </rPr>
      <t>("CurveCollection","StaticDataTable","CurveBuildProperties","OISConventions","OISMarketData","IndexName","OISFixingTable","OISBasisMarketData","SwapConventions","SwapMarketData","OISBasisConventions")</t>
    </r>
  </si>
  <si>
    <t>mirSetUpSwapCurve</t>
  </si>
  <si>
    <t>STD</t>
  </si>
  <si>
    <t>STD:EUR6ML</t>
  </si>
  <si>
    <t>future.interpolation</t>
  </si>
  <si>
    <t>interpolation</t>
  </si>
  <si>
    <t>isfutureuse</t>
  </si>
  <si>
    <t>isfrause</t>
  </si>
  <si>
    <t>dfcurvename</t>
  </si>
  <si>
    <t>Cash Instruments</t>
  </si>
  <si>
    <t>Money Market Conventions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</si>
  <si>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</si>
  <si>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</si>
  <si>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</si>
  <si>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</si>
  <si>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</si>
  <si>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</si>
  <si>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</si>
  <si>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</si>
  <si>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</si>
  <si>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</si>
  <si>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</si>
  <si>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</si>
  <si>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</si>
  <si>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</si>
  <si>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</si>
  <si>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</si>
  <si>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</si>
  <si>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</si>
  <si>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</si>
  <si>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</si>
  <si>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</si>
  <si>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</si>
  <si>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</si>
  <si>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</si>
  <si>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</si>
  <si>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</si>
  <si>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Volatility</t>
  </si>
  <si>
    <t>Futures Data</t>
  </si>
  <si>
    <t>Swap Instruments</t>
  </si>
  <si>
    <t>Swap Conventions</t>
  </si>
  <si>
    <t>Swap Data</t>
  </si>
  <si>
    <t>DayCountFix</t>
  </si>
  <si>
    <t>DayCountFloat</t>
  </si>
  <si>
    <t>Semi-Annual</t>
  </si>
  <si>
    <t>FrequencyFloat</t>
  </si>
  <si>
    <t>Interpolation</t>
  </si>
  <si>
    <t>IsNewtonraphson</t>
  </si>
  <si>
    <t>issimultaneouseq</t>
  </si>
  <si>
    <t>optimizemethod</t>
  </si>
  <si>
    <t>NL2SOL</t>
  </si>
  <si>
    <t>Epsilon</t>
  </si>
  <si>
    <t>GradientEpsilon</t>
  </si>
  <si>
    <t>Delta</t>
  </si>
  <si>
    <t>MaxLoop</t>
  </si>
  <si>
    <t>Libor Market Data</t>
  </si>
  <si>
    <t>FRA Market Data X3</t>
  </si>
  <si>
    <t>FRA Market Data x6</t>
  </si>
  <si>
    <r>
      <rPr>
        <sz val="11"/>
        <color rgb="FF0000FF"/>
        <rFont val="Calibri"/>
        <family val="2"/>
        <scheme val="minor"/>
      </rPr>
      <t>mirSetUpSwapCurve</t>
    </r>
    <r>
      <rPr>
        <sz val="11"/>
        <color theme="1"/>
        <rFont val="Calibri"/>
        <family val="2"/>
        <scheme val="minor"/>
      </rPr>
      <t>("CurveCollection","StaticDataTable","CurveBuildProperties","MoneyMarketConventions","LiborConventions","LiborMktData","SwapConventions","SwapMktData",</t>
    </r>
  </si>
  <si>
    <t>"FRAConventions","FRAMktData3M","FRAMktData6M","FuturesConventions","FuturesMktData","QuantoConventions","QuantoMarketData","IndexName","TradeDiscountCurve")</t>
  </si>
  <si>
    <t>Term / Ticker</t>
  </si>
  <si>
    <t>3M</t>
  </si>
  <si>
    <r>
      <t>Prior to building the Swap Curve must construct an OIS Curve using '</t>
    </r>
    <r>
      <rPr>
        <i/>
        <sz val="11"/>
        <color rgb="FF0000FF"/>
        <rFont val="Calibri"/>
        <family val="2"/>
        <scheme val="minor"/>
      </rPr>
      <t>mirSetUpOISCUrve</t>
    </r>
    <r>
      <rPr>
        <i/>
        <sz val="11"/>
        <color theme="1"/>
        <rFont val="Calibri"/>
        <family val="2"/>
        <scheme val="minor"/>
      </rPr>
      <t>'</t>
    </r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</si>
  <si>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</si>
  <si>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</si>
  <si>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t>OIS:EUROIS:EURDF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</si>
</sst>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-* #,##0_-;\-* #,##0_-;_-* &quot;-&quot;_-;_-@_-"/>
    <numFmt numFmtId="164" formatCode="0.000%"/>
    <numFmt numFmtId="168" formatCode="0.00000%"/>
    <numFmt numFmtId="169" formatCode="#,##0.0000"/>
  </numFmts>
  <fonts count="2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3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</cellStyleXfs>
  <cellXfs count="114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3" fillId="0" borderId="15" xfId="0" applyFont="1" applyFill="1" applyBorder="1"/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8" fontId="9" fillId="0" borderId="3" xfId="0" applyNumberFormat="1" applyFont="1" applyFill="1" applyBorder="1" applyAlignment="1">
      <alignment horizontal="center" vertical="center"/>
    </xf>
    <xf numFmtId="168" fontId="9" fillId="0" borderId="10" xfId="0" applyNumberFormat="1" applyFont="1" applyFill="1" applyBorder="1" applyAlignment="1">
      <alignment horizontal="center" vertical="center"/>
    </xf>
    <xf numFmtId="168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9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8" fontId="9" fillId="0" borderId="9" xfId="1" quotePrefix="1" applyNumberFormat="1" applyFont="1" applyFill="1" applyBorder="1" applyAlignment="1">
      <alignment horizontal="center" vertical="center"/>
    </xf>
    <xf numFmtId="168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9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9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9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8" fontId="9" fillId="0" borderId="2" xfId="0" applyNumberFormat="1" applyFont="1" applyFill="1" applyBorder="1" applyAlignment="1">
      <alignment horizontal="center" vertical="center"/>
    </xf>
    <xf numFmtId="168" fontId="9" fillId="0" borderId="0" xfId="0" applyNumberFormat="1" applyFont="1" applyFill="1" applyBorder="1" applyAlignment="1">
      <alignment horizontal="center" vertical="center"/>
    </xf>
    <xf numFmtId="168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21" fillId="2" borderId="0" xfId="0" applyFont="1" applyFill="1" applyBorder="1"/>
    <xf numFmtId="0" fontId="11" fillId="0" borderId="6" xfId="0" quotePrefix="1" applyFont="1" applyFill="1" applyBorder="1" applyAlignment="1">
      <alignment horizontal="left" vertical="center"/>
    </xf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0066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DESKTOP\ExampleSwapGenera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Instruments"/>
      <sheetName val="Instrument Data"/>
      <sheetName val="EUR Market Data"/>
      <sheetName val="USD Market Data"/>
      <sheetName val="GBP Market Data"/>
      <sheetName val="JPY Market Data"/>
      <sheetName val="EUR Curve Config"/>
      <sheetName val="USD Curve Config"/>
      <sheetName val="GBP Curve Config"/>
      <sheetName val="JPY Curve Config"/>
      <sheetName val="Multi-Curves"/>
      <sheetName val="Display Curves"/>
      <sheetName val="Curve Charts"/>
      <sheetName val="Forward Charts"/>
      <sheetName val="EUR Swaps"/>
      <sheetName val="USD Swaps"/>
      <sheetName val="GBP Swaps"/>
      <sheetName val="JPY Swaps"/>
      <sheetName val="Custom EUR Swaps"/>
      <sheetName val="Custom USD Swaps"/>
      <sheetName val="Custom GBP Swaps"/>
      <sheetName val="Custom JPY Swaps"/>
      <sheetName val="EUR Asset Swaps"/>
      <sheetName val="USD Asset Swaps"/>
      <sheetName val="GBP Asset Swaps"/>
      <sheetName val="JPY Asset Swaps"/>
    </sheetNames>
    <sheetDataSet>
      <sheetData sheetId="0">
        <row r="2">
          <cell r="C2">
            <v>42445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N90"/>
  <sheetViews>
    <sheetView showGridLines="0" workbookViewId="0">
      <selection activeCell="D8" sqref="D8"/>
    </sheetView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65" t="s">
        <v>92</v>
      </c>
    </row>
    <row r="3" spans="2:14" x14ac:dyDescent="0.25">
      <c r="B3" s="65"/>
    </row>
    <row r="4" spans="2:14" x14ac:dyDescent="0.25">
      <c r="B4" s="65"/>
    </row>
    <row r="5" spans="2:14" x14ac:dyDescent="0.25">
      <c r="B5" s="65" t="s">
        <v>80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80</v>
      </c>
      <c r="D7" s="61" t="str">
        <f ca="1">IF(NOW(),_xll.mirSetUpOISCurve(Curve.CollectionName,Curve.MarketDataTable,Curve.BuildProperties,OIS.Conventions,OIS.MarketData,Curve.OISIndexName,OIS.FixingTable,LiborOISBasis.MarketData,LiborSwap.Conventions,LiborSwap.MarketData,LiborOISBasis.Conventions),"#Error: Not Loaded")</f>
        <v>OIS OIS Curve has been set (0.04700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6"/>
      <c r="D8" s="60"/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90</v>
      </c>
      <c r="D11" s="107" t="s">
        <v>81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89</v>
      </c>
      <c r="D12" s="108" t="s">
        <v>9</v>
      </c>
      <c r="E12" s="7" t="s">
        <v>82</v>
      </c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91</v>
      </c>
      <c r="D13" s="110" t="s">
        <v>157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70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70</v>
      </c>
      <c r="D19" s="47"/>
      <c r="E19" s="7"/>
      <c r="F19" s="50" t="s">
        <v>83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7">
        <v>42419</v>
      </c>
      <c r="E20" s="7"/>
      <c r="F20" s="14" t="s">
        <v>84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8" t="s">
        <v>17</v>
      </c>
      <c r="E21" s="7"/>
      <c r="F21" s="17" t="s">
        <v>85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11" t="s">
        <v>86</v>
      </c>
      <c r="E22" s="7"/>
      <c r="F22" s="17" t="s">
        <v>86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8"/>
      <c r="E23" s="7"/>
      <c r="F23" s="17" t="s">
        <v>87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10"/>
      <c r="E24" s="7"/>
      <c r="F24" s="21" t="s">
        <v>88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7"/>
    </row>
    <row r="28" spans="2:14" x14ac:dyDescent="0.25">
      <c r="B28" s="56" t="s">
        <v>79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 x14ac:dyDescent="0.25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31</v>
      </c>
      <c r="D36" s="35" t="b">
        <v>1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8" t="s">
        <v>143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146</v>
      </c>
      <c r="D45" s="106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31"/>
      <c r="D46" s="37"/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 x14ac:dyDescent="0.25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 x14ac:dyDescent="0.25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 x14ac:dyDescent="0.25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 x14ac:dyDescent="0.25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 x14ac:dyDescent="0.25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 x14ac:dyDescent="0.25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 x14ac:dyDescent="0.25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 x14ac:dyDescent="0.25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 x14ac:dyDescent="0.25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 x14ac:dyDescent="0.25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 x14ac:dyDescent="0.25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L113"/>
  <sheetViews>
    <sheetView showGridLines="0" tabSelected="1" workbookViewId="0"/>
  </sheetViews>
  <sheetFormatPr defaultRowHeight="15" x14ac:dyDescent="0.25"/>
  <cols>
    <col min="2" max="2" width="2.7109375" customWidth="1"/>
    <col min="3" max="3" width="20.425781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2.7109375" customWidth="1"/>
    <col min="14" max="15" width="15.7109375" customWidth="1"/>
  </cols>
  <sheetData>
    <row r="2" spans="2:12" x14ac:dyDescent="0.25">
      <c r="B2" t="s">
        <v>150</v>
      </c>
    </row>
    <row r="3" spans="2:12" x14ac:dyDescent="0.25">
      <c r="B3" t="s">
        <v>151</v>
      </c>
    </row>
    <row r="6" spans="2:12" x14ac:dyDescent="0.25">
      <c r="B6" s="56" t="s">
        <v>93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64" t="s">
        <v>93</v>
      </c>
      <c r="D8" s="113" t="str">
        <f ca="1">IF(AND(NOW(),LEFT('OIS Curve'!D7,3)="OIS"),_xll.mirSetUpSwapCurve(STDCurve.CollectionName,STDCurve.StaticDataTable,STDCurve.Buildproperties,MoneyMarket.Conventions,Libor.Conventions,Libor.MarketData,Swap.Conventions,Swap.MarketData,FRA.Conventions,FRA.MarketDataX3,FRA.MarketDataX6,Futures.Conventions,Futures.MarketData,,,STDCurve.IndexName),"Please build the OIS Curve")</f>
        <v>STD Swap Curve has been set (0.01600 sec)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12" t="s">
        <v>154</v>
      </c>
      <c r="D9" s="60"/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90</v>
      </c>
      <c r="D13" s="107" t="s">
        <v>81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89</v>
      </c>
      <c r="D14" s="108" t="s">
        <v>94</v>
      </c>
      <c r="E14" s="7" t="s">
        <v>82</v>
      </c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91</v>
      </c>
      <c r="D15" s="110" t="s">
        <v>95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83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7">
        <v>42419</v>
      </c>
      <c r="E22" s="7"/>
      <c r="F22" s="14" t="s">
        <v>84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8" t="s">
        <v>17</v>
      </c>
      <c r="E23" s="7"/>
      <c r="F23" s="17" t="s">
        <v>85</v>
      </c>
      <c r="G23" s="18"/>
      <c r="H23" s="7"/>
      <c r="I23" s="7"/>
      <c r="J23" s="7"/>
      <c r="K23" s="7"/>
      <c r="L23" s="8"/>
    </row>
    <row r="24" spans="2:12" x14ac:dyDescent="0.25">
      <c r="B24" s="5"/>
      <c r="C24" s="28" t="s">
        <v>96</v>
      </c>
      <c r="D24" s="109" t="s">
        <v>86</v>
      </c>
      <c r="E24" s="7"/>
      <c r="F24" s="17" t="s">
        <v>86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97</v>
      </c>
      <c r="D25" s="109" t="s">
        <v>86</v>
      </c>
      <c r="E25" s="7"/>
      <c r="F25" s="17" t="s">
        <v>87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24</v>
      </c>
      <c r="D26" s="109" t="s">
        <v>86</v>
      </c>
      <c r="E26" s="7"/>
      <c r="F26" s="17" t="s">
        <v>88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99</v>
      </c>
      <c r="D27" s="108" t="b">
        <v>1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98</v>
      </c>
      <c r="D28" s="108" t="b">
        <v>0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27</v>
      </c>
      <c r="D29" s="108" t="s">
        <v>136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 t="s">
        <v>100</v>
      </c>
      <c r="D30" s="108" t="s">
        <v>9</v>
      </c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101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102</v>
      </c>
      <c r="D37" s="10"/>
      <c r="E37" s="10"/>
      <c r="F37" s="49" t="s">
        <v>109</v>
      </c>
      <c r="G37" s="10"/>
      <c r="H37" s="10"/>
      <c r="I37" s="49" t="s">
        <v>147</v>
      </c>
      <c r="J37" s="10"/>
      <c r="K37" s="10"/>
      <c r="L37" s="55"/>
    </row>
    <row r="38" spans="2:12" x14ac:dyDescent="0.25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8" t="s">
        <v>11</v>
      </c>
      <c r="J38" s="78" t="s">
        <v>12</v>
      </c>
      <c r="K38" s="78"/>
      <c r="L38" s="55"/>
    </row>
    <row r="39" spans="2:12" x14ac:dyDescent="0.25">
      <c r="B39" s="5"/>
      <c r="C39" s="28" t="s">
        <v>103</v>
      </c>
      <c r="D39" s="35" t="s">
        <v>6</v>
      </c>
      <c r="E39" s="9"/>
      <c r="F39" s="30" t="s">
        <v>18</v>
      </c>
      <c r="G39" s="69" t="s">
        <v>6</v>
      </c>
      <c r="H39" s="10"/>
      <c r="I39" s="71" t="s">
        <v>155</v>
      </c>
      <c r="J39" s="75">
        <v>-2.8E-3</v>
      </c>
      <c r="K39" s="78"/>
      <c r="L39" s="55"/>
    </row>
    <row r="40" spans="2:12" x14ac:dyDescent="0.25">
      <c r="B40" s="5"/>
      <c r="C40" s="28" t="s">
        <v>104</v>
      </c>
      <c r="D40" s="35" t="s">
        <v>105</v>
      </c>
      <c r="E40" s="9"/>
      <c r="F40" s="29" t="s">
        <v>27</v>
      </c>
      <c r="G40" s="35" t="s">
        <v>106</v>
      </c>
      <c r="H40" s="10"/>
      <c r="I40" s="72" t="s">
        <v>153</v>
      </c>
      <c r="J40" s="76">
        <v>-2.2000000000000001E-3</v>
      </c>
      <c r="K40" s="78"/>
      <c r="L40" s="55"/>
    </row>
    <row r="41" spans="2:12" x14ac:dyDescent="0.25">
      <c r="B41" s="5"/>
      <c r="C41" s="28"/>
      <c r="D41" s="35"/>
      <c r="E41" s="9"/>
      <c r="F41" s="29" t="s">
        <v>107</v>
      </c>
      <c r="G41" s="69">
        <v>2</v>
      </c>
      <c r="H41" s="10"/>
      <c r="I41" s="72" t="s">
        <v>110</v>
      </c>
      <c r="J41" s="76">
        <v>-1.31E-3</v>
      </c>
      <c r="K41" s="78"/>
      <c r="L41" s="55"/>
    </row>
    <row r="42" spans="2:12" x14ac:dyDescent="0.25">
      <c r="B42" s="5"/>
      <c r="C42" s="28"/>
      <c r="D42" s="35"/>
      <c r="E42" s="9"/>
      <c r="F42" s="29" t="s">
        <v>21</v>
      </c>
      <c r="G42" s="69" t="s">
        <v>22</v>
      </c>
      <c r="H42" s="10"/>
      <c r="I42" s="72" t="s">
        <v>57</v>
      </c>
      <c r="J42" s="76">
        <v>-1E-4</v>
      </c>
      <c r="K42" s="78"/>
      <c r="L42" s="55"/>
    </row>
    <row r="43" spans="2:12" x14ac:dyDescent="0.25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156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111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112</v>
      </c>
      <c r="D50" s="10"/>
      <c r="E50" s="10"/>
      <c r="F50" s="49" t="s">
        <v>148</v>
      </c>
      <c r="G50" s="10"/>
      <c r="H50" s="10"/>
      <c r="I50" s="49" t="s">
        <v>149</v>
      </c>
      <c r="J50" s="10"/>
      <c r="K50" s="10"/>
      <c r="L50" s="55"/>
    </row>
    <row r="51" spans="2:12" x14ac:dyDescent="0.25">
      <c r="B51" s="5"/>
      <c r="C51" s="27" t="s">
        <v>1</v>
      </c>
      <c r="D51" s="34" t="s">
        <v>2</v>
      </c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 x14ac:dyDescent="0.25">
      <c r="B52" s="5"/>
      <c r="C52" s="28" t="s">
        <v>103</v>
      </c>
      <c r="D52" s="35" t="s">
        <v>6</v>
      </c>
      <c r="E52" s="9"/>
      <c r="F52" s="71"/>
      <c r="G52" s="75"/>
      <c r="H52" s="10"/>
      <c r="I52" s="71" t="s">
        <v>116</v>
      </c>
      <c r="J52" s="75">
        <v>-1.2900000000000001E-3</v>
      </c>
      <c r="K52" s="78"/>
      <c r="L52" s="55"/>
    </row>
    <row r="53" spans="2:12" x14ac:dyDescent="0.25">
      <c r="B53" s="5"/>
      <c r="C53" s="28" t="s">
        <v>113</v>
      </c>
      <c r="D53" s="35">
        <v>2</v>
      </c>
      <c r="E53" s="9"/>
      <c r="F53" s="72"/>
      <c r="G53" s="76"/>
      <c r="H53" s="10"/>
      <c r="I53" s="72" t="s">
        <v>117</v>
      </c>
      <c r="J53" s="76">
        <v>-1.2900000000000001E-3</v>
      </c>
      <c r="K53" s="78"/>
      <c r="L53" s="55"/>
    </row>
    <row r="54" spans="2:12" x14ac:dyDescent="0.25">
      <c r="B54" s="5"/>
      <c r="C54" s="28" t="s">
        <v>21</v>
      </c>
      <c r="D54" s="68" t="s">
        <v>22</v>
      </c>
      <c r="E54" s="9"/>
      <c r="F54" s="72"/>
      <c r="G54" s="76"/>
      <c r="H54" s="10"/>
      <c r="I54" s="72" t="s">
        <v>118</v>
      </c>
      <c r="J54" s="76">
        <v>-1.33E-3</v>
      </c>
      <c r="K54" s="78"/>
      <c r="L54" s="55"/>
    </row>
    <row r="55" spans="2:12" x14ac:dyDescent="0.25">
      <c r="B55" s="5"/>
      <c r="C55" s="28" t="s">
        <v>108</v>
      </c>
      <c r="D55" s="35" t="b">
        <v>0</v>
      </c>
      <c r="E55" s="9"/>
      <c r="F55" s="72"/>
      <c r="G55" s="76"/>
      <c r="H55" s="10"/>
      <c r="I55" s="72" t="s">
        <v>119</v>
      </c>
      <c r="J55" s="76">
        <v>-1.3900000000000002E-3</v>
      </c>
      <c r="K55" s="78"/>
      <c r="L55" s="55"/>
    </row>
    <row r="56" spans="2:12" x14ac:dyDescent="0.25">
      <c r="B56" s="5"/>
      <c r="C56" s="28" t="s">
        <v>114</v>
      </c>
      <c r="D56" s="35" t="b">
        <v>1</v>
      </c>
      <c r="E56" s="9"/>
      <c r="F56" s="72"/>
      <c r="G56" s="76"/>
      <c r="H56" s="10"/>
      <c r="I56" s="72" t="s">
        <v>120</v>
      </c>
      <c r="J56" s="76">
        <v>-1.4399999999999999E-3</v>
      </c>
      <c r="K56" s="78"/>
      <c r="L56" s="55"/>
    </row>
    <row r="57" spans="2:12" x14ac:dyDescent="0.25">
      <c r="B57" s="5"/>
      <c r="C57" s="28" t="s">
        <v>115</v>
      </c>
      <c r="D57" s="35">
        <v>2</v>
      </c>
      <c r="E57" s="9"/>
      <c r="F57" s="72"/>
      <c r="G57" s="76"/>
      <c r="H57" s="10"/>
      <c r="I57" s="72" t="s">
        <v>121</v>
      </c>
      <c r="J57" s="76">
        <v>-1.4399999999999999E-3</v>
      </c>
      <c r="K57" s="78"/>
      <c r="L57" s="55"/>
    </row>
    <row r="58" spans="2:12" x14ac:dyDescent="0.25">
      <c r="B58" s="5"/>
      <c r="C58" s="28"/>
      <c r="D58" s="35"/>
      <c r="E58" s="9"/>
      <c r="F58" s="72"/>
      <c r="G58" s="76"/>
      <c r="H58" s="10"/>
      <c r="I58" s="72" t="s">
        <v>122</v>
      </c>
      <c r="J58" s="76">
        <v>-1.4599999999999999E-3</v>
      </c>
      <c r="K58" s="78"/>
      <c r="L58" s="55"/>
    </row>
    <row r="59" spans="2:12" x14ac:dyDescent="0.25">
      <c r="B59" s="5"/>
      <c r="C59" s="28"/>
      <c r="D59" s="35"/>
      <c r="E59" s="9"/>
      <c r="F59" s="72"/>
      <c r="G59" s="76"/>
      <c r="H59" s="10"/>
      <c r="I59" s="72" t="s">
        <v>123</v>
      </c>
      <c r="J59" s="76">
        <v>-1.47E-3</v>
      </c>
      <c r="K59" s="78"/>
      <c r="L59" s="55"/>
    </row>
    <row r="60" spans="2:12" x14ac:dyDescent="0.25">
      <c r="B60" s="5"/>
      <c r="C60" s="28"/>
      <c r="D60" s="35"/>
      <c r="E60" s="9"/>
      <c r="F60" s="72"/>
      <c r="G60" s="76"/>
      <c r="H60" s="10"/>
      <c r="I60" s="72" t="s">
        <v>124</v>
      </c>
      <c r="J60" s="76">
        <v>-1.4599999999999999E-3</v>
      </c>
      <c r="K60" s="78"/>
      <c r="L60" s="55"/>
    </row>
    <row r="61" spans="2:12" x14ac:dyDescent="0.25">
      <c r="B61" s="5"/>
      <c r="C61" s="28"/>
      <c r="D61" s="35"/>
      <c r="E61" s="9"/>
      <c r="F61" s="72"/>
      <c r="G61" s="76"/>
      <c r="H61" s="10"/>
      <c r="I61" s="72" t="s">
        <v>125</v>
      </c>
      <c r="J61" s="76">
        <v>-1.4299999999999998E-3</v>
      </c>
      <c r="K61" s="78"/>
      <c r="L61" s="55"/>
    </row>
    <row r="62" spans="2:12" x14ac:dyDescent="0.25">
      <c r="B62" s="5"/>
      <c r="C62" s="28"/>
      <c r="D62" s="35"/>
      <c r="E62" s="9"/>
      <c r="F62" s="72"/>
      <c r="G62" s="76"/>
      <c r="H62" s="10"/>
      <c r="I62" s="72" t="s">
        <v>126</v>
      </c>
      <c r="J62" s="76">
        <v>-1.4099999999999998E-3</v>
      </c>
      <c r="K62" s="78"/>
      <c r="L62" s="55"/>
    </row>
    <row r="63" spans="2:12" x14ac:dyDescent="0.25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 x14ac:dyDescent="0.25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127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128</v>
      </c>
      <c r="D71" s="10"/>
      <c r="E71" s="10"/>
      <c r="F71" s="49" t="s">
        <v>130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/>
      <c r="D72" s="34"/>
      <c r="E72" s="7"/>
      <c r="F72" s="97" t="s">
        <v>152</v>
      </c>
      <c r="G72" s="97" t="s">
        <v>13</v>
      </c>
      <c r="H72" s="97" t="s">
        <v>14</v>
      </c>
      <c r="I72" s="97" t="s">
        <v>12</v>
      </c>
      <c r="J72" s="97" t="s">
        <v>129</v>
      </c>
      <c r="K72" s="10"/>
      <c r="L72" s="55"/>
    </row>
    <row r="73" spans="2:12" x14ac:dyDescent="0.25">
      <c r="B73" s="5"/>
      <c r="C73" s="28"/>
      <c r="D73" s="35"/>
      <c r="E73" s="9"/>
      <c r="F73" s="79"/>
      <c r="G73" s="80"/>
      <c r="H73" s="80"/>
      <c r="I73" s="81"/>
      <c r="J73" s="82"/>
      <c r="K73" s="10"/>
      <c r="L73" s="55"/>
    </row>
    <row r="74" spans="2:12" x14ac:dyDescent="0.25">
      <c r="B74" s="5"/>
      <c r="C74" s="28"/>
      <c r="D74" s="35"/>
      <c r="E74" s="9"/>
      <c r="F74" s="83"/>
      <c r="G74" s="80"/>
      <c r="H74" s="80"/>
      <c r="I74" s="81"/>
      <c r="J74" s="82"/>
      <c r="K74" s="10"/>
      <c r="L74" s="55"/>
    </row>
    <row r="75" spans="2:12" x14ac:dyDescent="0.25">
      <c r="B75" s="5"/>
      <c r="C75" s="28"/>
      <c r="D75" s="105"/>
      <c r="E75" s="9"/>
      <c r="F75" s="84"/>
      <c r="G75" s="85"/>
      <c r="H75" s="85"/>
      <c r="I75" s="86"/>
      <c r="J75" s="87"/>
      <c r="K75" s="10"/>
      <c r="L75" s="55"/>
    </row>
    <row r="76" spans="2:12" x14ac:dyDescent="0.25">
      <c r="B76" s="5"/>
      <c r="C76" s="28"/>
      <c r="D76" s="74"/>
      <c r="E76" s="9"/>
      <c r="F76" s="84"/>
      <c r="G76" s="85"/>
      <c r="H76" s="85"/>
      <c r="I76" s="86"/>
      <c r="J76" s="87"/>
      <c r="K76" s="10"/>
      <c r="L76" s="55"/>
    </row>
    <row r="77" spans="2:12" x14ac:dyDescent="0.25">
      <c r="B77" s="5"/>
      <c r="C77" s="28"/>
      <c r="D77" s="35"/>
      <c r="E77" s="9"/>
      <c r="F77" s="84"/>
      <c r="G77" s="85"/>
      <c r="H77" s="85"/>
      <c r="I77" s="86"/>
      <c r="J77" s="87"/>
      <c r="K77" s="10"/>
      <c r="L77" s="55"/>
    </row>
    <row r="78" spans="2:12" x14ac:dyDescent="0.25">
      <c r="B78" s="5"/>
      <c r="C78" s="28"/>
      <c r="D78" s="35"/>
      <c r="E78" s="9"/>
      <c r="F78" s="84"/>
      <c r="G78" s="85"/>
      <c r="H78" s="85"/>
      <c r="I78" s="86"/>
      <c r="J78" s="87"/>
      <c r="K78" s="10"/>
      <c r="L78" s="55"/>
    </row>
    <row r="79" spans="2:12" x14ac:dyDescent="0.25">
      <c r="B79" s="5"/>
      <c r="C79" s="28"/>
      <c r="D79" s="35"/>
      <c r="E79" s="9"/>
      <c r="F79" s="84"/>
      <c r="G79" s="85"/>
      <c r="H79" s="85"/>
      <c r="I79" s="86"/>
      <c r="J79" s="87"/>
      <c r="K79" s="10"/>
      <c r="L79" s="55"/>
    </row>
    <row r="80" spans="2:12" x14ac:dyDescent="0.25">
      <c r="B80" s="5"/>
      <c r="C80" s="28"/>
      <c r="D80" s="35"/>
      <c r="E80" s="9"/>
      <c r="F80" s="84"/>
      <c r="G80" s="85"/>
      <c r="H80" s="85"/>
      <c r="I80" s="86"/>
      <c r="J80" s="87"/>
      <c r="K80" s="10"/>
      <c r="L80" s="55"/>
    </row>
    <row r="81" spans="2:12" x14ac:dyDescent="0.25">
      <c r="B81" s="5"/>
      <c r="C81" s="28"/>
      <c r="D81" s="35"/>
      <c r="E81" s="9"/>
      <c r="F81" s="84"/>
      <c r="G81" s="85"/>
      <c r="H81" s="85"/>
      <c r="I81" s="86"/>
      <c r="J81" s="87"/>
      <c r="K81" s="10"/>
      <c r="L81" s="55"/>
    </row>
    <row r="82" spans="2:12" x14ac:dyDescent="0.25">
      <c r="B82" s="5"/>
      <c r="C82" s="28"/>
      <c r="D82" s="35"/>
      <c r="E82" s="9"/>
      <c r="F82" s="88"/>
      <c r="G82" s="85"/>
      <c r="H82" s="85"/>
      <c r="I82" s="89"/>
      <c r="J82" s="87"/>
      <c r="K82" s="10"/>
      <c r="L82" s="55"/>
    </row>
    <row r="83" spans="2:12" x14ac:dyDescent="0.25">
      <c r="B83" s="5"/>
      <c r="C83" s="28"/>
      <c r="D83" s="35"/>
      <c r="E83" s="9"/>
      <c r="F83" s="90"/>
      <c r="G83" s="91"/>
      <c r="H83" s="91"/>
      <c r="I83" s="89"/>
      <c r="J83" s="92"/>
      <c r="K83" s="10"/>
      <c r="L83" s="55"/>
    </row>
    <row r="84" spans="2:12" x14ac:dyDescent="0.25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 x14ac:dyDescent="0.25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131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132</v>
      </c>
      <c r="D92" s="10"/>
      <c r="E92" s="10"/>
      <c r="F92" s="49" t="s">
        <v>133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2" t="s">
        <v>1</v>
      </c>
      <c r="D93" s="34" t="s">
        <v>2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 x14ac:dyDescent="0.25">
      <c r="B94" s="5"/>
      <c r="C94" s="103" t="s">
        <v>103</v>
      </c>
      <c r="D94" s="35" t="s">
        <v>20</v>
      </c>
      <c r="E94" s="9"/>
      <c r="F94" s="101" t="s">
        <v>47</v>
      </c>
      <c r="G94" s="98">
        <v>-1.33E-3</v>
      </c>
      <c r="H94" s="75" t="b">
        <v>1</v>
      </c>
      <c r="I94" s="10"/>
      <c r="J94" s="10"/>
      <c r="K94" s="10"/>
      <c r="L94" s="55"/>
    </row>
    <row r="95" spans="2:12" x14ac:dyDescent="0.25">
      <c r="B95" s="5"/>
      <c r="C95" s="103" t="s">
        <v>134</v>
      </c>
      <c r="D95" s="35" t="s">
        <v>20</v>
      </c>
      <c r="E95" s="9"/>
      <c r="F95" s="24" t="s">
        <v>43</v>
      </c>
      <c r="G95" s="99">
        <v>-8.699999999999999E-4</v>
      </c>
      <c r="H95" s="76" t="b">
        <v>1</v>
      </c>
      <c r="I95" s="10"/>
      <c r="J95" s="10"/>
      <c r="K95" s="10"/>
      <c r="L95" s="55"/>
    </row>
    <row r="96" spans="2:12" x14ac:dyDescent="0.25">
      <c r="B96" s="5"/>
      <c r="C96" s="103" t="s">
        <v>135</v>
      </c>
      <c r="D96" s="35" t="s">
        <v>6</v>
      </c>
      <c r="E96" s="9"/>
      <c r="F96" s="24" t="s">
        <v>50</v>
      </c>
      <c r="G96" s="99">
        <v>-8.0000000000000007E-5</v>
      </c>
      <c r="H96" s="76" t="b">
        <v>1</v>
      </c>
      <c r="I96" s="10"/>
      <c r="J96" s="10"/>
      <c r="K96" s="10"/>
      <c r="L96" s="55"/>
    </row>
    <row r="97" spans="2:12" x14ac:dyDescent="0.25">
      <c r="B97" s="5"/>
      <c r="C97" s="103" t="s">
        <v>27</v>
      </c>
      <c r="D97" s="35" t="s">
        <v>26</v>
      </c>
      <c r="E97" s="9"/>
      <c r="F97" s="24" t="s">
        <v>52</v>
      </c>
      <c r="G97" s="99">
        <v>9.2999999999999995E-4</v>
      </c>
      <c r="H97" s="76" t="b">
        <v>1</v>
      </c>
      <c r="I97" s="10"/>
      <c r="J97" s="10"/>
      <c r="K97" s="10"/>
      <c r="L97" s="55"/>
    </row>
    <row r="98" spans="2:12" x14ac:dyDescent="0.25">
      <c r="B98" s="5"/>
      <c r="C98" s="103" t="s">
        <v>137</v>
      </c>
      <c r="D98" s="35" t="s">
        <v>136</v>
      </c>
      <c r="E98" s="9"/>
      <c r="F98" s="24" t="s">
        <v>54</v>
      </c>
      <c r="G98" s="99">
        <v>2.0200000000000001E-3</v>
      </c>
      <c r="H98" s="76" t="b">
        <v>1</v>
      </c>
      <c r="I98" s="10"/>
      <c r="J98" s="10"/>
      <c r="K98" s="10"/>
      <c r="L98" s="55"/>
    </row>
    <row r="99" spans="2:12" x14ac:dyDescent="0.25">
      <c r="B99" s="5"/>
      <c r="C99" s="103" t="s">
        <v>138</v>
      </c>
      <c r="D99" s="111" t="s">
        <v>86</v>
      </c>
      <c r="E99" s="9"/>
      <c r="F99" s="24" t="s">
        <v>56</v>
      </c>
      <c r="G99" s="99">
        <v>3.2100000000000002E-3</v>
      </c>
      <c r="H99" s="76" t="b">
        <v>1</v>
      </c>
      <c r="I99" s="10"/>
      <c r="J99" s="10"/>
      <c r="K99" s="10"/>
      <c r="L99" s="55"/>
    </row>
    <row r="100" spans="2:12" x14ac:dyDescent="0.25">
      <c r="B100" s="5"/>
      <c r="C100" s="103" t="s">
        <v>108</v>
      </c>
      <c r="D100" s="35" t="b">
        <v>0</v>
      </c>
      <c r="E100" s="9"/>
      <c r="F100" s="24" t="s">
        <v>58</v>
      </c>
      <c r="G100" s="99">
        <v>4.4400000000000004E-3</v>
      </c>
      <c r="H100" s="76" t="b">
        <v>1</v>
      </c>
      <c r="I100" s="10"/>
      <c r="J100" s="10"/>
      <c r="K100" s="10"/>
      <c r="L100" s="55"/>
    </row>
    <row r="101" spans="2:12" x14ac:dyDescent="0.25">
      <c r="B101" s="5"/>
      <c r="C101" s="103" t="s">
        <v>107</v>
      </c>
      <c r="D101" s="35">
        <v>2</v>
      </c>
      <c r="E101" s="9"/>
      <c r="F101" s="24" t="s">
        <v>60</v>
      </c>
      <c r="G101" s="99">
        <v>5.6100000000000004E-3</v>
      </c>
      <c r="H101" s="76" t="b">
        <v>1</v>
      </c>
      <c r="I101" s="10"/>
      <c r="J101" s="10"/>
      <c r="K101" s="10"/>
      <c r="L101" s="55"/>
    </row>
    <row r="102" spans="2:12" x14ac:dyDescent="0.25">
      <c r="B102" s="5"/>
      <c r="C102" s="103" t="s">
        <v>21</v>
      </c>
      <c r="D102" s="68" t="s">
        <v>22</v>
      </c>
      <c r="E102" s="9"/>
      <c r="F102" s="24" t="s">
        <v>61</v>
      </c>
      <c r="G102" s="99">
        <v>6.6700000000000006E-3</v>
      </c>
      <c r="H102" s="76" t="b">
        <v>1</v>
      </c>
      <c r="I102" s="10"/>
      <c r="J102" s="10"/>
      <c r="K102" s="10"/>
      <c r="L102" s="55"/>
    </row>
    <row r="103" spans="2:12" x14ac:dyDescent="0.25">
      <c r="B103" s="5"/>
      <c r="C103" s="103" t="s">
        <v>139</v>
      </c>
      <c r="D103" s="35" t="b">
        <v>1</v>
      </c>
      <c r="E103" s="9"/>
      <c r="F103" s="24" t="s">
        <v>62</v>
      </c>
      <c r="G103" s="99">
        <v>7.6300000000000005E-3</v>
      </c>
      <c r="H103" s="76" t="b">
        <v>1</v>
      </c>
      <c r="I103" s="10"/>
      <c r="J103" s="10"/>
      <c r="K103" s="10"/>
      <c r="L103" s="55"/>
    </row>
    <row r="104" spans="2:12" x14ac:dyDescent="0.25">
      <c r="B104" s="5"/>
      <c r="C104" s="103" t="s">
        <v>140</v>
      </c>
      <c r="D104" s="35" t="b">
        <v>1</v>
      </c>
      <c r="E104" s="9"/>
      <c r="F104" s="24" t="s">
        <v>63</v>
      </c>
      <c r="G104" s="99">
        <v>8.4700000000000001E-3</v>
      </c>
      <c r="H104" s="76" t="b">
        <v>1</v>
      </c>
      <c r="I104" s="10"/>
      <c r="J104" s="10"/>
      <c r="K104" s="10"/>
      <c r="L104" s="55"/>
    </row>
    <row r="105" spans="2:12" x14ac:dyDescent="0.25">
      <c r="B105" s="5"/>
      <c r="C105" s="103" t="s">
        <v>141</v>
      </c>
      <c r="D105" s="35" t="s">
        <v>142</v>
      </c>
      <c r="E105" s="9"/>
      <c r="F105" s="24" t="s">
        <v>64</v>
      </c>
      <c r="G105" s="99">
        <v>1.03E-2</v>
      </c>
      <c r="H105" s="76" t="b">
        <v>1</v>
      </c>
      <c r="I105" s="10"/>
      <c r="J105" s="10"/>
      <c r="K105" s="10"/>
      <c r="L105" s="55"/>
    </row>
    <row r="106" spans="2:12" x14ac:dyDescent="0.25">
      <c r="B106" s="5"/>
      <c r="C106" s="103" t="s">
        <v>143</v>
      </c>
      <c r="D106" s="38">
        <v>1.0000000000000001E-9</v>
      </c>
      <c r="E106" s="9"/>
      <c r="F106" s="24" t="s">
        <v>65</v>
      </c>
      <c r="G106" s="99">
        <v>1.1659999999999998E-2</v>
      </c>
      <c r="H106" s="76" t="b">
        <v>1</v>
      </c>
      <c r="I106" s="10"/>
      <c r="J106" s="10"/>
      <c r="K106" s="10"/>
      <c r="L106" s="55"/>
    </row>
    <row r="107" spans="2:12" x14ac:dyDescent="0.25">
      <c r="B107" s="5"/>
      <c r="C107" s="103" t="s">
        <v>144</v>
      </c>
      <c r="D107" s="38">
        <v>1.0000000000000001E-15</v>
      </c>
      <c r="E107" s="9"/>
      <c r="F107" s="24" t="s">
        <v>66</v>
      </c>
      <c r="G107" s="99">
        <v>1.201E-2</v>
      </c>
      <c r="H107" s="76" t="b">
        <v>1</v>
      </c>
      <c r="I107" s="10"/>
      <c r="J107" s="10"/>
      <c r="K107" s="10"/>
      <c r="L107" s="55"/>
    </row>
    <row r="108" spans="2:12" x14ac:dyDescent="0.25">
      <c r="B108" s="5"/>
      <c r="C108" s="103" t="s">
        <v>145</v>
      </c>
      <c r="D108" s="38">
        <v>1E-10</v>
      </c>
      <c r="E108" s="9"/>
      <c r="F108" s="24" t="s">
        <v>67</v>
      </c>
      <c r="G108" s="99">
        <v>1.204E-2</v>
      </c>
      <c r="H108" s="76" t="b">
        <v>1</v>
      </c>
      <c r="I108" s="10"/>
      <c r="J108" s="10"/>
      <c r="K108" s="10"/>
      <c r="L108" s="55"/>
    </row>
    <row r="109" spans="2:12" x14ac:dyDescent="0.25">
      <c r="B109" s="5"/>
      <c r="C109" s="103" t="s">
        <v>146</v>
      </c>
      <c r="D109" s="106">
        <v>1000</v>
      </c>
      <c r="E109" s="9"/>
      <c r="F109" s="24" t="s">
        <v>68</v>
      </c>
      <c r="G109" s="99">
        <v>1.1859999999999999E-2</v>
      </c>
      <c r="H109" s="76" t="b">
        <v>1</v>
      </c>
      <c r="I109" s="10"/>
      <c r="J109" s="10"/>
      <c r="K109" s="10"/>
      <c r="L109" s="55"/>
    </row>
    <row r="110" spans="2:12" x14ac:dyDescent="0.25">
      <c r="B110" s="5"/>
      <c r="C110" s="103"/>
      <c r="D110" s="35"/>
      <c r="E110" s="9"/>
      <c r="F110" s="24" t="s">
        <v>69</v>
      </c>
      <c r="G110" s="99">
        <v>1.1200000000000002E-2</v>
      </c>
      <c r="H110" s="76" t="b">
        <v>1</v>
      </c>
      <c r="I110" s="10"/>
      <c r="J110" s="10"/>
      <c r="K110" s="10"/>
      <c r="L110" s="55"/>
    </row>
    <row r="111" spans="2:12" x14ac:dyDescent="0.25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D99 D24:D26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25</vt:i4>
      </vt:variant>
    </vt:vector>
  </HeadingPairs>
  <TitlesOfParts>
    <vt:vector size="27" baseType="lpstr">
      <vt:lpstr>OIS Curve</vt:lpstr>
      <vt:lpstr>Swap Curve</vt:lpstr>
      <vt:lpstr>Curve.BuildProperties</vt:lpstr>
      <vt:lpstr>Curve.CollectionName</vt:lpstr>
      <vt:lpstr>Curve.MarketDataTable</vt:lpstr>
      <vt:lpstr>Curve.OISIndexName</vt:lpstr>
      <vt:lpstr>FRA.Conventions</vt:lpstr>
      <vt:lpstr>FRA.MarketDataX3</vt:lpstr>
      <vt:lpstr>FRA.MarketDataX6</vt:lpstr>
      <vt:lpstr>Futures.Conventions</vt:lpstr>
      <vt:lpstr>Futures.MarketData</vt:lpstr>
      <vt:lpstr>Libor.Conventions</vt:lpstr>
      <vt:lpstr>Libor.MarketData</vt:lpstr>
      <vt:lpstr>LiborOISBasis.Conventions</vt:lpstr>
      <vt:lpstr>LiborOISBasis.MarketData</vt:lpstr>
      <vt:lpstr>LiborSwap.Conventions</vt:lpstr>
      <vt:lpstr>LiborSwap.MarketData</vt:lpstr>
      <vt:lpstr>MoneyMarket.Conventions</vt:lpstr>
      <vt:lpstr>OIS.Conventions</vt:lpstr>
      <vt:lpstr>OIS.FixingTable</vt:lpstr>
      <vt:lpstr>OIS.MarketData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2016-03-16T10:59:31Z</dcterms:modified>
</cp:coreProperties>
</file>