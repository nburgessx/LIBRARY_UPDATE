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4115"/>
  </bookViews>
  <sheets>
    <sheet name="Sheet1" sheetId="1" r:id="rId1"/>
    <sheet name="Sheet2" sheetId="2" r:id="rId2"/>
    <sheet name="Sheet3" sheetId="3" r:id="rId3"/>
  </sheets>
  <calcPr calcId="145621" calcMode="manual" calcCompleted="0" calcOnSave="0" concurrentCalc="0"/>
</workbook>
</file>

<file path=xl/calcChain.xml><?xml version="1.0" encoding="utf-8"?>
<calcChain xmlns="http://schemas.openxmlformats.org/spreadsheetml/2006/main">
  <c r="E50" i="1" l="1"/>
  <c r="D50" i="1"/>
  <c r="E49" i="1"/>
  <c r="Q49" i="1"/>
  <c r="D49" i="1"/>
  <c r="P49" i="1"/>
  <c r="E48" i="1"/>
  <c r="Q48" i="1"/>
  <c r="D48" i="1"/>
  <c r="P48" i="1"/>
  <c r="E47" i="1"/>
  <c r="Q47" i="1"/>
  <c r="D47" i="1"/>
  <c r="P47" i="1"/>
  <c r="E46" i="1"/>
  <c r="Q46" i="1"/>
  <c r="D46" i="1"/>
  <c r="P46" i="1"/>
  <c r="E45" i="1"/>
  <c r="Q45" i="1"/>
  <c r="D45" i="1"/>
  <c r="P45" i="1"/>
  <c r="E44" i="1"/>
  <c r="Q44" i="1"/>
  <c r="D44" i="1"/>
  <c r="P44" i="1"/>
  <c r="E43" i="1"/>
  <c r="Q43" i="1"/>
  <c r="D43" i="1"/>
  <c r="P43" i="1"/>
  <c r="E42" i="1"/>
  <c r="Q42" i="1"/>
  <c r="D42" i="1"/>
  <c r="P42" i="1"/>
  <c r="E41" i="1"/>
  <c r="Q41" i="1"/>
  <c r="D41" i="1"/>
  <c r="P41" i="1"/>
  <c r="E40" i="1"/>
  <c r="Q40" i="1"/>
  <c r="D40" i="1"/>
  <c r="P40" i="1"/>
  <c r="E39" i="1"/>
  <c r="Q39" i="1"/>
  <c r="D39" i="1"/>
  <c r="P39" i="1"/>
  <c r="E38" i="1"/>
  <c r="Q38" i="1"/>
  <c r="D38" i="1"/>
  <c r="P38" i="1"/>
  <c r="E37" i="1"/>
  <c r="Q37" i="1"/>
  <c r="D37" i="1"/>
  <c r="P37" i="1"/>
  <c r="E36" i="1"/>
  <c r="Q36" i="1"/>
  <c r="D36" i="1"/>
  <c r="P36" i="1"/>
  <c r="E35" i="1"/>
  <c r="Q35" i="1"/>
  <c r="D35" i="1"/>
  <c r="P35" i="1"/>
  <c r="E34" i="1"/>
  <c r="Q34" i="1"/>
  <c r="D34" i="1"/>
  <c r="P34" i="1"/>
  <c r="E33" i="1"/>
  <c r="Q33" i="1"/>
  <c r="D33" i="1"/>
  <c r="P33" i="1"/>
  <c r="E32" i="1"/>
  <c r="Q32" i="1"/>
  <c r="D32" i="1"/>
  <c r="P32" i="1"/>
  <c r="E31" i="1"/>
  <c r="Q31" i="1"/>
  <c r="D31" i="1"/>
  <c r="P31" i="1"/>
  <c r="E30" i="1"/>
  <c r="Q30" i="1"/>
  <c r="D30" i="1"/>
  <c r="P30" i="1"/>
  <c r="E29" i="1"/>
  <c r="Q29" i="1"/>
  <c r="D29" i="1"/>
  <c r="P29" i="1"/>
  <c r="E28" i="1"/>
  <c r="Q28" i="1"/>
  <c r="D28" i="1"/>
  <c r="P28" i="1"/>
  <c r="E27" i="1"/>
  <c r="Q27" i="1"/>
  <c r="D27" i="1"/>
  <c r="P27" i="1"/>
  <c r="E26" i="1"/>
  <c r="Q26" i="1"/>
  <c r="D26" i="1"/>
  <c r="P26" i="1"/>
  <c r="E25" i="1"/>
  <c r="Q25" i="1"/>
  <c r="D25" i="1"/>
  <c r="P25" i="1"/>
  <c r="E24" i="1"/>
  <c r="Q24" i="1"/>
  <c r="D24" i="1"/>
  <c r="P24" i="1"/>
  <c r="E23" i="1"/>
  <c r="Q23" i="1"/>
  <c r="D23" i="1"/>
  <c r="P23" i="1"/>
  <c r="E22" i="1"/>
  <c r="Q22" i="1"/>
  <c r="D22" i="1"/>
  <c r="P22" i="1"/>
  <c r="E21" i="1"/>
  <c r="Q21" i="1"/>
  <c r="D21" i="1"/>
  <c r="P21" i="1"/>
  <c r="E20" i="1"/>
  <c r="Q20" i="1"/>
  <c r="D20" i="1"/>
  <c r="P20" i="1"/>
  <c r="E19" i="1"/>
  <c r="Q19" i="1"/>
  <c r="D19" i="1"/>
  <c r="P19" i="1"/>
  <c r="E18" i="1"/>
  <c r="Q18" i="1"/>
  <c r="D18" i="1"/>
  <c r="P18" i="1"/>
  <c r="E17" i="1"/>
  <c r="Q17" i="1"/>
  <c r="D17" i="1"/>
  <c r="P17" i="1"/>
  <c r="E16" i="1"/>
  <c r="Q16" i="1"/>
  <c r="D16" i="1"/>
  <c r="P16" i="1"/>
  <c r="E15" i="1"/>
  <c r="Q15" i="1"/>
  <c r="D15" i="1"/>
  <c r="P15" i="1"/>
  <c r="E14" i="1"/>
  <c r="Q14" i="1"/>
  <c r="D14" i="1"/>
  <c r="P14" i="1"/>
  <c r="E13" i="1"/>
  <c r="Q13" i="1"/>
  <c r="D13" i="1"/>
  <c r="P13" i="1"/>
  <c r="E12" i="1"/>
  <c r="Q12" i="1"/>
  <c r="D12" i="1"/>
  <c r="P12" i="1"/>
  <c r="E11" i="1"/>
  <c r="Q11" i="1"/>
  <c r="D11" i="1"/>
  <c r="P11" i="1"/>
  <c r="E10" i="1"/>
  <c r="Q10" i="1"/>
  <c r="D10" i="1"/>
  <c r="P10" i="1"/>
  <c r="E9" i="1"/>
  <c r="Q9" i="1"/>
  <c r="D9" i="1"/>
  <c r="P9" i="1"/>
  <c r="E8" i="1"/>
  <c r="Q8" i="1"/>
  <c r="D8" i="1"/>
  <c r="P8" i="1"/>
  <c r="E7" i="1"/>
  <c r="Q7" i="1"/>
  <c r="D7" i="1"/>
  <c r="P7" i="1"/>
  <c r="E6" i="1"/>
  <c r="Q6" i="1"/>
  <c r="D6" i="1"/>
  <c r="P6" i="1"/>
  <c r="E5" i="1"/>
  <c r="Q5" i="1"/>
  <c r="D5" i="1"/>
  <c r="P5" i="1"/>
  <c r="C50" i="1"/>
  <c r="C49" i="1"/>
  <c r="O49" i="1"/>
  <c r="C48" i="1"/>
  <c r="O48" i="1"/>
  <c r="C47" i="1"/>
  <c r="O47" i="1"/>
  <c r="C46" i="1"/>
  <c r="O46" i="1"/>
  <c r="C45" i="1"/>
  <c r="O45" i="1"/>
  <c r="C44" i="1"/>
  <c r="O44" i="1"/>
  <c r="C43" i="1"/>
  <c r="O43" i="1"/>
  <c r="C42" i="1"/>
  <c r="O42" i="1"/>
  <c r="C41" i="1"/>
  <c r="O41" i="1"/>
  <c r="C40" i="1"/>
  <c r="O40" i="1"/>
  <c r="C39" i="1"/>
  <c r="O39" i="1"/>
  <c r="C38" i="1"/>
  <c r="O38" i="1"/>
  <c r="C37" i="1"/>
  <c r="O37" i="1"/>
  <c r="C36" i="1"/>
  <c r="O36" i="1"/>
  <c r="C35" i="1"/>
  <c r="O35" i="1"/>
  <c r="C34" i="1"/>
  <c r="O34" i="1"/>
  <c r="C33" i="1"/>
  <c r="O33" i="1"/>
  <c r="C32" i="1"/>
  <c r="O32" i="1"/>
  <c r="C31" i="1"/>
  <c r="O31" i="1"/>
  <c r="C30" i="1"/>
  <c r="O30" i="1"/>
  <c r="C29" i="1"/>
  <c r="O29" i="1"/>
  <c r="C28" i="1"/>
  <c r="O28" i="1"/>
  <c r="C27" i="1"/>
  <c r="O27" i="1"/>
  <c r="C26" i="1"/>
  <c r="O26" i="1"/>
  <c r="C25" i="1"/>
  <c r="O25" i="1"/>
  <c r="C24" i="1"/>
  <c r="O24" i="1"/>
  <c r="C23" i="1"/>
  <c r="O23" i="1"/>
  <c r="C22" i="1"/>
  <c r="O22" i="1"/>
  <c r="C21" i="1"/>
  <c r="O21" i="1"/>
  <c r="C20" i="1"/>
  <c r="O20" i="1"/>
  <c r="C19" i="1"/>
  <c r="O19" i="1"/>
  <c r="C18" i="1"/>
  <c r="O18" i="1"/>
  <c r="C17" i="1"/>
  <c r="O17" i="1"/>
  <c r="C16" i="1"/>
  <c r="O16" i="1"/>
  <c r="C15" i="1"/>
  <c r="O15" i="1"/>
  <c r="C14" i="1"/>
  <c r="O14" i="1"/>
  <c r="C13" i="1"/>
  <c r="O13" i="1"/>
  <c r="C12" i="1"/>
  <c r="O12" i="1"/>
  <c r="C11" i="1"/>
  <c r="O11" i="1"/>
  <c r="C10" i="1"/>
  <c r="O10" i="1"/>
  <c r="C9" i="1"/>
  <c r="O9" i="1"/>
  <c r="C8" i="1"/>
  <c r="O8" i="1"/>
  <c r="C7" i="1"/>
  <c r="O7" i="1"/>
  <c r="C6" i="1"/>
  <c r="O6" i="1"/>
  <c r="C5" i="1"/>
  <c r="O5" i="1"/>
  <c r="AB16" i="1"/>
  <c r="AB17" i="1"/>
  <c r="AC17" i="1"/>
  <c r="AA15" i="1"/>
  <c r="AA17" i="1"/>
  <c r="AA16" i="1"/>
  <c r="U7" i="1"/>
  <c r="S16" i="1"/>
  <c r="S32" i="1"/>
  <c r="S48" i="1"/>
  <c r="U11" i="1"/>
  <c r="U19" i="1"/>
  <c r="U23" i="1"/>
  <c r="U27" i="1"/>
  <c r="U31" i="1"/>
  <c r="U35" i="1"/>
  <c r="U39" i="1"/>
  <c r="U43" i="1"/>
  <c r="S8" i="1"/>
  <c r="S24" i="1"/>
  <c r="S40" i="1"/>
  <c r="U15" i="1"/>
  <c r="U6" i="1"/>
  <c r="U10" i="1"/>
  <c r="U14" i="1"/>
  <c r="U18" i="1"/>
  <c r="U22" i="1"/>
  <c r="U26" i="1"/>
  <c r="U30" i="1"/>
  <c r="U34" i="1"/>
  <c r="U38" i="1"/>
  <c r="U42" i="1"/>
  <c r="U46" i="1"/>
  <c r="S7" i="1"/>
  <c r="S15" i="1"/>
  <c r="S23" i="1"/>
  <c r="S31" i="1"/>
  <c r="S39" i="1"/>
  <c r="S47" i="1"/>
  <c r="T7" i="1"/>
  <c r="T11" i="1"/>
  <c r="T15" i="1"/>
  <c r="T19" i="1"/>
  <c r="T23" i="1"/>
  <c r="T27" i="1"/>
  <c r="T31" i="1"/>
  <c r="T35" i="1"/>
  <c r="T39" i="1"/>
  <c r="T43" i="1"/>
  <c r="T47" i="1"/>
  <c r="S9" i="1"/>
  <c r="S17" i="1"/>
  <c r="S25" i="1"/>
  <c r="S33" i="1"/>
  <c r="S41" i="1"/>
  <c r="T12" i="1"/>
  <c r="T20" i="1"/>
  <c r="T28" i="1"/>
  <c r="T36" i="1"/>
  <c r="T44" i="1"/>
  <c r="T22" i="1"/>
  <c r="S26" i="1"/>
  <c r="S42" i="1"/>
  <c r="U8" i="1"/>
  <c r="U12" i="1"/>
  <c r="U16" i="1"/>
  <c r="U20" i="1"/>
  <c r="U24" i="1"/>
  <c r="U32" i="1"/>
  <c r="U40" i="1"/>
  <c r="U44" i="1"/>
  <c r="U48" i="1"/>
  <c r="T5" i="1"/>
  <c r="T9" i="1"/>
  <c r="T13" i="1"/>
  <c r="T17" i="1"/>
  <c r="T21" i="1"/>
  <c r="T25" i="1"/>
  <c r="T29" i="1"/>
  <c r="T33" i="1"/>
  <c r="T37" i="1"/>
  <c r="T41" i="1"/>
  <c r="T45" i="1"/>
  <c r="T49" i="1"/>
  <c r="S34" i="1"/>
  <c r="S12" i="1"/>
  <c r="S20" i="1"/>
  <c r="S28" i="1"/>
  <c r="S36" i="1"/>
  <c r="S44" i="1"/>
  <c r="U9" i="1"/>
  <c r="U17" i="1"/>
  <c r="U25" i="1"/>
  <c r="U33" i="1"/>
  <c r="U41" i="1"/>
  <c r="U49" i="1"/>
  <c r="S37" i="1"/>
  <c r="S18" i="1"/>
  <c r="U47" i="1"/>
  <c r="S45" i="1"/>
  <c r="T6" i="1"/>
  <c r="T14" i="1"/>
  <c r="T18" i="1"/>
  <c r="T30" i="1"/>
  <c r="T38" i="1"/>
  <c r="T46" i="1"/>
  <c r="S49" i="1"/>
  <c r="S10" i="1"/>
  <c r="U36" i="1"/>
  <c r="S29" i="1"/>
  <c r="T34" i="1"/>
  <c r="S11" i="1"/>
  <c r="T16" i="1"/>
  <c r="U21" i="1"/>
  <c r="S27" i="1"/>
  <c r="T32" i="1"/>
  <c r="S35" i="1"/>
  <c r="T40" i="1"/>
  <c r="U45" i="1"/>
  <c r="S6" i="1"/>
  <c r="S38" i="1"/>
  <c r="U28" i="1"/>
  <c r="S13" i="1"/>
  <c r="T26" i="1"/>
  <c r="T42" i="1"/>
  <c r="U5" i="1"/>
  <c r="S43" i="1"/>
  <c r="S22" i="1"/>
  <c r="S46" i="1"/>
  <c r="S5" i="1"/>
  <c r="T10" i="1"/>
  <c r="S21" i="1"/>
  <c r="T8" i="1"/>
  <c r="U13" i="1"/>
  <c r="S19" i="1"/>
  <c r="T24" i="1"/>
  <c r="U29" i="1"/>
  <c r="U37" i="1"/>
  <c r="T48" i="1"/>
  <c r="S14" i="1"/>
  <c r="S30" i="1"/>
  <c r="AA20" i="1"/>
  <c r="AB19" i="1"/>
  <c r="AB15" i="1"/>
  <c r="AA21" i="1"/>
  <c r="AC19" i="1"/>
  <c r="AC15" i="1"/>
  <c r="AB21" i="1"/>
  <c r="AC20" i="1"/>
  <c r="AC16" i="1"/>
  <c r="X3" i="1"/>
  <c r="X7" i="1"/>
  <c r="Z4" i="1" a="1"/>
  <c r="AB5" i="1"/>
  <c r="AB23" i="1"/>
  <c r="AC6" i="1"/>
  <c r="AC24" i="1"/>
  <c r="AC7" i="1"/>
  <c r="AC25" i="1"/>
  <c r="AA5" i="1"/>
  <c r="AA23" i="1"/>
  <c r="AB6" i="1"/>
  <c r="AB24" i="1"/>
  <c r="AC5" i="1"/>
  <c r="AC23" i="1"/>
  <c r="AA6" i="1"/>
  <c r="AA24" i="1"/>
  <c r="AB7" i="1"/>
  <c r="AB25" i="1"/>
  <c r="AA7" i="1"/>
  <c r="AA25" i="1"/>
  <c r="AC9" i="1"/>
  <c r="AB9" i="1"/>
  <c r="AA9" i="1"/>
  <c r="Z9" i="1"/>
  <c r="AC8" i="1"/>
  <c r="AB8" i="1"/>
  <c r="AA8" i="1"/>
  <c r="Z8" i="1"/>
  <c r="Z7" i="1"/>
  <c r="Z6" i="1"/>
  <c r="Z5" i="1"/>
  <c r="AC4" i="1"/>
  <c r="AB4" i="1"/>
  <c r="AA4" i="1"/>
  <c r="Z4" i="1"/>
  <c r="AA27" i="1" a="1"/>
  <c r="AB27" i="1"/>
  <c r="AC29" i="1"/>
  <c r="AB29" i="1"/>
  <c r="AA27" i="1"/>
  <c r="AA29" i="1"/>
  <c r="AC27" i="1"/>
  <c r="AA28" i="1"/>
  <c r="AB28" i="1"/>
  <c r="AC28" i="1"/>
  <c r="AA31" i="1" a="1"/>
  <c r="AC32" i="1"/>
  <c r="AA33" i="1"/>
  <c r="AB33" i="1"/>
  <c r="AA31" i="1"/>
  <c r="AC33" i="1"/>
  <c r="AC31" i="1"/>
  <c r="AB31" i="1"/>
  <c r="AA32" i="1"/>
  <c r="AB32" i="1"/>
</calcChain>
</file>

<file path=xl/sharedStrings.xml><?xml version="1.0" encoding="utf-8"?>
<sst xmlns="http://schemas.openxmlformats.org/spreadsheetml/2006/main" count="34" uniqueCount="28">
  <si>
    <t>Series1</t>
  </si>
  <si>
    <t>Series2</t>
  </si>
  <si>
    <t>Series3</t>
  </si>
  <si>
    <t>DATA</t>
  </si>
  <si>
    <t xml:space="preserve">LEVEL </t>
  </si>
  <si>
    <t>CHANGE</t>
  </si>
  <si>
    <t>-run PCA on input matrix</t>
  </si>
  <si>
    <t>-run PCA on 1st differences of input matrix</t>
  </si>
  <si>
    <t>=PCA(DATA,LEVEL/CHANGE,NUMBER OF FACTORS)</t>
  </si>
  <si>
    <t xml:space="preserve">NUMBER OF FACTORS </t>
  </si>
  <si>
    <t>-number of factors to display in output matrix</t>
  </si>
  <si>
    <t>Transform Data</t>
  </si>
  <si>
    <t>Input</t>
  </si>
  <si>
    <t>LEVEL</t>
  </si>
  <si>
    <t>Centre</t>
  </si>
  <si>
    <t>Output</t>
  </si>
  <si>
    <t>Covariance Matrix</t>
    <phoneticPr fontId="3"/>
  </si>
  <si>
    <t>Check</t>
    <phoneticPr fontId="3"/>
  </si>
  <si>
    <t>P</t>
    <phoneticPr fontId="3"/>
  </si>
  <si>
    <t>P^T</t>
    <phoneticPr fontId="3"/>
  </si>
  <si>
    <t>EigenMatrix</t>
    <phoneticPr fontId="3"/>
  </si>
  <si>
    <t>Correlation matrix</t>
    <phoneticPr fontId="3"/>
  </si>
  <si>
    <t>ID</t>
    <phoneticPr fontId="3"/>
  </si>
  <si>
    <t>Update</t>
    <phoneticPr fontId="3"/>
  </si>
  <si>
    <t>Sample</t>
    <phoneticPr fontId="3"/>
  </si>
  <si>
    <t>SetupPCA</t>
    <phoneticPr fontId="3"/>
  </si>
  <si>
    <t>FactorNum</t>
    <phoneticPr fontId="3"/>
  </si>
  <si>
    <t>IsScale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</si>
</sst>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%"/>
    <numFmt numFmtId="166" formatCode="0.0"/>
    <numFmt numFmtId="167" formatCode="0.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0" fontId="0" fillId="0" borderId="0" xfId="0" applyFill="1"/>
    <xf numFmtId="0" fontId="0" fillId="3" borderId="0" xfId="0" applyFill="1"/>
    <xf numFmtId="0" fontId="0" fillId="3" borderId="0" xfId="0" applyFont="1" applyFill="1"/>
    <xf numFmtId="9" fontId="1" fillId="3" borderId="0" xfId="1" applyNumberFormat="1" applyFont="1" applyFill="1"/>
    <xf numFmtId="165" fontId="1" fillId="3" borderId="0" xfId="1" applyNumberFormat="1" applyFont="1" applyFill="1"/>
    <xf numFmtId="166" fontId="0" fillId="3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0" fillId="3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C50"/>
  <sheetViews>
    <sheetView tabSelected="1" topLeftCell="R1" workbookViewId="0">
      <selection activeCell="X3" sqref="X3"/>
    </sheetView>
  </sheetViews>
  <sheetFormatPr defaultRowHeight="15"/>
  <cols>
    <col min="8" max="8" width="46.5703125" bestFit="1" customWidth="1"/>
    <col min="23" max="24" width="13.85546875" bestFit="1" customWidth="1"/>
    <col min="25" max="25" width="9.140625" bestFit="1" customWidth="1"/>
    <col min="26" max="26" width="11.85546875" customWidth="1"/>
  </cols>
  <sheetData>
    <row r="2" spans="3:29">
      <c r="C2" t="s">
        <v>3</v>
      </c>
    </row>
    <row r="3" spans="3:29">
      <c r="O3" t="s">
        <v>11</v>
      </c>
      <c r="S3" t="s">
        <v>14</v>
      </c>
      <c r="W3" t="s">
        <v>25</v>
      </c>
      <c r="X3" s="13" t="str">
        <f ca="1">_xll.mirSetupPCA(X4,O5:Q49,X5,X6)</f>
        <v>Sample:33</v>
      </c>
      <c r="Z3" t="s">
        <v>15</v>
      </c>
    </row>
    <row r="4" spans="3:29">
      <c r="C4" s="2" t="s">
        <v>0</v>
      </c>
      <c r="D4" s="2" t="s">
        <v>1</v>
      </c>
      <c r="E4" s="2" t="s">
        <v>2</v>
      </c>
      <c r="H4" s="1" t="s">
        <v>8</v>
      </c>
      <c r="O4" s="2" t="s">
        <v>0</v>
      </c>
      <c r="P4" s="2" t="s">
        <v>1</v>
      </c>
      <c r="Q4" s="2" t="s">
        <v>2</v>
      </c>
      <c r="S4" s="2" t="s">
        <v>0</v>
      </c>
      <c r="T4" s="2" t="s">
        <v>1</v>
      </c>
      <c r="U4" s="2" t="s">
        <v>2</v>
      </c>
      <c r="W4" s="5" t="s">
        <v>22</v>
      </c>
      <c r="X4" s="14" t="s">
        <v>24</v>
      </c>
      <c r="Z4" s="6" t="str">
        <f t="array" aca="1" ref="Z4:AC9" ca="1">_xll.mirGetPCAResults(X4,X7)</f>
        <v/>
      </c>
      <c r="AA4" s="6" t="str">
        <f ca="1"/>
        <v>PC1</v>
      </c>
      <c r="AB4" s="6" t="str">
        <f ca="1"/>
        <v>PC2</v>
      </c>
      <c r="AC4" s="6" t="str">
        <f ca="1"/>
        <v>PC3</v>
      </c>
    </row>
    <row r="5" spans="3:29">
      <c r="C5" s="2">
        <f ca="1">RANDBETWEEN(-100,100)</f>
        <v>38</v>
      </c>
      <c r="D5" s="2">
        <f t="shared" ref="D5:E24" ca="1" si="0">RANDBETWEEN(-100,100)</f>
        <v>-34</v>
      </c>
      <c r="E5" s="2">
        <f t="shared" ca="1" si="0"/>
        <v>-45</v>
      </c>
      <c r="O5" s="2">
        <f ca="1">IF($H$13="LEVEL",C5,C5-C6)</f>
        <v>38</v>
      </c>
      <c r="P5" s="2">
        <f t="shared" ref="P5:P48" ca="1" si="1">IF($H$13="LEVEL",D5,D5-D6)</f>
        <v>-34</v>
      </c>
      <c r="Q5" s="2">
        <f t="shared" ref="Q5:Q48" ca="1" si="2">IF($H$13="LEVEL",E5,E5-E6)</f>
        <v>-45</v>
      </c>
      <c r="S5" s="4">
        <f ca="1">O5-AVERAGE($O$5:$O$49)</f>
        <v>43.355555555555554</v>
      </c>
      <c r="T5" s="4">
        <f t="shared" ref="T5:T49" ca="1" si="3">P5-AVERAGE($O$5:$O$49)</f>
        <v>-28.644444444444446</v>
      </c>
      <c r="U5" s="4">
        <f t="shared" ref="U5:U49" ca="1" si="4">Q5-AVERAGE($O$5:$O$49)</f>
        <v>-39.644444444444446</v>
      </c>
      <c r="W5" t="s">
        <v>27</v>
      </c>
      <c r="X5" s="14" t="b">
        <v>1</v>
      </c>
      <c r="Z5" s="7" t="str">
        <f ca="1"/>
        <v>Series1</v>
      </c>
      <c r="AA5" s="8">
        <f ca="1"/>
        <v>0.31625695912682178</v>
      </c>
      <c r="AB5" s="8">
        <f ca="1"/>
        <v>0.88528606829866996</v>
      </c>
      <c r="AC5" s="8">
        <f ca="1"/>
        <v>0.34095470825336743</v>
      </c>
    </row>
    <row r="6" spans="3:29">
      <c r="C6" s="2">
        <f t="shared" ref="C6:E50" ca="1" si="5">RANDBETWEEN(-100,100)</f>
        <v>84</v>
      </c>
      <c r="D6" s="2">
        <f t="shared" ca="1" si="0"/>
        <v>66</v>
      </c>
      <c r="E6" s="2">
        <f t="shared" ca="1" si="0"/>
        <v>-85</v>
      </c>
      <c r="H6" t="s">
        <v>4</v>
      </c>
      <c r="I6" s="1" t="s">
        <v>6</v>
      </c>
      <c r="O6" s="2">
        <f t="shared" ref="O6:O48" ca="1" si="6">IF($H$13="LEVEL",C6,C6-C7)</f>
        <v>84</v>
      </c>
      <c r="P6" s="2">
        <f t="shared" ca="1" si="1"/>
        <v>66</v>
      </c>
      <c r="Q6" s="2">
        <f t="shared" ca="1" si="2"/>
        <v>-85</v>
      </c>
      <c r="S6" s="4">
        <f t="shared" ref="S6:S49" ca="1" si="7">O6-AVERAGE($O$5:$O$49)</f>
        <v>89.355555555555554</v>
      </c>
      <c r="T6" s="4">
        <f t="shared" ca="1" si="3"/>
        <v>71.355555555555554</v>
      </c>
      <c r="U6" s="4">
        <f t="shared" ca="1" si="4"/>
        <v>-79.644444444444446</v>
      </c>
      <c r="W6" t="s">
        <v>26</v>
      </c>
      <c r="X6" s="15">
        <v>3</v>
      </c>
      <c r="Z6" s="7" t="str">
        <f ca="1"/>
        <v>Series2</v>
      </c>
      <c r="AA6" s="8">
        <f ca="1"/>
        <v>0.71124125837082985</v>
      </c>
      <c r="AB6" s="8">
        <f ca="1"/>
        <v>1.6572957460313488E-2</v>
      </c>
      <c r="AC6" s="8">
        <f ca="1"/>
        <v>-0.70275259478147556</v>
      </c>
    </row>
    <row r="7" spans="3:29">
      <c r="C7" s="2">
        <f t="shared" ca="1" si="5"/>
        <v>-33</v>
      </c>
      <c r="D7" s="2">
        <f t="shared" ca="1" si="0"/>
        <v>-75</v>
      </c>
      <c r="E7" s="2">
        <f t="shared" ca="1" si="0"/>
        <v>-66</v>
      </c>
      <c r="H7" t="s">
        <v>5</v>
      </c>
      <c r="I7" s="1" t="s">
        <v>7</v>
      </c>
      <c r="O7" s="2">
        <f t="shared" ca="1" si="6"/>
        <v>-33</v>
      </c>
      <c r="P7" s="2">
        <f t="shared" ca="1" si="1"/>
        <v>-75</v>
      </c>
      <c r="Q7" s="2">
        <f t="shared" ca="1" si="2"/>
        <v>-66</v>
      </c>
      <c r="S7" s="4">
        <f t="shared" ca="1" si="7"/>
        <v>-27.644444444444446</v>
      </c>
      <c r="T7" s="4">
        <f t="shared" ca="1" si="3"/>
        <v>-69.644444444444446</v>
      </c>
      <c r="U7" s="4">
        <f t="shared" ca="1" si="4"/>
        <v>-60.644444444444446</v>
      </c>
      <c r="W7" t="s">
        <v>23</v>
      </c>
      <c r="X7" s="15" t="str">
        <f ca="1">MID(X3,FIND(":",X3)+1,100)</f>
        <v>33</v>
      </c>
      <c r="Z7" s="7" t="str">
        <f ca="1"/>
        <v>Series3</v>
      </c>
      <c r="AA7" s="8">
        <f ca="1"/>
        <v>-0.62778770949655771</v>
      </c>
      <c r="AB7" s="8">
        <f ca="1"/>
        <v>0.46475145438965731</v>
      </c>
      <c r="AC7" s="8">
        <f ca="1"/>
        <v>-0.62441066410477364</v>
      </c>
    </row>
    <row r="8" spans="3:29">
      <c r="C8" s="2">
        <f t="shared" ca="1" si="5"/>
        <v>-79</v>
      </c>
      <c r="D8" s="2">
        <f t="shared" ca="1" si="0"/>
        <v>-54</v>
      </c>
      <c r="E8" s="2">
        <f t="shared" ca="1" si="0"/>
        <v>3</v>
      </c>
      <c r="O8" s="2">
        <f t="shared" ca="1" si="6"/>
        <v>-79</v>
      </c>
      <c r="P8" s="2">
        <f t="shared" ca="1" si="1"/>
        <v>-54</v>
      </c>
      <c r="Q8" s="2">
        <f t="shared" ca="1" si="2"/>
        <v>3</v>
      </c>
      <c r="S8" s="4">
        <f t="shared" ca="1" si="7"/>
        <v>-73.644444444444446</v>
      </c>
      <c r="T8" s="4">
        <f t="shared" ca="1" si="3"/>
        <v>-48.644444444444446</v>
      </c>
      <c r="U8" s="4">
        <f t="shared" ca="1" si="4"/>
        <v>8.3555555555555543</v>
      </c>
      <c r="Z8" s="7" t="str">
        <f ca="1"/>
        <v>POV</v>
      </c>
      <c r="AA8" s="9">
        <f ca="1"/>
        <v>0.39669933187461043</v>
      </c>
      <c r="AB8" s="9">
        <f ca="1"/>
        <v>0.33487425234431661</v>
      </c>
      <c r="AC8" s="9">
        <f ca="1"/>
        <v>0.26842641578107296</v>
      </c>
    </row>
    <row r="9" spans="3:29">
      <c r="C9" s="2">
        <f t="shared" ca="1" si="5"/>
        <v>-47</v>
      </c>
      <c r="D9" s="2">
        <f t="shared" ca="1" si="0"/>
        <v>99</v>
      </c>
      <c r="E9" s="2">
        <f t="shared" ca="1" si="0"/>
        <v>49</v>
      </c>
      <c r="H9" t="s">
        <v>9</v>
      </c>
      <c r="I9" s="1" t="s">
        <v>10</v>
      </c>
      <c r="O9" s="2">
        <f t="shared" ca="1" si="6"/>
        <v>-47</v>
      </c>
      <c r="P9" s="2">
        <f t="shared" ca="1" si="1"/>
        <v>99</v>
      </c>
      <c r="Q9" s="2">
        <f t="shared" ca="1" si="2"/>
        <v>49</v>
      </c>
      <c r="S9" s="4">
        <f t="shared" ca="1" si="7"/>
        <v>-41.644444444444446</v>
      </c>
      <c r="T9" s="4">
        <f t="shared" ca="1" si="3"/>
        <v>104.35555555555555</v>
      </c>
      <c r="U9" s="4">
        <f t="shared" ca="1" si="4"/>
        <v>54.355555555555554</v>
      </c>
      <c r="Z9" s="7" t="str">
        <f ca="1"/>
        <v>Eigen Values</v>
      </c>
      <c r="AA9" s="10">
        <f ca="1"/>
        <v>1.1900979956238309</v>
      </c>
      <c r="AB9" s="10">
        <f ca="1"/>
        <v>1.0046227570329496</v>
      </c>
      <c r="AC9" s="10">
        <f ca="1"/>
        <v>0.80527924734321865</v>
      </c>
    </row>
    <row r="10" spans="3:29">
      <c r="C10" s="2">
        <f t="shared" ca="1" si="5"/>
        <v>-65</v>
      </c>
      <c r="D10" s="2">
        <f t="shared" ca="1" si="0"/>
        <v>42</v>
      </c>
      <c r="E10" s="2">
        <f t="shared" ca="1" si="0"/>
        <v>-42</v>
      </c>
      <c r="O10" s="2">
        <f t="shared" ca="1" si="6"/>
        <v>-65</v>
      </c>
      <c r="P10" s="2">
        <f t="shared" ca="1" si="1"/>
        <v>42</v>
      </c>
      <c r="Q10" s="2">
        <f t="shared" ca="1" si="2"/>
        <v>-42</v>
      </c>
      <c r="S10" s="4">
        <f t="shared" ca="1" si="7"/>
        <v>-59.644444444444446</v>
      </c>
      <c r="T10" s="4">
        <f t="shared" ca="1" si="3"/>
        <v>47.355555555555554</v>
      </c>
      <c r="U10" s="4">
        <f t="shared" ca="1" si="4"/>
        <v>-36.644444444444446</v>
      </c>
    </row>
    <row r="11" spans="3:29">
      <c r="C11" s="2">
        <f t="shared" ca="1" si="5"/>
        <v>-90</v>
      </c>
      <c r="D11" s="2">
        <f t="shared" ca="1" si="0"/>
        <v>98</v>
      </c>
      <c r="E11" s="2">
        <f t="shared" ca="1" si="0"/>
        <v>-51</v>
      </c>
      <c r="O11" s="2">
        <f t="shared" ca="1" si="6"/>
        <v>-90</v>
      </c>
      <c r="P11" s="2">
        <f t="shared" ca="1" si="1"/>
        <v>98</v>
      </c>
      <c r="Q11" s="2">
        <f t="shared" ca="1" si="2"/>
        <v>-51</v>
      </c>
      <c r="S11" s="4">
        <f t="shared" ca="1" si="7"/>
        <v>-84.644444444444446</v>
      </c>
      <c r="T11" s="4">
        <f t="shared" ca="1" si="3"/>
        <v>103.35555555555555</v>
      </c>
      <c r="U11" s="4">
        <f t="shared" ca="1" si="4"/>
        <v>-45.644444444444446</v>
      </c>
    </row>
    <row r="12" spans="3:29">
      <c r="C12" s="2">
        <f t="shared" ca="1" si="5"/>
        <v>3</v>
      </c>
      <c r="D12" s="2">
        <f t="shared" ca="1" si="0"/>
        <v>-51</v>
      </c>
      <c r="E12" s="2">
        <f t="shared" ca="1" si="0"/>
        <v>-57</v>
      </c>
      <c r="H12" t="s">
        <v>12</v>
      </c>
      <c r="O12" s="2">
        <f t="shared" ca="1" si="6"/>
        <v>3</v>
      </c>
      <c r="P12" s="2">
        <f t="shared" ca="1" si="1"/>
        <v>-51</v>
      </c>
      <c r="Q12" s="2">
        <f t="shared" ca="1" si="2"/>
        <v>-57</v>
      </c>
      <c r="S12" s="4">
        <f t="shared" ca="1" si="7"/>
        <v>8.3555555555555543</v>
      </c>
      <c r="T12" s="4">
        <f t="shared" ca="1" si="3"/>
        <v>-45.644444444444446</v>
      </c>
      <c r="U12" s="4">
        <f t="shared" ca="1" si="4"/>
        <v>-51.644444444444446</v>
      </c>
    </row>
    <row r="13" spans="3:29">
      <c r="C13" s="2">
        <f t="shared" ca="1" si="5"/>
        <v>83</v>
      </c>
      <c r="D13" s="2">
        <f t="shared" ca="1" si="0"/>
        <v>-32</v>
      </c>
      <c r="E13" s="2">
        <f t="shared" ca="1" si="0"/>
        <v>-99</v>
      </c>
      <c r="H13" s="3" t="s">
        <v>13</v>
      </c>
      <c r="O13" s="2">
        <f t="shared" ca="1" si="6"/>
        <v>83</v>
      </c>
      <c r="P13" s="2">
        <f t="shared" ca="1" si="1"/>
        <v>-32</v>
      </c>
      <c r="Q13" s="2">
        <f t="shared" ca="1" si="2"/>
        <v>-99</v>
      </c>
      <c r="S13" s="4">
        <f t="shared" ca="1" si="7"/>
        <v>88.355555555555554</v>
      </c>
      <c r="T13" s="4">
        <f t="shared" ca="1" si="3"/>
        <v>-26.644444444444446</v>
      </c>
      <c r="U13" s="4">
        <f t="shared" ca="1" si="4"/>
        <v>-93.644444444444446</v>
      </c>
    </row>
    <row r="14" spans="3:29">
      <c r="C14" s="2">
        <f t="shared" ca="1" si="5"/>
        <v>-95</v>
      </c>
      <c r="D14" s="2">
        <f t="shared" ca="1" si="0"/>
        <v>-83</v>
      </c>
      <c r="E14" s="2">
        <f t="shared" ca="1" si="0"/>
        <v>-82</v>
      </c>
      <c r="O14" s="2">
        <f t="shared" ca="1" si="6"/>
        <v>-95</v>
      </c>
      <c r="P14" s="2">
        <f t="shared" ca="1" si="1"/>
        <v>-83</v>
      </c>
      <c r="Q14" s="2">
        <f t="shared" ca="1" si="2"/>
        <v>-82</v>
      </c>
      <c r="S14" s="4">
        <f t="shared" ca="1" si="7"/>
        <v>-89.644444444444446</v>
      </c>
      <c r="T14" s="4">
        <f t="shared" ca="1" si="3"/>
        <v>-77.644444444444446</v>
      </c>
      <c r="U14" s="4">
        <f t="shared" ca="1" si="4"/>
        <v>-76.644444444444446</v>
      </c>
      <c r="Z14" t="s">
        <v>17</v>
      </c>
    </row>
    <row r="15" spans="3:29">
      <c r="C15" s="2">
        <f t="shared" ca="1" si="5"/>
        <v>-31</v>
      </c>
      <c r="D15" s="2">
        <f t="shared" ca="1" si="0"/>
        <v>26</v>
      </c>
      <c r="E15" s="2">
        <f t="shared" ca="1" si="0"/>
        <v>-8</v>
      </c>
      <c r="O15" s="2">
        <f t="shared" ca="1" si="6"/>
        <v>-31</v>
      </c>
      <c r="P15" s="2">
        <f t="shared" ca="1" si="1"/>
        <v>26</v>
      </c>
      <c r="Q15" s="2">
        <f t="shared" ca="1" si="2"/>
        <v>-8</v>
      </c>
      <c r="S15" s="4">
        <f t="shared" ca="1" si="7"/>
        <v>-25.644444444444446</v>
      </c>
      <c r="T15" s="4">
        <f t="shared" ca="1" si="3"/>
        <v>31.355555555555554</v>
      </c>
      <c r="U15" s="4">
        <f t="shared" ca="1" si="4"/>
        <v>-2.6444444444444448</v>
      </c>
      <c r="Z15" t="s">
        <v>16</v>
      </c>
      <c r="AA15" s="11">
        <f ca="1">_xlfn.VAR.P(O5:O49)</f>
        <v>3816.3624691358023</v>
      </c>
      <c r="AB15" s="11">
        <f ca="1">AA16</f>
        <v>334.20098765432101</v>
      </c>
      <c r="AC15" s="11">
        <f ca="1">AA17</f>
        <v>20.398024691357893</v>
      </c>
    </row>
    <row r="16" spans="3:29">
      <c r="C16" s="2">
        <f t="shared" ca="1" si="5"/>
        <v>-35</v>
      </c>
      <c r="D16" s="2">
        <f t="shared" ca="1" si="0"/>
        <v>21</v>
      </c>
      <c r="E16" s="2">
        <f t="shared" ca="1" si="0"/>
        <v>-96</v>
      </c>
      <c r="O16" s="2">
        <f t="shared" ca="1" si="6"/>
        <v>-35</v>
      </c>
      <c r="P16" s="2">
        <f t="shared" ca="1" si="1"/>
        <v>21</v>
      </c>
      <c r="Q16" s="2">
        <f t="shared" ca="1" si="2"/>
        <v>-96</v>
      </c>
      <c r="S16" s="4">
        <f t="shared" ca="1" si="7"/>
        <v>-29.644444444444446</v>
      </c>
      <c r="T16" s="4">
        <f t="shared" ca="1" si="3"/>
        <v>26.355555555555554</v>
      </c>
      <c r="U16" s="4">
        <f t="shared" ca="1" si="4"/>
        <v>-90.644444444444446</v>
      </c>
      <c r="AA16" s="11">
        <f ca="1">_xlfn.COVARIANCE.P(O5:O49,P5:P49)</f>
        <v>334.20098765432101</v>
      </c>
      <c r="AB16" s="11">
        <f ca="1">_xlfn.VAR.P(P5:P49)</f>
        <v>3654.9017283950616</v>
      </c>
      <c r="AC16" s="11">
        <f ca="1">AB17</f>
        <v>-605.42567901234577</v>
      </c>
    </row>
    <row r="17" spans="3:29">
      <c r="C17" s="2">
        <f t="shared" ca="1" si="5"/>
        <v>80</v>
      </c>
      <c r="D17" s="2">
        <f t="shared" ca="1" si="0"/>
        <v>34</v>
      </c>
      <c r="E17" s="2">
        <f t="shared" ca="1" si="0"/>
        <v>-18</v>
      </c>
      <c r="O17" s="2">
        <f t="shared" ca="1" si="6"/>
        <v>80</v>
      </c>
      <c r="P17" s="2">
        <f t="shared" ca="1" si="1"/>
        <v>34</v>
      </c>
      <c r="Q17" s="2">
        <f t="shared" ca="1" si="2"/>
        <v>-18</v>
      </c>
      <c r="S17" s="4">
        <f t="shared" ca="1" si="7"/>
        <v>85.355555555555554</v>
      </c>
      <c r="T17" s="4">
        <f t="shared" ca="1" si="3"/>
        <v>39.355555555555554</v>
      </c>
      <c r="U17" s="4">
        <f t="shared" ca="1" si="4"/>
        <v>-12.644444444444446</v>
      </c>
      <c r="AA17" s="11">
        <f ca="1">_xlfn.COVARIANCE.P(O5:O49,Q5:Q49)</f>
        <v>20.398024691357893</v>
      </c>
      <c r="AB17" s="11">
        <f ca="1">_xlfn.COVARIANCE.P(P5:P49,Q5:Q49)</f>
        <v>-605.42567901234577</v>
      </c>
      <c r="AC17" s="11">
        <f ca="1">_xlfn.VAR.P(Q5:Q49)</f>
        <v>3458.3624691358023</v>
      </c>
    </row>
    <row r="18" spans="3:29">
      <c r="C18" s="2">
        <f t="shared" ca="1" si="5"/>
        <v>91</v>
      </c>
      <c r="D18" s="2">
        <f t="shared" ca="1" si="0"/>
        <v>99</v>
      </c>
      <c r="E18" s="2">
        <f t="shared" ca="1" si="0"/>
        <v>-33</v>
      </c>
      <c r="O18" s="2">
        <f t="shared" ca="1" si="6"/>
        <v>91</v>
      </c>
      <c r="P18" s="2">
        <f t="shared" ca="1" si="1"/>
        <v>99</v>
      </c>
      <c r="Q18" s="2">
        <f t="shared" ca="1" si="2"/>
        <v>-33</v>
      </c>
      <c r="S18" s="4">
        <f t="shared" ca="1" si="7"/>
        <v>96.355555555555554</v>
      </c>
      <c r="T18" s="4">
        <f t="shared" ca="1" si="3"/>
        <v>104.35555555555555</v>
      </c>
      <c r="U18" s="4">
        <f t="shared" ca="1" si="4"/>
        <v>-27.644444444444446</v>
      </c>
    </row>
    <row r="19" spans="3:29">
      <c r="C19" s="2">
        <f t="shared" ca="1" si="5"/>
        <v>5</v>
      </c>
      <c r="D19" s="2">
        <f t="shared" ca="1" si="0"/>
        <v>37</v>
      </c>
      <c r="E19" s="2">
        <f t="shared" ca="1" si="0"/>
        <v>10</v>
      </c>
      <c r="O19" s="2">
        <f t="shared" ca="1" si="6"/>
        <v>5</v>
      </c>
      <c r="P19" s="2">
        <f t="shared" ca="1" si="1"/>
        <v>37</v>
      </c>
      <c r="Q19" s="2">
        <f t="shared" ca="1" si="2"/>
        <v>10</v>
      </c>
      <c r="S19" s="4">
        <f t="shared" ca="1" si="7"/>
        <v>10.355555555555554</v>
      </c>
      <c r="T19" s="4">
        <f t="shared" ca="1" si="3"/>
        <v>42.355555555555554</v>
      </c>
      <c r="U19" s="4">
        <f t="shared" ca="1" si="4"/>
        <v>15.355555555555554</v>
      </c>
      <c r="Z19" t="s">
        <v>21</v>
      </c>
      <c r="AA19" s="12">
        <v>1</v>
      </c>
      <c r="AB19" s="12">
        <f ca="1">AA20</f>
        <v>8.9483933982435773E-2</v>
      </c>
      <c r="AC19" s="12">
        <f ca="1">AA21</f>
        <v>5.6147193139060416E-3</v>
      </c>
    </row>
    <row r="20" spans="3:29">
      <c r="C20" s="2">
        <f t="shared" ca="1" si="5"/>
        <v>34</v>
      </c>
      <c r="D20" s="2">
        <f t="shared" ca="1" si="0"/>
        <v>-73</v>
      </c>
      <c r="E20" s="2">
        <f t="shared" ca="1" si="0"/>
        <v>11</v>
      </c>
      <c r="O20" s="2">
        <f t="shared" ca="1" si="6"/>
        <v>34</v>
      </c>
      <c r="P20" s="2">
        <f t="shared" ca="1" si="1"/>
        <v>-73</v>
      </c>
      <c r="Q20" s="2">
        <f t="shared" ca="1" si="2"/>
        <v>11</v>
      </c>
      <c r="S20" s="4">
        <f t="shared" ca="1" si="7"/>
        <v>39.355555555555554</v>
      </c>
      <c r="T20" s="4">
        <f t="shared" ca="1" si="3"/>
        <v>-67.644444444444446</v>
      </c>
      <c r="U20" s="4">
        <f t="shared" ca="1" si="4"/>
        <v>16.355555555555554</v>
      </c>
      <c r="AA20" s="12">
        <f ca="1">AA16/SQRT(AA15*AB16)</f>
        <v>8.9483933982435773E-2</v>
      </c>
      <c r="AB20" s="12">
        <v>1</v>
      </c>
      <c r="AC20" s="12">
        <f ca="1">AB21</f>
        <v>-0.17028944522505413</v>
      </c>
    </row>
    <row r="21" spans="3:29">
      <c r="C21" s="2">
        <f t="shared" ca="1" si="5"/>
        <v>-71</v>
      </c>
      <c r="D21" s="2">
        <f t="shared" ca="1" si="0"/>
        <v>71</v>
      </c>
      <c r="E21" s="2">
        <f t="shared" ca="1" si="0"/>
        <v>-85</v>
      </c>
      <c r="O21" s="2">
        <f t="shared" ca="1" si="6"/>
        <v>-71</v>
      </c>
      <c r="P21" s="2">
        <f t="shared" ca="1" si="1"/>
        <v>71</v>
      </c>
      <c r="Q21" s="2">
        <f t="shared" ca="1" si="2"/>
        <v>-85</v>
      </c>
      <c r="S21" s="4">
        <f t="shared" ca="1" si="7"/>
        <v>-65.644444444444446</v>
      </c>
      <c r="T21" s="4">
        <f t="shared" ca="1" si="3"/>
        <v>76.355555555555554</v>
      </c>
      <c r="U21" s="4">
        <f t="shared" ca="1" si="4"/>
        <v>-79.644444444444446</v>
      </c>
      <c r="AA21" s="12">
        <f ca="1">AA17/SQRT(AA15*AC17)</f>
        <v>5.6147193139060416E-3</v>
      </c>
      <c r="AB21" s="12">
        <f ca="1">AB17/SQRT(AB16*AC17)</f>
        <v>-0.17028944522505413</v>
      </c>
      <c r="AC21" s="12">
        <v>1</v>
      </c>
    </row>
    <row r="22" spans="3:29">
      <c r="C22" s="2">
        <f t="shared" ca="1" si="5"/>
        <v>-27</v>
      </c>
      <c r="D22" s="2">
        <f t="shared" ca="1" si="0"/>
        <v>74</v>
      </c>
      <c r="E22" s="2">
        <f t="shared" ca="1" si="0"/>
        <v>60</v>
      </c>
      <c r="O22" s="2">
        <f t="shared" ca="1" si="6"/>
        <v>-27</v>
      </c>
      <c r="P22" s="2">
        <f t="shared" ca="1" si="1"/>
        <v>74</v>
      </c>
      <c r="Q22" s="2">
        <f t="shared" ca="1" si="2"/>
        <v>60</v>
      </c>
      <c r="S22" s="4">
        <f t="shared" ca="1" si="7"/>
        <v>-21.644444444444446</v>
      </c>
      <c r="T22" s="4">
        <f t="shared" ca="1" si="3"/>
        <v>79.355555555555554</v>
      </c>
      <c r="U22" s="4">
        <f t="shared" ca="1" si="4"/>
        <v>65.355555555555554</v>
      </c>
    </row>
    <row r="23" spans="3:29">
      <c r="C23" s="2">
        <f t="shared" ca="1" si="5"/>
        <v>98</v>
      </c>
      <c r="D23" s="2">
        <f t="shared" ca="1" si="0"/>
        <v>-6</v>
      </c>
      <c r="E23" s="2">
        <f t="shared" ca="1" si="0"/>
        <v>88</v>
      </c>
      <c r="O23" s="2">
        <f t="shared" ca="1" si="6"/>
        <v>98</v>
      </c>
      <c r="P23" s="2">
        <f t="shared" ca="1" si="1"/>
        <v>-6</v>
      </c>
      <c r="Q23" s="2">
        <f t="shared" ca="1" si="2"/>
        <v>88</v>
      </c>
      <c r="S23" s="4">
        <f t="shared" ca="1" si="7"/>
        <v>103.35555555555555</v>
      </c>
      <c r="T23" s="4">
        <f t="shared" ca="1" si="3"/>
        <v>-0.64444444444444482</v>
      </c>
      <c r="U23" s="4">
        <f t="shared" ca="1" si="4"/>
        <v>93.355555555555554</v>
      </c>
      <c r="Z23" t="s">
        <v>18</v>
      </c>
      <c r="AA23" s="12">
        <f t="shared" ref="AA23:AC25" ca="1" si="8">AA5</f>
        <v>0.31625695912682178</v>
      </c>
      <c r="AB23" s="12">
        <f t="shared" ca="1" si="8"/>
        <v>0.88528606829866996</v>
      </c>
      <c r="AC23" s="12">
        <f t="shared" ca="1" si="8"/>
        <v>0.34095470825336743</v>
      </c>
    </row>
    <row r="24" spans="3:29">
      <c r="C24" s="2">
        <f t="shared" ca="1" si="5"/>
        <v>44</v>
      </c>
      <c r="D24" s="2">
        <f t="shared" ca="1" si="0"/>
        <v>35</v>
      </c>
      <c r="E24" s="2">
        <f t="shared" ca="1" si="0"/>
        <v>-90</v>
      </c>
      <c r="O24" s="2">
        <f t="shared" ca="1" si="6"/>
        <v>44</v>
      </c>
      <c r="P24" s="2">
        <f t="shared" ca="1" si="1"/>
        <v>35</v>
      </c>
      <c r="Q24" s="2">
        <f t="shared" ca="1" si="2"/>
        <v>-90</v>
      </c>
      <c r="S24" s="4">
        <f t="shared" ca="1" si="7"/>
        <v>49.355555555555554</v>
      </c>
      <c r="T24" s="4">
        <f t="shared" ca="1" si="3"/>
        <v>40.355555555555554</v>
      </c>
      <c r="U24" s="4">
        <f t="shared" ca="1" si="4"/>
        <v>-84.644444444444446</v>
      </c>
      <c r="AA24" s="12">
        <f t="shared" ca="1" si="8"/>
        <v>0.71124125837082985</v>
      </c>
      <c r="AB24" s="12">
        <f t="shared" ca="1" si="8"/>
        <v>1.6572957460313488E-2</v>
      </c>
      <c r="AC24" s="12">
        <f t="shared" ca="1" si="8"/>
        <v>-0.70275259478147556</v>
      </c>
    </row>
    <row r="25" spans="3:29">
      <c r="C25" s="2">
        <f t="shared" ca="1" si="5"/>
        <v>-85</v>
      </c>
      <c r="D25" s="2">
        <f t="shared" ca="1" si="5"/>
        <v>81</v>
      </c>
      <c r="E25" s="2">
        <f t="shared" ca="1" si="5"/>
        <v>-57</v>
      </c>
      <c r="O25" s="2">
        <f t="shared" ca="1" si="6"/>
        <v>-85</v>
      </c>
      <c r="P25" s="2">
        <f t="shared" ca="1" si="1"/>
        <v>81</v>
      </c>
      <c r="Q25" s="2">
        <f t="shared" ca="1" si="2"/>
        <v>-57</v>
      </c>
      <c r="S25" s="4">
        <f t="shared" ca="1" si="7"/>
        <v>-79.644444444444446</v>
      </c>
      <c r="T25" s="4">
        <f t="shared" ca="1" si="3"/>
        <v>86.355555555555554</v>
      </c>
      <c r="U25" s="4">
        <f t="shared" ca="1" si="4"/>
        <v>-51.644444444444446</v>
      </c>
      <c r="AA25" s="12">
        <f t="shared" ca="1" si="8"/>
        <v>-0.62778770949655771</v>
      </c>
      <c r="AB25" s="12">
        <f t="shared" ca="1" si="8"/>
        <v>0.46475145438965731</v>
      </c>
      <c r="AC25" s="12">
        <f t="shared" ca="1" si="8"/>
        <v>-0.62441066410477364</v>
      </c>
    </row>
    <row r="26" spans="3:29">
      <c r="C26" s="2">
        <f t="shared" ca="1" si="5"/>
        <v>-93</v>
      </c>
      <c r="D26" s="2">
        <f t="shared" ca="1" si="5"/>
        <v>-31</v>
      </c>
      <c r="E26" s="2">
        <f t="shared" ca="1" si="5"/>
        <v>-51</v>
      </c>
      <c r="O26" s="2">
        <f t="shared" ca="1" si="6"/>
        <v>-93</v>
      </c>
      <c r="P26" s="2">
        <f t="shared" ca="1" si="1"/>
        <v>-31</v>
      </c>
      <c r="Q26" s="2">
        <f t="shared" ca="1" si="2"/>
        <v>-51</v>
      </c>
      <c r="S26" s="4">
        <f t="shared" ca="1" si="7"/>
        <v>-87.644444444444446</v>
      </c>
      <c r="T26" s="4">
        <f t="shared" ca="1" si="3"/>
        <v>-25.644444444444446</v>
      </c>
      <c r="U26" s="4">
        <f t="shared" ca="1" si="4"/>
        <v>-45.644444444444446</v>
      </c>
    </row>
    <row r="27" spans="3:29">
      <c r="C27" s="2">
        <f t="shared" ca="1" si="5"/>
        <v>81</v>
      </c>
      <c r="D27" s="2">
        <f t="shared" ca="1" si="5"/>
        <v>82</v>
      </c>
      <c r="E27" s="2">
        <f t="shared" ca="1" si="5"/>
        <v>-5</v>
      </c>
      <c r="O27" s="2">
        <f t="shared" ca="1" si="6"/>
        <v>81</v>
      </c>
      <c r="P27" s="2">
        <f t="shared" ca="1" si="1"/>
        <v>82</v>
      </c>
      <c r="Q27" s="2">
        <f t="shared" ca="1" si="2"/>
        <v>-5</v>
      </c>
      <c r="S27" s="4">
        <f t="shared" ca="1" si="7"/>
        <v>86.355555555555554</v>
      </c>
      <c r="T27" s="4">
        <f t="shared" ca="1" si="3"/>
        <v>87.355555555555554</v>
      </c>
      <c r="U27" s="4">
        <f t="shared" ca="1" si="4"/>
        <v>0.35555555555555518</v>
      </c>
      <c r="Z27" t="s">
        <v>19</v>
      </c>
      <c r="AA27" s="12">
        <f t="array" aca="1" ref="AA27:AC29" ca="1">MINVERSE(AA23:AC25)</f>
        <v>0.31625695912682167</v>
      </c>
      <c r="AB27" s="12">
        <f ca="1"/>
        <v>0.71124125837083008</v>
      </c>
      <c r="AC27" s="12">
        <f ca="1"/>
        <v>-0.62778770949655738</v>
      </c>
    </row>
    <row r="28" spans="3:29">
      <c r="C28" s="2">
        <f t="shared" ca="1" si="5"/>
        <v>-35</v>
      </c>
      <c r="D28" s="2">
        <f t="shared" ca="1" si="5"/>
        <v>51</v>
      </c>
      <c r="E28" s="2">
        <f t="shared" ca="1" si="5"/>
        <v>3</v>
      </c>
      <c r="O28" s="2">
        <f t="shared" ca="1" si="6"/>
        <v>-35</v>
      </c>
      <c r="P28" s="2">
        <f t="shared" ca="1" si="1"/>
        <v>51</v>
      </c>
      <c r="Q28" s="2">
        <f t="shared" ca="1" si="2"/>
        <v>3</v>
      </c>
      <c r="S28" s="4">
        <f t="shared" ca="1" si="7"/>
        <v>-29.644444444444446</v>
      </c>
      <c r="T28" s="4">
        <f t="shared" ca="1" si="3"/>
        <v>56.355555555555554</v>
      </c>
      <c r="U28" s="4">
        <f t="shared" ca="1" si="4"/>
        <v>8.3555555555555543</v>
      </c>
      <c r="AA28" s="12">
        <f ca="1"/>
        <v>0.88528606829866963</v>
      </c>
      <c r="AB28" s="12">
        <f ca="1"/>
        <v>1.6572957460313495E-2</v>
      </c>
      <c r="AC28" s="12">
        <f ca="1"/>
        <v>0.46475145438965715</v>
      </c>
    </row>
    <row r="29" spans="3:29">
      <c r="C29" s="2">
        <f t="shared" ca="1" si="5"/>
        <v>77</v>
      </c>
      <c r="D29" s="2">
        <f t="shared" ca="1" si="5"/>
        <v>-53</v>
      </c>
      <c r="E29" s="2">
        <f t="shared" ca="1" si="5"/>
        <v>76</v>
      </c>
      <c r="O29" s="2">
        <f t="shared" ca="1" si="6"/>
        <v>77</v>
      </c>
      <c r="P29" s="2">
        <f t="shared" ca="1" si="1"/>
        <v>-53</v>
      </c>
      <c r="Q29" s="2">
        <f t="shared" ca="1" si="2"/>
        <v>76</v>
      </c>
      <c r="S29" s="4">
        <f t="shared" ca="1" si="7"/>
        <v>82.355555555555554</v>
      </c>
      <c r="T29" s="4">
        <f t="shared" ca="1" si="3"/>
        <v>-47.644444444444446</v>
      </c>
      <c r="U29" s="4">
        <f t="shared" ca="1" si="4"/>
        <v>81.355555555555554</v>
      </c>
      <c r="AA29" s="12">
        <f ca="1"/>
        <v>0.34095470825336716</v>
      </c>
      <c r="AB29" s="12">
        <f ca="1"/>
        <v>-0.70275259478147567</v>
      </c>
      <c r="AC29" s="12">
        <f ca="1"/>
        <v>-0.62441066410477331</v>
      </c>
    </row>
    <row r="30" spans="3:29">
      <c r="C30" s="2">
        <f t="shared" ca="1" si="5"/>
        <v>-44</v>
      </c>
      <c r="D30" s="2">
        <f t="shared" ca="1" si="5"/>
        <v>92</v>
      </c>
      <c r="E30" s="2">
        <f t="shared" ca="1" si="5"/>
        <v>30</v>
      </c>
      <c r="O30" s="2">
        <f t="shared" ca="1" si="6"/>
        <v>-44</v>
      </c>
      <c r="P30" s="2">
        <f t="shared" ca="1" si="1"/>
        <v>92</v>
      </c>
      <c r="Q30" s="2">
        <f t="shared" ca="1" si="2"/>
        <v>30</v>
      </c>
      <c r="S30" s="4">
        <f t="shared" ca="1" si="7"/>
        <v>-38.644444444444446</v>
      </c>
      <c r="T30" s="4">
        <f t="shared" ca="1" si="3"/>
        <v>97.355555555555554</v>
      </c>
      <c r="U30" s="4">
        <f t="shared" ca="1" si="4"/>
        <v>35.355555555555554</v>
      </c>
    </row>
    <row r="31" spans="3:29">
      <c r="C31" s="2">
        <f t="shared" ca="1" si="5"/>
        <v>-52</v>
      </c>
      <c r="D31" s="2">
        <f t="shared" ca="1" si="5"/>
        <v>-25</v>
      </c>
      <c r="E31" s="2">
        <f t="shared" ca="1" si="5"/>
        <v>-32</v>
      </c>
      <c r="O31" s="2">
        <f t="shared" ca="1" si="6"/>
        <v>-52</v>
      </c>
      <c r="P31" s="2">
        <f t="shared" ca="1" si="1"/>
        <v>-25</v>
      </c>
      <c r="Q31" s="2">
        <f t="shared" ca="1" si="2"/>
        <v>-32</v>
      </c>
      <c r="S31" s="4">
        <f t="shared" ca="1" si="7"/>
        <v>-46.644444444444446</v>
      </c>
      <c r="T31" s="4">
        <f t="shared" ca="1" si="3"/>
        <v>-19.644444444444446</v>
      </c>
      <c r="U31" s="4">
        <f t="shared" ca="1" si="4"/>
        <v>-26.644444444444446</v>
      </c>
      <c r="Z31" t="s">
        <v>20</v>
      </c>
      <c r="AA31" s="12">
        <f t="array" aca="1" ref="AA31:AC33" ca="1">MMULT(AA27:AC29,MMULT(AA19:AC21,AA23:AC25))</f>
        <v>1.1900979956238313</v>
      </c>
      <c r="AB31" s="12">
        <f ca="1"/>
        <v>5.5511151231257827E-17</v>
      </c>
      <c r="AC31" s="12">
        <f ca="1"/>
        <v>-3.3306690738754696E-16</v>
      </c>
    </row>
    <row r="32" spans="3:29">
      <c r="C32" s="2">
        <f t="shared" ca="1" si="5"/>
        <v>-40</v>
      </c>
      <c r="D32" s="2">
        <f t="shared" ca="1" si="5"/>
        <v>-87</v>
      </c>
      <c r="E32" s="2">
        <f t="shared" ca="1" si="5"/>
        <v>8</v>
      </c>
      <c r="O32" s="2">
        <f t="shared" ca="1" si="6"/>
        <v>-40</v>
      </c>
      <c r="P32" s="2">
        <f t="shared" ca="1" si="1"/>
        <v>-87</v>
      </c>
      <c r="Q32" s="2">
        <f t="shared" ca="1" si="2"/>
        <v>8</v>
      </c>
      <c r="S32" s="4">
        <f t="shared" ca="1" si="7"/>
        <v>-34.644444444444446</v>
      </c>
      <c r="T32" s="4">
        <f t="shared" ca="1" si="3"/>
        <v>-81.644444444444446</v>
      </c>
      <c r="U32" s="4">
        <f t="shared" ca="1" si="4"/>
        <v>13.355555555555554</v>
      </c>
      <c r="AA32" s="12">
        <f ca="1"/>
        <v>5.5511151231257827E-17</v>
      </c>
      <c r="AB32" s="12">
        <f ca="1"/>
        <v>1.0046227570329496</v>
      </c>
      <c r="AC32" s="12">
        <f ca="1"/>
        <v>2.7755575615628914E-17</v>
      </c>
    </row>
    <row r="33" spans="3:29">
      <c r="C33" s="2">
        <f t="shared" ca="1" si="5"/>
        <v>39</v>
      </c>
      <c r="D33" s="2">
        <f t="shared" ca="1" si="5"/>
        <v>17</v>
      </c>
      <c r="E33" s="2">
        <f t="shared" ca="1" si="5"/>
        <v>-75</v>
      </c>
      <c r="O33" s="2">
        <f t="shared" ca="1" si="6"/>
        <v>39</v>
      </c>
      <c r="P33" s="2">
        <f t="shared" ca="1" si="1"/>
        <v>17</v>
      </c>
      <c r="Q33" s="2">
        <f t="shared" ca="1" si="2"/>
        <v>-75</v>
      </c>
      <c r="S33" s="4">
        <f t="shared" ca="1" si="7"/>
        <v>44.355555555555554</v>
      </c>
      <c r="T33" s="4">
        <f t="shared" ca="1" si="3"/>
        <v>22.355555555555554</v>
      </c>
      <c r="U33" s="4">
        <f t="shared" ca="1" si="4"/>
        <v>-69.644444444444446</v>
      </c>
      <c r="AA33" s="12">
        <f ca="1"/>
        <v>-3.3306690738754696E-16</v>
      </c>
      <c r="AB33" s="12">
        <f ca="1"/>
        <v>-5.5511151231257827E-17</v>
      </c>
      <c r="AC33" s="12">
        <f ca="1"/>
        <v>0.8052792473432191</v>
      </c>
    </row>
    <row r="34" spans="3:29">
      <c r="C34" s="2">
        <f t="shared" ca="1" si="5"/>
        <v>-57</v>
      </c>
      <c r="D34" s="2">
        <f t="shared" ca="1" si="5"/>
        <v>6</v>
      </c>
      <c r="E34" s="2">
        <f t="shared" ca="1" si="5"/>
        <v>-13</v>
      </c>
      <c r="O34" s="2">
        <f t="shared" ca="1" si="6"/>
        <v>-57</v>
      </c>
      <c r="P34" s="2">
        <f t="shared" ca="1" si="1"/>
        <v>6</v>
      </c>
      <c r="Q34" s="2">
        <f t="shared" ca="1" si="2"/>
        <v>-13</v>
      </c>
      <c r="S34" s="4">
        <f t="shared" ca="1" si="7"/>
        <v>-51.644444444444446</v>
      </c>
      <c r="T34" s="4">
        <f t="shared" ca="1" si="3"/>
        <v>11.355555555555554</v>
      </c>
      <c r="U34" s="4">
        <f t="shared" ca="1" si="4"/>
        <v>-7.6444444444444448</v>
      </c>
    </row>
    <row r="35" spans="3:29">
      <c r="C35" s="2">
        <f t="shared" ca="1" si="5"/>
        <v>42</v>
      </c>
      <c r="D35" s="2">
        <f t="shared" ca="1" si="5"/>
        <v>14</v>
      </c>
      <c r="E35" s="2">
        <f t="shared" ca="1" si="5"/>
        <v>-46</v>
      </c>
      <c r="O35" s="2">
        <f t="shared" ca="1" si="6"/>
        <v>42</v>
      </c>
      <c r="P35" s="2">
        <f t="shared" ca="1" si="1"/>
        <v>14</v>
      </c>
      <c r="Q35" s="2">
        <f t="shared" ca="1" si="2"/>
        <v>-46</v>
      </c>
      <c r="S35" s="4">
        <f t="shared" ca="1" si="7"/>
        <v>47.355555555555554</v>
      </c>
      <c r="T35" s="4">
        <f t="shared" ca="1" si="3"/>
        <v>19.355555555555554</v>
      </c>
      <c r="U35" s="4">
        <f t="shared" ca="1" si="4"/>
        <v>-40.644444444444446</v>
      </c>
    </row>
    <row r="36" spans="3:29">
      <c r="C36" s="2">
        <f t="shared" ca="1" si="5"/>
        <v>34</v>
      </c>
      <c r="D36" s="2">
        <f t="shared" ca="1" si="5"/>
        <v>-79</v>
      </c>
      <c r="E36" s="2">
        <f t="shared" ca="1" si="5"/>
        <v>-6</v>
      </c>
      <c r="O36" s="2">
        <f t="shared" ca="1" si="6"/>
        <v>34</v>
      </c>
      <c r="P36" s="2">
        <f t="shared" ca="1" si="1"/>
        <v>-79</v>
      </c>
      <c r="Q36" s="2">
        <f t="shared" ca="1" si="2"/>
        <v>-6</v>
      </c>
      <c r="S36" s="4">
        <f t="shared" ca="1" si="7"/>
        <v>39.355555555555554</v>
      </c>
      <c r="T36" s="4">
        <f t="shared" ca="1" si="3"/>
        <v>-73.644444444444446</v>
      </c>
      <c r="U36" s="4">
        <f t="shared" ca="1" si="4"/>
        <v>-0.64444444444444482</v>
      </c>
    </row>
    <row r="37" spans="3:29">
      <c r="C37" s="2">
        <f t="shared" ca="1" si="5"/>
        <v>41</v>
      </c>
      <c r="D37" s="2">
        <f t="shared" ca="1" si="5"/>
        <v>98</v>
      </c>
      <c r="E37" s="2">
        <f t="shared" ca="1" si="5"/>
        <v>-93</v>
      </c>
      <c r="O37" s="2">
        <f t="shared" ca="1" si="6"/>
        <v>41</v>
      </c>
      <c r="P37" s="2">
        <f t="shared" ca="1" si="1"/>
        <v>98</v>
      </c>
      <c r="Q37" s="2">
        <f t="shared" ca="1" si="2"/>
        <v>-93</v>
      </c>
      <c r="S37" s="4">
        <f t="shared" ca="1" si="7"/>
        <v>46.355555555555554</v>
      </c>
      <c r="T37" s="4">
        <f t="shared" ca="1" si="3"/>
        <v>103.35555555555555</v>
      </c>
      <c r="U37" s="4">
        <f t="shared" ca="1" si="4"/>
        <v>-87.644444444444446</v>
      </c>
    </row>
    <row r="38" spans="3:29">
      <c r="C38" s="2">
        <f t="shared" ca="1" si="5"/>
        <v>-84</v>
      </c>
      <c r="D38" s="2">
        <f t="shared" ca="1" si="5"/>
        <v>-82</v>
      </c>
      <c r="E38" s="2">
        <f t="shared" ca="1" si="5"/>
        <v>-33</v>
      </c>
      <c r="O38" s="2">
        <f t="shared" ca="1" si="6"/>
        <v>-84</v>
      </c>
      <c r="P38" s="2">
        <f t="shared" ca="1" si="1"/>
        <v>-82</v>
      </c>
      <c r="Q38" s="2">
        <f t="shared" ca="1" si="2"/>
        <v>-33</v>
      </c>
      <c r="S38" s="4">
        <f t="shared" ca="1" si="7"/>
        <v>-78.644444444444446</v>
      </c>
      <c r="T38" s="4">
        <f t="shared" ca="1" si="3"/>
        <v>-76.644444444444446</v>
      </c>
      <c r="U38" s="4">
        <f t="shared" ca="1" si="4"/>
        <v>-27.644444444444446</v>
      </c>
    </row>
    <row r="39" spans="3:29">
      <c r="C39" s="2">
        <f t="shared" ca="1" si="5"/>
        <v>-54</v>
      </c>
      <c r="D39" s="2">
        <f t="shared" ca="1" si="5"/>
        <v>69</v>
      </c>
      <c r="E39" s="2">
        <f t="shared" ca="1" si="5"/>
        <v>23</v>
      </c>
      <c r="O39" s="2">
        <f t="shared" ca="1" si="6"/>
        <v>-54</v>
      </c>
      <c r="P39" s="2">
        <f t="shared" ca="1" si="1"/>
        <v>69</v>
      </c>
      <c r="Q39" s="2">
        <f t="shared" ca="1" si="2"/>
        <v>23</v>
      </c>
      <c r="S39" s="4">
        <f t="shared" ca="1" si="7"/>
        <v>-48.644444444444446</v>
      </c>
      <c r="T39" s="4">
        <f t="shared" ca="1" si="3"/>
        <v>74.355555555555554</v>
      </c>
      <c r="U39" s="4">
        <f t="shared" ca="1" si="4"/>
        <v>28.355555555555554</v>
      </c>
    </row>
    <row r="40" spans="3:29">
      <c r="C40" s="2">
        <f t="shared" ca="1" si="5"/>
        <v>-47</v>
      </c>
      <c r="D40" s="2">
        <f t="shared" ca="1" si="5"/>
        <v>15</v>
      </c>
      <c r="E40" s="2">
        <f t="shared" ca="1" si="5"/>
        <v>61</v>
      </c>
      <c r="O40" s="2">
        <f t="shared" ca="1" si="6"/>
        <v>-47</v>
      </c>
      <c r="P40" s="2">
        <f t="shared" ca="1" si="1"/>
        <v>15</v>
      </c>
      <c r="Q40" s="2">
        <f t="shared" ca="1" si="2"/>
        <v>61</v>
      </c>
      <c r="S40" s="4">
        <f t="shared" ca="1" si="7"/>
        <v>-41.644444444444446</v>
      </c>
      <c r="T40" s="4">
        <f t="shared" ca="1" si="3"/>
        <v>20.355555555555554</v>
      </c>
      <c r="U40" s="4">
        <f t="shared" ca="1" si="4"/>
        <v>66.355555555555554</v>
      </c>
    </row>
    <row r="41" spans="3:29">
      <c r="C41" s="2">
        <f t="shared" ca="1" si="5"/>
        <v>-60</v>
      </c>
      <c r="D41" s="2">
        <f t="shared" ca="1" si="5"/>
        <v>-64</v>
      </c>
      <c r="E41" s="2">
        <f t="shared" ca="1" si="5"/>
        <v>61</v>
      </c>
      <c r="O41" s="2">
        <f t="shared" ca="1" si="6"/>
        <v>-60</v>
      </c>
      <c r="P41" s="2">
        <f t="shared" ca="1" si="1"/>
        <v>-64</v>
      </c>
      <c r="Q41" s="2">
        <f t="shared" ca="1" si="2"/>
        <v>61</v>
      </c>
      <c r="S41" s="4">
        <f t="shared" ca="1" si="7"/>
        <v>-54.644444444444446</v>
      </c>
      <c r="T41" s="4">
        <f t="shared" ca="1" si="3"/>
        <v>-58.644444444444446</v>
      </c>
      <c r="U41" s="4">
        <f t="shared" ca="1" si="4"/>
        <v>66.355555555555554</v>
      </c>
    </row>
    <row r="42" spans="3:29">
      <c r="C42" s="2">
        <f t="shared" ca="1" si="5"/>
        <v>22</v>
      </c>
      <c r="D42" s="2">
        <f t="shared" ca="1" si="5"/>
        <v>5</v>
      </c>
      <c r="E42" s="2">
        <f t="shared" ca="1" si="5"/>
        <v>-79</v>
      </c>
      <c r="O42" s="2">
        <f t="shared" ca="1" si="6"/>
        <v>22</v>
      </c>
      <c r="P42" s="2">
        <f t="shared" ca="1" si="1"/>
        <v>5</v>
      </c>
      <c r="Q42" s="2">
        <f t="shared" ca="1" si="2"/>
        <v>-79</v>
      </c>
      <c r="S42" s="4">
        <f t="shared" ca="1" si="7"/>
        <v>27.355555555555554</v>
      </c>
      <c r="T42" s="4">
        <f t="shared" ca="1" si="3"/>
        <v>10.355555555555554</v>
      </c>
      <c r="U42" s="4">
        <f t="shared" ca="1" si="4"/>
        <v>-73.644444444444446</v>
      </c>
    </row>
    <row r="43" spans="3:29">
      <c r="C43" s="2">
        <f t="shared" ca="1" si="5"/>
        <v>-16</v>
      </c>
      <c r="D43" s="2">
        <f t="shared" ca="1" si="5"/>
        <v>-91</v>
      </c>
      <c r="E43" s="2">
        <f t="shared" ca="1" si="5"/>
        <v>100</v>
      </c>
      <c r="O43" s="2">
        <f t="shared" ca="1" si="6"/>
        <v>-16</v>
      </c>
      <c r="P43" s="2">
        <f t="shared" ca="1" si="1"/>
        <v>-91</v>
      </c>
      <c r="Q43" s="2">
        <f t="shared" ca="1" si="2"/>
        <v>100</v>
      </c>
      <c r="S43" s="4">
        <f t="shared" ca="1" si="7"/>
        <v>-10.644444444444446</v>
      </c>
      <c r="T43" s="4">
        <f t="shared" ca="1" si="3"/>
        <v>-85.644444444444446</v>
      </c>
      <c r="U43" s="4">
        <f t="shared" ca="1" si="4"/>
        <v>105.35555555555555</v>
      </c>
    </row>
    <row r="44" spans="3:29">
      <c r="C44" s="2">
        <f t="shared" ca="1" si="5"/>
        <v>70</v>
      </c>
      <c r="D44" s="2">
        <f t="shared" ca="1" si="5"/>
        <v>69</v>
      </c>
      <c r="E44" s="2">
        <f t="shared" ca="1" si="5"/>
        <v>-64</v>
      </c>
      <c r="O44" s="2">
        <f t="shared" ca="1" si="6"/>
        <v>70</v>
      </c>
      <c r="P44" s="2">
        <f t="shared" ca="1" si="1"/>
        <v>69</v>
      </c>
      <c r="Q44" s="2">
        <f t="shared" ca="1" si="2"/>
        <v>-64</v>
      </c>
      <c r="S44" s="4">
        <f t="shared" ca="1" si="7"/>
        <v>75.355555555555554</v>
      </c>
      <c r="T44" s="4">
        <f t="shared" ca="1" si="3"/>
        <v>74.355555555555554</v>
      </c>
      <c r="U44" s="4">
        <f t="shared" ca="1" si="4"/>
        <v>-58.644444444444446</v>
      </c>
    </row>
    <row r="45" spans="3:29">
      <c r="C45" s="2">
        <f t="shared" ca="1" si="5"/>
        <v>-16</v>
      </c>
      <c r="D45" s="2">
        <f t="shared" ca="1" si="5"/>
        <v>27</v>
      </c>
      <c r="E45" s="2">
        <f t="shared" ca="1" si="5"/>
        <v>81</v>
      </c>
      <c r="O45" s="2">
        <f t="shared" ca="1" si="6"/>
        <v>-16</v>
      </c>
      <c r="P45" s="2">
        <f t="shared" ca="1" si="1"/>
        <v>27</v>
      </c>
      <c r="Q45" s="2">
        <f t="shared" ca="1" si="2"/>
        <v>81</v>
      </c>
      <c r="S45" s="4">
        <f t="shared" ca="1" si="7"/>
        <v>-10.644444444444446</v>
      </c>
      <c r="T45" s="4">
        <f t="shared" ca="1" si="3"/>
        <v>32.355555555555554</v>
      </c>
      <c r="U45" s="4">
        <f t="shared" ca="1" si="4"/>
        <v>86.355555555555554</v>
      </c>
    </row>
    <row r="46" spans="3:29">
      <c r="C46" s="2">
        <f t="shared" ca="1" si="5"/>
        <v>88</v>
      </c>
      <c r="D46" s="2">
        <f t="shared" ca="1" si="5"/>
        <v>-43</v>
      </c>
      <c r="E46" s="2">
        <f t="shared" ca="1" si="5"/>
        <v>35</v>
      </c>
      <c r="O46" s="2">
        <f t="shared" ca="1" si="6"/>
        <v>88</v>
      </c>
      <c r="P46" s="2">
        <f t="shared" ca="1" si="1"/>
        <v>-43</v>
      </c>
      <c r="Q46" s="2">
        <f t="shared" ca="1" si="2"/>
        <v>35</v>
      </c>
      <c r="S46" s="4">
        <f t="shared" ca="1" si="7"/>
        <v>93.355555555555554</v>
      </c>
      <c r="T46" s="4">
        <f t="shared" ca="1" si="3"/>
        <v>-37.644444444444446</v>
      </c>
      <c r="U46" s="4">
        <f t="shared" ca="1" si="4"/>
        <v>40.355555555555554</v>
      </c>
    </row>
    <row r="47" spans="3:29">
      <c r="C47" s="2">
        <f t="shared" ca="1" si="5"/>
        <v>-82</v>
      </c>
      <c r="D47" s="2">
        <f t="shared" ca="1" si="5"/>
        <v>-51</v>
      </c>
      <c r="E47" s="2">
        <f t="shared" ca="1" si="5"/>
        <v>92</v>
      </c>
      <c r="O47" s="2">
        <f t="shared" ca="1" si="6"/>
        <v>-82</v>
      </c>
      <c r="P47" s="2">
        <f t="shared" ca="1" si="1"/>
        <v>-51</v>
      </c>
      <c r="Q47" s="2">
        <f t="shared" ca="1" si="2"/>
        <v>92</v>
      </c>
      <c r="S47" s="4">
        <f t="shared" ca="1" si="7"/>
        <v>-76.644444444444446</v>
      </c>
      <c r="T47" s="4">
        <f t="shared" ca="1" si="3"/>
        <v>-45.644444444444446</v>
      </c>
      <c r="U47" s="4">
        <f t="shared" ca="1" si="4"/>
        <v>97.355555555555554</v>
      </c>
    </row>
    <row r="48" spans="3:29">
      <c r="C48" s="2">
        <f t="shared" ca="1" si="5"/>
        <v>89</v>
      </c>
      <c r="D48" s="2">
        <f t="shared" ca="1" si="5"/>
        <v>-27</v>
      </c>
      <c r="E48" s="2">
        <f t="shared" ca="1" si="5"/>
        <v>73</v>
      </c>
      <c r="O48" s="2">
        <f t="shared" ca="1" si="6"/>
        <v>89</v>
      </c>
      <c r="P48" s="2">
        <f t="shared" ca="1" si="1"/>
        <v>-27</v>
      </c>
      <c r="Q48" s="2">
        <f t="shared" ca="1" si="2"/>
        <v>73</v>
      </c>
      <c r="S48" s="4">
        <f t="shared" ca="1" si="7"/>
        <v>94.355555555555554</v>
      </c>
      <c r="T48" s="4">
        <f t="shared" ca="1" si="3"/>
        <v>-21.644444444444446</v>
      </c>
      <c r="U48" s="4">
        <f t="shared" ca="1" si="4"/>
        <v>78.355555555555554</v>
      </c>
    </row>
    <row r="49" spans="3:21">
      <c r="C49" s="2">
        <f t="shared" ca="1" si="5"/>
        <v>-46</v>
      </c>
      <c r="D49" s="2">
        <f t="shared" ca="1" si="5"/>
        <v>-45</v>
      </c>
      <c r="E49" s="2">
        <f t="shared" ca="1" si="5"/>
        <v>-72</v>
      </c>
      <c r="O49" s="2">
        <f t="shared" ref="O49" ca="1" si="9">IF($H$13="LEVEL",C49,C49-C50)</f>
        <v>-46</v>
      </c>
      <c r="P49" s="2">
        <f t="shared" ref="P49" ca="1" si="10">IF($H$13="LEVEL",D49,D49-D50)</f>
        <v>-45</v>
      </c>
      <c r="Q49" s="2">
        <f t="shared" ref="Q49" ca="1" si="11">IF($H$13="LEVEL",E49,E49-E50)</f>
        <v>-72</v>
      </c>
      <c r="S49" s="4">
        <f t="shared" ca="1" si="7"/>
        <v>-40.644444444444446</v>
      </c>
      <c r="T49" s="4">
        <f t="shared" ca="1" si="3"/>
        <v>-39.644444444444446</v>
      </c>
      <c r="U49" s="4">
        <f t="shared" ca="1" si="4"/>
        <v>-66.644444444444446</v>
      </c>
    </row>
    <row r="50" spans="3:21">
      <c r="C50" s="2">
        <f t="shared" ca="1" si="5"/>
        <v>12</v>
      </c>
      <c r="D50" s="2">
        <f t="shared" ca="1" si="5"/>
        <v>51</v>
      </c>
      <c r="E50" s="2">
        <f t="shared" ca="1" si="5"/>
        <v>-67</v>
      </c>
    </row>
  </sheetData>
  <phoneticPr fontId="3"/>
  <dataValidations count="1">
    <dataValidation type="list" allowBlank="1" showInputMessage="1" showErrorMessage="1" sqref="H13">
      <formula1>$H$6:$H$7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Campbell</dc:creator>
  <cp:lastModifiedBy>Nicholas Burgess</cp:lastModifiedBy>
  <dcterms:created xsi:type="dcterms:W3CDTF">2015-08-10T07:07:13Z</dcterms:created>
  <dcterms:modified xsi:type="dcterms:W3CDTF">2015-09-11T09:37:05Z</dcterms:modified>
</cp:coreProperties>
</file>