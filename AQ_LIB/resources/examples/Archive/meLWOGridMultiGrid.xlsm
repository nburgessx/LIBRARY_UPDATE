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75" windowWidth="14685" windowHeight="10020"/>
  </bookViews>
  <sheets>
    <sheet name="LWO Grid Object" sheetId="1" r:id="rId1"/>
  </sheets>
  <calcPr calcId="145621" calcMode="manual" calcCompleted="0" calcOnSave="0"/>
</workbook>
</file>

<file path=xl/calcChain.xml><?xml version="1.0" encoding="utf-8"?>
<calcChain xmlns="http://schemas.openxmlformats.org/spreadsheetml/2006/main">
  <c r="C21" i="1" l="1"/>
  <c r="C17" i="1"/>
  <c r="I17" i="1" a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8" i="1" a="1"/>
  <c r="I8" i="1"/>
  <c r="J8" i="1"/>
  <c r="K8" i="1"/>
  <c r="L8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C4" i="1"/>
</calcChain>
</file>

<file path=xl/sharedStrings.xml><?xml version="1.0" encoding="utf-8"?>
<sst xmlns="http://schemas.openxmlformats.org/spreadsheetml/2006/main" count="26" uniqueCount="23">
  <si>
    <t>1Y</t>
  </si>
  <si>
    <t>2Y</t>
  </si>
  <si>
    <t>3Y</t>
  </si>
  <si>
    <r>
      <t>meObjectGridDisplay</t>
    </r>
    <r>
      <rPr>
        <sz val="11"/>
        <color rgb="FF0000FF"/>
        <rFont val="Arial"/>
        <family val="2"/>
      </rPr>
      <t xml:space="preserve"> ( without Column Headers )</t>
    </r>
  </si>
  <si>
    <t>TradeID</t>
  </si>
  <si>
    <t>Pay/Rec</t>
  </si>
  <si>
    <t>Rate</t>
  </si>
  <si>
    <t>Tenor</t>
  </si>
  <si>
    <t>Trade1</t>
  </si>
  <si>
    <t>Trade2</t>
  </si>
  <si>
    <t>Trade3</t>
  </si>
  <si>
    <t>Trade4</t>
  </si>
  <si>
    <t>Trade5</t>
  </si>
  <si>
    <t>Payer</t>
  </si>
  <si>
    <t>Receiver</t>
  </si>
  <si>
    <t>10Y</t>
  </si>
  <si>
    <t>5Y</t>
  </si>
  <si>
    <t>GridName</t>
  </si>
  <si>
    <t>MyPortfolio</t>
  </si>
  <si>
    <t>meLWOGridCreate</t>
  </si>
  <si>
    <r>
      <t>meLWOGridDisplay</t>
    </r>
    <r>
      <rPr>
        <sz val="11"/>
        <color rgb="FF0000FF"/>
        <rFont val="Arial"/>
        <family val="2"/>
      </rPr>
      <t xml:space="preserve"> ( with Column Headers )</t>
    </r>
  </si>
  <si>
    <t>meLWOGridSave</t>
  </si>
  <si>
    <t>meLWOGridLoad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</si>
</sst>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FF"/>
      <name val="Arial"/>
      <family val="2"/>
    </font>
    <font>
      <sz val="11"/>
      <color rgb="FF0000FF"/>
      <name val="Arial"/>
      <family val="2"/>
    </font>
    <font>
      <sz val="11"/>
      <color rgb="FF0066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1" fillId="3" borderId="0" xfId="0" applyFont="1" applyFill="1" applyBorder="1" applyAlignment="1">
      <alignment horizontal="center" vertical="center"/>
    </xf>
    <xf numFmtId="10" fontId="1" fillId="0" borderId="0" xfId="0" applyNumberFormat="1" applyFont="1"/>
    <xf numFmtId="0" fontId="1" fillId="0" borderId="1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15" fontId="1" fillId="0" borderId="6" xfId="0" applyNumberFormat="1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10" fontId="1" fillId="0" borderId="8" xfId="0" applyNumberFormat="1" applyFont="1" applyFill="1" applyBorder="1" applyAlignment="1">
      <alignment horizontal="center" vertical="center"/>
    </xf>
    <xf numFmtId="15" fontId="1" fillId="0" borderId="9" xfId="0" applyNumberFormat="1" applyFont="1" applyFill="1" applyBorder="1" applyAlignment="1">
      <alignment horizontal="center" vertical="center"/>
    </xf>
    <xf numFmtId="0" fontId="5" fillId="3" borderId="0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10" fontId="1" fillId="3" borderId="11" xfId="0" applyNumberFormat="1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3" fillId="3" borderId="0" xfId="0" applyFont="1" applyFill="1" applyBorder="1"/>
    <xf numFmtId="0" fontId="1" fillId="3" borderId="0" xfId="0" applyFont="1" applyFill="1" applyBorder="1"/>
    <xf numFmtId="10" fontId="1" fillId="3" borderId="0" xfId="0" applyNumberFormat="1" applyFont="1" applyFill="1" applyBorder="1"/>
    <xf numFmtId="0" fontId="1" fillId="3" borderId="14" xfId="0" applyFont="1" applyFill="1" applyBorder="1"/>
    <xf numFmtId="0" fontId="1" fillId="3" borderId="15" xfId="0" applyFont="1" applyFill="1" applyBorder="1"/>
    <xf numFmtId="0" fontId="1" fillId="3" borderId="16" xfId="0" applyFont="1" applyFill="1" applyBorder="1"/>
    <xf numFmtId="10" fontId="1" fillId="3" borderId="16" xfId="0" applyNumberFormat="1" applyFont="1" applyFill="1" applyBorder="1"/>
    <xf numFmtId="0" fontId="1" fillId="3" borderId="17" xfId="0" applyFont="1" applyFill="1" applyBorder="1"/>
    <xf numFmtId="0" fontId="5" fillId="3" borderId="1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0" fontId="5" fillId="3" borderId="0" xfId="0" applyNumberFormat="1" applyFont="1" applyFill="1" applyBorder="1" applyAlignment="1">
      <alignment horizontal="center" vertical="center"/>
    </xf>
    <xf numFmtId="15" fontId="5" fillId="3" borderId="14" xfId="0" applyNumberFormat="1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10" fontId="5" fillId="3" borderId="16" xfId="0" applyNumberFormat="1" applyFont="1" applyFill="1" applyBorder="1" applyAlignment="1">
      <alignment horizontal="center" vertical="center"/>
    </xf>
    <xf numFmtId="15" fontId="5" fillId="3" borderId="17" xfId="0" applyNumberFormat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10" fontId="5" fillId="3" borderId="11" xfId="0" applyNumberFormat="1" applyFont="1" applyFill="1" applyBorder="1" applyAlignment="1">
      <alignment horizontal="center" vertical="center"/>
    </xf>
    <xf numFmtId="15" fontId="5" fillId="3" borderId="1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0" fontId="1" fillId="0" borderId="3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0" fontId="1" fillId="3" borderId="0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0"/>
  <sheetViews>
    <sheetView showGridLines="0" tabSelected="1" zoomScale="85" zoomScaleNormal="85" workbookViewId="0"/>
  </sheetViews>
  <sheetFormatPr defaultRowHeight="14.25" x14ac:dyDescent="0.2"/>
  <cols>
    <col min="1" max="2" width="4.7109375" style="1" customWidth="1"/>
    <col min="3" max="4" width="15.7109375" style="1" customWidth="1"/>
    <col min="5" max="5" width="15.7109375" style="3" customWidth="1"/>
    <col min="6" max="7" width="15.7109375" style="1" customWidth="1"/>
    <col min="8" max="8" width="9.140625" style="1"/>
    <col min="9" max="12" width="15.7109375" style="1" customWidth="1"/>
    <col min="13" max="16384" width="9.140625" style="1"/>
  </cols>
  <sheetData>
    <row r="1" spans="2:13" ht="15" customHeight="1" x14ac:dyDescent="0.2"/>
    <row r="2" spans="2:13" ht="15" customHeight="1" x14ac:dyDescent="0.2">
      <c r="B2" s="14"/>
      <c r="C2" s="15"/>
      <c r="D2" s="15"/>
      <c r="E2" s="16"/>
      <c r="F2" s="15"/>
      <c r="G2" s="15"/>
      <c r="H2" s="15"/>
      <c r="I2" s="15"/>
      <c r="J2" s="15"/>
      <c r="K2" s="15"/>
      <c r="L2" s="15"/>
      <c r="M2" s="17"/>
    </row>
    <row r="3" spans="2:13" ht="15" customHeight="1" x14ac:dyDescent="0.25">
      <c r="B3" s="18"/>
      <c r="C3" s="19" t="s">
        <v>19</v>
      </c>
      <c r="D3" s="20"/>
      <c r="E3" s="21"/>
      <c r="F3" s="20"/>
      <c r="G3" s="20"/>
      <c r="H3" s="20"/>
      <c r="I3" s="20"/>
      <c r="J3" s="20"/>
      <c r="K3" s="20"/>
      <c r="L3" s="20"/>
      <c r="M3" s="22"/>
    </row>
    <row r="4" spans="2:13" ht="15" customHeight="1" x14ac:dyDescent="0.2">
      <c r="B4" s="18"/>
      <c r="C4" s="13" t="str">
        <f ca="1">_xll.meLWOGridCreate("myPortfolio",C8:F13,TRUE)</f>
        <v>MYPORTFOLIO:4</v>
      </c>
      <c r="D4" s="20"/>
      <c r="E4" s="21"/>
      <c r="F4" s="20"/>
      <c r="G4" s="20"/>
      <c r="H4" s="20"/>
      <c r="I4" s="20"/>
      <c r="J4" s="20"/>
      <c r="K4" s="20"/>
      <c r="L4" s="20"/>
      <c r="M4" s="22"/>
    </row>
    <row r="5" spans="2:13" ht="15" customHeight="1" x14ac:dyDescent="0.2">
      <c r="B5" s="18"/>
      <c r="C5" s="20"/>
      <c r="D5" s="20"/>
      <c r="E5" s="21"/>
      <c r="F5" s="20"/>
      <c r="G5" s="20"/>
      <c r="H5" s="20"/>
      <c r="I5" s="20"/>
      <c r="J5" s="20"/>
      <c r="K5" s="20"/>
      <c r="L5" s="20"/>
      <c r="M5" s="22"/>
    </row>
    <row r="6" spans="2:13" ht="15" x14ac:dyDescent="0.25">
      <c r="B6" s="18"/>
      <c r="C6" s="44" t="s">
        <v>17</v>
      </c>
      <c r="D6" s="4" t="s">
        <v>18</v>
      </c>
      <c r="E6" s="21"/>
      <c r="F6" s="20"/>
      <c r="G6" s="20"/>
      <c r="H6" s="20"/>
      <c r="I6" s="19" t="s">
        <v>20</v>
      </c>
      <c r="J6" s="20"/>
      <c r="K6" s="21"/>
      <c r="L6" s="20"/>
      <c r="M6" s="22"/>
    </row>
    <row r="7" spans="2:13" ht="15" x14ac:dyDescent="0.25">
      <c r="B7" s="18"/>
      <c r="C7" s="43"/>
      <c r="D7" s="2"/>
      <c r="E7" s="21"/>
      <c r="F7" s="20"/>
      <c r="G7" s="20"/>
      <c r="H7" s="20"/>
      <c r="I7" s="19"/>
      <c r="J7" s="20"/>
      <c r="K7" s="21"/>
      <c r="L7" s="20"/>
      <c r="M7" s="22"/>
    </row>
    <row r="8" spans="2:13" x14ac:dyDescent="0.2">
      <c r="B8" s="18"/>
      <c r="C8" s="2" t="s">
        <v>4</v>
      </c>
      <c r="D8" s="2" t="s">
        <v>5</v>
      </c>
      <c r="E8" s="45" t="s">
        <v>6</v>
      </c>
      <c r="F8" s="46" t="s">
        <v>7</v>
      </c>
      <c r="G8" s="20"/>
      <c r="H8" s="20"/>
      <c r="I8" s="35" t="str">
        <f t="array" aca="1" ref="I8:L13" ca="1">_xll.meLWOGridDisplay($C$4,TRUE)</f>
        <v>TradeID</v>
      </c>
      <c r="J8" s="36" t="str">
        <f ca="1"/>
        <v>Pay/Rec</v>
      </c>
      <c r="K8" s="37" t="str">
        <f ca="1"/>
        <v>Rate</v>
      </c>
      <c r="L8" s="47" t="str">
        <f ca="1"/>
        <v>Tenor</v>
      </c>
      <c r="M8" s="22"/>
    </row>
    <row r="9" spans="2:13" x14ac:dyDescent="0.2">
      <c r="B9" s="18"/>
      <c r="C9" s="39" t="s">
        <v>8</v>
      </c>
      <c r="D9" s="40" t="s">
        <v>13</v>
      </c>
      <c r="E9" s="41">
        <v>0.01</v>
      </c>
      <c r="F9" s="42" t="s">
        <v>16</v>
      </c>
      <c r="G9" s="20"/>
      <c r="H9" s="20"/>
      <c r="I9" s="27" t="str">
        <f ca="1"/>
        <v>Trade1</v>
      </c>
      <c r="J9" s="28" t="str">
        <f ca="1"/>
        <v>Payer</v>
      </c>
      <c r="K9" s="29">
        <f ca="1"/>
        <v>0.01</v>
      </c>
      <c r="L9" s="30" t="str">
        <f ca="1"/>
        <v>5Y</v>
      </c>
      <c r="M9" s="22"/>
    </row>
    <row r="10" spans="2:13" x14ac:dyDescent="0.2">
      <c r="B10" s="18"/>
      <c r="C10" s="6" t="s">
        <v>9</v>
      </c>
      <c r="D10" s="7" t="s">
        <v>13</v>
      </c>
      <c r="E10" s="8">
        <v>1.4999999999999999E-2</v>
      </c>
      <c r="F10" s="9" t="s">
        <v>2</v>
      </c>
      <c r="G10" s="20"/>
      <c r="H10" s="20"/>
      <c r="I10" s="27" t="str">
        <f ca="1"/>
        <v>Trade2</v>
      </c>
      <c r="J10" s="28" t="str">
        <f ca="1"/>
        <v>Payer</v>
      </c>
      <c r="K10" s="29">
        <f ca="1"/>
        <v>1.4999999999999999E-2</v>
      </c>
      <c r="L10" s="30" t="str">
        <f ca="1"/>
        <v>3Y</v>
      </c>
      <c r="M10" s="22"/>
    </row>
    <row r="11" spans="2:13" x14ac:dyDescent="0.2">
      <c r="B11" s="18"/>
      <c r="C11" s="6" t="s">
        <v>10</v>
      </c>
      <c r="D11" s="7" t="s">
        <v>14</v>
      </c>
      <c r="E11" s="8">
        <v>2.5000000000000001E-3</v>
      </c>
      <c r="F11" s="9" t="s">
        <v>0</v>
      </c>
      <c r="G11" s="20"/>
      <c r="H11" s="20"/>
      <c r="I11" s="27" t="str">
        <f ca="1"/>
        <v>Trade3</v>
      </c>
      <c r="J11" s="28" t="str">
        <f ca="1"/>
        <v>Receiver</v>
      </c>
      <c r="K11" s="29">
        <f ca="1"/>
        <v>2.5000000000000001E-3</v>
      </c>
      <c r="L11" s="30" t="str">
        <f ca="1"/>
        <v>1Y</v>
      </c>
      <c r="M11" s="22"/>
    </row>
    <row r="12" spans="2:13" x14ac:dyDescent="0.2">
      <c r="B12" s="18"/>
      <c r="C12" s="6" t="s">
        <v>11</v>
      </c>
      <c r="D12" s="7" t="s">
        <v>13</v>
      </c>
      <c r="E12" s="8">
        <v>5.0000000000000001E-3</v>
      </c>
      <c r="F12" s="9" t="s">
        <v>1</v>
      </c>
      <c r="G12" s="20"/>
      <c r="H12" s="20"/>
      <c r="I12" s="27" t="str">
        <f ca="1"/>
        <v>Trade4</v>
      </c>
      <c r="J12" s="28" t="str">
        <f ca="1"/>
        <v>Payer</v>
      </c>
      <c r="K12" s="29">
        <f ca="1"/>
        <v>5.0000000000000001E-3</v>
      </c>
      <c r="L12" s="30" t="str">
        <f ca="1"/>
        <v>2Y</v>
      </c>
      <c r="M12" s="22"/>
    </row>
    <row r="13" spans="2:13" x14ac:dyDescent="0.2">
      <c r="B13" s="18"/>
      <c r="C13" s="10" t="s">
        <v>12</v>
      </c>
      <c r="D13" s="5" t="s">
        <v>14</v>
      </c>
      <c r="E13" s="11">
        <v>0.1</v>
      </c>
      <c r="F13" s="12" t="s">
        <v>15</v>
      </c>
      <c r="G13" s="20"/>
      <c r="H13" s="20"/>
      <c r="I13" s="31" t="str">
        <f ca="1"/>
        <v>Trade5</v>
      </c>
      <c r="J13" s="32" t="str">
        <f ca="1"/>
        <v>Receiver</v>
      </c>
      <c r="K13" s="33">
        <f ca="1"/>
        <v>0.1</v>
      </c>
      <c r="L13" s="34" t="str">
        <f ca="1"/>
        <v>10Y</v>
      </c>
      <c r="M13" s="22"/>
    </row>
    <row r="14" spans="2:13" x14ac:dyDescent="0.2">
      <c r="B14" s="18"/>
      <c r="C14" s="20"/>
      <c r="D14" s="20"/>
      <c r="E14" s="21"/>
      <c r="F14" s="20"/>
      <c r="G14" s="20"/>
      <c r="H14" s="20"/>
      <c r="I14" s="20"/>
      <c r="J14" s="20"/>
      <c r="K14" s="20"/>
      <c r="L14" s="20"/>
      <c r="M14" s="22"/>
    </row>
    <row r="15" spans="2:13" x14ac:dyDescent="0.2">
      <c r="B15" s="18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2"/>
    </row>
    <row r="16" spans="2:13" ht="15" x14ac:dyDescent="0.25">
      <c r="B16" s="18"/>
      <c r="C16" s="19" t="s">
        <v>21</v>
      </c>
      <c r="D16" s="20"/>
      <c r="E16" s="20"/>
      <c r="F16" s="20"/>
      <c r="G16" s="20"/>
      <c r="H16" s="20"/>
      <c r="I16" s="19" t="s">
        <v>3</v>
      </c>
      <c r="J16" s="20"/>
      <c r="K16" s="21"/>
      <c r="L16" s="20"/>
      <c r="M16" s="22"/>
    </row>
    <row r="17" spans="2:13" x14ac:dyDescent="0.2">
      <c r="B17" s="18"/>
      <c r="C17" s="13" t="str">
        <f ca="1">_xll.meLWOGridSave($C$4,"C:\Temp\MyPortfolio.JSON")</f>
        <v>Object MYPORTFOLIO was written to file C:\TEMP\MYPORTFOLIO.JSON</v>
      </c>
      <c r="D17" s="20"/>
      <c r="E17" s="20"/>
      <c r="F17" s="20"/>
      <c r="G17" s="20"/>
      <c r="H17" s="20"/>
      <c r="I17" s="35" t="str">
        <f t="array" aca="1" ref="I17:L21" ca="1">_xll.meLWOGridDisplay($C$4,FALSE)</f>
        <v>Trade1</v>
      </c>
      <c r="J17" s="36" t="str">
        <f ca="1"/>
        <v>Payer</v>
      </c>
      <c r="K17" s="37">
        <f ca="1"/>
        <v>0.01</v>
      </c>
      <c r="L17" s="38" t="str">
        <f ca="1"/>
        <v>5Y</v>
      </c>
      <c r="M17" s="22"/>
    </row>
    <row r="18" spans="2:13" x14ac:dyDescent="0.2">
      <c r="B18" s="18"/>
      <c r="C18" s="20"/>
      <c r="D18" s="20"/>
      <c r="E18" s="20"/>
      <c r="F18" s="20"/>
      <c r="G18" s="20"/>
      <c r="H18" s="20"/>
      <c r="I18" s="27" t="str">
        <f ca="1"/>
        <v>Trade2</v>
      </c>
      <c r="J18" s="28" t="str">
        <f ca="1"/>
        <v>Payer</v>
      </c>
      <c r="K18" s="29">
        <f ca="1"/>
        <v>1.4999999999999999E-2</v>
      </c>
      <c r="L18" s="30" t="str">
        <f ca="1"/>
        <v>3Y</v>
      </c>
      <c r="M18" s="22"/>
    </row>
    <row r="19" spans="2:13" x14ac:dyDescent="0.2">
      <c r="B19" s="18"/>
      <c r="C19" s="20"/>
      <c r="D19" s="20"/>
      <c r="E19" s="20"/>
      <c r="F19" s="20"/>
      <c r="G19" s="20"/>
      <c r="H19" s="20"/>
      <c r="I19" s="27" t="str">
        <f ca="1"/>
        <v>Trade3</v>
      </c>
      <c r="J19" s="28" t="str">
        <f ca="1"/>
        <v>Receiver</v>
      </c>
      <c r="K19" s="29">
        <f ca="1"/>
        <v>2.5000000000000001E-3</v>
      </c>
      <c r="L19" s="30" t="str">
        <f ca="1"/>
        <v>1Y</v>
      </c>
      <c r="M19" s="22"/>
    </row>
    <row r="20" spans="2:13" ht="15" x14ac:dyDescent="0.25">
      <c r="B20" s="18"/>
      <c r="C20" s="19" t="s">
        <v>22</v>
      </c>
      <c r="D20" s="20"/>
      <c r="E20" s="20"/>
      <c r="F20" s="20"/>
      <c r="G20" s="20"/>
      <c r="H20" s="20"/>
      <c r="I20" s="27" t="str">
        <f ca="1"/>
        <v>Trade4</v>
      </c>
      <c r="J20" s="28" t="str">
        <f ca="1"/>
        <v>Payer</v>
      </c>
      <c r="K20" s="29">
        <f ca="1"/>
        <v>5.0000000000000001E-3</v>
      </c>
      <c r="L20" s="30" t="str">
        <f ca="1"/>
        <v>2Y</v>
      </c>
      <c r="M20" s="22"/>
    </row>
    <row r="21" spans="2:13" x14ac:dyDescent="0.2">
      <c r="B21" s="18"/>
      <c r="C21" s="13" t="str">
        <f ca="1">_xll.meLWOGridLoad("C:\Temp\MYPORTFOLIO.JSON")</f>
        <v>MYPORTFOLIO object was successfully read from file C:\TEMP\MYPORTFOLIO.JSON</v>
      </c>
      <c r="D21" s="20"/>
      <c r="E21" s="20"/>
      <c r="F21" s="20"/>
      <c r="G21" s="20"/>
      <c r="H21" s="20"/>
      <c r="I21" s="31" t="str">
        <f ca="1"/>
        <v>Trade5</v>
      </c>
      <c r="J21" s="32" t="str">
        <f ca="1"/>
        <v>Receiver</v>
      </c>
      <c r="K21" s="33">
        <f ca="1"/>
        <v>0.1</v>
      </c>
      <c r="L21" s="34" t="str">
        <f ca="1"/>
        <v>10Y</v>
      </c>
      <c r="M21" s="22"/>
    </row>
    <row r="22" spans="2:13" x14ac:dyDescent="0.2">
      <c r="B22" s="18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2"/>
    </row>
    <row r="23" spans="2:13" x14ac:dyDescent="0.2">
      <c r="B23" s="23"/>
      <c r="C23" s="24"/>
      <c r="D23" s="24"/>
      <c r="E23" s="25"/>
      <c r="F23" s="24"/>
      <c r="G23" s="24"/>
      <c r="H23" s="24"/>
      <c r="I23" s="24"/>
      <c r="J23" s="24"/>
      <c r="K23" s="24"/>
      <c r="L23" s="24"/>
      <c r="M23" s="26"/>
    </row>
    <row r="24" spans="2:13" x14ac:dyDescent="0.2">
      <c r="E24" s="1"/>
    </row>
    <row r="25" spans="2:13" x14ac:dyDescent="0.2">
      <c r="E25" s="1"/>
    </row>
    <row r="26" spans="2:13" x14ac:dyDescent="0.2">
      <c r="E26" s="1"/>
    </row>
    <row r="27" spans="2:13" x14ac:dyDescent="0.2">
      <c r="E27" s="1"/>
    </row>
    <row r="28" spans="2:13" x14ac:dyDescent="0.2">
      <c r="E28" s="1"/>
    </row>
    <row r="29" spans="2:13" x14ac:dyDescent="0.2">
      <c r="E29" s="1"/>
    </row>
    <row r="30" spans="2:13" x14ac:dyDescent="0.2">
      <c r="E30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LWO Grid Object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Roggeman Hans</dc:creator>
  <cp:lastModifiedBy>Nicholas Burgess</cp:lastModifiedBy>
  <dcterms:created xsi:type="dcterms:W3CDTF">2016-05-04T15:40:16Z</dcterms:created>
  <dcterms:modified xsi:type="dcterms:W3CDTF">2016-10-10T13:07:09Z</dcterms:modified>
</cp:coreProperties>
</file>