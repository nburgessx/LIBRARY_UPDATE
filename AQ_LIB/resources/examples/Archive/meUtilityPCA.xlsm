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20700" windowHeight="11700" tabRatio="703"/>
  </bookViews>
  <sheets>
    <sheet name="meUtilityPCA" sheetId="18" r:id="rId1"/>
  </sheets>
  <calcPr calcId="145621" calcMode="manual" calcOnSave="0"/>
</workbook>
</file>

<file path=xl/calcChain.xml><?xml version="1.0" encoding="utf-8"?>
<calcChain xmlns="http://schemas.openxmlformats.org/spreadsheetml/2006/main">
  <c r="D57" i="18" l="1"/>
  <c r="C57" i="18"/>
  <c r="B57" i="18"/>
  <c r="D56" i="18"/>
  <c r="H56" i="18" s="1"/>
  <c r="C56" i="18"/>
  <c r="G56" i="18" s="1"/>
  <c r="B56" i="18"/>
  <c r="F56" i="18" s="1"/>
  <c r="D55" i="18"/>
  <c r="H55" i="18" s="1"/>
  <c r="C55" i="18"/>
  <c r="B55" i="18"/>
  <c r="D54" i="18"/>
  <c r="C54" i="18"/>
  <c r="G54" i="18" s="1"/>
  <c r="B54" i="18"/>
  <c r="F54" i="18" s="1"/>
  <c r="D53" i="18"/>
  <c r="H53" i="18" s="1"/>
  <c r="C53" i="18"/>
  <c r="G53" i="18" s="1"/>
  <c r="B53" i="18"/>
  <c r="F53" i="18" s="1"/>
  <c r="D52" i="18"/>
  <c r="C52" i="18"/>
  <c r="B52" i="18"/>
  <c r="D51" i="18"/>
  <c r="H51" i="18" s="1"/>
  <c r="C51" i="18"/>
  <c r="G51" i="18" s="1"/>
  <c r="B51" i="18"/>
  <c r="F51" i="18" s="1"/>
  <c r="D50" i="18"/>
  <c r="H50" i="18" s="1"/>
  <c r="C50" i="18"/>
  <c r="G50" i="18" s="1"/>
  <c r="B50" i="18"/>
  <c r="D49" i="18"/>
  <c r="C49" i="18"/>
  <c r="B49" i="18"/>
  <c r="F49" i="18" s="1"/>
  <c r="D48" i="18"/>
  <c r="H48" i="18" s="1"/>
  <c r="C48" i="18"/>
  <c r="G48" i="18" s="1"/>
  <c r="B48" i="18"/>
  <c r="F48" i="18" s="1"/>
  <c r="D47" i="18"/>
  <c r="H47" i="18" s="1"/>
  <c r="C47" i="18"/>
  <c r="B47" i="18"/>
  <c r="D46" i="18"/>
  <c r="C46" i="18"/>
  <c r="G46" i="18" s="1"/>
  <c r="B46" i="18"/>
  <c r="F46" i="18" s="1"/>
  <c r="D45" i="18"/>
  <c r="H45" i="18" s="1"/>
  <c r="C45" i="18"/>
  <c r="G45" i="18" s="1"/>
  <c r="B45" i="18"/>
  <c r="F45" i="18" s="1"/>
  <c r="D44" i="18"/>
  <c r="C44" i="18"/>
  <c r="B44" i="18"/>
  <c r="D43" i="18"/>
  <c r="H43" i="18" s="1"/>
  <c r="C43" i="18"/>
  <c r="G43" i="18" s="1"/>
  <c r="B43" i="18"/>
  <c r="F43" i="18" s="1"/>
  <c r="D42" i="18"/>
  <c r="H42" i="18" s="1"/>
  <c r="C42" i="18"/>
  <c r="G42" i="18" s="1"/>
  <c r="B42" i="18"/>
  <c r="D41" i="18"/>
  <c r="C41" i="18"/>
  <c r="B41" i="18"/>
  <c r="F41" i="18" s="1"/>
  <c r="D40" i="18"/>
  <c r="H40" i="18" s="1"/>
  <c r="C40" i="18"/>
  <c r="G40" i="18" s="1"/>
  <c r="B40" i="18"/>
  <c r="F40" i="18" s="1"/>
  <c r="D39" i="18"/>
  <c r="H39" i="18" s="1"/>
  <c r="C39" i="18"/>
  <c r="B39" i="18"/>
  <c r="D38" i="18"/>
  <c r="C38" i="18"/>
  <c r="G38" i="18" s="1"/>
  <c r="B38" i="18"/>
  <c r="F38" i="18" s="1"/>
  <c r="D37" i="18"/>
  <c r="H37" i="18" s="1"/>
  <c r="C37" i="18"/>
  <c r="G37" i="18" s="1"/>
  <c r="B37" i="18"/>
  <c r="F37" i="18" s="1"/>
  <c r="D36" i="18"/>
  <c r="C36" i="18"/>
  <c r="B36" i="18"/>
  <c r="D35" i="18"/>
  <c r="H35" i="18" s="1"/>
  <c r="C35" i="18"/>
  <c r="G35" i="18" s="1"/>
  <c r="B35" i="18"/>
  <c r="F35" i="18" s="1"/>
  <c r="D34" i="18"/>
  <c r="H34" i="18" s="1"/>
  <c r="C34" i="18"/>
  <c r="G34" i="18" s="1"/>
  <c r="B34" i="18"/>
  <c r="D33" i="18"/>
  <c r="C33" i="18"/>
  <c r="B33" i="18"/>
  <c r="F33" i="18" s="1"/>
  <c r="D32" i="18"/>
  <c r="H32" i="18" s="1"/>
  <c r="C32" i="18"/>
  <c r="G32" i="18" s="1"/>
  <c r="B32" i="18"/>
  <c r="F32" i="18" s="1"/>
  <c r="D31" i="18"/>
  <c r="H31" i="18" s="1"/>
  <c r="C31" i="18"/>
  <c r="B31" i="18"/>
  <c r="D30" i="18"/>
  <c r="C30" i="18"/>
  <c r="G30" i="18" s="1"/>
  <c r="B30" i="18"/>
  <c r="F30" i="18" s="1"/>
  <c r="D29" i="18"/>
  <c r="H29" i="18" s="1"/>
  <c r="C29" i="18"/>
  <c r="G29" i="18" s="1"/>
  <c r="B29" i="18"/>
  <c r="F29" i="18" s="1"/>
  <c r="D28" i="18"/>
  <c r="C28" i="18"/>
  <c r="B28" i="18"/>
  <c r="D27" i="18"/>
  <c r="H27" i="18" s="1"/>
  <c r="C27" i="18"/>
  <c r="G27" i="18" s="1"/>
  <c r="B27" i="18"/>
  <c r="F27" i="18" s="1"/>
  <c r="D26" i="18"/>
  <c r="H26" i="18" s="1"/>
  <c r="C26" i="18"/>
  <c r="G26" i="18" s="1"/>
  <c r="B26" i="18"/>
  <c r="D25" i="18"/>
  <c r="C25" i="18"/>
  <c r="B25" i="18"/>
  <c r="F25" i="18" s="1"/>
  <c r="D24" i="18"/>
  <c r="H24" i="18" s="1"/>
  <c r="C24" i="18"/>
  <c r="G24" i="18" s="1"/>
  <c r="B24" i="18"/>
  <c r="F24" i="18" s="1"/>
  <c r="D23" i="18"/>
  <c r="H23" i="18" s="1"/>
  <c r="C23" i="18"/>
  <c r="G23" i="18" s="1" a="1"/>
  <c r="G23" i="18" s="1"/>
  <c r="B23" i="18"/>
  <c r="D22" i="18"/>
  <c r="C22" i="18"/>
  <c r="G22" i="18" s="1"/>
  <c r="B22" i="18"/>
  <c r="F22" i="18" s="1"/>
  <c r="D21" i="18"/>
  <c r="H21" i="18" s="1"/>
  <c r="C21" i="18"/>
  <c r="G21" i="18" s="1"/>
  <c r="B21" i="18"/>
  <c r="F21" i="18" s="1"/>
  <c r="D20" i="18"/>
  <c r="C20" i="18"/>
  <c r="B20" i="18"/>
  <c r="D19" i="18"/>
  <c r="H19" i="18" s="1"/>
  <c r="C19" i="18"/>
  <c r="G19" i="18" s="1"/>
  <c r="B19" i="18"/>
  <c r="F19" i="18" s="1"/>
  <c r="D18" i="18"/>
  <c r="H18" i="18" s="1"/>
  <c r="C18" i="18"/>
  <c r="G18" i="18" s="1"/>
  <c r="B18" i="18"/>
  <c r="D17" i="18"/>
  <c r="C17" i="18"/>
  <c r="B17" i="18"/>
  <c r="F17" i="18" s="1"/>
  <c r="D16" i="18"/>
  <c r="H16" i="18" s="1"/>
  <c r="C16" i="18"/>
  <c r="G16" i="18" s="1"/>
  <c r="B16" i="18"/>
  <c r="F16" i="18" s="1"/>
  <c r="D15" i="18"/>
  <c r="H15" i="18" s="1"/>
  <c r="C15" i="18"/>
  <c r="B15" i="18"/>
  <c r="D14" i="18"/>
  <c r="C14" i="18"/>
  <c r="G14" i="18" s="1"/>
  <c r="B14" i="18"/>
  <c r="F14" i="18" s="1"/>
  <c r="D13" i="18"/>
  <c r="H13" i="18" s="1"/>
  <c r="C13" i="18"/>
  <c r="G13" i="18" s="1"/>
  <c r="B13" i="18"/>
  <c r="F13" i="18" s="1"/>
  <c r="D12" i="18"/>
  <c r="C12" i="18"/>
  <c r="G12" i="18" s="1"/>
  <c r="B12" i="18"/>
  <c r="F12" i="18" s="1"/>
  <c r="H14" i="18" l="1"/>
  <c r="H22" i="18"/>
  <c r="F28" i="18"/>
  <c r="F36" i="18"/>
  <c r="F44" i="18"/>
  <c r="F15" i="18"/>
  <c r="H17" i="18"/>
  <c r="G20" i="18"/>
  <c r="F23" i="18"/>
  <c r="G28" i="18"/>
  <c r="F31" i="18"/>
  <c r="H33" i="18"/>
  <c r="G36" i="18"/>
  <c r="F39" i="18"/>
  <c r="H41" i="18"/>
  <c r="G44" i="18"/>
  <c r="F47" i="18"/>
  <c r="G52" i="18"/>
  <c r="F55" i="18"/>
  <c r="H12" i="18"/>
  <c r="G15" i="18"/>
  <c r="F18" i="18"/>
  <c r="H20" i="18"/>
  <c r="F26" i="18"/>
  <c r="H28" i="18"/>
  <c r="G31" i="18"/>
  <c r="F34" i="18"/>
  <c r="H36" i="18"/>
  <c r="G39" i="18"/>
  <c r="F42" i="18"/>
  <c r="H44" i="18"/>
  <c r="G47" i="18"/>
  <c r="F50" i="18"/>
  <c r="H52" i="18"/>
  <c r="G55" i="18"/>
  <c r="G17" i="18"/>
  <c r="H30" i="18"/>
  <c r="H38" i="18"/>
  <c r="H46" i="18"/>
  <c r="G49" i="18"/>
  <c r="F52" i="18"/>
  <c r="H54" i="18"/>
  <c r="F20" i="18"/>
  <c r="J12" i="18" s="1"/>
  <c r="G25" i="18"/>
  <c r="G33" i="18"/>
  <c r="G41" i="18"/>
  <c r="H25" i="18"/>
  <c r="H49" i="18"/>
  <c r="L38" i="18" l="1"/>
  <c r="J37" i="18"/>
  <c r="K55" i="18"/>
  <c r="J15" i="18"/>
  <c r="K56" i="18"/>
  <c r="J34" i="18"/>
  <c r="Q11" i="18" a="1"/>
  <c r="K47" i="18"/>
  <c r="K25" i="18"/>
  <c r="J30" i="18"/>
  <c r="J28" i="18"/>
  <c r="J45" i="18"/>
  <c r="K30" i="18"/>
  <c r="J40" i="18"/>
  <c r="K45" i="18"/>
  <c r="K34" i="18"/>
  <c r="J46" i="18"/>
  <c r="J33" i="18"/>
  <c r="L14" i="18"/>
  <c r="K14" i="18"/>
  <c r="J26" i="18"/>
  <c r="K46" i="18"/>
  <c r="L21" i="18"/>
  <c r="L13" i="18"/>
  <c r="R24" i="18"/>
  <c r="T22" i="18" s="1"/>
  <c r="L23" i="18"/>
  <c r="L36" i="18"/>
  <c r="J16" i="18"/>
  <c r="J53" i="18"/>
  <c r="L40" i="18"/>
  <c r="K51" i="18"/>
  <c r="J48" i="18"/>
  <c r="K37" i="18"/>
  <c r="J17" i="18"/>
  <c r="K50" i="18"/>
  <c r="J24" i="18"/>
  <c r="K39" i="18"/>
  <c r="L18" i="18"/>
  <c r="L37" i="18"/>
  <c r="J54" i="18"/>
  <c r="L24" i="18"/>
  <c r="J49" i="18"/>
  <c r="K40" i="18"/>
  <c r="R22" i="18"/>
  <c r="L31" i="18"/>
  <c r="J51" i="18"/>
  <c r="R23" i="18"/>
  <c r="S22" i="18" s="1"/>
  <c r="J25" i="18"/>
  <c r="K19" i="18"/>
  <c r="L39" i="18"/>
  <c r="L55" i="18"/>
  <c r="J27" i="18"/>
  <c r="L42" i="18"/>
  <c r="L56" i="18"/>
  <c r="K35" i="18"/>
  <c r="K13" i="18"/>
  <c r="K12" i="18"/>
  <c r="L32" i="18"/>
  <c r="K42" i="18"/>
  <c r="L53" i="18"/>
  <c r="K29" i="18"/>
  <c r="K24" i="18"/>
  <c r="L29" i="18"/>
  <c r="K43" i="18"/>
  <c r="J38" i="18"/>
  <c r="L51" i="18"/>
  <c r="K48" i="18"/>
  <c r="K38" i="18"/>
  <c r="J14" i="18"/>
  <c r="L19" i="18"/>
  <c r="J43" i="18"/>
  <c r="K54" i="18"/>
  <c r="K26" i="18"/>
  <c r="L17" i="18"/>
  <c r="K44" i="18"/>
  <c r="J56" i="18"/>
  <c r="K53" i="18"/>
  <c r="K17" i="18"/>
  <c r="L45" i="18"/>
  <c r="L27" i="18"/>
  <c r="J32" i="18"/>
  <c r="K18" i="18"/>
  <c r="L48" i="18"/>
  <c r="J41" i="18"/>
  <c r="L20" i="18"/>
  <c r="L35" i="18"/>
  <c r="J21" i="18"/>
  <c r="J29" i="18"/>
  <c r="K15" i="18"/>
  <c r="S24" i="18"/>
  <c r="T24" i="18"/>
  <c r="L33" i="18"/>
  <c r="J44" i="18"/>
  <c r="K36" i="18"/>
  <c r="J31" i="18"/>
  <c r="L54" i="18"/>
  <c r="L52" i="18"/>
  <c r="K31" i="18"/>
  <c r="J55" i="18"/>
  <c r="J36" i="18"/>
  <c r="K16" i="18"/>
  <c r="L28" i="18"/>
  <c r="K32" i="18"/>
  <c r="J20" i="18"/>
  <c r="K22" i="18"/>
  <c r="J50" i="18"/>
  <c r="K52" i="18"/>
  <c r="K28" i="18"/>
  <c r="L34" i="18"/>
  <c r="K27" i="18"/>
  <c r="L26" i="18"/>
  <c r="J19" i="18"/>
  <c r="L25" i="18"/>
  <c r="J23" i="18"/>
  <c r="L22" i="18"/>
  <c r="L16" i="18"/>
  <c r="J22" i="18"/>
  <c r="L43" i="18"/>
  <c r="J52" i="18"/>
  <c r="K41" i="18"/>
  <c r="L46" i="18"/>
  <c r="L44" i="18"/>
  <c r="K23" i="18"/>
  <c r="K20" i="18"/>
  <c r="L12" i="18"/>
  <c r="K21" i="18"/>
  <c r="J42" i="18"/>
  <c r="L47" i="18"/>
  <c r="L41" i="18"/>
  <c r="L49" i="18"/>
  <c r="L15" i="18"/>
  <c r="L50" i="18"/>
  <c r="J35" i="18"/>
  <c r="L30" i="18"/>
  <c r="J18" i="18"/>
  <c r="J39" i="18"/>
  <c r="J47" i="18"/>
  <c r="J13" i="18"/>
  <c r="K49" i="18"/>
  <c r="K33" i="18"/>
  <c r="S23" i="18"/>
  <c r="R28" i="18" l="1"/>
  <c r="T26" i="18" s="1"/>
  <c r="S28" i="18"/>
  <c r="T27" i="18" s="1"/>
  <c r="R27" i="18"/>
  <c r="S26" i="18" s="1"/>
  <c r="T23" i="18"/>
  <c r="T11" i="18"/>
  <c r="T13" i="18"/>
  <c r="T31" i="18" s="1"/>
  <c r="T15" i="18"/>
  <c r="Q12" i="18"/>
  <c r="Q16" i="18"/>
  <c r="R14" i="18"/>
  <c r="R32" i="18" s="1"/>
  <c r="R16" i="18"/>
  <c r="Q14" i="18"/>
  <c r="S14" i="18"/>
  <c r="S32" i="18" s="1"/>
  <c r="T12" i="18"/>
  <c r="T30" i="18" s="1"/>
  <c r="T14" i="18"/>
  <c r="T32" i="18" s="1"/>
  <c r="T16" i="18"/>
  <c r="Q11" i="18"/>
  <c r="Q13" i="18"/>
  <c r="Q15" i="18"/>
  <c r="R11" i="18"/>
  <c r="R13" i="18"/>
  <c r="R31" i="18" s="1"/>
  <c r="R15" i="18"/>
  <c r="S11" i="18"/>
  <c r="S13" i="18"/>
  <c r="S31" i="18" s="1"/>
  <c r="S15" i="18"/>
  <c r="R12" i="18"/>
  <c r="R30" i="18" s="1"/>
  <c r="S12" i="18"/>
  <c r="S30" i="18" s="1"/>
  <c r="S16" i="18"/>
  <c r="R34" i="18" l="1" a="1"/>
  <c r="R36" i="18" s="1"/>
  <c r="R34" i="18" l="1"/>
  <c r="R35" i="18"/>
  <c r="T35" i="18"/>
  <c r="S34" i="18"/>
  <c r="S36" i="18"/>
  <c r="S35" i="18"/>
  <c r="T36" i="18"/>
  <c r="T34" i="18"/>
  <c r="R38" i="18" l="1" a="1"/>
  <c r="S40" i="18" s="1"/>
  <c r="T38" i="18" l="1"/>
  <c r="R40" i="18"/>
  <c r="R38" i="18"/>
  <c r="S38" i="18"/>
  <c r="T39" i="18"/>
  <c r="R39" i="18"/>
  <c r="T40" i="18"/>
  <c r="S39" i="18"/>
</calcChain>
</file>

<file path=xl/sharedStrings.xml><?xml version="1.0" encoding="utf-8"?>
<sst xmlns="http://schemas.openxmlformats.org/spreadsheetml/2006/main" count="33" uniqueCount="27">
  <si>
    <t>Transform Data</t>
  </si>
  <si>
    <t>Centre</t>
  </si>
  <si>
    <t>PCA Parameters</t>
  </si>
  <si>
    <t>Output</t>
  </si>
  <si>
    <t>Series1</t>
  </si>
  <si>
    <t>Series2</t>
  </si>
  <si>
    <t>Series3</t>
  </si>
  <si>
    <t>=PCA(DATA,LEVEL/CHANGE,NUMBER OF FACTORS)</t>
  </si>
  <si>
    <t>Key</t>
  </si>
  <si>
    <t>Sample</t>
    <phoneticPr fontId="2"/>
  </si>
  <si>
    <t xml:space="preserve">LEVEL </t>
  </si>
  <si>
    <t>-run PCA on input matrix</t>
  </si>
  <si>
    <t>CHANGE</t>
  </si>
  <si>
    <t>-run PCA on 1st differences of input matrix</t>
  </si>
  <si>
    <t xml:space="preserve">NUMBER OF FACTORS </t>
  </si>
  <si>
    <t>-number of factors to display in output matrix</t>
  </si>
  <si>
    <t>Input</t>
  </si>
  <si>
    <t>LEVEL</t>
  </si>
  <si>
    <t>Check</t>
    <phoneticPr fontId="2"/>
  </si>
  <si>
    <t>Covariance Matrix</t>
    <phoneticPr fontId="2"/>
  </si>
  <si>
    <t>Correlation matrix</t>
    <phoneticPr fontId="2"/>
  </si>
  <si>
    <t>P</t>
    <phoneticPr fontId="2"/>
  </si>
  <si>
    <t>P^T</t>
    <phoneticPr fontId="2"/>
  </si>
  <si>
    <t>EigenMatrix</t>
    <phoneticPr fontId="2"/>
  </si>
  <si>
    <t>useCorrelationMatrix</t>
  </si>
  <si>
    <t>nFactors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</si>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</sst>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0.000%"/>
    <numFmt numFmtId="165" formatCode="0.000"/>
    <numFmt numFmtId="166" formatCode="0.0"/>
    <numFmt numFmtId="167" formatCode="0.0000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5">
    <xf numFmtId="0" fontId="0" fillId="0" borderId="0"/>
    <xf numFmtId="9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7" fillId="5" borderId="1" applyNumberFormat="0" applyFont="0" applyBorder="0" applyAlignment="0" applyProtection="0">
      <alignment horizontal="centerContinuous"/>
    </xf>
    <xf numFmtId="0" fontId="8" fillId="6" borderId="2" applyNumberFormat="0" applyFont="0" applyBorder="0" applyAlignment="0">
      <alignment horizontal="centerContinuous"/>
    </xf>
    <xf numFmtId="169" fontId="6" fillId="0" borderId="0" applyFont="0" applyFill="0" applyBorder="0" applyAlignment="0" applyProtection="0"/>
    <xf numFmtId="171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70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0" borderId="0">
      <alignment vertical="center"/>
    </xf>
    <xf numFmtId="0" fontId="9" fillId="0" borderId="0">
      <alignment vertical="center"/>
    </xf>
    <xf numFmtId="38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0" fillId="8" borderId="0" applyNumberFormat="0" applyFont="0" applyBorder="0" applyAlignment="0" applyProtection="0"/>
    <xf numFmtId="164" fontId="12" fillId="9" borderId="0"/>
    <xf numFmtId="0" fontId="13" fillId="10" borderId="0" applyNumberFormat="0" applyBorder="0" applyAlignment="0">
      <alignment horizontal="center"/>
    </xf>
    <xf numFmtId="0" fontId="14" fillId="11" borderId="6">
      <alignment horizontal="center"/>
      <protection locked="0"/>
    </xf>
    <xf numFmtId="0" fontId="15" fillId="12" borderId="0" applyNumberFormat="0" applyFont="0" applyBorder="0" applyAlignment="0" applyProtection="0"/>
    <xf numFmtId="2" fontId="6" fillId="13" borderId="4" applyNumberFormat="0" applyBorder="0">
      <alignment horizontal="right" vertical="center"/>
    </xf>
    <xf numFmtId="2" fontId="16" fillId="14" borderId="7" applyBorder="0">
      <alignment horizontal="left" vertical="center"/>
    </xf>
    <xf numFmtId="10" fontId="17" fillId="7" borderId="0" applyBorder="0">
      <alignment horizontal="right"/>
      <protection locked="0"/>
    </xf>
    <xf numFmtId="15" fontId="17" fillId="7" borderId="3" applyBorder="0">
      <alignment horizontal="center"/>
      <protection locked="0"/>
    </xf>
    <xf numFmtId="15" fontId="17" fillId="7" borderId="0" applyBorder="0">
      <alignment horizontal="left"/>
      <protection locked="0"/>
    </xf>
    <xf numFmtId="2" fontId="18" fillId="15" borderId="7" applyNumberFormat="0">
      <alignment horizontal="center" vertical="center"/>
    </xf>
    <xf numFmtId="172" fontId="19" fillId="16" borderId="2" applyBorder="0">
      <alignment horizontal="left"/>
      <protection locked="0"/>
    </xf>
    <xf numFmtId="172" fontId="19" fillId="16" borderId="8" applyBorder="0">
      <alignment horizontal="right"/>
      <protection locked="0"/>
    </xf>
    <xf numFmtId="168" fontId="6" fillId="0" borderId="0" applyFont="0" applyFill="0" applyBorder="0" applyAlignment="0" applyProtection="0"/>
    <xf numFmtId="170" fontId="6" fillId="0" borderId="0" applyFont="0" applyFill="0" applyBorder="0" applyAlignment="0" applyProtection="0"/>
    <xf numFmtId="0" fontId="20" fillId="17" borderId="0" applyNumberFormat="0" applyFont="0" applyBorder="0" applyAlignment="0" applyProtection="0"/>
    <xf numFmtId="0" fontId="20" fillId="18" borderId="0" applyNumberFormat="0" applyFont="0" applyBorder="0" applyAlignment="0" applyProtection="0"/>
    <xf numFmtId="0" fontId="20" fillId="19" borderId="0" applyNumberFormat="0" applyFont="0" applyBorder="0" applyAlignment="0" applyProtection="0">
      <alignment horizontal="center"/>
    </xf>
    <xf numFmtId="0" fontId="20" fillId="20" borderId="9" applyNumberFormat="0" applyFont="0" applyBorder="0" applyAlignment="0" applyProtection="0"/>
    <xf numFmtId="0" fontId="20" fillId="21" borderId="9" applyNumberFormat="0" applyFont="0" applyBorder="0" applyAlignment="0"/>
    <xf numFmtId="0" fontId="20" fillId="22" borderId="9" applyNumberFormat="0" applyFont="0" applyBorder="0" applyAlignment="0"/>
    <xf numFmtId="0" fontId="10" fillId="23" borderId="0" applyNumberFormat="0" applyFont="0" applyBorder="0" applyAlignment="0" applyProtection="0">
      <alignment horizontal="center"/>
      <protection hidden="1"/>
    </xf>
    <xf numFmtId="0" fontId="6" fillId="8" borderId="0" applyNumberFormat="0" applyFont="0" applyBorder="0" applyAlignment="0" applyProtection="0">
      <protection hidden="1"/>
    </xf>
    <xf numFmtId="0" fontId="6" fillId="24" borderId="0" applyNumberFormat="0" applyFont="0" applyBorder="0" applyAlignment="0" applyProtection="0">
      <protection hidden="1"/>
    </xf>
    <xf numFmtId="0" fontId="6" fillId="25" borderId="0" applyNumberFormat="0" applyFont="0" applyBorder="0" applyAlignment="0" applyProtection="0">
      <protection hidden="1"/>
    </xf>
    <xf numFmtId="0" fontId="6" fillId="26" borderId="0" applyNumberFormat="0" applyFont="0" applyBorder="0" applyAlignment="0" applyProtection="0">
      <protection hidden="1"/>
    </xf>
    <xf numFmtId="0" fontId="6" fillId="27" borderId="0" applyNumberFormat="0" applyFont="0" applyBorder="0" applyAlignment="0" applyProtection="0">
      <protection hidden="1"/>
    </xf>
    <xf numFmtId="0" fontId="6" fillId="28" borderId="0" applyNumberFormat="0" applyFont="0" applyBorder="0" applyAlignment="0" applyProtection="0">
      <protection hidden="1"/>
    </xf>
    <xf numFmtId="173" fontId="21" fillId="0" borderId="5" applyBorder="0">
      <alignment horizontal="center"/>
      <protection locked="0"/>
    </xf>
    <xf numFmtId="0" fontId="6" fillId="0" borderId="0">
      <alignment horizontal="left" wrapText="1"/>
    </xf>
    <xf numFmtId="9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174" fontId="6" fillId="0" borderId="0" applyFont="0" applyFill="0" applyBorder="0" applyAlignment="0" applyProtection="0"/>
    <xf numFmtId="0" fontId="9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0" fontId="0" fillId="0" borderId="0" xfId="0" quotePrefix="1"/>
    <xf numFmtId="0" fontId="1" fillId="0" borderId="0" xfId="0" applyFont="1"/>
    <xf numFmtId="0" fontId="0" fillId="3" borderId="0" xfId="0" applyFill="1"/>
    <xf numFmtId="0" fontId="0" fillId="3" borderId="0" xfId="0" applyFont="1" applyFill="1" applyAlignment="1">
      <alignment horizontal="center" vertical="center"/>
    </xf>
    <xf numFmtId="0" fontId="0" fillId="4" borderId="0" xfId="0" applyFill="1"/>
    <xf numFmtId="0" fontId="0" fillId="4" borderId="0" xfId="0" applyFont="1" applyFill="1"/>
    <xf numFmtId="9" fontId="5" fillId="4" borderId="0" xfId="1" applyFont="1" applyFill="1"/>
    <xf numFmtId="9" fontId="0" fillId="4" borderId="0" xfId="1" applyFont="1" applyFill="1"/>
    <xf numFmtId="165" fontId="0" fillId="3" borderId="0" xfId="0" applyNumberFormat="1" applyFill="1"/>
    <xf numFmtId="0" fontId="0" fillId="0" borderId="0" xfId="0" applyAlignment="1">
      <alignment horizontal="center" vertical="center"/>
    </xf>
    <xf numFmtId="0" fontId="1" fillId="3" borderId="0" xfId="0" applyFont="1" applyFill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3" fillId="0" borderId="0" xfId="0" applyFont="1"/>
    <xf numFmtId="0" fontId="0" fillId="2" borderId="0" xfId="0" applyFill="1"/>
  </cellXfs>
  <cellStyles count="55">
    <cellStyle name="=C:\WINNT35\SYSTEM32\COMMAND.COM" xfId="16"/>
    <cellStyle name="Background" xfId="17"/>
    <cellStyle name="calc" xfId="18"/>
    <cellStyle name="Comma [0] 2" xfId="13"/>
    <cellStyle name="Comma [0] 3" xfId="53"/>
    <cellStyle name="Comma 2" xfId="3"/>
    <cellStyle name="Data" xfId="4"/>
    <cellStyle name="Data2" xfId="19"/>
    <cellStyle name="Data5" xfId="20"/>
    <cellStyle name="Header" xfId="5"/>
    <cellStyle name="Hidden" xfId="21"/>
    <cellStyle name="InputDataRow" xfId="22"/>
    <cellStyle name="InputLabelRow" xfId="23"/>
    <cellStyle name="InputPc2Right" xfId="24"/>
    <cellStyle name="InputShortText" xfId="25"/>
    <cellStyle name="InputTextLeft" xfId="26"/>
    <cellStyle name="IntermediateLabelColumn" xfId="27"/>
    <cellStyle name="LabelLeft" xfId="28"/>
    <cellStyle name="LabelRight" xfId="29"/>
    <cellStyle name="Milliers [0]_Open&amp;Close" xfId="6"/>
    <cellStyle name="Milliers_Open&amp;Close" xfId="7"/>
    <cellStyle name="Mon?taire [0]_Open&amp;Close" xfId="30"/>
    <cellStyle name="Mon?taire_Open&amp;Close" xfId="31"/>
    <cellStyle name="Monétaire [0]_Open&amp;Close" xfId="8"/>
    <cellStyle name="Monétaire_Open&amp;Close" xfId="9"/>
    <cellStyle name="Normal" xfId="0" builtinId="0"/>
    <cellStyle name="Normal 2" xfId="2"/>
    <cellStyle name="Normal 3" xfId="14"/>
    <cellStyle name="Normal 4" xfId="52"/>
    <cellStyle name="Page 1" xfId="32"/>
    <cellStyle name="Page 2" xfId="33"/>
    <cellStyle name="Page 3" xfId="34"/>
    <cellStyle name="Page 4" xfId="35"/>
    <cellStyle name="Page 5" xfId="36"/>
    <cellStyle name="Page 6" xfId="37"/>
    <cellStyle name="Page 7" xfId="38"/>
    <cellStyle name="Page1" xfId="39"/>
    <cellStyle name="Page2" xfId="40"/>
    <cellStyle name="Page3" xfId="41"/>
    <cellStyle name="Page4" xfId="42"/>
    <cellStyle name="Page5" xfId="43"/>
    <cellStyle name="Page6" xfId="44"/>
    <cellStyle name="Percent" xfId="1" builtinId="5"/>
    <cellStyle name="Percent 2" xfId="10"/>
    <cellStyle name="Percent 3" xfId="15"/>
    <cellStyle name="Percent 4" xfId="54"/>
    <cellStyle name="ResultDateCenter" xfId="45"/>
    <cellStyle name="Style 1" xfId="46"/>
    <cellStyle name="パーセント 2" xfId="47"/>
    <cellStyle name="桁区切り 2" xfId="48"/>
    <cellStyle name="桁区切り_DegitalOption_test" xfId="49"/>
    <cellStyle name="標準 2" xfId="50"/>
    <cellStyle name="標準 3" xfId="51"/>
    <cellStyle name="標準 4" xfId="11"/>
    <cellStyle name="標準_examplePortfolio" xfId="12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T57"/>
  <sheetViews>
    <sheetView showGridLines="0" tabSelected="1" workbookViewId="0">
      <selection activeCell="N18" sqref="N18"/>
    </sheetView>
  </sheetViews>
  <sheetFormatPr defaultRowHeight="15"/>
  <cols>
    <col min="6" max="6" width="9.140625" customWidth="1"/>
    <col min="14" max="14" width="18.28515625" customWidth="1"/>
    <col min="15" max="15" width="13.85546875" bestFit="1" customWidth="1"/>
    <col min="16" max="16" width="9.140625" bestFit="1" customWidth="1"/>
    <col min="17" max="17" width="17.42578125" bestFit="1" customWidth="1"/>
    <col min="18" max="20" width="10.7109375" customWidth="1"/>
  </cols>
  <sheetData>
    <row r="2" spans="2:20">
      <c r="B2" s="1" t="s">
        <v>7</v>
      </c>
    </row>
    <row r="3" spans="2:20" s="14" customFormat="1">
      <c r="B3" s="1"/>
    </row>
    <row r="4" spans="2:20" s="14" customFormat="1">
      <c r="B4" s="15" t="s">
        <v>10</v>
      </c>
      <c r="F4" s="15" t="s">
        <v>12</v>
      </c>
      <c r="K4" s="15" t="s">
        <v>14</v>
      </c>
    </row>
    <row r="5" spans="2:20" s="14" customFormat="1">
      <c r="B5" s="1" t="s">
        <v>11</v>
      </c>
      <c r="F5" s="1" t="s">
        <v>13</v>
      </c>
      <c r="K5" s="1" t="s">
        <v>15</v>
      </c>
    </row>
    <row r="6" spans="2:20" s="14" customFormat="1">
      <c r="B6" s="1"/>
    </row>
    <row r="7" spans="2:20" s="14" customFormat="1">
      <c r="B7" s="2" t="s">
        <v>16</v>
      </c>
    </row>
    <row r="8" spans="2:20" s="14" customFormat="1">
      <c r="B8" s="11" t="s">
        <v>17</v>
      </c>
    </row>
    <row r="9" spans="2:20" s="14" customFormat="1"/>
    <row r="10" spans="2:20">
      <c r="B10" t="s">
        <v>26</v>
      </c>
      <c r="F10" t="s">
        <v>0</v>
      </c>
      <c r="J10" t="s">
        <v>1</v>
      </c>
      <c r="N10" s="2" t="s">
        <v>2</v>
      </c>
      <c r="Q10" t="s">
        <v>3</v>
      </c>
    </row>
    <row r="11" spans="2:20">
      <c r="B11" s="3" t="s">
        <v>4</v>
      </c>
      <c r="C11" s="3" t="s">
        <v>5</v>
      </c>
      <c r="D11" s="3" t="s">
        <v>6</v>
      </c>
      <c r="F11" s="3" t="s">
        <v>4</v>
      </c>
      <c r="G11" s="3" t="s">
        <v>5</v>
      </c>
      <c r="H11" s="3" t="s">
        <v>6</v>
      </c>
      <c r="J11" s="3" t="s">
        <v>4</v>
      </c>
      <c r="K11" s="3" t="s">
        <v>5</v>
      </c>
      <c r="L11" s="3" t="s">
        <v>6</v>
      </c>
      <c r="N11" s="16" t="s">
        <v>8</v>
      </c>
      <c r="O11" s="4" t="s">
        <v>9</v>
      </c>
      <c r="Q11" s="5" t="str">
        <f t="array" aca="1" ref="Q11:T16" ca="1">_xll.meUtilityPCA($O$11,$F$12:$H$56,$O$12,$O$13)</f>
        <v/>
      </c>
      <c r="R11" s="5" t="str">
        <f ca="1"/>
        <v>PC1</v>
      </c>
      <c r="S11" s="5" t="str">
        <f ca="1"/>
        <v>PC2</v>
      </c>
      <c r="T11" s="5" t="str">
        <f ca="1"/>
        <v>PC3</v>
      </c>
    </row>
    <row r="12" spans="2:20">
      <c r="B12" s="3">
        <f ca="1">RANDBETWEEN(-100,100)</f>
        <v>-65</v>
      </c>
      <c r="C12" s="3">
        <f t="shared" ref="C12:D31" ca="1" si="0">RANDBETWEEN(-100,100)</f>
        <v>-79</v>
      </c>
      <c r="D12" s="3">
        <f t="shared" ca="1" si="0"/>
        <v>-75</v>
      </c>
      <c r="F12" s="3">
        <f ca="1">IF($B$8="LEVEL",B12,B12-B13)</f>
        <v>-65</v>
      </c>
      <c r="G12" s="3">
        <f ca="1">IF($B$8="LEVEL",C12,C12-C13)</f>
        <v>-79</v>
      </c>
      <c r="H12" s="3">
        <f ca="1">IF($B$8="LEVEL",D12,D12-D13)</f>
        <v>-75</v>
      </c>
      <c r="J12" s="9">
        <f ca="1">F12-AVERAGE($F$12:$F$56)</f>
        <v>-54.777777777777779</v>
      </c>
      <c r="K12" s="9">
        <f t="shared" ref="K12:L56" ca="1" si="1">G12-AVERAGE($F$12:$F$56)</f>
        <v>-68.777777777777771</v>
      </c>
      <c r="L12" s="9">
        <f t="shared" ca="1" si="1"/>
        <v>-64.777777777777771</v>
      </c>
      <c r="N12" s="16" t="s">
        <v>24</v>
      </c>
      <c r="O12" s="4" t="b">
        <v>1</v>
      </c>
      <c r="Q12" s="6" t="str">
        <f ca="1"/>
        <v>Series1</v>
      </c>
      <c r="R12" s="7">
        <f ca="1"/>
        <v>-0.617367</v>
      </c>
      <c r="S12" s="7">
        <f ca="1"/>
        <v>-0.47676200000000002</v>
      </c>
      <c r="T12" s="7">
        <f ca="1"/>
        <v>0.62574399999999997</v>
      </c>
    </row>
    <row r="13" spans="2:20">
      <c r="B13" s="3">
        <f t="shared" ref="B13:D57" ca="1" si="2">RANDBETWEEN(-100,100)</f>
        <v>2</v>
      </c>
      <c r="C13" s="3">
        <f t="shared" ca="1" si="0"/>
        <v>0</v>
      </c>
      <c r="D13" s="3">
        <f t="shared" ca="1" si="0"/>
        <v>-5</v>
      </c>
      <c r="F13" s="3">
        <f ca="1">IF($B$8="LEVEL",B13,B13-B14)</f>
        <v>2</v>
      </c>
      <c r="G13" s="3">
        <f t="shared" ref="G13:G22" ca="1" si="3">IF($B$8="LEVEL",C13,C13-C14)</f>
        <v>0</v>
      </c>
      <c r="H13" s="3">
        <f t="shared" ref="H13:H22" ca="1" si="4">IF($B$8="LEVEL",D13,D13-D14)</f>
        <v>-5</v>
      </c>
      <c r="J13" s="9">
        <f t="shared" ref="J13:J56" ca="1" si="5">F13-AVERAGE($F$12:$F$56)</f>
        <v>12.222222222222221</v>
      </c>
      <c r="K13" s="9">
        <f t="shared" ca="1" si="1"/>
        <v>10.222222222222221</v>
      </c>
      <c r="L13" s="9">
        <f t="shared" ca="1" si="1"/>
        <v>5.2222222222222214</v>
      </c>
      <c r="N13" s="16" t="s">
        <v>25</v>
      </c>
      <c r="O13" s="4">
        <v>3</v>
      </c>
      <c r="Q13" s="6" t="str">
        <f ca="1"/>
        <v>Series2</v>
      </c>
      <c r="R13" s="7">
        <f ca="1"/>
        <v>-0.694851</v>
      </c>
      <c r="S13" s="7">
        <f ca="1"/>
        <v>-4.2459299999999998E-2</v>
      </c>
      <c r="T13" s="7">
        <f ca="1"/>
        <v>-0.71789899999999995</v>
      </c>
    </row>
    <row r="14" spans="2:20">
      <c r="B14" s="3">
        <f t="shared" ca="1" si="2"/>
        <v>8</v>
      </c>
      <c r="C14" s="3">
        <f t="shared" ca="1" si="0"/>
        <v>-36</v>
      </c>
      <c r="D14" s="3">
        <f t="shared" ca="1" si="0"/>
        <v>73</v>
      </c>
      <c r="F14" s="3">
        <f t="shared" ref="F14:F56" ca="1" si="6">IF($B$8="LEVEL",B14,B14-B15)</f>
        <v>8</v>
      </c>
      <c r="G14" s="3">
        <f t="shared" ca="1" si="3"/>
        <v>-36</v>
      </c>
      <c r="H14" s="3">
        <f t="shared" ca="1" si="4"/>
        <v>73</v>
      </c>
      <c r="J14" s="9">
        <f t="shared" ca="1" si="5"/>
        <v>18.222222222222221</v>
      </c>
      <c r="K14" s="9">
        <f t="shared" ca="1" si="1"/>
        <v>-25.777777777777779</v>
      </c>
      <c r="L14" s="9">
        <f t="shared" ca="1" si="1"/>
        <v>83.222222222222229</v>
      </c>
      <c r="O14" s="10"/>
      <c r="Q14" s="6" t="str">
        <f ca="1"/>
        <v>Series3</v>
      </c>
      <c r="R14" s="7">
        <f ca="1"/>
        <v>0.36883500000000002</v>
      </c>
      <c r="S14" s="7">
        <f ca="1"/>
        <v>-0.87800699999999998</v>
      </c>
      <c r="T14" s="7">
        <f ca="1"/>
        <v>-0.30506499999999998</v>
      </c>
    </row>
    <row r="15" spans="2:20">
      <c r="B15" s="3">
        <f t="shared" ca="1" si="2"/>
        <v>-50</v>
      </c>
      <c r="C15" s="3">
        <f t="shared" ca="1" si="0"/>
        <v>-90</v>
      </c>
      <c r="D15" s="3">
        <f t="shared" ca="1" si="0"/>
        <v>83</v>
      </c>
      <c r="F15" s="3">
        <f t="shared" ca="1" si="6"/>
        <v>-50</v>
      </c>
      <c r="G15" s="3">
        <f t="shared" ca="1" si="3"/>
        <v>-90</v>
      </c>
      <c r="H15" s="3">
        <f t="shared" ca="1" si="4"/>
        <v>83</v>
      </c>
      <c r="J15" s="9">
        <f t="shared" ca="1" si="5"/>
        <v>-39.777777777777779</v>
      </c>
      <c r="K15" s="9">
        <f t="shared" ca="1" si="1"/>
        <v>-79.777777777777771</v>
      </c>
      <c r="L15" s="9">
        <f t="shared" ca="1" si="1"/>
        <v>93.222222222222229</v>
      </c>
      <c r="Q15" s="6" t="str">
        <f ca="1"/>
        <v>POV</v>
      </c>
      <c r="R15" s="7">
        <f ca="1"/>
        <v>0.448382</v>
      </c>
      <c r="S15" s="7">
        <f ca="1"/>
        <v>0.32603900000000002</v>
      </c>
      <c r="T15" s="7">
        <f ca="1"/>
        <v>0.225579</v>
      </c>
    </row>
    <row r="16" spans="2:20">
      <c r="B16" s="3">
        <f t="shared" ca="1" si="2"/>
        <v>-68</v>
      </c>
      <c r="C16" s="3">
        <f t="shared" ca="1" si="0"/>
        <v>-22</v>
      </c>
      <c r="D16" s="3">
        <f t="shared" ca="1" si="0"/>
        <v>63</v>
      </c>
      <c r="F16" s="3">
        <f t="shared" ca="1" si="6"/>
        <v>-68</v>
      </c>
      <c r="G16" s="3">
        <f t="shared" ca="1" si="3"/>
        <v>-22</v>
      </c>
      <c r="H16" s="3">
        <f t="shared" ca="1" si="4"/>
        <v>63</v>
      </c>
      <c r="J16" s="9">
        <f t="shared" ca="1" si="5"/>
        <v>-57.777777777777779</v>
      </c>
      <c r="K16" s="9">
        <f t="shared" ca="1" si="1"/>
        <v>-11.777777777777779</v>
      </c>
      <c r="L16" s="9">
        <f t="shared" ca="1" si="1"/>
        <v>73.222222222222229</v>
      </c>
      <c r="Q16" s="6" t="str">
        <f ca="1"/>
        <v>Eigen Values</v>
      </c>
      <c r="R16" s="8">
        <f ca="1"/>
        <v>1.3451500000000001</v>
      </c>
      <c r="S16" s="8">
        <f ca="1"/>
        <v>0.97811800000000004</v>
      </c>
      <c r="T16" s="8">
        <f ca="1"/>
        <v>0.67673700000000003</v>
      </c>
    </row>
    <row r="17" spans="2:20">
      <c r="B17" s="3">
        <f t="shared" ca="1" si="2"/>
        <v>57</v>
      </c>
      <c r="C17" s="3">
        <f t="shared" ca="1" si="0"/>
        <v>58</v>
      </c>
      <c r="D17" s="3">
        <f t="shared" ca="1" si="0"/>
        <v>-59</v>
      </c>
      <c r="F17" s="3">
        <f t="shared" ca="1" si="6"/>
        <v>57</v>
      </c>
      <c r="G17" s="3">
        <f t="shared" ca="1" si="3"/>
        <v>58</v>
      </c>
      <c r="H17" s="3">
        <f t="shared" ca="1" si="4"/>
        <v>-59</v>
      </c>
      <c r="J17" s="9">
        <f t="shared" ca="1" si="5"/>
        <v>67.222222222222229</v>
      </c>
      <c r="K17" s="9">
        <f t="shared" ca="1" si="1"/>
        <v>68.222222222222229</v>
      </c>
      <c r="L17" s="9">
        <f t="shared" ca="1" si="1"/>
        <v>-48.777777777777779</v>
      </c>
    </row>
    <row r="18" spans="2:20">
      <c r="B18" s="3">
        <f t="shared" ca="1" si="2"/>
        <v>-77</v>
      </c>
      <c r="C18" s="3">
        <f t="shared" ca="1" si="0"/>
        <v>29</v>
      </c>
      <c r="D18" s="3">
        <f t="shared" ca="1" si="0"/>
        <v>31</v>
      </c>
      <c r="F18" s="3">
        <f t="shared" ca="1" si="6"/>
        <v>-77</v>
      </c>
      <c r="G18" s="3">
        <f t="shared" ca="1" si="3"/>
        <v>29</v>
      </c>
      <c r="H18" s="3">
        <f t="shared" ca="1" si="4"/>
        <v>31</v>
      </c>
      <c r="J18" s="9">
        <f t="shared" ca="1" si="5"/>
        <v>-66.777777777777771</v>
      </c>
      <c r="K18" s="9">
        <f t="shared" ca="1" si="1"/>
        <v>39.222222222222221</v>
      </c>
      <c r="L18" s="9">
        <f t="shared" ca="1" si="1"/>
        <v>41.222222222222221</v>
      </c>
    </row>
    <row r="19" spans="2:20">
      <c r="B19" s="3">
        <f t="shared" ca="1" si="2"/>
        <v>6</v>
      </c>
      <c r="C19" s="3">
        <f t="shared" ca="1" si="0"/>
        <v>94</v>
      </c>
      <c r="D19" s="3">
        <f t="shared" ca="1" si="0"/>
        <v>51</v>
      </c>
      <c r="F19" s="3">
        <f t="shared" ca="1" si="6"/>
        <v>6</v>
      </c>
      <c r="G19" s="3">
        <f t="shared" ca="1" si="3"/>
        <v>94</v>
      </c>
      <c r="H19" s="3">
        <f t="shared" ca="1" si="4"/>
        <v>51</v>
      </c>
      <c r="J19" s="9">
        <f t="shared" ca="1" si="5"/>
        <v>16.222222222222221</v>
      </c>
      <c r="K19" s="9">
        <f t="shared" ca="1" si="1"/>
        <v>104.22222222222223</v>
      </c>
      <c r="L19" s="9">
        <f t="shared" ca="1" si="1"/>
        <v>61.222222222222221</v>
      </c>
    </row>
    <row r="20" spans="2:20">
      <c r="B20" s="3">
        <f t="shared" ca="1" si="2"/>
        <v>-58</v>
      </c>
      <c r="C20" s="3">
        <f t="shared" ca="1" si="0"/>
        <v>-40</v>
      </c>
      <c r="D20" s="3">
        <f t="shared" ca="1" si="0"/>
        <v>-92</v>
      </c>
      <c r="F20" s="3">
        <f t="shared" ca="1" si="6"/>
        <v>-58</v>
      </c>
      <c r="G20" s="3">
        <f t="shared" ca="1" si="3"/>
        <v>-40</v>
      </c>
      <c r="H20" s="3">
        <f t="shared" ca="1" si="4"/>
        <v>-92</v>
      </c>
      <c r="J20" s="9">
        <f t="shared" ca="1" si="5"/>
        <v>-47.777777777777779</v>
      </c>
      <c r="K20" s="9">
        <f t="shared" ca="1" si="1"/>
        <v>-29.777777777777779</v>
      </c>
      <c r="L20" s="9">
        <f t="shared" ca="1" si="1"/>
        <v>-81.777777777777771</v>
      </c>
    </row>
    <row r="21" spans="2:20">
      <c r="B21" s="3">
        <f t="shared" ca="1" si="2"/>
        <v>-39</v>
      </c>
      <c r="C21" s="3">
        <f t="shared" ca="1" si="0"/>
        <v>-52</v>
      </c>
      <c r="D21" s="3">
        <f t="shared" ca="1" si="0"/>
        <v>98</v>
      </c>
      <c r="F21" s="3">
        <f t="shared" ca="1" si="6"/>
        <v>-39</v>
      </c>
      <c r="G21" s="3">
        <f t="shared" ca="1" si="3"/>
        <v>-52</v>
      </c>
      <c r="H21" s="3">
        <f t="shared" ca="1" si="4"/>
        <v>98</v>
      </c>
      <c r="J21" s="9">
        <f t="shared" ca="1" si="5"/>
        <v>-28.777777777777779</v>
      </c>
      <c r="K21" s="9">
        <f t="shared" ca="1" si="1"/>
        <v>-41.777777777777779</v>
      </c>
      <c r="L21" s="9">
        <f t="shared" ca="1" si="1"/>
        <v>108.22222222222223</v>
      </c>
      <c r="Q21" t="s">
        <v>18</v>
      </c>
    </row>
    <row r="22" spans="2:20">
      <c r="B22" s="3">
        <f t="shared" ca="1" si="2"/>
        <v>84</v>
      </c>
      <c r="C22" s="3">
        <f t="shared" ca="1" si="0"/>
        <v>47</v>
      </c>
      <c r="D22" s="3">
        <f t="shared" ca="1" si="0"/>
        <v>-86</v>
      </c>
      <c r="F22" s="3">
        <f t="shared" ca="1" si="6"/>
        <v>84</v>
      </c>
      <c r="G22" s="3">
        <f t="shared" ca="1" si="3"/>
        <v>47</v>
      </c>
      <c r="H22" s="3">
        <f t="shared" ca="1" si="4"/>
        <v>-86</v>
      </c>
      <c r="J22" s="9">
        <f t="shared" ca="1" si="5"/>
        <v>94.222222222222229</v>
      </c>
      <c r="K22" s="9">
        <f t="shared" ca="1" si="1"/>
        <v>57.222222222222221</v>
      </c>
      <c r="L22" s="9">
        <f t="shared" ca="1" si="1"/>
        <v>-75.777777777777771</v>
      </c>
      <c r="Q22" t="s">
        <v>19</v>
      </c>
      <c r="R22" s="12">
        <f ca="1">_xlfn.VAR.P(F12:F56)</f>
        <v>3293.2395061728394</v>
      </c>
      <c r="S22" s="12">
        <f ca="1">R23</f>
        <v>1016.8666666666668</v>
      </c>
      <c r="T22" s="12">
        <f ca="1">R24</f>
        <v>-86.703703703703766</v>
      </c>
    </row>
    <row r="23" spans="2:20">
      <c r="B23" s="3">
        <f t="shared" ca="1" si="2"/>
        <v>81</v>
      </c>
      <c r="C23" s="3">
        <f t="shared" ca="1" si="0"/>
        <v>-82</v>
      </c>
      <c r="D23" s="3">
        <f t="shared" ca="1" si="0"/>
        <v>58</v>
      </c>
      <c r="F23" s="3">
        <f t="shared" ca="1" si="6"/>
        <v>81</v>
      </c>
      <c r="G23" s="3">
        <f t="array" aca="1" ref="G23" ca="1">IF($B$8="LEVEL",C23,C23-C24)</f>
        <v>-82</v>
      </c>
      <c r="H23" s="3">
        <f t="shared" ref="H23:H56" ca="1" si="7">IF($B$8="LEVEL",D23,D23-D24)</f>
        <v>58</v>
      </c>
      <c r="J23" s="9">
        <f t="shared" ca="1" si="5"/>
        <v>91.222222222222229</v>
      </c>
      <c r="K23" s="9">
        <f t="shared" ca="1" si="1"/>
        <v>-71.777777777777771</v>
      </c>
      <c r="L23" s="9">
        <f t="shared" ca="1" si="1"/>
        <v>68.222222222222229</v>
      </c>
      <c r="R23" s="12">
        <f ca="1">_xlfn.COVARIANCE.P(F12:F56,G12:G56)</f>
        <v>1016.8666666666668</v>
      </c>
      <c r="S23" s="12">
        <f ca="1">_xlfn.VAR.P(G12:G56)</f>
        <v>3661.5377777777776</v>
      </c>
      <c r="T23" s="12">
        <f ca="1">S24</f>
        <v>-561.91111111111104</v>
      </c>
    </row>
    <row r="24" spans="2:20">
      <c r="B24" s="3">
        <f t="shared" ca="1" si="2"/>
        <v>-96</v>
      </c>
      <c r="C24" s="3">
        <f t="shared" ca="1" si="0"/>
        <v>-41</v>
      </c>
      <c r="D24" s="3">
        <f t="shared" ca="1" si="0"/>
        <v>-83</v>
      </c>
      <c r="F24" s="3">
        <f t="shared" ca="1" si="6"/>
        <v>-96</v>
      </c>
      <c r="G24" s="3">
        <f t="shared" ref="G24:G56" ca="1" si="8">IF($B$8="LEVEL",C24,C24-C25)</f>
        <v>-41</v>
      </c>
      <c r="H24" s="3">
        <f t="shared" ca="1" si="7"/>
        <v>-83</v>
      </c>
      <c r="J24" s="9">
        <f t="shared" ca="1" si="5"/>
        <v>-85.777777777777771</v>
      </c>
      <c r="K24" s="9">
        <f t="shared" ca="1" si="1"/>
        <v>-30.777777777777779</v>
      </c>
      <c r="L24" s="9">
        <f t="shared" ca="1" si="1"/>
        <v>-72.777777777777771</v>
      </c>
      <c r="R24" s="12">
        <f ca="1">_xlfn.COVARIANCE.P(F12:F56,H12:H56)</f>
        <v>-86.703703703703766</v>
      </c>
      <c r="S24" s="12">
        <f ca="1">_xlfn.COVARIANCE.P(G12:G56,H12:H56)</f>
        <v>-561.91111111111104</v>
      </c>
      <c r="T24" s="12">
        <f ca="1">_xlfn.VAR.P(H12:H56)</f>
        <v>3365.6</v>
      </c>
    </row>
    <row r="25" spans="2:20">
      <c r="B25" s="3">
        <f t="shared" ca="1" si="2"/>
        <v>50</v>
      </c>
      <c r="C25" s="3">
        <f t="shared" ca="1" si="0"/>
        <v>-23</v>
      </c>
      <c r="D25" s="3">
        <f t="shared" ca="1" si="0"/>
        <v>79</v>
      </c>
      <c r="F25" s="3">
        <f t="shared" ca="1" si="6"/>
        <v>50</v>
      </c>
      <c r="G25" s="3">
        <f t="shared" ca="1" si="8"/>
        <v>-23</v>
      </c>
      <c r="H25" s="3">
        <f t="shared" ca="1" si="7"/>
        <v>79</v>
      </c>
      <c r="J25" s="9">
        <f t="shared" ca="1" si="5"/>
        <v>60.222222222222221</v>
      </c>
      <c r="K25" s="9">
        <f t="shared" ca="1" si="1"/>
        <v>-12.777777777777779</v>
      </c>
      <c r="L25" s="9">
        <f t="shared" ca="1" si="1"/>
        <v>89.222222222222229</v>
      </c>
    </row>
    <row r="26" spans="2:20">
      <c r="B26" s="3">
        <f t="shared" ca="1" si="2"/>
        <v>71</v>
      </c>
      <c r="C26" s="3">
        <f t="shared" ca="1" si="0"/>
        <v>28</v>
      </c>
      <c r="D26" s="3">
        <f t="shared" ca="1" si="0"/>
        <v>-4</v>
      </c>
      <c r="F26" s="3">
        <f t="shared" ca="1" si="6"/>
        <v>71</v>
      </c>
      <c r="G26" s="3">
        <f t="shared" ca="1" si="8"/>
        <v>28</v>
      </c>
      <c r="H26" s="3">
        <f t="shared" ca="1" si="7"/>
        <v>-4</v>
      </c>
      <c r="J26" s="9">
        <f t="shared" ca="1" si="5"/>
        <v>81.222222222222229</v>
      </c>
      <c r="K26" s="9">
        <f t="shared" ca="1" si="1"/>
        <v>38.222222222222221</v>
      </c>
      <c r="L26" s="9">
        <f t="shared" ca="1" si="1"/>
        <v>6.2222222222222214</v>
      </c>
      <c r="Q26" t="s">
        <v>20</v>
      </c>
      <c r="R26" s="13">
        <v>1</v>
      </c>
      <c r="S26" s="13">
        <f ca="1">R27</f>
        <v>0.29283338870601017</v>
      </c>
      <c r="T26" s="13">
        <f ca="1">R28</f>
        <v>-2.6043223721608871E-2</v>
      </c>
    </row>
    <row r="27" spans="2:20">
      <c r="B27" s="3">
        <f t="shared" ca="1" si="2"/>
        <v>-76</v>
      </c>
      <c r="C27" s="3">
        <f t="shared" ca="1" si="0"/>
        <v>-8</v>
      </c>
      <c r="D27" s="3">
        <f t="shared" ca="1" si="0"/>
        <v>10</v>
      </c>
      <c r="F27" s="3">
        <f t="shared" ca="1" si="6"/>
        <v>-76</v>
      </c>
      <c r="G27" s="3">
        <f t="shared" ca="1" si="8"/>
        <v>-8</v>
      </c>
      <c r="H27" s="3">
        <f t="shared" ca="1" si="7"/>
        <v>10</v>
      </c>
      <c r="J27" s="9">
        <f t="shared" ca="1" si="5"/>
        <v>-65.777777777777771</v>
      </c>
      <c r="K27" s="9">
        <f t="shared" ca="1" si="1"/>
        <v>2.2222222222222214</v>
      </c>
      <c r="L27" s="9">
        <f t="shared" ca="1" si="1"/>
        <v>20.222222222222221</v>
      </c>
      <c r="R27" s="13">
        <f ca="1">R23/SQRT(R22*S23)</f>
        <v>0.29283338870601017</v>
      </c>
      <c r="S27" s="13">
        <v>1</v>
      </c>
      <c r="T27" s="13">
        <f ca="1">S28</f>
        <v>-0.160068033932867</v>
      </c>
    </row>
    <row r="28" spans="2:20">
      <c r="B28" s="3">
        <f t="shared" ca="1" si="2"/>
        <v>55</v>
      </c>
      <c r="C28" s="3">
        <f t="shared" ca="1" si="0"/>
        <v>49</v>
      </c>
      <c r="D28" s="3">
        <f t="shared" ca="1" si="0"/>
        <v>-72</v>
      </c>
      <c r="F28" s="3">
        <f t="shared" ca="1" si="6"/>
        <v>55</v>
      </c>
      <c r="G28" s="3">
        <f t="shared" ca="1" si="8"/>
        <v>49</v>
      </c>
      <c r="H28" s="3">
        <f t="shared" ca="1" si="7"/>
        <v>-72</v>
      </c>
      <c r="J28" s="9">
        <f t="shared" ca="1" si="5"/>
        <v>65.222222222222229</v>
      </c>
      <c r="K28" s="9">
        <f t="shared" ca="1" si="1"/>
        <v>59.222222222222221</v>
      </c>
      <c r="L28" s="9">
        <f t="shared" ca="1" si="1"/>
        <v>-61.777777777777779</v>
      </c>
      <c r="R28" s="13">
        <f ca="1">R24/SQRT(R22*T24)</f>
        <v>-2.6043223721608871E-2</v>
      </c>
      <c r="S28" s="13">
        <f ca="1">S24/SQRT(S23*T24)</f>
        <v>-0.160068033932867</v>
      </c>
      <c r="T28" s="13">
        <v>1</v>
      </c>
    </row>
    <row r="29" spans="2:20">
      <c r="B29" s="3">
        <f t="shared" ca="1" si="2"/>
        <v>-91</v>
      </c>
      <c r="C29" s="3">
        <f t="shared" ca="1" si="0"/>
        <v>-95</v>
      </c>
      <c r="D29" s="3">
        <f t="shared" ca="1" si="0"/>
        <v>7</v>
      </c>
      <c r="F29" s="3">
        <f t="shared" ca="1" si="6"/>
        <v>-91</v>
      </c>
      <c r="G29" s="3">
        <f t="shared" ca="1" si="8"/>
        <v>-95</v>
      </c>
      <c r="H29" s="3">
        <f t="shared" ca="1" si="7"/>
        <v>7</v>
      </c>
      <c r="J29" s="9">
        <f t="shared" ca="1" si="5"/>
        <v>-80.777777777777771</v>
      </c>
      <c r="K29" s="9">
        <f t="shared" ca="1" si="1"/>
        <v>-84.777777777777771</v>
      </c>
      <c r="L29" s="9">
        <f t="shared" ca="1" si="1"/>
        <v>17.222222222222221</v>
      </c>
    </row>
    <row r="30" spans="2:20">
      <c r="B30" s="3">
        <f t="shared" ca="1" si="2"/>
        <v>4</v>
      </c>
      <c r="C30" s="3">
        <f t="shared" ca="1" si="0"/>
        <v>-55</v>
      </c>
      <c r="D30" s="3">
        <f t="shared" ca="1" si="0"/>
        <v>-12</v>
      </c>
      <c r="F30" s="3">
        <f t="shared" ca="1" si="6"/>
        <v>4</v>
      </c>
      <c r="G30" s="3">
        <f t="shared" ca="1" si="8"/>
        <v>-55</v>
      </c>
      <c r="H30" s="3">
        <f t="shared" ca="1" si="7"/>
        <v>-12</v>
      </c>
      <c r="J30" s="9">
        <f t="shared" ca="1" si="5"/>
        <v>14.222222222222221</v>
      </c>
      <c r="K30" s="9">
        <f t="shared" ca="1" si="1"/>
        <v>-44.777777777777779</v>
      </c>
      <c r="L30" s="9">
        <f t="shared" ca="1" si="1"/>
        <v>-1.7777777777777786</v>
      </c>
      <c r="Q30" t="s">
        <v>21</v>
      </c>
      <c r="R30" s="13">
        <f ca="1">R12</f>
        <v>-0.617367</v>
      </c>
      <c r="S30" s="13">
        <f t="shared" ref="R30:T32" ca="1" si="9">S12</f>
        <v>-0.47676200000000002</v>
      </c>
      <c r="T30" s="13">
        <f t="shared" ca="1" si="9"/>
        <v>0.62574399999999997</v>
      </c>
    </row>
    <row r="31" spans="2:20">
      <c r="B31" s="3">
        <f t="shared" ca="1" si="2"/>
        <v>-71</v>
      </c>
      <c r="C31" s="3">
        <f t="shared" ca="1" si="0"/>
        <v>-9</v>
      </c>
      <c r="D31" s="3">
        <f t="shared" ca="1" si="0"/>
        <v>-9</v>
      </c>
      <c r="F31" s="3">
        <f t="shared" ca="1" si="6"/>
        <v>-71</v>
      </c>
      <c r="G31" s="3">
        <f t="shared" ca="1" si="8"/>
        <v>-9</v>
      </c>
      <c r="H31" s="3">
        <f t="shared" ca="1" si="7"/>
        <v>-9</v>
      </c>
      <c r="J31" s="9">
        <f t="shared" ca="1" si="5"/>
        <v>-60.777777777777779</v>
      </c>
      <c r="K31" s="9">
        <f t="shared" ca="1" si="1"/>
        <v>1.2222222222222214</v>
      </c>
      <c r="L31" s="9">
        <f t="shared" ca="1" si="1"/>
        <v>1.2222222222222214</v>
      </c>
      <c r="R31" s="13">
        <f t="shared" ca="1" si="9"/>
        <v>-0.694851</v>
      </c>
      <c r="S31" s="13">
        <f t="shared" ca="1" si="9"/>
        <v>-4.2459299999999998E-2</v>
      </c>
      <c r="T31" s="13">
        <f t="shared" ca="1" si="9"/>
        <v>-0.71789899999999995</v>
      </c>
    </row>
    <row r="32" spans="2:20">
      <c r="B32" s="3">
        <f t="shared" ca="1" si="2"/>
        <v>16</v>
      </c>
      <c r="C32" s="3">
        <f t="shared" ca="1" si="2"/>
        <v>79</v>
      </c>
      <c r="D32" s="3">
        <f t="shared" ca="1" si="2"/>
        <v>58</v>
      </c>
      <c r="F32" s="3">
        <f t="shared" ca="1" si="6"/>
        <v>16</v>
      </c>
      <c r="G32" s="3">
        <f t="shared" ca="1" si="8"/>
        <v>79</v>
      </c>
      <c r="H32" s="3">
        <f t="shared" ca="1" si="7"/>
        <v>58</v>
      </c>
      <c r="J32" s="9">
        <f t="shared" ca="1" si="5"/>
        <v>26.222222222222221</v>
      </c>
      <c r="K32" s="9">
        <f t="shared" ca="1" si="1"/>
        <v>89.222222222222229</v>
      </c>
      <c r="L32" s="9">
        <f t="shared" ca="1" si="1"/>
        <v>68.222222222222229</v>
      </c>
      <c r="R32" s="13">
        <f t="shared" ca="1" si="9"/>
        <v>0.36883500000000002</v>
      </c>
      <c r="S32" s="13">
        <f t="shared" ca="1" si="9"/>
        <v>-0.87800699999999998</v>
      </c>
      <c r="T32" s="13">
        <f t="shared" ca="1" si="9"/>
        <v>-0.30506499999999998</v>
      </c>
    </row>
    <row r="33" spans="2:20">
      <c r="B33" s="3">
        <f t="shared" ca="1" si="2"/>
        <v>-91</v>
      </c>
      <c r="C33" s="3">
        <f t="shared" ca="1" si="2"/>
        <v>84</v>
      </c>
      <c r="D33" s="3">
        <f t="shared" ca="1" si="2"/>
        <v>-8</v>
      </c>
      <c r="F33" s="3">
        <f t="shared" ca="1" si="6"/>
        <v>-91</v>
      </c>
      <c r="G33" s="3">
        <f t="shared" ca="1" si="8"/>
        <v>84</v>
      </c>
      <c r="H33" s="3">
        <f t="shared" ca="1" si="7"/>
        <v>-8</v>
      </c>
      <c r="J33" s="9">
        <f t="shared" ca="1" si="5"/>
        <v>-80.777777777777771</v>
      </c>
      <c r="K33" s="9">
        <f t="shared" ca="1" si="1"/>
        <v>94.222222222222229</v>
      </c>
      <c r="L33" s="9">
        <f t="shared" ca="1" si="1"/>
        <v>2.2222222222222214</v>
      </c>
    </row>
    <row r="34" spans="2:20">
      <c r="B34" s="3">
        <f t="shared" ca="1" si="2"/>
        <v>40</v>
      </c>
      <c r="C34" s="3">
        <f t="shared" ca="1" si="2"/>
        <v>92</v>
      </c>
      <c r="D34" s="3">
        <f t="shared" ca="1" si="2"/>
        <v>-85</v>
      </c>
      <c r="F34" s="3">
        <f t="shared" ca="1" si="6"/>
        <v>40</v>
      </c>
      <c r="G34" s="3">
        <f t="shared" ca="1" si="8"/>
        <v>92</v>
      </c>
      <c r="H34" s="3">
        <f t="shared" ca="1" si="7"/>
        <v>-85</v>
      </c>
      <c r="J34" s="9">
        <f t="shared" ca="1" si="5"/>
        <v>50.222222222222221</v>
      </c>
      <c r="K34" s="9">
        <f t="shared" ca="1" si="1"/>
        <v>102.22222222222223</v>
      </c>
      <c r="L34" s="9">
        <f t="shared" ca="1" si="1"/>
        <v>-74.777777777777771</v>
      </c>
      <c r="Q34" t="s">
        <v>22</v>
      </c>
      <c r="R34" s="13">
        <f t="array" aca="1" ref="R34:T36" ca="1">MINVERSE(R30:T32)</f>
        <v>-0.61736766981174029</v>
      </c>
      <c r="S34" s="13">
        <f ca="1"/>
        <v>-0.69485120180589577</v>
      </c>
      <c r="T34" s="13">
        <f ca="1"/>
        <v>0.36883571614761845</v>
      </c>
    </row>
    <row r="35" spans="2:20">
      <c r="B35" s="3">
        <f t="shared" ca="1" si="2"/>
        <v>58</v>
      </c>
      <c r="C35" s="3">
        <f t="shared" ca="1" si="2"/>
        <v>93</v>
      </c>
      <c r="D35" s="3">
        <f t="shared" ca="1" si="2"/>
        <v>50</v>
      </c>
      <c r="F35" s="3">
        <f t="shared" ca="1" si="6"/>
        <v>58</v>
      </c>
      <c r="G35" s="3">
        <f t="shared" ca="1" si="8"/>
        <v>93</v>
      </c>
      <c r="H35" s="3">
        <f t="shared" ca="1" si="7"/>
        <v>50</v>
      </c>
      <c r="J35" s="9">
        <f t="shared" ca="1" si="5"/>
        <v>68.222222222222229</v>
      </c>
      <c r="K35" s="9">
        <f t="shared" ca="1" si="1"/>
        <v>103.22222222222223</v>
      </c>
      <c r="L35" s="9">
        <f t="shared" ca="1" si="1"/>
        <v>60.222222222222221</v>
      </c>
      <c r="R35" s="13">
        <f ca="1"/>
        <v>-0.47676112839207141</v>
      </c>
      <c r="S35" s="13">
        <f ca="1"/>
        <v>-4.2459235999195384E-2</v>
      </c>
      <c r="T35" s="13">
        <f ca="1"/>
        <v>-0.87800623624467533</v>
      </c>
    </row>
    <row r="36" spans="2:20">
      <c r="B36" s="3">
        <f t="shared" ca="1" si="2"/>
        <v>48</v>
      </c>
      <c r="C36" s="3">
        <f t="shared" ca="1" si="2"/>
        <v>-48</v>
      </c>
      <c r="D36" s="3">
        <f t="shared" ca="1" si="2"/>
        <v>48</v>
      </c>
      <c r="F36" s="3">
        <f t="shared" ca="1" si="6"/>
        <v>48</v>
      </c>
      <c r="G36" s="3">
        <f t="shared" ca="1" si="8"/>
        <v>-48</v>
      </c>
      <c r="H36" s="3">
        <f t="shared" ca="1" si="7"/>
        <v>48</v>
      </c>
      <c r="J36" s="9">
        <f t="shared" ca="1" si="5"/>
        <v>58.222222222222221</v>
      </c>
      <c r="K36" s="9">
        <f t="shared" ca="1" si="1"/>
        <v>-37.777777777777779</v>
      </c>
      <c r="L36" s="9">
        <f t="shared" ca="1" si="1"/>
        <v>58.222222222222221</v>
      </c>
      <c r="R36" s="13">
        <f ca="1"/>
        <v>0.62574468903716962</v>
      </c>
      <c r="S36" s="13">
        <f ca="1"/>
        <v>-0.71789925621140427</v>
      </c>
      <c r="T36" s="13">
        <f ca="1"/>
        <v>-0.30506566524581491</v>
      </c>
    </row>
    <row r="37" spans="2:20">
      <c r="B37" s="3">
        <f t="shared" ca="1" si="2"/>
        <v>16</v>
      </c>
      <c r="C37" s="3">
        <f t="shared" ca="1" si="2"/>
        <v>28</v>
      </c>
      <c r="D37" s="3">
        <f t="shared" ca="1" si="2"/>
        <v>-46</v>
      </c>
      <c r="F37" s="3">
        <f t="shared" ca="1" si="6"/>
        <v>16</v>
      </c>
      <c r="G37" s="3">
        <f t="shared" ca="1" si="8"/>
        <v>28</v>
      </c>
      <c r="H37" s="3">
        <f t="shared" ca="1" si="7"/>
        <v>-46</v>
      </c>
      <c r="J37" s="9">
        <f t="shared" ca="1" si="5"/>
        <v>26.222222222222221</v>
      </c>
      <c r="K37" s="9">
        <f t="shared" ca="1" si="1"/>
        <v>38.222222222222221</v>
      </c>
      <c r="L37" s="9">
        <f t="shared" ca="1" si="1"/>
        <v>-35.777777777777779</v>
      </c>
    </row>
    <row r="38" spans="2:20">
      <c r="B38" s="3">
        <f t="shared" ca="1" si="2"/>
        <v>-24</v>
      </c>
      <c r="C38" s="3">
        <f t="shared" ca="1" si="2"/>
        <v>71</v>
      </c>
      <c r="D38" s="3">
        <f t="shared" ca="1" si="2"/>
        <v>73</v>
      </c>
      <c r="F38" s="3">
        <f t="shared" ca="1" si="6"/>
        <v>-24</v>
      </c>
      <c r="G38" s="3">
        <f t="shared" ca="1" si="8"/>
        <v>71</v>
      </c>
      <c r="H38" s="3">
        <f t="shared" ca="1" si="7"/>
        <v>73</v>
      </c>
      <c r="J38" s="9">
        <f t="shared" ca="1" si="5"/>
        <v>-13.777777777777779</v>
      </c>
      <c r="K38" s="9">
        <f t="shared" ca="1" si="1"/>
        <v>81.222222222222229</v>
      </c>
      <c r="L38" s="9">
        <f t="shared" ca="1" si="1"/>
        <v>83.222222222222229</v>
      </c>
      <c r="Q38" t="s">
        <v>23</v>
      </c>
      <c r="R38" s="13">
        <f t="array" aca="1" ref="R38:T40" ca="1">MMULT(R34:T36,MMULT(R26:T28,R30:T32))</f>
        <v>1.3451451061988671</v>
      </c>
      <c r="S38" s="13">
        <f ca="1"/>
        <v>6.3489090762480771E-8</v>
      </c>
      <c r="T38" s="13">
        <f ca="1"/>
        <v>2.5103950060390012E-7</v>
      </c>
    </row>
    <row r="39" spans="2:20">
      <c r="B39" s="3">
        <f t="shared" ca="1" si="2"/>
        <v>96</v>
      </c>
      <c r="C39" s="3">
        <f t="shared" ca="1" si="2"/>
        <v>57</v>
      </c>
      <c r="D39" s="3">
        <f t="shared" ca="1" si="2"/>
        <v>-27</v>
      </c>
      <c r="F39" s="3">
        <f t="shared" ca="1" si="6"/>
        <v>96</v>
      </c>
      <c r="G39" s="3">
        <f t="shared" ca="1" si="8"/>
        <v>57</v>
      </c>
      <c r="H39" s="3">
        <f t="shared" ca="1" si="7"/>
        <v>-27</v>
      </c>
      <c r="J39" s="9">
        <f t="shared" ca="1" si="5"/>
        <v>106.22222222222223</v>
      </c>
      <c r="K39" s="9">
        <f t="shared" ca="1" si="1"/>
        <v>67.222222222222229</v>
      </c>
      <c r="L39" s="9">
        <f t="shared" ca="1" si="1"/>
        <v>-16.777777777777779</v>
      </c>
      <c r="R39" s="13">
        <f ca="1"/>
        <v>-4.6939642617260802E-8</v>
      </c>
      <c r="S39" s="13">
        <f ca="1"/>
        <v>0.97811772621627457</v>
      </c>
      <c r="T39" s="13">
        <f ca="1"/>
        <v>-2.4994148750678846E-8</v>
      </c>
    </row>
    <row r="40" spans="2:20">
      <c r="B40" s="3">
        <f t="shared" ca="1" si="2"/>
        <v>74</v>
      </c>
      <c r="C40" s="3">
        <f t="shared" ca="1" si="2"/>
        <v>52</v>
      </c>
      <c r="D40" s="3">
        <f t="shared" ca="1" si="2"/>
        <v>-25</v>
      </c>
      <c r="F40" s="3">
        <f t="shared" ca="1" si="6"/>
        <v>74</v>
      </c>
      <c r="G40" s="3">
        <f t="shared" ca="1" si="8"/>
        <v>52</v>
      </c>
      <c r="H40" s="3">
        <f t="shared" ca="1" si="7"/>
        <v>-25</v>
      </c>
      <c r="J40" s="9">
        <f t="shared" ca="1" si="5"/>
        <v>84.222222222222229</v>
      </c>
      <c r="K40" s="9">
        <f t="shared" ca="1" si="1"/>
        <v>62.222222222222221</v>
      </c>
      <c r="L40" s="9">
        <f t="shared" ca="1" si="1"/>
        <v>-14.777777777777779</v>
      </c>
      <c r="R40" s="13">
        <f ca="1"/>
        <v>-7.8302758582671217E-8</v>
      </c>
      <c r="S40" s="13">
        <f ca="1"/>
        <v>5.5312470437218764E-8</v>
      </c>
      <c r="T40" s="13">
        <f ca="1"/>
        <v>0.67673716758485847</v>
      </c>
    </row>
    <row r="41" spans="2:20">
      <c r="B41" s="3">
        <f t="shared" ca="1" si="2"/>
        <v>-90</v>
      </c>
      <c r="C41" s="3">
        <f t="shared" ca="1" si="2"/>
        <v>44</v>
      </c>
      <c r="D41" s="3">
        <f t="shared" ca="1" si="2"/>
        <v>88</v>
      </c>
      <c r="F41" s="3">
        <f t="shared" ca="1" si="6"/>
        <v>-90</v>
      </c>
      <c r="G41" s="3">
        <f t="shared" ca="1" si="8"/>
        <v>44</v>
      </c>
      <c r="H41" s="3">
        <f t="shared" ca="1" si="7"/>
        <v>88</v>
      </c>
      <c r="J41" s="9">
        <f t="shared" ca="1" si="5"/>
        <v>-79.777777777777771</v>
      </c>
      <c r="K41" s="9">
        <f t="shared" ca="1" si="1"/>
        <v>54.222222222222221</v>
      </c>
      <c r="L41" s="9">
        <f t="shared" ca="1" si="1"/>
        <v>98.222222222222229</v>
      </c>
    </row>
    <row r="42" spans="2:20">
      <c r="B42" s="3">
        <f t="shared" ca="1" si="2"/>
        <v>-80</v>
      </c>
      <c r="C42" s="3">
        <f t="shared" ca="1" si="2"/>
        <v>-77</v>
      </c>
      <c r="D42" s="3">
        <f t="shared" ca="1" si="2"/>
        <v>83</v>
      </c>
      <c r="F42" s="3">
        <f t="shared" ca="1" si="6"/>
        <v>-80</v>
      </c>
      <c r="G42" s="3">
        <f t="shared" ca="1" si="8"/>
        <v>-77</v>
      </c>
      <c r="H42" s="3">
        <f t="shared" ca="1" si="7"/>
        <v>83</v>
      </c>
      <c r="J42" s="9">
        <f t="shared" ca="1" si="5"/>
        <v>-69.777777777777771</v>
      </c>
      <c r="K42" s="9">
        <f t="shared" ca="1" si="1"/>
        <v>-66.777777777777771</v>
      </c>
      <c r="L42" s="9">
        <f t="shared" ca="1" si="1"/>
        <v>93.222222222222229</v>
      </c>
    </row>
    <row r="43" spans="2:20">
      <c r="B43" s="3">
        <f t="shared" ca="1" si="2"/>
        <v>-6</v>
      </c>
      <c r="C43" s="3">
        <f t="shared" ca="1" si="2"/>
        <v>1</v>
      </c>
      <c r="D43" s="3">
        <f t="shared" ca="1" si="2"/>
        <v>31</v>
      </c>
      <c r="F43" s="3">
        <f t="shared" ca="1" si="6"/>
        <v>-6</v>
      </c>
      <c r="G43" s="3">
        <f t="shared" ca="1" si="8"/>
        <v>1</v>
      </c>
      <c r="H43" s="3">
        <f t="shared" ca="1" si="7"/>
        <v>31</v>
      </c>
      <c r="J43" s="9">
        <f t="shared" ca="1" si="5"/>
        <v>4.2222222222222214</v>
      </c>
      <c r="K43" s="9">
        <f t="shared" ca="1" si="1"/>
        <v>11.222222222222221</v>
      </c>
      <c r="L43" s="9">
        <f t="shared" ca="1" si="1"/>
        <v>41.222222222222221</v>
      </c>
    </row>
    <row r="44" spans="2:20">
      <c r="B44" s="3">
        <f t="shared" ca="1" si="2"/>
        <v>-69</v>
      </c>
      <c r="C44" s="3">
        <f t="shared" ca="1" si="2"/>
        <v>-89</v>
      </c>
      <c r="D44" s="3">
        <f t="shared" ca="1" si="2"/>
        <v>-76</v>
      </c>
      <c r="F44" s="3">
        <f t="shared" ca="1" si="6"/>
        <v>-69</v>
      </c>
      <c r="G44" s="3">
        <f t="shared" ca="1" si="8"/>
        <v>-89</v>
      </c>
      <c r="H44" s="3">
        <f t="shared" ca="1" si="7"/>
        <v>-76</v>
      </c>
      <c r="J44" s="9">
        <f t="shared" ca="1" si="5"/>
        <v>-58.777777777777779</v>
      </c>
      <c r="K44" s="9">
        <f t="shared" ca="1" si="1"/>
        <v>-78.777777777777771</v>
      </c>
      <c r="L44" s="9">
        <f t="shared" ca="1" si="1"/>
        <v>-65.777777777777771</v>
      </c>
    </row>
    <row r="45" spans="2:20">
      <c r="B45" s="3">
        <f t="shared" ca="1" si="2"/>
        <v>-92</v>
      </c>
      <c r="C45" s="3">
        <f t="shared" ca="1" si="2"/>
        <v>1</v>
      </c>
      <c r="D45" s="3">
        <f t="shared" ca="1" si="2"/>
        <v>-29</v>
      </c>
      <c r="F45" s="3">
        <f t="shared" ca="1" si="6"/>
        <v>-92</v>
      </c>
      <c r="G45" s="3">
        <f t="shared" ca="1" si="8"/>
        <v>1</v>
      </c>
      <c r="H45" s="3">
        <f t="shared" ca="1" si="7"/>
        <v>-29</v>
      </c>
      <c r="J45" s="9">
        <f t="shared" ca="1" si="5"/>
        <v>-81.777777777777771</v>
      </c>
      <c r="K45" s="9">
        <f t="shared" ca="1" si="1"/>
        <v>11.222222222222221</v>
      </c>
      <c r="L45" s="9">
        <f t="shared" ca="1" si="1"/>
        <v>-18.777777777777779</v>
      </c>
    </row>
    <row r="46" spans="2:20">
      <c r="B46" s="3">
        <f t="shared" ca="1" si="2"/>
        <v>-9</v>
      </c>
      <c r="C46" s="3">
        <f t="shared" ca="1" si="2"/>
        <v>-44</v>
      </c>
      <c r="D46" s="3">
        <f t="shared" ca="1" si="2"/>
        <v>21</v>
      </c>
      <c r="F46" s="3">
        <f t="shared" ca="1" si="6"/>
        <v>-9</v>
      </c>
      <c r="G46" s="3">
        <f t="shared" ca="1" si="8"/>
        <v>-44</v>
      </c>
      <c r="H46" s="3">
        <f t="shared" ca="1" si="7"/>
        <v>21</v>
      </c>
      <c r="J46" s="9">
        <f t="shared" ca="1" si="5"/>
        <v>1.2222222222222214</v>
      </c>
      <c r="K46" s="9">
        <f t="shared" ca="1" si="1"/>
        <v>-33.777777777777779</v>
      </c>
      <c r="L46" s="9">
        <f t="shared" ca="1" si="1"/>
        <v>31.222222222222221</v>
      </c>
    </row>
    <row r="47" spans="2:20">
      <c r="B47" s="3">
        <f t="shared" ca="1" si="2"/>
        <v>-54</v>
      </c>
      <c r="C47" s="3">
        <f t="shared" ca="1" si="2"/>
        <v>44</v>
      </c>
      <c r="D47" s="3">
        <f t="shared" ca="1" si="2"/>
        <v>26</v>
      </c>
      <c r="F47" s="3">
        <f t="shared" ca="1" si="6"/>
        <v>-54</v>
      </c>
      <c r="G47" s="3">
        <f t="shared" ca="1" si="8"/>
        <v>44</v>
      </c>
      <c r="H47" s="3">
        <f t="shared" ca="1" si="7"/>
        <v>26</v>
      </c>
      <c r="J47" s="9">
        <f t="shared" ca="1" si="5"/>
        <v>-43.777777777777779</v>
      </c>
      <c r="K47" s="9">
        <f t="shared" ca="1" si="1"/>
        <v>54.222222222222221</v>
      </c>
      <c r="L47" s="9">
        <f t="shared" ca="1" si="1"/>
        <v>36.222222222222221</v>
      </c>
    </row>
    <row r="48" spans="2:20">
      <c r="B48" s="3">
        <f t="shared" ca="1" si="2"/>
        <v>-13</v>
      </c>
      <c r="C48" s="3">
        <f t="shared" ca="1" si="2"/>
        <v>64</v>
      </c>
      <c r="D48" s="3">
        <f t="shared" ca="1" si="2"/>
        <v>-86</v>
      </c>
      <c r="F48" s="3">
        <f t="shared" ca="1" si="6"/>
        <v>-13</v>
      </c>
      <c r="G48" s="3">
        <f t="shared" ca="1" si="8"/>
        <v>64</v>
      </c>
      <c r="H48" s="3">
        <f t="shared" ca="1" si="7"/>
        <v>-86</v>
      </c>
      <c r="J48" s="9">
        <f t="shared" ca="1" si="5"/>
        <v>-2.7777777777777786</v>
      </c>
      <c r="K48" s="9">
        <f t="shared" ca="1" si="1"/>
        <v>74.222222222222229</v>
      </c>
      <c r="L48" s="9">
        <f t="shared" ca="1" si="1"/>
        <v>-75.777777777777771</v>
      </c>
    </row>
    <row r="49" spans="2:12">
      <c r="B49" s="3">
        <f t="shared" ca="1" si="2"/>
        <v>-85</v>
      </c>
      <c r="C49" s="3">
        <f t="shared" ca="1" si="2"/>
        <v>60</v>
      </c>
      <c r="D49" s="3">
        <f t="shared" ca="1" si="2"/>
        <v>-61</v>
      </c>
      <c r="F49" s="3">
        <f t="shared" ca="1" si="6"/>
        <v>-85</v>
      </c>
      <c r="G49" s="3">
        <f t="shared" ca="1" si="8"/>
        <v>60</v>
      </c>
      <c r="H49" s="3">
        <f t="shared" ca="1" si="7"/>
        <v>-61</v>
      </c>
      <c r="J49" s="9">
        <f t="shared" ca="1" si="5"/>
        <v>-74.777777777777771</v>
      </c>
      <c r="K49" s="9">
        <f t="shared" ca="1" si="1"/>
        <v>70.222222222222229</v>
      </c>
      <c r="L49" s="9">
        <f t="shared" ca="1" si="1"/>
        <v>-50.777777777777779</v>
      </c>
    </row>
    <row r="50" spans="2:12">
      <c r="B50" s="3">
        <f t="shared" ca="1" si="2"/>
        <v>54</v>
      </c>
      <c r="C50" s="3">
        <f t="shared" ca="1" si="2"/>
        <v>77</v>
      </c>
      <c r="D50" s="3">
        <f t="shared" ca="1" si="2"/>
        <v>76</v>
      </c>
      <c r="F50" s="3">
        <f t="shared" ca="1" si="6"/>
        <v>54</v>
      </c>
      <c r="G50" s="3">
        <f t="shared" ca="1" si="8"/>
        <v>77</v>
      </c>
      <c r="H50" s="3">
        <f t="shared" ca="1" si="7"/>
        <v>76</v>
      </c>
      <c r="J50" s="9">
        <f t="shared" ca="1" si="5"/>
        <v>64.222222222222229</v>
      </c>
      <c r="K50" s="9">
        <f t="shared" ca="1" si="1"/>
        <v>87.222222222222229</v>
      </c>
      <c r="L50" s="9">
        <f t="shared" ca="1" si="1"/>
        <v>86.222222222222229</v>
      </c>
    </row>
    <row r="51" spans="2:12">
      <c r="B51" s="3">
        <f t="shared" ca="1" si="2"/>
        <v>-11</v>
      </c>
      <c r="C51" s="3">
        <f t="shared" ca="1" si="2"/>
        <v>96</v>
      </c>
      <c r="D51" s="3">
        <f t="shared" ca="1" si="2"/>
        <v>-62</v>
      </c>
      <c r="F51" s="3">
        <f t="shared" ca="1" si="6"/>
        <v>-11</v>
      </c>
      <c r="G51" s="3">
        <f t="shared" ca="1" si="8"/>
        <v>96</v>
      </c>
      <c r="H51" s="3">
        <f t="shared" ca="1" si="7"/>
        <v>-62</v>
      </c>
      <c r="J51" s="9">
        <f t="shared" ca="1" si="5"/>
        <v>-0.77777777777777857</v>
      </c>
      <c r="K51" s="9">
        <f t="shared" ca="1" si="1"/>
        <v>106.22222222222223</v>
      </c>
      <c r="L51" s="9">
        <f t="shared" ca="1" si="1"/>
        <v>-51.777777777777779</v>
      </c>
    </row>
    <row r="52" spans="2:12">
      <c r="B52" s="3">
        <f t="shared" ca="1" si="2"/>
        <v>25</v>
      </c>
      <c r="C52" s="3">
        <f t="shared" ca="1" si="2"/>
        <v>-65</v>
      </c>
      <c r="D52" s="3">
        <f t="shared" ca="1" si="2"/>
        <v>3</v>
      </c>
      <c r="F52" s="3">
        <f t="shared" ca="1" si="6"/>
        <v>25</v>
      </c>
      <c r="G52" s="3">
        <f t="shared" ca="1" si="8"/>
        <v>-65</v>
      </c>
      <c r="H52" s="3">
        <f t="shared" ca="1" si="7"/>
        <v>3</v>
      </c>
      <c r="J52" s="9">
        <f t="shared" ca="1" si="5"/>
        <v>35.222222222222221</v>
      </c>
      <c r="K52" s="9">
        <f t="shared" ca="1" si="1"/>
        <v>-54.777777777777779</v>
      </c>
      <c r="L52" s="9">
        <f t="shared" ca="1" si="1"/>
        <v>13.222222222222221</v>
      </c>
    </row>
    <row r="53" spans="2:12">
      <c r="B53" s="3">
        <f t="shared" ca="1" si="2"/>
        <v>3</v>
      </c>
      <c r="C53" s="3">
        <f t="shared" ca="1" si="2"/>
        <v>-51</v>
      </c>
      <c r="D53" s="3">
        <f t="shared" ca="1" si="2"/>
        <v>-17</v>
      </c>
      <c r="F53" s="3">
        <f t="shared" ca="1" si="6"/>
        <v>3</v>
      </c>
      <c r="G53" s="3">
        <f t="shared" ca="1" si="8"/>
        <v>-51</v>
      </c>
      <c r="H53" s="3">
        <f t="shared" ca="1" si="7"/>
        <v>-17</v>
      </c>
      <c r="J53" s="9">
        <f t="shared" ca="1" si="5"/>
        <v>13.222222222222221</v>
      </c>
      <c r="K53" s="9">
        <f t="shared" ca="1" si="1"/>
        <v>-40.777777777777779</v>
      </c>
      <c r="L53" s="9">
        <f t="shared" ca="1" si="1"/>
        <v>-6.7777777777777786</v>
      </c>
    </row>
    <row r="54" spans="2:12">
      <c r="B54" s="3">
        <f t="shared" ca="1" si="2"/>
        <v>-15</v>
      </c>
      <c r="C54" s="3">
        <f t="shared" ca="1" si="2"/>
        <v>-63</v>
      </c>
      <c r="D54" s="3">
        <f t="shared" ca="1" si="2"/>
        <v>-28</v>
      </c>
      <c r="F54" s="3">
        <f t="shared" ca="1" si="6"/>
        <v>-15</v>
      </c>
      <c r="G54" s="3">
        <f t="shared" ca="1" si="8"/>
        <v>-63</v>
      </c>
      <c r="H54" s="3">
        <f t="shared" ca="1" si="7"/>
        <v>-28</v>
      </c>
      <c r="J54" s="9">
        <f t="shared" ca="1" si="5"/>
        <v>-4.7777777777777786</v>
      </c>
      <c r="K54" s="9">
        <f t="shared" ca="1" si="1"/>
        <v>-52.777777777777779</v>
      </c>
      <c r="L54" s="9">
        <f t="shared" ca="1" si="1"/>
        <v>-17.777777777777779</v>
      </c>
    </row>
    <row r="55" spans="2:12">
      <c r="B55" s="3">
        <f t="shared" ca="1" si="2"/>
        <v>-14</v>
      </c>
      <c r="C55" s="3">
        <f t="shared" ca="1" si="2"/>
        <v>-81</v>
      </c>
      <c r="D55" s="3">
        <f t="shared" ca="1" si="2"/>
        <v>71</v>
      </c>
      <c r="F55" s="3">
        <f t="shared" ca="1" si="6"/>
        <v>-14</v>
      </c>
      <c r="G55" s="3">
        <f t="shared" ca="1" si="8"/>
        <v>-81</v>
      </c>
      <c r="H55" s="3">
        <f t="shared" ca="1" si="7"/>
        <v>71</v>
      </c>
      <c r="J55" s="9">
        <f t="shared" ca="1" si="5"/>
        <v>-3.7777777777777786</v>
      </c>
      <c r="K55" s="9">
        <f t="shared" ca="1" si="1"/>
        <v>-70.777777777777771</v>
      </c>
      <c r="L55" s="9">
        <f t="shared" ca="1" si="1"/>
        <v>81.222222222222229</v>
      </c>
    </row>
    <row r="56" spans="2:12">
      <c r="B56" s="3">
        <f t="shared" ca="1" si="2"/>
        <v>36</v>
      </c>
      <c r="C56" s="3">
        <f t="shared" ca="1" si="2"/>
        <v>28</v>
      </c>
      <c r="D56" s="3">
        <f t="shared" ca="1" si="2"/>
        <v>-29</v>
      </c>
      <c r="F56" s="3">
        <f t="shared" ca="1" si="6"/>
        <v>36</v>
      </c>
      <c r="G56" s="3">
        <f t="shared" ca="1" si="8"/>
        <v>28</v>
      </c>
      <c r="H56" s="3">
        <f t="shared" ca="1" si="7"/>
        <v>-29</v>
      </c>
      <c r="J56" s="9">
        <f t="shared" ca="1" si="5"/>
        <v>46.222222222222221</v>
      </c>
      <c r="K56" s="9">
        <f t="shared" ca="1" si="1"/>
        <v>38.222222222222221</v>
      </c>
      <c r="L56" s="9">
        <f t="shared" ca="1" si="1"/>
        <v>-18.777777777777779</v>
      </c>
    </row>
    <row r="57" spans="2:12">
      <c r="B57" s="3">
        <f t="shared" ca="1" si="2"/>
        <v>84</v>
      </c>
      <c r="C57" s="3">
        <f t="shared" ca="1" si="2"/>
        <v>12</v>
      </c>
      <c r="D57" s="3">
        <f t="shared" ca="1" si="2"/>
        <v>-51</v>
      </c>
    </row>
  </sheetData>
  <dataValidations count="1">
    <dataValidation type="list" allowBlank="1" showInputMessage="1" showErrorMessage="1" sqref="B8">
      <formula1>"LEVEL,CHANGE,NUMBER OF FACTORS"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meUtilityPCA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2016-05-25T17:04:04Z</dcterms:modified>
</cp:coreProperties>
</file>