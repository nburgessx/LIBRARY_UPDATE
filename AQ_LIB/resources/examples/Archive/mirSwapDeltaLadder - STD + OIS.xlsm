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660" yWindow="2130" windowWidth="23235" windowHeight="11445" activeTab="2"/>
  </bookViews>
  <sheets>
    <sheet name="OIS Curve" sheetId="2" r:id="rId1"/>
    <sheet name="Swap Curve" sheetId="3" r:id="rId2"/>
    <sheet name="Portfolio" sheetId="5" r:id="rId3"/>
  </sheets>
  <definedNames>
    <definedName name="COB">'OIS Curve'!$D$20</definedName>
    <definedName name="Curve.BuildProperties">'OIS Curve'!$C$20:$D$24</definedName>
    <definedName name="Curve.CollectionName">'OIS Curve'!$D$11</definedName>
    <definedName name="Curve.MarketDataTable">'OIS Curve'!$D$12</definedName>
    <definedName name="Curve.OISIndexName">'OIS Curve'!$D$13</definedName>
    <definedName name="ForwardCurves.CurveID" localSheetId="2">#REF!</definedName>
    <definedName name="ForwardCurves.CurveID">#REF!</definedName>
    <definedName name="ForwardCurves.Interpolation" localSheetId="2">#REF!</definedName>
    <definedName name="ForwardCurves.Interpolation">#REF!</definedName>
    <definedName name="ForwardCurves.Periodicity" localSheetId="2">#REF!</definedName>
    <definedName name="ForwardCurves.Periodicity">#REF!</definedName>
    <definedName name="Forwards.EUR12ML" localSheetId="2">#REF!</definedName>
    <definedName name="Forwards.EUR12ML">#REF!</definedName>
    <definedName name="Forwards.EUR1ML" localSheetId="2">#REF!</definedName>
    <definedName name="Forwards.EUR1ML">#REF!</definedName>
    <definedName name="Forwards.EUR3ML" localSheetId="2">#REF!</definedName>
    <definedName name="Forwards.EUR3ML">#REF!</definedName>
    <definedName name="Forwards.EUR6ML" localSheetId="2">#REF!</definedName>
    <definedName name="Forwards.EUR6ML">#REF!</definedName>
    <definedName name="Forwards.OIS" localSheetId="2">#REF!</definedName>
    <definedName name="Forwards.OIS">#REF!</definedName>
    <definedName name="Forwards.StartDate" localSheetId="2">#REF!</definedName>
    <definedName name="Forwards.StartDate">#REF!</definedName>
    <definedName name="FRA.Conventions">'Swap Curve'!$C$51:$D$64</definedName>
    <definedName name="FRA.MarketDataX3">'Swap Curve'!$F$52:$G$64</definedName>
    <definedName name="FRA.MarketDataX6">'Swap Curve'!$I$52:$J$64</definedName>
    <definedName name="Futures.Conventions">'Swap Curve'!$C$72:$D$85</definedName>
    <definedName name="Futures.MarketData">'Swap Curve'!$F$73:$J$85</definedName>
    <definedName name="Libor.Conventions">'Swap Curve'!$F$38:$G$43</definedName>
    <definedName name="Libor.MarketData">'Swap Curve'!$I$39:$J$43</definedName>
    <definedName name="LiborOISBasis.Conventions">'OIS Curve'!$C$64:$D$89</definedName>
    <definedName name="LiborOISBasis.MarketData">'OIS Curve'!$F$65:$G$89</definedName>
    <definedName name="LiborSwap.Conventions">'OIS Curve'!$I$64:$J$89</definedName>
    <definedName name="LiborSwap.MarketData">'OIS Curve'!$L$65:$M$89</definedName>
    <definedName name="MoneyMarket.Conventions">'Swap Curve'!$C$38:$D$43</definedName>
    <definedName name="OIS.Conventions">'OIS Curve'!$C$31:$D$57</definedName>
    <definedName name="OIS.FixingTable">'OIS Curve'!$L$32:$M$57</definedName>
    <definedName name="OIS.MarketData">'OIS Curve'!$F$32:$J$57</definedName>
    <definedName name="STDCurve.Buildproperties">'Swap Curve'!$C$22:$D$31</definedName>
    <definedName name="STDCurve.CollectionName">'Swap Curve'!$D$13</definedName>
    <definedName name="STDCurve.IndexName">'Swap Curve'!$D$15</definedName>
    <definedName name="STDCurve.StaticDataTable">'Swap Curve'!$D$14</definedName>
    <definedName name="Swap.Conventions">'Swap Curve'!$C$93:$D$111</definedName>
    <definedName name="Swap.MarketData">'Swap Curve'!$F$94:$H$111</definedName>
    <definedName name="TenorBasisCurve3M6M.BuildProperties" localSheetId="2">#REF!</definedName>
    <definedName name="TenorBasisCurve3M6M.BuildProperties">#REF!</definedName>
    <definedName name="TenorBasisCurve3M6M.CollectionName" localSheetId="2">#REF!</definedName>
    <definedName name="TenorBasisCurve3M6M.CollectionName">#REF!</definedName>
    <definedName name="TenorBasisCurve3M6M.IndexName" localSheetId="2">#REF!</definedName>
    <definedName name="TenorBasisCurve3M6M.IndexName">#REF!</definedName>
    <definedName name="TenorBasisCurve3M6M.StaticDataTable" localSheetId="2">#REF!</definedName>
    <definedName name="TenorBasisCurve3M6M.StaticDataTable">#REF!</definedName>
    <definedName name="TenorBasisSwap3M6M.Conventions" localSheetId="2">#REF!</definedName>
    <definedName name="TenorBasisSwap3M6M.Conventions">#REF!</definedName>
    <definedName name="TenorBasisSwap3M6M.MarketData" localSheetId="2">#REF!</definedName>
    <definedName name="TenorBasisSwap3M6M.MarketData">#REF!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D8" i="3" l="1"/>
  <c r="D7" i="2"/>
  <c r="G95" i="3" l="1"/>
  <c r="M68" i="2"/>
  <c r="G40" i="2"/>
  <c r="G5" i="5" a="1"/>
  <c r="G5" i="5" l="1"/>
  <c r="K5" i="5"/>
  <c r="J6" i="5"/>
  <c r="I7" i="5"/>
  <c r="H8" i="5"/>
  <c r="G9" i="5"/>
  <c r="K9" i="5"/>
  <c r="J10" i="5"/>
  <c r="I11" i="5"/>
  <c r="H12" i="5"/>
  <c r="G13" i="5"/>
  <c r="K13" i="5"/>
  <c r="J14" i="5"/>
  <c r="I15" i="5"/>
  <c r="H16" i="5"/>
  <c r="G17" i="5"/>
  <c r="K17" i="5"/>
  <c r="J18" i="5"/>
  <c r="I19" i="5"/>
  <c r="H20" i="5"/>
  <c r="G21" i="5"/>
  <c r="K21" i="5"/>
  <c r="J22" i="5"/>
  <c r="I23" i="5"/>
  <c r="H24" i="5"/>
  <c r="G25" i="5"/>
  <c r="K25" i="5"/>
  <c r="J26" i="5"/>
  <c r="I27" i="5"/>
  <c r="H28" i="5"/>
  <c r="G29" i="5"/>
  <c r="H5" i="5"/>
  <c r="G6" i="5"/>
  <c r="K6" i="5"/>
  <c r="J7" i="5"/>
  <c r="I8" i="5"/>
  <c r="H9" i="5"/>
  <c r="G10" i="5"/>
  <c r="K10" i="5"/>
  <c r="J11" i="5"/>
  <c r="I12" i="5"/>
  <c r="H13" i="5"/>
  <c r="G14" i="5"/>
  <c r="K14" i="5"/>
  <c r="J15" i="5"/>
  <c r="I16" i="5"/>
  <c r="H17" i="5"/>
  <c r="G18" i="5"/>
  <c r="K18" i="5"/>
  <c r="J19" i="5"/>
  <c r="I20" i="5"/>
  <c r="H21" i="5"/>
  <c r="G22" i="5"/>
  <c r="K22" i="5"/>
  <c r="J23" i="5"/>
  <c r="I24" i="5"/>
  <c r="H25" i="5"/>
  <c r="G26" i="5"/>
  <c r="K26" i="5"/>
  <c r="J27" i="5"/>
  <c r="I28" i="5"/>
  <c r="H29" i="5"/>
  <c r="G30" i="5"/>
  <c r="K30" i="5"/>
  <c r="J31" i="5"/>
  <c r="I32" i="5"/>
  <c r="H33" i="5"/>
  <c r="G34" i="5"/>
  <c r="K34" i="5"/>
  <c r="J35" i="5"/>
  <c r="I36" i="5"/>
  <c r="H37" i="5"/>
  <c r="G38" i="5"/>
  <c r="K38" i="5"/>
  <c r="J39" i="5"/>
  <c r="I40" i="5"/>
  <c r="H41" i="5"/>
  <c r="G42" i="5"/>
  <c r="K42" i="5"/>
  <c r="J43" i="5"/>
  <c r="I44" i="5"/>
  <c r="H45" i="5"/>
  <c r="G46" i="5"/>
  <c r="K46" i="5"/>
  <c r="J47" i="5"/>
  <c r="I48" i="5"/>
  <c r="H49" i="5"/>
  <c r="G50" i="5"/>
  <c r="K50" i="5"/>
  <c r="J51" i="5"/>
  <c r="I52" i="5"/>
  <c r="H53" i="5"/>
  <c r="G54" i="5"/>
  <c r="K54" i="5"/>
  <c r="J55" i="5"/>
  <c r="I56" i="5"/>
  <c r="H57" i="5"/>
  <c r="G58" i="5"/>
  <c r="K58" i="5"/>
  <c r="J59" i="5"/>
  <c r="I60" i="5"/>
  <c r="H61" i="5"/>
  <c r="G62" i="5"/>
  <c r="K62" i="5"/>
  <c r="J63" i="5"/>
  <c r="I64" i="5"/>
  <c r="H65" i="5"/>
  <c r="G66" i="5"/>
  <c r="K66" i="5"/>
  <c r="J67" i="5"/>
  <c r="I68" i="5"/>
  <c r="H69" i="5"/>
  <c r="G70" i="5"/>
  <c r="K70" i="5"/>
  <c r="J71" i="5"/>
  <c r="I72" i="5"/>
  <c r="I5" i="5"/>
  <c r="H6" i="5"/>
  <c r="G7" i="5"/>
  <c r="K7" i="5"/>
  <c r="J8" i="5"/>
  <c r="I9" i="5"/>
  <c r="H10" i="5"/>
  <c r="G11" i="5"/>
  <c r="K11" i="5"/>
  <c r="J12" i="5"/>
  <c r="I13" i="5"/>
  <c r="H14" i="5"/>
  <c r="G15" i="5"/>
  <c r="K15" i="5"/>
  <c r="J16" i="5"/>
  <c r="I17" i="5"/>
  <c r="H18" i="5"/>
  <c r="G19" i="5"/>
  <c r="K19" i="5"/>
  <c r="J20" i="5"/>
  <c r="I21" i="5"/>
  <c r="H22" i="5"/>
  <c r="G23" i="5"/>
  <c r="K23" i="5"/>
  <c r="J24" i="5"/>
  <c r="I25" i="5"/>
  <c r="H26" i="5"/>
  <c r="G27" i="5"/>
  <c r="K27" i="5"/>
  <c r="J28" i="5"/>
  <c r="I29" i="5"/>
  <c r="H30" i="5"/>
  <c r="G31" i="5"/>
  <c r="K31" i="5"/>
  <c r="J32" i="5"/>
  <c r="I33" i="5"/>
  <c r="H34" i="5"/>
  <c r="G35" i="5"/>
  <c r="K35" i="5"/>
  <c r="J36" i="5"/>
  <c r="J5" i="5"/>
  <c r="K8" i="5"/>
  <c r="G12" i="5"/>
  <c r="H15" i="5"/>
  <c r="I18" i="5"/>
  <c r="J21" i="5"/>
  <c r="K24" i="5"/>
  <c r="G28" i="5"/>
  <c r="I30" i="5"/>
  <c r="G32" i="5"/>
  <c r="J33" i="5"/>
  <c r="H35" i="5"/>
  <c r="K36" i="5"/>
  <c r="K37" i="5"/>
  <c r="G39" i="5"/>
  <c r="G40" i="5"/>
  <c r="G41" i="5"/>
  <c r="H42" i="5"/>
  <c r="H43" i="5"/>
  <c r="H44" i="5"/>
  <c r="I45" i="5"/>
  <c r="I46" i="5"/>
  <c r="I47" i="5"/>
  <c r="J48" i="5"/>
  <c r="J49" i="5"/>
  <c r="J50" i="5"/>
  <c r="K51" i="5"/>
  <c r="K52" i="5"/>
  <c r="K53" i="5"/>
  <c r="G55" i="5"/>
  <c r="G56" i="5"/>
  <c r="G57" i="5"/>
  <c r="H58" i="5"/>
  <c r="H59" i="5"/>
  <c r="H60" i="5"/>
  <c r="I61" i="5"/>
  <c r="I62" i="5"/>
  <c r="I63" i="5"/>
  <c r="J64" i="5"/>
  <c r="J65" i="5"/>
  <c r="J66" i="5"/>
  <c r="K67" i="5"/>
  <c r="K68" i="5"/>
  <c r="K69" i="5"/>
  <c r="G71" i="5"/>
  <c r="G72" i="5"/>
  <c r="G73" i="5"/>
  <c r="K73" i="5"/>
  <c r="J74" i="5"/>
  <c r="I75" i="5"/>
  <c r="H76" i="5"/>
  <c r="G77" i="5"/>
  <c r="K77" i="5"/>
  <c r="J78" i="5"/>
  <c r="I79" i="5"/>
  <c r="H80" i="5"/>
  <c r="G81" i="5"/>
  <c r="K81" i="5"/>
  <c r="J82" i="5"/>
  <c r="I83" i="5"/>
  <c r="H84" i="5"/>
  <c r="G85" i="5"/>
  <c r="K85" i="5"/>
  <c r="J86" i="5"/>
  <c r="I87" i="5"/>
  <c r="H88" i="5"/>
  <c r="G89" i="5"/>
  <c r="K89" i="5"/>
  <c r="J90" i="5"/>
  <c r="I91" i="5"/>
  <c r="H92" i="5"/>
  <c r="G93" i="5"/>
  <c r="K93" i="5"/>
  <c r="J94" i="5"/>
  <c r="I6" i="5"/>
  <c r="J9" i="5"/>
  <c r="K12" i="5"/>
  <c r="G16" i="5"/>
  <c r="H19" i="5"/>
  <c r="I22" i="5"/>
  <c r="J25" i="5"/>
  <c r="K28" i="5"/>
  <c r="J30" i="5"/>
  <c r="H32" i="5"/>
  <c r="K33" i="5"/>
  <c r="I35" i="5"/>
  <c r="G37" i="5"/>
  <c r="H38" i="5"/>
  <c r="H39" i="5"/>
  <c r="H40" i="5"/>
  <c r="I41" i="5"/>
  <c r="I42" i="5"/>
  <c r="I43" i="5"/>
  <c r="J44" i="5"/>
  <c r="J45" i="5"/>
  <c r="J46" i="5"/>
  <c r="K47" i="5"/>
  <c r="K48" i="5"/>
  <c r="K49" i="5"/>
  <c r="G51" i="5"/>
  <c r="G52" i="5"/>
  <c r="G53" i="5"/>
  <c r="H54" i="5"/>
  <c r="H55" i="5"/>
  <c r="H56" i="5"/>
  <c r="I57" i="5"/>
  <c r="I58" i="5"/>
  <c r="I59" i="5"/>
  <c r="J60" i="5"/>
  <c r="J61" i="5"/>
  <c r="J62" i="5"/>
  <c r="K63" i="5"/>
  <c r="K64" i="5"/>
  <c r="K65" i="5"/>
  <c r="G67" i="5"/>
  <c r="G68" i="5"/>
  <c r="G69" i="5"/>
  <c r="H70" i="5"/>
  <c r="H71" i="5"/>
  <c r="H72" i="5"/>
  <c r="H73" i="5"/>
  <c r="G74" i="5"/>
  <c r="K74" i="5"/>
  <c r="J75" i="5"/>
  <c r="I76" i="5"/>
  <c r="H77" i="5"/>
  <c r="G78" i="5"/>
  <c r="K78" i="5"/>
  <c r="J79" i="5"/>
  <c r="I80" i="5"/>
  <c r="H81" i="5"/>
  <c r="G82" i="5"/>
  <c r="K82" i="5"/>
  <c r="J83" i="5"/>
  <c r="I84" i="5"/>
  <c r="H85" i="5"/>
  <c r="G86" i="5"/>
  <c r="K86" i="5"/>
  <c r="J87" i="5"/>
  <c r="I88" i="5"/>
  <c r="H89" i="5"/>
  <c r="G90" i="5"/>
  <c r="K90" i="5"/>
  <c r="J91" i="5"/>
  <c r="I92" i="5"/>
  <c r="H93" i="5"/>
  <c r="G94" i="5"/>
  <c r="K94" i="5"/>
  <c r="J95" i="5"/>
  <c r="H7" i="5"/>
  <c r="I10" i="5"/>
  <c r="J13" i="5"/>
  <c r="K16" i="5"/>
  <c r="G20" i="5"/>
  <c r="H23" i="5"/>
  <c r="I26" i="5"/>
  <c r="J29" i="5"/>
  <c r="H31" i="5"/>
  <c r="K32" i="5"/>
  <c r="I34" i="5"/>
  <c r="G36" i="5"/>
  <c r="I37" i="5"/>
  <c r="I38" i="5"/>
  <c r="I39" i="5"/>
  <c r="J40" i="5"/>
  <c r="J41" i="5"/>
  <c r="J42" i="5"/>
  <c r="K43" i="5"/>
  <c r="K44" i="5"/>
  <c r="K45" i="5"/>
  <c r="G47" i="5"/>
  <c r="G48" i="5"/>
  <c r="G49" i="5"/>
  <c r="H50" i="5"/>
  <c r="H51" i="5"/>
  <c r="H52" i="5"/>
  <c r="I53" i="5"/>
  <c r="I54" i="5"/>
  <c r="I55" i="5"/>
  <c r="J56" i="5"/>
  <c r="J57" i="5"/>
  <c r="J58" i="5"/>
  <c r="K59" i="5"/>
  <c r="K60" i="5"/>
  <c r="K61" i="5"/>
  <c r="G63" i="5"/>
  <c r="G64" i="5"/>
  <c r="G65" i="5"/>
  <c r="H66" i="5"/>
  <c r="H67" i="5"/>
  <c r="H68" i="5"/>
  <c r="I69" i="5"/>
  <c r="I70" i="5"/>
  <c r="I71" i="5"/>
  <c r="J72" i="5"/>
  <c r="I73" i="5"/>
  <c r="H74" i="5"/>
  <c r="G75" i="5"/>
  <c r="K75" i="5"/>
  <c r="J76" i="5"/>
  <c r="I77" i="5"/>
  <c r="H78" i="5"/>
  <c r="G79" i="5"/>
  <c r="K79" i="5"/>
  <c r="J80" i="5"/>
  <c r="I81" i="5"/>
  <c r="H82" i="5"/>
  <c r="G83" i="5"/>
  <c r="K83" i="5"/>
  <c r="J84" i="5"/>
  <c r="I85" i="5"/>
  <c r="H86" i="5"/>
  <c r="G87" i="5"/>
  <c r="K87" i="5"/>
  <c r="J88" i="5"/>
  <c r="I89" i="5"/>
  <c r="H90" i="5"/>
  <c r="G91" i="5"/>
  <c r="K91" i="5"/>
  <c r="J92" i="5"/>
  <c r="I93" i="5"/>
  <c r="H94" i="5"/>
  <c r="G95" i="5"/>
  <c r="K95" i="5"/>
  <c r="J96" i="5"/>
  <c r="I97" i="5"/>
  <c r="H98" i="5"/>
  <c r="G99" i="5"/>
  <c r="K99" i="5"/>
  <c r="J100" i="5"/>
  <c r="I101" i="5"/>
  <c r="H102" i="5"/>
  <c r="G103" i="5"/>
  <c r="K103" i="5"/>
  <c r="J104" i="5"/>
  <c r="I105" i="5"/>
  <c r="H106" i="5"/>
  <c r="G107" i="5"/>
  <c r="K107" i="5"/>
  <c r="J108" i="5"/>
  <c r="I109" i="5"/>
  <c r="H110" i="5"/>
  <c r="G111" i="5"/>
  <c r="K111" i="5"/>
  <c r="J112" i="5"/>
  <c r="I113" i="5"/>
  <c r="H114" i="5"/>
  <c r="G115" i="5"/>
  <c r="K115" i="5"/>
  <c r="J116" i="5"/>
  <c r="I117" i="5"/>
  <c r="H118" i="5"/>
  <c r="G119" i="5"/>
  <c r="K119" i="5"/>
  <c r="J120" i="5"/>
  <c r="G8" i="5"/>
  <c r="H11" i="5"/>
  <c r="I14" i="5"/>
  <c r="J17" i="5"/>
  <c r="K20" i="5"/>
  <c r="G24" i="5"/>
  <c r="H27" i="5"/>
  <c r="K29" i="5"/>
  <c r="I31" i="5"/>
  <c r="G33" i="5"/>
  <c r="J34" i="5"/>
  <c r="H36" i="5"/>
  <c r="J37" i="5"/>
  <c r="J38" i="5"/>
  <c r="K39" i="5"/>
  <c r="K40" i="5"/>
  <c r="K41" i="5"/>
  <c r="G43" i="5"/>
  <c r="G44" i="5"/>
  <c r="G45" i="5"/>
  <c r="H46" i="5"/>
  <c r="H47" i="5"/>
  <c r="H48" i="5"/>
  <c r="I49" i="5"/>
  <c r="I50" i="5"/>
  <c r="I51" i="5"/>
  <c r="J52" i="5"/>
  <c r="J53" i="5"/>
  <c r="J54" i="5"/>
  <c r="K55" i="5"/>
  <c r="K56" i="5"/>
  <c r="K57" i="5"/>
  <c r="G59" i="5"/>
  <c r="G60" i="5"/>
  <c r="G61" i="5"/>
  <c r="H62" i="5"/>
  <c r="H63" i="5"/>
  <c r="H64" i="5"/>
  <c r="I65" i="5"/>
  <c r="I66" i="5"/>
  <c r="I67" i="5"/>
  <c r="J68" i="5"/>
  <c r="J69" i="5"/>
  <c r="J70" i="5"/>
  <c r="K71" i="5"/>
  <c r="K72" i="5"/>
  <c r="J73" i="5"/>
  <c r="I74" i="5"/>
  <c r="H75" i="5"/>
  <c r="G76" i="5"/>
  <c r="K76" i="5"/>
  <c r="J77" i="5"/>
  <c r="I78" i="5"/>
  <c r="H79" i="5"/>
  <c r="G80" i="5"/>
  <c r="K80" i="5"/>
  <c r="J81" i="5"/>
  <c r="I82" i="5"/>
  <c r="H83" i="5"/>
  <c r="G84" i="5"/>
  <c r="K84" i="5"/>
  <c r="J85" i="5"/>
  <c r="I86" i="5"/>
  <c r="H87" i="5"/>
  <c r="G88" i="5"/>
  <c r="K88" i="5"/>
  <c r="J89" i="5"/>
  <c r="I90" i="5"/>
  <c r="H91" i="5"/>
  <c r="G92" i="5"/>
  <c r="K92" i="5"/>
  <c r="J93" i="5"/>
  <c r="I94" i="5"/>
  <c r="H95" i="5"/>
  <c r="G96" i="5"/>
  <c r="K96" i="5"/>
  <c r="J97" i="5"/>
  <c r="I98" i="5"/>
  <c r="H99" i="5"/>
  <c r="G100" i="5"/>
  <c r="K100" i="5"/>
  <c r="J101" i="5"/>
  <c r="I102" i="5"/>
  <c r="H103" i="5"/>
  <c r="G104" i="5"/>
  <c r="I95" i="5"/>
  <c r="H97" i="5"/>
  <c r="K98" i="5"/>
  <c r="I100" i="5"/>
  <c r="G102" i="5"/>
  <c r="J103" i="5"/>
  <c r="G105" i="5"/>
  <c r="G106" i="5"/>
  <c r="H107" i="5"/>
  <c r="H108" i="5"/>
  <c r="H109" i="5"/>
  <c r="I110" i="5"/>
  <c r="I111" i="5"/>
  <c r="I112" i="5"/>
  <c r="J113" i="5"/>
  <c r="J114" i="5"/>
  <c r="J115" i="5"/>
  <c r="K116" i="5"/>
  <c r="K117" i="5"/>
  <c r="K118" i="5"/>
  <c r="G120" i="5"/>
  <c r="G121" i="5"/>
  <c r="K121" i="5"/>
  <c r="J122" i="5"/>
  <c r="I123" i="5"/>
  <c r="H124" i="5"/>
  <c r="G125" i="5"/>
  <c r="K125" i="5"/>
  <c r="J126" i="5"/>
  <c r="I127" i="5"/>
  <c r="H128" i="5"/>
  <c r="G129" i="5"/>
  <c r="K129" i="5"/>
  <c r="J130" i="5"/>
  <c r="I131" i="5"/>
  <c r="H132" i="5"/>
  <c r="G133" i="5"/>
  <c r="K133" i="5"/>
  <c r="J134" i="5"/>
  <c r="I135" i="5"/>
  <c r="H136" i="5"/>
  <c r="G137" i="5"/>
  <c r="K137" i="5"/>
  <c r="J138" i="5"/>
  <c r="I139" i="5"/>
  <c r="H140" i="5"/>
  <c r="G141" i="5"/>
  <c r="K141" i="5"/>
  <c r="J142" i="5"/>
  <c r="I143" i="5"/>
  <c r="H144" i="5"/>
  <c r="G145" i="5"/>
  <c r="K145" i="5"/>
  <c r="J146" i="5"/>
  <c r="I147" i="5"/>
  <c r="H148" i="5"/>
  <c r="G149" i="5"/>
  <c r="K149" i="5"/>
  <c r="J150" i="5"/>
  <c r="I151" i="5"/>
  <c r="H152" i="5"/>
  <c r="G153" i="5"/>
  <c r="K153" i="5"/>
  <c r="J154" i="5"/>
  <c r="I155" i="5"/>
  <c r="H156" i="5"/>
  <c r="G157" i="5"/>
  <c r="K157" i="5"/>
  <c r="J158" i="5"/>
  <c r="I159" i="5"/>
  <c r="H160" i="5"/>
  <c r="G161" i="5"/>
  <c r="K161" i="5"/>
  <c r="J162" i="5"/>
  <c r="I163" i="5"/>
  <c r="H164" i="5"/>
  <c r="G165" i="5"/>
  <c r="K165" i="5"/>
  <c r="J166" i="5"/>
  <c r="I167" i="5"/>
  <c r="H168" i="5"/>
  <c r="G169" i="5"/>
  <c r="K169" i="5"/>
  <c r="J170" i="5"/>
  <c r="I171" i="5"/>
  <c r="H96" i="5"/>
  <c r="K97" i="5"/>
  <c r="I99" i="5"/>
  <c r="G101" i="5"/>
  <c r="J102" i="5"/>
  <c r="H104" i="5"/>
  <c r="H105" i="5"/>
  <c r="I106" i="5"/>
  <c r="I107" i="5"/>
  <c r="I108" i="5"/>
  <c r="J109" i="5"/>
  <c r="J110" i="5"/>
  <c r="J111" i="5"/>
  <c r="K112" i="5"/>
  <c r="K113" i="5"/>
  <c r="K114" i="5"/>
  <c r="G116" i="5"/>
  <c r="G117" i="5"/>
  <c r="G118" i="5"/>
  <c r="H119" i="5"/>
  <c r="H120" i="5"/>
  <c r="H121" i="5"/>
  <c r="G122" i="5"/>
  <c r="K122" i="5"/>
  <c r="J123" i="5"/>
  <c r="I124" i="5"/>
  <c r="H125" i="5"/>
  <c r="G126" i="5"/>
  <c r="K126" i="5"/>
  <c r="J127" i="5"/>
  <c r="I128" i="5"/>
  <c r="H129" i="5"/>
  <c r="G130" i="5"/>
  <c r="K130" i="5"/>
  <c r="J131" i="5"/>
  <c r="I132" i="5"/>
  <c r="H133" i="5"/>
  <c r="G134" i="5"/>
  <c r="K134" i="5"/>
  <c r="J135" i="5"/>
  <c r="I136" i="5"/>
  <c r="H137" i="5"/>
  <c r="G138" i="5"/>
  <c r="K138" i="5"/>
  <c r="J139" i="5"/>
  <c r="I140" i="5"/>
  <c r="H141" i="5"/>
  <c r="G142" i="5"/>
  <c r="K142" i="5"/>
  <c r="J143" i="5"/>
  <c r="I144" i="5"/>
  <c r="H145" i="5"/>
  <c r="G146" i="5"/>
  <c r="K146" i="5"/>
  <c r="J147" i="5"/>
  <c r="I148" i="5"/>
  <c r="H149" i="5"/>
  <c r="G150" i="5"/>
  <c r="K150" i="5"/>
  <c r="J151" i="5"/>
  <c r="I152" i="5"/>
  <c r="H153" i="5"/>
  <c r="G154" i="5"/>
  <c r="K154" i="5"/>
  <c r="J155" i="5"/>
  <c r="I156" i="5"/>
  <c r="H157" i="5"/>
  <c r="G158" i="5"/>
  <c r="K158" i="5"/>
  <c r="J159" i="5"/>
  <c r="I160" i="5"/>
  <c r="H161" i="5"/>
  <c r="G162" i="5"/>
  <c r="K162" i="5"/>
  <c r="J163" i="5"/>
  <c r="I164" i="5"/>
  <c r="H165" i="5"/>
  <c r="G166" i="5"/>
  <c r="K166" i="5"/>
  <c r="J167" i="5"/>
  <c r="I168" i="5"/>
  <c r="H169" i="5"/>
  <c r="G170" i="5"/>
  <c r="K170" i="5"/>
  <c r="J171" i="5"/>
  <c r="G97" i="5"/>
  <c r="J98" i="5"/>
  <c r="H100" i="5"/>
  <c r="K101" i="5"/>
  <c r="I103" i="5"/>
  <c r="K104" i="5"/>
  <c r="K105" i="5"/>
  <c r="K106" i="5"/>
  <c r="G108" i="5"/>
  <c r="G109" i="5"/>
  <c r="G110" i="5"/>
  <c r="H111" i="5"/>
  <c r="H112" i="5"/>
  <c r="H113" i="5"/>
  <c r="I114" i="5"/>
  <c r="I115" i="5"/>
  <c r="I116" i="5"/>
  <c r="J117" i="5"/>
  <c r="J118" i="5"/>
  <c r="J119" i="5"/>
  <c r="K120" i="5"/>
  <c r="J121" i="5"/>
  <c r="I122" i="5"/>
  <c r="H123" i="5"/>
  <c r="G124" i="5"/>
  <c r="K124" i="5"/>
  <c r="J125" i="5"/>
  <c r="I126" i="5"/>
  <c r="H127" i="5"/>
  <c r="G128" i="5"/>
  <c r="K128" i="5"/>
  <c r="J129" i="5"/>
  <c r="I130" i="5"/>
  <c r="H131" i="5"/>
  <c r="G132" i="5"/>
  <c r="K132" i="5"/>
  <c r="J133" i="5"/>
  <c r="I134" i="5"/>
  <c r="H135" i="5"/>
  <c r="G136" i="5"/>
  <c r="K136" i="5"/>
  <c r="J137" i="5"/>
  <c r="I138" i="5"/>
  <c r="H139" i="5"/>
  <c r="G140" i="5"/>
  <c r="K140" i="5"/>
  <c r="J141" i="5"/>
  <c r="I142" i="5"/>
  <c r="H143" i="5"/>
  <c r="G144" i="5"/>
  <c r="K144" i="5"/>
  <c r="J145" i="5"/>
  <c r="I146" i="5"/>
  <c r="H147" i="5"/>
  <c r="G148" i="5"/>
  <c r="K148" i="5"/>
  <c r="J149" i="5"/>
  <c r="I150" i="5"/>
  <c r="H151" i="5"/>
  <c r="G152" i="5"/>
  <c r="K152" i="5"/>
  <c r="J153" i="5"/>
  <c r="I154" i="5"/>
  <c r="H155" i="5"/>
  <c r="G156" i="5"/>
  <c r="K156" i="5"/>
  <c r="J157" i="5"/>
  <c r="I158" i="5"/>
  <c r="H159" i="5"/>
  <c r="G160" i="5"/>
  <c r="K160" i="5"/>
  <c r="J161" i="5"/>
  <c r="I162" i="5"/>
  <c r="H163" i="5"/>
  <c r="G164" i="5"/>
  <c r="K164" i="5"/>
  <c r="J165" i="5"/>
  <c r="I166" i="5"/>
  <c r="H167" i="5"/>
  <c r="G168" i="5"/>
  <c r="K168" i="5"/>
  <c r="J169" i="5"/>
  <c r="I170" i="5"/>
  <c r="H171" i="5"/>
  <c r="I96" i="5"/>
  <c r="K102" i="5"/>
  <c r="J107" i="5"/>
  <c r="G112" i="5"/>
  <c r="H116" i="5"/>
  <c r="I120" i="5"/>
  <c r="K123" i="5"/>
  <c r="G127" i="5"/>
  <c r="H130" i="5"/>
  <c r="I133" i="5"/>
  <c r="J136" i="5"/>
  <c r="K139" i="5"/>
  <c r="G143" i="5"/>
  <c r="H146" i="5"/>
  <c r="I149" i="5"/>
  <c r="J152" i="5"/>
  <c r="K155" i="5"/>
  <c r="G159" i="5"/>
  <c r="H162" i="5"/>
  <c r="I165" i="5"/>
  <c r="J168" i="5"/>
  <c r="K171" i="5"/>
  <c r="G151" i="5"/>
  <c r="I157" i="5"/>
  <c r="K163" i="5"/>
  <c r="G167" i="5"/>
  <c r="H101" i="5"/>
  <c r="K110" i="5"/>
  <c r="H115" i="5"/>
  <c r="G123" i="5"/>
  <c r="H126" i="5"/>
  <c r="J132" i="5"/>
  <c r="G139" i="5"/>
  <c r="I145" i="5"/>
  <c r="K151" i="5"/>
  <c r="H158" i="5"/>
  <c r="I161" i="5"/>
  <c r="K167" i="5"/>
  <c r="G98" i="5"/>
  <c r="I104" i="5"/>
  <c r="K108" i="5"/>
  <c r="G113" i="5"/>
  <c r="H117" i="5"/>
  <c r="I121" i="5"/>
  <c r="J124" i="5"/>
  <c r="K127" i="5"/>
  <c r="G131" i="5"/>
  <c r="H134" i="5"/>
  <c r="I137" i="5"/>
  <c r="J140" i="5"/>
  <c r="K143" i="5"/>
  <c r="G147" i="5"/>
  <c r="H150" i="5"/>
  <c r="I153" i="5"/>
  <c r="J156" i="5"/>
  <c r="K159" i="5"/>
  <c r="G163" i="5"/>
  <c r="H166" i="5"/>
  <c r="I169" i="5"/>
  <c r="J99" i="5"/>
  <c r="J105" i="5"/>
  <c r="K109" i="5"/>
  <c r="G114" i="5"/>
  <c r="I118" i="5"/>
  <c r="H122" i="5"/>
  <c r="I125" i="5"/>
  <c r="J128" i="5"/>
  <c r="K131" i="5"/>
  <c r="G135" i="5"/>
  <c r="H138" i="5"/>
  <c r="I141" i="5"/>
  <c r="J144" i="5"/>
  <c r="K147" i="5"/>
  <c r="H154" i="5"/>
  <c r="J160" i="5"/>
  <c r="H170" i="5"/>
  <c r="J106" i="5"/>
  <c r="I119" i="5"/>
  <c r="I129" i="5"/>
  <c r="K135" i="5"/>
  <c r="H142" i="5"/>
  <c r="J148" i="5"/>
  <c r="G155" i="5"/>
  <c r="J164" i="5"/>
  <c r="G171" i="5"/>
  <c r="G66" i="2"/>
  <c r="G97" i="3"/>
  <c r="G38" i="2" l="1"/>
  <c r="J92" i="3" l="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3.xml><?xml version="1.0" encoding="utf-8"?>
<comments xmlns="http://schemas.openxmlformats.org/spreadsheetml/2006/main">
  <authors>
    <author>Ye Joseph</author>
  </authors>
  <commentList>
    <comment ref="B14" authorId="0">
      <text>
        <r>
          <rPr>
            <b/>
            <sz val="9"/>
            <color indexed="81"/>
            <rFont val="Tahoma"/>
            <charset val="1"/>
          </rPr>
          <t>New name for roll convention</t>
        </r>
      </text>
    </comment>
    <comment ref="B23" authorId="0">
      <text>
        <r>
          <rPr>
            <b/>
            <sz val="9"/>
            <color indexed="81"/>
            <rFont val="Tahoma"/>
            <charset val="1"/>
          </rPr>
          <t>new name for roll convention</t>
        </r>
      </text>
    </comment>
  </commentList>
</comments>
</file>

<file path=xl/sharedStrings.xml><?xml version="1.0" encoding="utf-8"?>
<sst xmlns="http://schemas.openxmlformats.org/spreadsheetml/2006/main" count="424" uniqueCount="212">
  <si>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</si>
  <si>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</si>
  <si>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</si>
  <si>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</si>
  <si>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</si>
  <si>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</si>
  <si>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</si>
  <si>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</si>
  <si>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</si>
  <si>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</si>
  <si>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</si>
  <si>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</si>
  <si>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</si>
  <si>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</si>
  <si>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</si>
  <si>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</si>
  <si>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</si>
  <si>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</si>
  <si>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</si>
  <si>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</si>
  <si>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</si>
  <si>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</si>
  <si>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</si>
  <si>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</si>
  <si>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</si>
  <si>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</si>
  <si>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</si>
  <si>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</si>
  <si>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</si>
  <si>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</si>
  <si>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</si>
  <si>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</si>
  <si>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</si>
  <si>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</si>
  <si>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</si>
  <si>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</si>
  <si>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</si>
  <si>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</si>
  <si>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</si>
  <si>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</si>
  <si>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</si>
  <si>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</si>
  <si>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</si>
  <si>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</si>
  <si>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</si>
  <si>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</si>
  <si>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</si>
  <si>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</si>
  <si>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</si>
  <si>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</si>
  <si>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</si>
  <si>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</si>
  <si>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</si>
  <si>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</si>
  <si>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</si>
  <si>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</si>
  <si>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</si>
  <si>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</si>
  <si>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</si>
  <si>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</si>
  <si>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</si>
  <si>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</si>
  <si>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</si>
  <si>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</si>
  <si>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</si>
  <si>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</si>
  <si>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</si>
  <si>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</si>
  <si>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</si>
  <si>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</si>
  <si>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</si>
  <si>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</si>
  <si>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mirSetUpOISCurve</t>
  </si>
  <si>
    <t>EURYC</t>
  </si>
  <si>
    <t>&lt;- This is a reference to a property file table and should remain fixed.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</si>
  <si>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</si>
  <si>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</si>
  <si>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</si>
  <si>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</si>
  <si>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</si>
  <si>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</si>
  <si>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CurveCollection</t>
  </si>
  <si>
    <t>IndexName(s)</t>
  </si>
  <si>
    <t>mirSetUpSwapCurve</t>
  </si>
  <si>
    <t>STD</t>
  </si>
  <si>
    <t>future.interpolation</t>
  </si>
  <si>
    <t>interpolation</t>
  </si>
  <si>
    <t>isfutureuse</t>
  </si>
  <si>
    <t>isfrause</t>
  </si>
  <si>
    <t>dfcurvename</t>
  </si>
  <si>
    <t>Cash Instruments</t>
  </si>
  <si>
    <t>Money Market Conventions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</si>
  <si>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</si>
  <si>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</si>
  <si>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</si>
  <si>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</si>
  <si>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</si>
  <si>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</si>
  <si>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</si>
  <si>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</si>
  <si>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</si>
  <si>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</si>
  <si>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</si>
  <si>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</si>
  <si>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</si>
  <si>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</si>
  <si>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</si>
  <si>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</si>
  <si>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</si>
  <si>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</si>
  <si>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</si>
  <si>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</si>
  <si>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</si>
  <si>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</si>
  <si>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</si>
  <si>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</si>
  <si>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</si>
  <si>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</si>
  <si>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Volatility</t>
  </si>
  <si>
    <t>Futures Data</t>
  </si>
  <si>
    <t>Swap Instruments</t>
  </si>
  <si>
    <t>Swap Conventions</t>
  </si>
  <si>
    <t>Swap Data</t>
  </si>
  <si>
    <t>DayCountFix</t>
  </si>
  <si>
    <t>DayCountFloat</t>
  </si>
  <si>
    <t>Semi-Annual</t>
  </si>
  <si>
    <t>FrequencyFloat</t>
  </si>
  <si>
    <t>Interpolation</t>
  </si>
  <si>
    <t>IsNewtonraphson</t>
  </si>
  <si>
    <t>issimultaneouseq</t>
  </si>
  <si>
    <t>optimizemethod</t>
  </si>
  <si>
    <t>NL2SOL</t>
  </si>
  <si>
    <t>Epsilon</t>
  </si>
  <si>
    <t>GradientEpsilon</t>
  </si>
  <si>
    <t>Delta</t>
  </si>
  <si>
    <t>MaxLoop</t>
  </si>
  <si>
    <t>Libor Market Data</t>
  </si>
  <si>
    <t>FRA Market Data X3</t>
  </si>
  <si>
    <t>FRA Market Data x6</t>
  </si>
  <si>
    <t>Term / Ticker</t>
  </si>
  <si>
    <t>3M</t>
  </si>
  <si>
    <r>
      <t>Prior to building the Swap Curve must construct an OIS Curve using '</t>
    </r>
    <r>
      <rPr>
        <i/>
        <sz val="11"/>
        <color rgb="FF0000FF"/>
        <rFont val="Calibri"/>
        <family val="2"/>
        <scheme val="minor"/>
      </rPr>
      <t>mirSetUpOISCUrve</t>
    </r>
    <r>
      <rPr>
        <i/>
        <sz val="11"/>
        <color theme="1"/>
        <rFont val="Calibri"/>
        <family val="2"/>
        <scheme val="minor"/>
      </rPr>
      <t>'</t>
    </r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</si>
  <si>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</si>
  <si>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</si>
  <si>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OIS:EUROIS:EURDF</t>
  </si>
  <si>
    <t>ForecastCurve</t>
  </si>
  <si>
    <t>CurveSetID</t>
  </si>
  <si>
    <t>DiscountCurve</t>
  </si>
  <si>
    <t>BumpSize</t>
  </si>
  <si>
    <t>BumpMode</t>
  </si>
  <si>
    <t>Central</t>
  </si>
  <si>
    <t>Notional</t>
  </si>
  <si>
    <t>PAYER</t>
  </si>
  <si>
    <t>Act/360</t>
  </si>
  <si>
    <t>0D</t>
  </si>
  <si>
    <t>ShortStart</t>
  </si>
  <si>
    <t>Swap Spec</t>
  </si>
  <si>
    <t>FixedFrequency</t>
  </si>
  <si>
    <t>FixedDaycount</t>
  </si>
  <si>
    <t>FixedCalendar</t>
  </si>
  <si>
    <t>FixedFirstStub</t>
  </si>
  <si>
    <t>FixedLastStub</t>
  </si>
  <si>
    <t>FixedRollDay</t>
  </si>
  <si>
    <t>FixedPaymentLag</t>
  </si>
  <si>
    <t>FixedStubType</t>
  </si>
  <si>
    <t>FloatFrequency</t>
  </si>
  <si>
    <t>FloatDaycount</t>
  </si>
  <si>
    <t>FloatFirstStub</t>
  </si>
  <si>
    <t>FloatCalendar</t>
  </si>
  <si>
    <t>FloatLastStub</t>
  </si>
  <si>
    <t>FloatRollDay</t>
  </si>
  <si>
    <t>FloatFixingLag</t>
  </si>
  <si>
    <t>FloatFirstFixing</t>
  </si>
  <si>
    <t>FloatLastFixing</t>
  </si>
  <si>
    <t>FloatPaymentLag</t>
  </si>
  <si>
    <t>FloatStubType</t>
  </si>
  <si>
    <t>FloatSpread</t>
  </si>
  <si>
    <t>PayerReceiver</t>
  </si>
  <si>
    <t>EffectiveDate</t>
  </si>
  <si>
    <t>MaturityDate</t>
  </si>
  <si>
    <t>FixedRate</t>
  </si>
  <si>
    <t>UP</t>
  </si>
  <si>
    <t>DOWN</t>
  </si>
  <si>
    <t>Calculation times - Debug (in seconds)</t>
  </si>
  <si>
    <t>Calculation times - Release (in seconds)</t>
  </si>
  <si>
    <t>SwapTenor</t>
  </si>
  <si>
    <t>SwapType</t>
  </si>
  <si>
    <t>LIBOR</t>
  </si>
  <si>
    <t xml:space="preserve">Important: </t>
  </si>
  <si>
    <t>When a curve is built, all its properties are set directly to the mpPropertyAccessor global object.</t>
  </si>
  <si>
    <t>When the same curve is built again in the same Excel session, those properties will be reused. They are never removed from mpPropertyAccessor at the beginning of a curve build.</t>
  </si>
  <si>
    <t>This simply means that, if property 'SwapTenor' was defined as part of the curve build inputs the first time round but gets removed in the second curve build,</t>
  </si>
  <si>
    <t>the second curve build will still use the old value of 'SwapTenor' because its old value was remembered in the Entity Pool.</t>
  </si>
  <si>
    <t>FixedBusinessDayAdjustment</t>
  </si>
  <si>
    <t>FloatBusinessDayAdjustment</t>
  </si>
  <si>
    <t>CurveType</t>
  </si>
  <si>
    <t>Swap</t>
  </si>
  <si>
    <t>STD:EUR6ML</t>
  </si>
  <si>
    <t>TradeType</t>
  </si>
  <si>
    <t>Delta Settings</t>
  </si>
  <si>
    <t>mirSwapDeltaLadder</t>
  </si>
  <si>
    <t>Up</t>
  </si>
  <si>
    <t>TradeID</t>
  </si>
  <si>
    <t>Trade_1</t>
  </si>
  <si>
    <t>VanillaIRS</t>
  </si>
  <si>
    <t>Trade_2</t>
  </si>
  <si>
    <t>Trade_3</t>
  </si>
  <si>
    <t>RECEIVER</t>
  </si>
  <si>
    <t>Curve Collection</t>
  </si>
  <si>
    <t>CompoundMethod</t>
  </si>
  <si>
    <t>Geometric</t>
  </si>
  <si>
    <t>MarketName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</si>
</sst>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 d\-mmm\-yy"/>
    <numFmt numFmtId="168" formatCode="#,##0.00_ ;[Red]\-#,##0.00\ "/>
    <numFmt numFmtId="169" formatCode="#,##0.000000000_ ;[Red]\-#,##0.000000000\ "/>
    <numFmt numFmtId="170" formatCode="#,##0_ ;[Red]\-#,##0\ "/>
  </numFmts>
  <fonts count="2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i/>
      <sz val="11"/>
      <color theme="1"/>
      <name val="Calibri"/>
      <family val="2"/>
      <scheme val="minor"/>
    </font>
    <font>
      <b/>
      <u/>
      <sz val="15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charset val="1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166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21" fillId="2" borderId="0" xfId="0" applyFont="1" applyFill="1" applyBorder="1"/>
    <xf numFmtId="0" fontId="11" fillId="0" borderId="6" xfId="0" quotePrefix="1" applyFont="1" applyFill="1" applyBorder="1" applyAlignment="1">
      <alignment horizontal="left" vertical="center"/>
    </xf>
    <xf numFmtId="0" fontId="1" fillId="0" borderId="0" xfId="0" applyFont="1"/>
    <xf numFmtId="0" fontId="0" fillId="0" borderId="4" xfId="0" applyBorder="1" applyAlignment="1">
      <alignment horizontal="center" vertical="center"/>
    </xf>
    <xf numFmtId="0" fontId="0" fillId="0" borderId="4" xfId="0" quotePrefix="1" applyBorder="1" applyAlignment="1">
      <alignment horizontal="center" vertical="center"/>
    </xf>
    <xf numFmtId="3" fontId="0" fillId="3" borderId="1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167" fontId="6" fillId="3" borderId="4" xfId="0" applyNumberFormat="1" applyFont="1" applyFill="1" applyBorder="1" applyAlignment="1">
      <alignment horizontal="center" vertical="center"/>
    </xf>
    <xf numFmtId="0" fontId="0" fillId="4" borderId="4" xfId="0" applyFill="1" applyBorder="1"/>
    <xf numFmtId="0" fontId="0" fillId="4" borderId="9" xfId="0" applyFill="1" applyBorder="1"/>
    <xf numFmtId="0" fontId="0" fillId="4" borderId="14" xfId="0" applyFill="1" applyBorder="1"/>
    <xf numFmtId="0" fontId="0" fillId="5" borderId="4" xfId="0" applyFill="1" applyBorder="1"/>
    <xf numFmtId="0" fontId="0" fillId="5" borderId="9" xfId="0" applyFill="1" applyBorder="1"/>
    <xf numFmtId="0" fontId="0" fillId="5" borderId="14" xfId="0" applyFill="1" applyBorder="1"/>
    <xf numFmtId="0" fontId="0" fillId="6" borderId="1" xfId="0" applyFill="1" applyBorder="1"/>
    <xf numFmtId="0" fontId="0" fillId="6" borderId="4" xfId="0" applyFill="1" applyBorder="1"/>
    <xf numFmtId="167" fontId="6" fillId="3" borderId="11" xfId="0" applyNumberFormat="1" applyFont="1" applyFill="1" applyBorder="1" applyAlignment="1">
      <alignment horizontal="center" vertical="center"/>
    </xf>
    <xf numFmtId="0" fontId="0" fillId="7" borderId="1" xfId="0" applyFill="1" applyBorder="1"/>
    <xf numFmtId="0" fontId="0" fillId="7" borderId="4" xfId="0" applyFill="1" applyBorder="1"/>
    <xf numFmtId="0" fontId="0" fillId="7" borderId="11" xfId="0" applyFill="1" applyBorder="1"/>
    <xf numFmtId="0" fontId="1" fillId="3" borderId="0" xfId="0" applyFont="1" applyFill="1" applyBorder="1"/>
    <xf numFmtId="0" fontId="0" fillId="2" borderId="0" xfId="0" applyFill="1" applyBorder="1" applyAlignment="1">
      <alignment horizontal="left"/>
    </xf>
    <xf numFmtId="169" fontId="9" fillId="0" borderId="15" xfId="0" quotePrefix="1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2" fillId="0" borderId="0" xfId="0" applyFont="1"/>
    <xf numFmtId="0" fontId="0" fillId="0" borderId="0" xfId="0" applyAlignment="1">
      <alignment horizontal="left"/>
    </xf>
    <xf numFmtId="0" fontId="22" fillId="0" borderId="0" xfId="0" applyFont="1" applyAlignment="1">
      <alignment horizontal="left" vertical="center"/>
    </xf>
    <xf numFmtId="0" fontId="9" fillId="8" borderId="10" xfId="0" applyFont="1" applyFill="1" applyBorder="1" applyAlignment="1">
      <alignment horizontal="center" vertical="center"/>
    </xf>
    <xf numFmtId="0" fontId="9" fillId="8" borderId="4" xfId="0" applyFont="1" applyFill="1" applyBorder="1" applyAlignment="1">
      <alignment vertical="center"/>
    </xf>
    <xf numFmtId="168" fontId="0" fillId="3" borderId="0" xfId="0" quotePrefix="1" applyNumberFormat="1" applyFill="1" applyAlignment="1">
      <alignment horizontal="left"/>
    </xf>
    <xf numFmtId="0" fontId="23" fillId="0" borderId="0" xfId="0" applyFont="1"/>
    <xf numFmtId="0" fontId="13" fillId="0" borderId="0" xfId="0" applyFont="1"/>
    <xf numFmtId="0" fontId="6" fillId="8" borderId="4" xfId="0" applyFont="1" applyFill="1" applyBorder="1"/>
    <xf numFmtId="0" fontId="9" fillId="8" borderId="4" xfId="0" applyFont="1" applyFill="1" applyBorder="1" applyAlignment="1">
      <alignment horizontal="center" vertical="center"/>
    </xf>
    <xf numFmtId="0" fontId="0" fillId="3" borderId="19" xfId="0" quotePrefix="1" applyFill="1" applyBorder="1" applyAlignment="1">
      <alignment horizontal="left"/>
    </xf>
    <xf numFmtId="170" fontId="0" fillId="3" borderId="16" xfId="0" quotePrefix="1" applyNumberFormat="1" applyFill="1" applyBorder="1" applyAlignment="1">
      <alignment horizontal="left"/>
    </xf>
    <xf numFmtId="0" fontId="0" fillId="3" borderId="20" xfId="0" quotePrefix="1" applyFill="1" applyBorder="1" applyAlignment="1">
      <alignment horizontal="left"/>
    </xf>
    <xf numFmtId="170" fontId="0" fillId="3" borderId="17" xfId="0" quotePrefix="1" applyNumberFormat="1" applyFill="1" applyBorder="1" applyAlignment="1">
      <alignment horizontal="left"/>
    </xf>
    <xf numFmtId="0" fontId="0" fillId="0" borderId="19" xfId="0" quotePrefix="1" applyFill="1" applyBorder="1" applyAlignment="1">
      <alignment horizontal="left"/>
    </xf>
    <xf numFmtId="170" fontId="0" fillId="0" borderId="16" xfId="0" quotePrefix="1" applyNumberFormat="1" applyFill="1" applyBorder="1" applyAlignment="1">
      <alignment horizontal="left"/>
    </xf>
    <xf numFmtId="168" fontId="0" fillId="0" borderId="0" xfId="0" quotePrefix="1" applyNumberFormat="1" applyFill="1" applyAlignment="1">
      <alignment horizontal="left"/>
    </xf>
    <xf numFmtId="0" fontId="0" fillId="0" borderId="0" xfId="0" applyFill="1" applyAlignment="1">
      <alignment horizontal="left"/>
    </xf>
    <xf numFmtId="168" fontId="0" fillId="3" borderId="0" xfId="0" quotePrefix="1" applyNumberFormat="1" applyFill="1" applyBorder="1" applyAlignment="1">
      <alignment horizontal="left"/>
    </xf>
    <xf numFmtId="170" fontId="0" fillId="3" borderId="19" xfId="0" quotePrefix="1" applyNumberFormat="1" applyFill="1" applyBorder="1" applyAlignment="1">
      <alignment horizontal="left"/>
    </xf>
    <xf numFmtId="0" fontId="0" fillId="9" borderId="1" xfId="0" applyFill="1" applyBorder="1"/>
    <xf numFmtId="3" fontId="0" fillId="3" borderId="0" xfId="0" applyNumberForma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167" fontId="6" fillId="3" borderId="0" xfId="0" applyNumberFormat="1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/>
    </xf>
    <xf numFmtId="0" fontId="0" fillId="3" borderId="21" xfId="0" quotePrefix="1" applyFill="1" applyBorder="1" applyAlignment="1">
      <alignment horizontal="left"/>
    </xf>
    <xf numFmtId="170" fontId="0" fillId="3" borderId="21" xfId="0" quotePrefix="1" applyNumberFormat="1" applyFill="1" applyBorder="1" applyAlignment="1">
      <alignment horizontal="left"/>
    </xf>
    <xf numFmtId="0" fontId="0" fillId="10" borderId="4" xfId="0" applyFill="1" applyBorder="1"/>
    <xf numFmtId="0" fontId="0" fillId="10" borderId="14" xfId="0" applyFill="1" applyBorder="1"/>
    <xf numFmtId="0" fontId="0" fillId="0" borderId="18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170" fontId="0" fillId="3" borderId="20" xfId="0" quotePrefix="1" applyNumberFormat="1" applyFill="1" applyBorder="1" applyAlignment="1">
      <alignment horizontal="left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P90"/>
  <sheetViews>
    <sheetView showGridLines="0" workbookViewId="0">
      <selection activeCell="D8" sqref="D8"/>
    </sheetView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  <col min="16" max="16" width="11" customWidth="1"/>
  </cols>
  <sheetData>
    <row r="2" spans="2:14" x14ac:dyDescent="0.25">
      <c r="B2" s="64"/>
    </row>
    <row r="3" spans="2:14" x14ac:dyDescent="0.25">
      <c r="B3" s="64"/>
    </row>
    <row r="4" spans="2:14" x14ac:dyDescent="0.25">
      <c r="B4" s="64"/>
    </row>
    <row r="5" spans="2:14" x14ac:dyDescent="0.25">
      <c r="B5" s="64" t="s">
        <v>72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3" t="s">
        <v>72</v>
      </c>
      <c r="D7" s="111" t="str">
        <f ca="1">_xll.mirSetUpOISCurve(Curve.CollectionName,Curve.MarketDataTable,Curve.BuildProperties,OIS.Conventions,OIS.MarketData,Curve.OISIndexName,OIS.FixingTable,LiborOISBasis.MarketData,LiborSwap.Conventions,LiborSwap.MarketData,LiborOISBasis.Conventions)</f>
        <v>OIS OIS Curve has been set (0.01000 sec)</v>
      </c>
      <c r="E7" s="61"/>
      <c r="F7" s="62"/>
      <c r="G7" s="7"/>
      <c r="H7" s="131"/>
      <c r="I7" s="7"/>
      <c r="J7" s="7"/>
      <c r="K7" s="7"/>
      <c r="L7" s="7"/>
      <c r="M7" s="7"/>
      <c r="N7" s="8"/>
    </row>
    <row r="8" spans="2:14" x14ac:dyDescent="0.25">
      <c r="B8" s="5"/>
      <c r="C8" s="6"/>
      <c r="D8" s="60"/>
      <c r="E8" s="7"/>
      <c r="F8" s="7"/>
      <c r="G8" s="7"/>
      <c r="H8" s="131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81</v>
      </c>
      <c r="D11" s="105" t="s">
        <v>73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211</v>
      </c>
      <c r="D12" s="106" t="s">
        <v>9</v>
      </c>
      <c r="E12" s="7" t="s">
        <v>74</v>
      </c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82</v>
      </c>
      <c r="D13" s="108" t="s">
        <v>144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62</v>
      </c>
    </row>
    <row r="18" spans="2:14" x14ac:dyDescent="0.25">
      <c r="B18" s="2"/>
      <c r="C18" s="45"/>
      <c r="D18" s="46"/>
      <c r="E18" s="3"/>
      <c r="F18" s="3"/>
      <c r="G18" s="3"/>
      <c r="H18" s="65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62</v>
      </c>
      <c r="D19" s="47"/>
      <c r="E19" s="7"/>
      <c r="F19" s="50" t="s">
        <v>75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5">
        <v>42419</v>
      </c>
      <c r="E20" s="7"/>
      <c r="F20" s="14" t="s">
        <v>76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6" t="s">
        <v>17</v>
      </c>
      <c r="E21" s="7"/>
      <c r="F21" s="17" t="s">
        <v>77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09" t="s">
        <v>78</v>
      </c>
      <c r="E22" s="7"/>
      <c r="F22" s="17" t="s">
        <v>78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142" t="s">
        <v>195</v>
      </c>
      <c r="D23" s="143" t="s">
        <v>9</v>
      </c>
      <c r="E23" s="7"/>
      <c r="F23" s="17" t="s">
        <v>79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08"/>
      <c r="E24" s="7"/>
      <c r="F24" s="21" t="s">
        <v>80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6"/>
      <c r="K27">
        <v>1E-4</v>
      </c>
    </row>
    <row r="28" spans="2:14" x14ac:dyDescent="0.25">
      <c r="B28" s="56" t="s">
        <v>71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64</v>
      </c>
      <c r="G30" s="10"/>
      <c r="H30" s="10"/>
      <c r="I30" s="10"/>
      <c r="J30" s="10"/>
      <c r="K30" s="10"/>
      <c r="L30" s="49" t="s">
        <v>66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67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9">
        <v>-2.4299999999999999E-3</v>
      </c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9">
        <v>-3.3900000000000002E-3</v>
      </c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9">
        <v>-3.5299999999999997E-3</v>
      </c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9">
        <v>-3.5699999999999998E-3</v>
      </c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9">
        <v>-3.7799999999999999E-3</v>
      </c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9">
        <v>-3.8600000000000001E-3</v>
      </c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f>K38</f>
        <v>-3.6900000000000001E-3</v>
      </c>
      <c r="H38" s="20" t="s">
        <v>37</v>
      </c>
      <c r="I38" s="20" t="s">
        <v>37</v>
      </c>
      <c r="J38" s="41" t="b">
        <v>1</v>
      </c>
      <c r="K38" s="19">
        <v>-3.6900000000000001E-3</v>
      </c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9">
        <v>-3.79E-3</v>
      </c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f>K40</f>
        <v>-3.7699999999999999E-3</v>
      </c>
      <c r="H40" s="20" t="s">
        <v>37</v>
      </c>
      <c r="I40" s="20" t="s">
        <v>37</v>
      </c>
      <c r="J40" s="41" t="b">
        <v>1</v>
      </c>
      <c r="K40" s="19">
        <v>-3.7699999999999999E-3</v>
      </c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9">
        <v>-3.4000000000000002E-3</v>
      </c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9">
        <v>-2.6900000000000001E-3</v>
      </c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9">
        <v>-1.7499999999999998E-3</v>
      </c>
      <c r="L43" s="53"/>
      <c r="M43" s="51"/>
      <c r="N43" s="55"/>
    </row>
    <row r="44" spans="2:14" x14ac:dyDescent="0.25">
      <c r="B44" s="5"/>
      <c r="C44" s="28" t="s">
        <v>132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9">
        <v>-6.4000000000000005E-4</v>
      </c>
      <c r="L44" s="53"/>
      <c r="M44" s="51"/>
      <c r="N44" s="55"/>
    </row>
    <row r="45" spans="2:14" x14ac:dyDescent="0.25">
      <c r="B45" s="5"/>
      <c r="C45" s="28" t="s">
        <v>135</v>
      </c>
      <c r="D45" s="104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9">
        <v>5.6999999999999998E-4</v>
      </c>
      <c r="L45" s="53"/>
      <c r="M45" s="51"/>
      <c r="N45" s="55"/>
    </row>
    <row r="46" spans="2:14" x14ac:dyDescent="0.25">
      <c r="B46" s="5"/>
      <c r="C46" s="138" t="s">
        <v>186</v>
      </c>
      <c r="D46" s="137" t="s">
        <v>9</v>
      </c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9">
        <v>1.83E-3</v>
      </c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9">
        <v>3.0599999999999998E-3</v>
      </c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9">
        <v>4.1900000000000001E-3</v>
      </c>
      <c r="L48" s="53"/>
      <c r="M48" s="51"/>
      <c r="N48" s="55"/>
    </row>
    <row r="49" spans="2:16" x14ac:dyDescent="0.25">
      <c r="B49" s="5"/>
      <c r="C49" s="32"/>
      <c r="D49" s="39"/>
      <c r="E49" s="9"/>
      <c r="F49" s="24"/>
      <c r="G49" s="19"/>
      <c r="H49" s="20"/>
      <c r="I49" s="20"/>
      <c r="J49" s="41"/>
      <c r="K49" s="10"/>
      <c r="L49" s="53"/>
      <c r="M49" s="51"/>
      <c r="N49" s="55"/>
    </row>
    <row r="50" spans="2:16" x14ac:dyDescent="0.25">
      <c r="B50" s="5"/>
      <c r="C50" s="32"/>
      <c r="D50" s="39"/>
      <c r="E50" s="9"/>
      <c r="F50" s="24"/>
      <c r="G50" s="19"/>
      <c r="H50" s="20"/>
      <c r="I50" s="20"/>
      <c r="J50" s="41"/>
      <c r="K50" s="10"/>
      <c r="L50" s="53"/>
      <c r="M50" s="51"/>
      <c r="N50" s="55"/>
    </row>
    <row r="51" spans="2:16" x14ac:dyDescent="0.25">
      <c r="B51" s="5"/>
      <c r="C51" s="32"/>
      <c r="D51" s="39"/>
      <c r="E51" s="9"/>
      <c r="F51" s="24"/>
      <c r="G51" s="19"/>
      <c r="H51" s="20"/>
      <c r="I51" s="20"/>
      <c r="J51" s="41"/>
      <c r="K51" s="10"/>
      <c r="L51" s="53"/>
      <c r="M51" s="51"/>
      <c r="N51" s="55"/>
    </row>
    <row r="52" spans="2:16" x14ac:dyDescent="0.25">
      <c r="B52" s="5"/>
      <c r="C52" s="32"/>
      <c r="D52" s="39"/>
      <c r="E52" s="9"/>
      <c r="F52" s="24"/>
      <c r="G52" s="19"/>
      <c r="H52" s="20"/>
      <c r="I52" s="20"/>
      <c r="J52" s="41"/>
      <c r="K52" s="10"/>
      <c r="L52" s="53"/>
      <c r="M52" s="51"/>
      <c r="N52" s="55"/>
    </row>
    <row r="53" spans="2:16" x14ac:dyDescent="0.25">
      <c r="B53" s="5"/>
      <c r="C53" s="32"/>
      <c r="D53" s="39"/>
      <c r="E53" s="9"/>
      <c r="F53" s="24"/>
      <c r="G53" s="19"/>
      <c r="H53" s="20"/>
      <c r="I53" s="20"/>
      <c r="J53" s="41"/>
      <c r="K53" s="10"/>
      <c r="L53" s="53"/>
      <c r="M53" s="51"/>
      <c r="N53" s="55"/>
    </row>
    <row r="54" spans="2:16" x14ac:dyDescent="0.25">
      <c r="B54" s="5"/>
      <c r="C54" s="32"/>
      <c r="D54" s="39"/>
      <c r="E54" s="9"/>
      <c r="F54" s="24"/>
      <c r="G54" s="19"/>
      <c r="H54" s="20"/>
      <c r="I54" s="20"/>
      <c r="J54" s="41"/>
      <c r="K54" s="10"/>
      <c r="L54" s="53"/>
      <c r="M54" s="51"/>
      <c r="N54" s="55"/>
    </row>
    <row r="55" spans="2:16" x14ac:dyDescent="0.25">
      <c r="B55" s="5"/>
      <c r="C55" s="32"/>
      <c r="D55" s="39"/>
      <c r="E55" s="9"/>
      <c r="F55" s="24"/>
      <c r="G55" s="19"/>
      <c r="H55" s="20"/>
      <c r="I55" s="20"/>
      <c r="J55" s="41"/>
      <c r="K55" s="10"/>
      <c r="L55" s="53"/>
      <c r="M55" s="51"/>
      <c r="N55" s="55"/>
    </row>
    <row r="56" spans="2:16" x14ac:dyDescent="0.25">
      <c r="B56" s="5"/>
      <c r="C56" s="32"/>
      <c r="D56" s="39"/>
      <c r="E56" s="9"/>
      <c r="F56" s="24"/>
      <c r="G56" s="19"/>
      <c r="H56" s="20"/>
      <c r="I56" s="20"/>
      <c r="J56" s="41"/>
      <c r="K56" s="10"/>
      <c r="L56" s="53"/>
      <c r="M56" s="51"/>
      <c r="N56" s="55"/>
    </row>
    <row r="57" spans="2:16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6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59" spans="2:16" x14ac:dyDescent="0.25">
      <c r="F59" s="140" t="s">
        <v>188</v>
      </c>
      <c r="P59">
        <v>1E-4</v>
      </c>
    </row>
    <row r="60" spans="2:16" x14ac:dyDescent="0.25">
      <c r="F60" s="140" t="s">
        <v>189</v>
      </c>
    </row>
    <row r="61" spans="2:16" x14ac:dyDescent="0.25">
      <c r="B61" s="56" t="s">
        <v>70</v>
      </c>
      <c r="F61" s="140" t="s">
        <v>190</v>
      </c>
    </row>
    <row r="62" spans="2:16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6" x14ac:dyDescent="0.25">
      <c r="B63" s="5"/>
      <c r="C63" s="49" t="s">
        <v>63</v>
      </c>
      <c r="D63" s="10"/>
      <c r="E63" s="10"/>
      <c r="F63" s="49" t="s">
        <v>65</v>
      </c>
      <c r="G63" s="10"/>
      <c r="H63" s="10"/>
      <c r="I63" s="49" t="s">
        <v>68</v>
      </c>
      <c r="J63" s="10"/>
      <c r="K63" s="10"/>
      <c r="L63" s="49" t="s">
        <v>69</v>
      </c>
      <c r="M63" s="10"/>
      <c r="N63" s="55"/>
    </row>
    <row r="64" spans="2:16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6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51">
        <v>1.2600000000000001E-3</v>
      </c>
      <c r="I65" s="28" t="s">
        <v>19</v>
      </c>
      <c r="J65" s="35" t="s">
        <v>20</v>
      </c>
      <c r="K65" s="10"/>
      <c r="L65" s="24" t="s">
        <v>47</v>
      </c>
      <c r="M65" s="97">
        <v>-1.33E-3</v>
      </c>
      <c r="N65" s="55"/>
      <c r="P65" s="97">
        <v>-1.33E-3</v>
      </c>
    </row>
    <row r="66" spans="2:16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f>H66</f>
        <v>1.2999999999999999E-3</v>
      </c>
      <c r="H66" s="51">
        <v>1.2999999999999999E-3</v>
      </c>
      <c r="I66" s="28" t="s">
        <v>29</v>
      </c>
      <c r="J66" s="35" t="s">
        <v>26</v>
      </c>
      <c r="K66" s="10"/>
      <c r="L66" s="24" t="s">
        <v>43</v>
      </c>
      <c r="M66" s="98">
        <v>-8.699999999999999E-4</v>
      </c>
      <c r="N66" s="55"/>
      <c r="P66" s="98">
        <v>-8.699999999999999E-4</v>
      </c>
    </row>
    <row r="67" spans="2:16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51">
        <v>1.32E-3</v>
      </c>
      <c r="I67" s="28" t="s">
        <v>23</v>
      </c>
      <c r="J67" s="35" t="s">
        <v>22</v>
      </c>
      <c r="K67" s="10"/>
      <c r="L67" s="24" t="s">
        <v>50</v>
      </c>
      <c r="M67" s="98">
        <v>-8.0000000000000007E-5</v>
      </c>
      <c r="N67" s="55"/>
      <c r="P67" s="98">
        <v>-8.0000000000000007E-5</v>
      </c>
    </row>
    <row r="68" spans="2:16" x14ac:dyDescent="0.25">
      <c r="B68" s="5"/>
      <c r="C68" s="28"/>
      <c r="D68" s="35"/>
      <c r="E68" s="9"/>
      <c r="F68" s="24" t="s">
        <v>52</v>
      </c>
      <c r="G68" s="51">
        <v>1.34E-3</v>
      </c>
      <c r="H68" s="51">
        <v>1.34E-3</v>
      </c>
      <c r="I68" s="138" t="s">
        <v>185</v>
      </c>
      <c r="J68" s="137" t="s">
        <v>99</v>
      </c>
      <c r="K68" s="10"/>
      <c r="L68" s="24" t="s">
        <v>52</v>
      </c>
      <c r="M68" s="98">
        <f>P68</f>
        <v>9.2999999999999995E-4</v>
      </c>
      <c r="N68" s="55"/>
      <c r="P68" s="98">
        <v>9.2999999999999995E-4</v>
      </c>
    </row>
    <row r="69" spans="2:16" x14ac:dyDescent="0.25">
      <c r="B69" s="5"/>
      <c r="C69" s="29"/>
      <c r="D69" s="35"/>
      <c r="E69" s="9"/>
      <c r="F69" s="24" t="s">
        <v>54</v>
      </c>
      <c r="G69" s="51">
        <v>1.33E-3</v>
      </c>
      <c r="H69" s="51">
        <v>1.33E-3</v>
      </c>
      <c r="I69" s="138" t="s">
        <v>186</v>
      </c>
      <c r="J69" s="137" t="s">
        <v>187</v>
      </c>
      <c r="K69" s="10"/>
      <c r="L69" s="24" t="s">
        <v>54</v>
      </c>
      <c r="M69" s="98">
        <v>2.0200000000000001E-3</v>
      </c>
      <c r="N69" s="55"/>
      <c r="P69" s="98">
        <v>2.0200000000000001E-3</v>
      </c>
    </row>
    <row r="70" spans="2:16" x14ac:dyDescent="0.25">
      <c r="B70" s="5"/>
      <c r="C70" s="30"/>
      <c r="D70" s="36"/>
      <c r="E70" s="9"/>
      <c r="F70" s="24" t="s">
        <v>56</v>
      </c>
      <c r="G70" s="51">
        <v>1.32E-3</v>
      </c>
      <c r="H70" s="51">
        <v>1.32E-3</v>
      </c>
      <c r="I70" s="30"/>
      <c r="J70" s="36"/>
      <c r="K70" s="10"/>
      <c r="L70" s="24" t="s">
        <v>56</v>
      </c>
      <c r="M70" s="98">
        <v>3.2100000000000002E-3</v>
      </c>
      <c r="N70" s="55"/>
      <c r="P70" s="98">
        <v>3.2100000000000002E-3</v>
      </c>
    </row>
    <row r="71" spans="2:16" x14ac:dyDescent="0.25">
      <c r="B71" s="5"/>
      <c r="C71" s="28"/>
      <c r="D71" s="35"/>
      <c r="E71" s="9"/>
      <c r="F71" s="24" t="s">
        <v>58</v>
      </c>
      <c r="G71" s="51">
        <v>1.31E-3</v>
      </c>
      <c r="H71" s="51">
        <v>1.31E-3</v>
      </c>
      <c r="I71" s="28"/>
      <c r="J71" s="35"/>
      <c r="K71" s="10"/>
      <c r="L71" s="24" t="s">
        <v>58</v>
      </c>
      <c r="M71" s="98">
        <v>4.4400000000000004E-3</v>
      </c>
      <c r="N71" s="55"/>
      <c r="P71" s="98">
        <v>4.4400000000000004E-3</v>
      </c>
    </row>
    <row r="72" spans="2:16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51">
        <v>1.2999999999999999E-3</v>
      </c>
      <c r="I72" s="28"/>
      <c r="J72" s="35"/>
      <c r="K72" s="10"/>
      <c r="L72" s="24" t="s">
        <v>60</v>
      </c>
      <c r="M72" s="98">
        <v>5.6100000000000004E-3</v>
      </c>
      <c r="N72" s="55"/>
      <c r="P72" s="98">
        <v>5.6100000000000004E-3</v>
      </c>
    </row>
    <row r="73" spans="2:16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51">
        <v>1.2800000000000001E-3</v>
      </c>
      <c r="I73" s="28"/>
      <c r="J73" s="35"/>
      <c r="K73" s="10"/>
      <c r="L73" s="24" t="s">
        <v>61</v>
      </c>
      <c r="M73" s="98">
        <v>6.6700000000000006E-3</v>
      </c>
      <c r="N73" s="55"/>
      <c r="P73" s="98">
        <v>6.6700000000000006E-3</v>
      </c>
    </row>
    <row r="74" spans="2:16" x14ac:dyDescent="0.25">
      <c r="B74" s="5"/>
      <c r="C74" s="28"/>
      <c r="D74" s="35"/>
      <c r="E74" s="9"/>
      <c r="F74" s="24"/>
      <c r="G74" s="51"/>
      <c r="H74" s="10"/>
      <c r="I74" s="28"/>
      <c r="J74" s="35"/>
      <c r="K74" s="10"/>
      <c r="L74" s="24"/>
      <c r="M74" s="98"/>
      <c r="N74" s="55"/>
    </row>
    <row r="75" spans="2:16" x14ac:dyDescent="0.25">
      <c r="B75" s="5"/>
      <c r="C75" s="28"/>
      <c r="D75" s="35"/>
      <c r="E75" s="9"/>
      <c r="F75" s="24"/>
      <c r="G75" s="51"/>
      <c r="H75" s="10"/>
      <c r="I75" s="28"/>
      <c r="J75" s="35"/>
      <c r="K75" s="10"/>
      <c r="L75" s="24"/>
      <c r="M75" s="98"/>
      <c r="N75" s="55"/>
    </row>
    <row r="76" spans="2:16" x14ac:dyDescent="0.25">
      <c r="B76" s="5"/>
      <c r="C76" s="29"/>
      <c r="D76" s="35"/>
      <c r="E76" s="9"/>
      <c r="F76" s="24"/>
      <c r="G76" s="51"/>
      <c r="H76" s="10"/>
      <c r="I76" s="29"/>
      <c r="J76" s="35"/>
      <c r="K76" s="10"/>
      <c r="L76" s="24"/>
      <c r="M76" s="98"/>
      <c r="N76" s="55"/>
    </row>
    <row r="77" spans="2:16" x14ac:dyDescent="0.25">
      <c r="B77" s="5"/>
      <c r="C77" s="31"/>
      <c r="D77" s="37"/>
      <c r="E77" s="9"/>
      <c r="F77" s="24"/>
      <c r="G77" s="51"/>
      <c r="H77" s="10"/>
      <c r="I77" s="31"/>
      <c r="J77" s="37"/>
      <c r="K77" s="10"/>
      <c r="L77" s="24"/>
      <c r="M77" s="98"/>
      <c r="N77" s="55"/>
    </row>
    <row r="78" spans="2:16" x14ac:dyDescent="0.25">
      <c r="B78" s="5"/>
      <c r="C78" s="31"/>
      <c r="D78" s="38"/>
      <c r="E78" s="9"/>
      <c r="F78" s="24"/>
      <c r="G78" s="51"/>
      <c r="H78" s="10"/>
      <c r="I78" s="31"/>
      <c r="J78" s="38"/>
      <c r="K78" s="10"/>
      <c r="L78" s="24"/>
      <c r="M78" s="98"/>
      <c r="N78" s="55"/>
    </row>
    <row r="79" spans="2:16" x14ac:dyDescent="0.25">
      <c r="B79" s="5"/>
      <c r="C79" s="31"/>
      <c r="D79" s="37"/>
      <c r="E79" s="9"/>
      <c r="F79" s="24"/>
      <c r="G79" s="51"/>
      <c r="H79" s="10"/>
      <c r="I79" s="31"/>
      <c r="J79" s="37"/>
      <c r="K79" s="10"/>
      <c r="L79" s="24"/>
      <c r="M79" s="98"/>
      <c r="N79" s="55"/>
    </row>
    <row r="80" spans="2:16" x14ac:dyDescent="0.25">
      <c r="B80" s="5"/>
      <c r="C80" s="32"/>
      <c r="D80" s="35"/>
      <c r="E80" s="9"/>
      <c r="F80" s="24"/>
      <c r="G80" s="51"/>
      <c r="H80" s="10"/>
      <c r="I80" s="32"/>
      <c r="J80" s="35"/>
      <c r="K80" s="10"/>
      <c r="L80" s="24"/>
      <c r="M80" s="98"/>
      <c r="N80" s="55"/>
    </row>
    <row r="81" spans="2:14" x14ac:dyDescent="0.25">
      <c r="B81" s="5"/>
      <c r="C81" s="32"/>
      <c r="D81" s="39"/>
      <c r="E81" s="9"/>
      <c r="F81" s="24"/>
      <c r="G81" s="51"/>
      <c r="H81" s="10"/>
      <c r="I81" s="32"/>
      <c r="J81" s="39"/>
      <c r="K81" s="10"/>
      <c r="L81" s="24"/>
      <c r="M81" s="98"/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4:L120"/>
  <sheetViews>
    <sheetView showGridLines="0" workbookViewId="0">
      <selection activeCell="D9" sqref="D9"/>
    </sheetView>
  </sheetViews>
  <sheetFormatPr defaultRowHeight="15" x14ac:dyDescent="0.2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8.42578125" customWidth="1"/>
    <col min="9" max="11" width="18.7109375" customWidth="1"/>
    <col min="12" max="12" width="2.7109375" customWidth="1"/>
    <col min="14" max="15" width="15.7109375" customWidth="1"/>
  </cols>
  <sheetData>
    <row r="4" spans="2:12" x14ac:dyDescent="0.25">
      <c r="B4" s="141"/>
    </row>
    <row r="6" spans="2:12" x14ac:dyDescent="0.25">
      <c r="B6" s="56" t="s">
        <v>83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3" t="s">
        <v>83</v>
      </c>
      <c r="D8" s="111" t="str">
        <f ca="1">_xll.mirSetUpSwapCurve(STDCurve.CollectionName,STDCurve.StaticDataTable,STDCurve.Buildproperties,MoneyMarket.Conventions,Libor.Conventions,Libor.MarketData,Swap.Conventions,Swap.MarketData,FRA.Conventions,FRA.MarketDataX3,FRA.MarketDataX6,Futures.Conventions,Futures.MarketData,,,STDCurve.IndexName)</f>
        <v>STD Swap Curve has been set (0.01000 sec)</v>
      </c>
      <c r="E8" s="61"/>
      <c r="F8" s="62"/>
      <c r="G8" s="7"/>
      <c r="H8" s="7"/>
      <c r="I8" s="7"/>
      <c r="J8" s="7"/>
      <c r="K8" s="7"/>
      <c r="L8" s="8"/>
    </row>
    <row r="9" spans="2:12" x14ac:dyDescent="0.25">
      <c r="B9" s="5"/>
      <c r="C9" s="110" t="s">
        <v>141</v>
      </c>
      <c r="D9" s="60"/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81</v>
      </c>
      <c r="D13" s="105" t="s">
        <v>73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211</v>
      </c>
      <c r="D14" s="106" t="s">
        <v>84</v>
      </c>
      <c r="E14" s="7" t="s">
        <v>74</v>
      </c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82</v>
      </c>
      <c r="D15" s="108" t="s">
        <v>197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62</v>
      </c>
    </row>
    <row r="20" spans="2:12" x14ac:dyDescent="0.25">
      <c r="B20" s="2"/>
      <c r="C20" s="45"/>
      <c r="D20" s="46"/>
      <c r="E20" s="3"/>
      <c r="F20" s="3"/>
      <c r="G20" s="3"/>
      <c r="H20" s="65"/>
      <c r="I20" s="3"/>
      <c r="J20" s="3"/>
      <c r="K20" s="3"/>
      <c r="L20" s="4"/>
    </row>
    <row r="21" spans="2:12" x14ac:dyDescent="0.25">
      <c r="B21" s="5"/>
      <c r="C21" s="48" t="s">
        <v>62</v>
      </c>
      <c r="D21" s="47"/>
      <c r="E21" s="7"/>
      <c r="F21" s="50" t="s">
        <v>75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5">
        <v>42419</v>
      </c>
      <c r="E22" s="7"/>
      <c r="F22" s="14" t="s">
        <v>76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6" t="s">
        <v>17</v>
      </c>
      <c r="E23" s="7"/>
      <c r="F23" s="17" t="s">
        <v>77</v>
      </c>
      <c r="G23" s="18"/>
      <c r="H23" s="7"/>
      <c r="I23" s="7"/>
      <c r="J23" s="7"/>
      <c r="K23" s="7"/>
      <c r="L23" s="8"/>
    </row>
    <row r="24" spans="2:12" x14ac:dyDescent="0.25">
      <c r="B24" s="5"/>
      <c r="C24" s="28" t="s">
        <v>85</v>
      </c>
      <c r="D24" s="107" t="s">
        <v>78</v>
      </c>
      <c r="E24" s="7"/>
      <c r="F24" s="17" t="s">
        <v>78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86</v>
      </c>
      <c r="D25" s="107" t="s">
        <v>78</v>
      </c>
      <c r="E25" s="7"/>
      <c r="F25" s="17" t="s">
        <v>79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24</v>
      </c>
      <c r="D26" s="107" t="s">
        <v>78</v>
      </c>
      <c r="E26" s="7"/>
      <c r="F26" s="17" t="s">
        <v>80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88</v>
      </c>
      <c r="D27" s="106" t="b">
        <v>1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87</v>
      </c>
      <c r="D28" s="106" t="b">
        <v>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27</v>
      </c>
      <c r="D29" s="106" t="s">
        <v>125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 t="s">
        <v>89</v>
      </c>
      <c r="D30" s="106" t="s">
        <v>9</v>
      </c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142" t="s">
        <v>195</v>
      </c>
      <c r="D31" s="143" t="s">
        <v>196</v>
      </c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90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91</v>
      </c>
      <c r="D37" s="10"/>
      <c r="E37" s="10"/>
      <c r="F37" s="49" t="s">
        <v>98</v>
      </c>
      <c r="G37" s="10"/>
      <c r="H37" s="10"/>
      <c r="I37" s="49" t="s">
        <v>136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7" t="s">
        <v>11</v>
      </c>
      <c r="J38" s="77" t="s">
        <v>12</v>
      </c>
      <c r="K38" s="77"/>
      <c r="L38" s="55"/>
    </row>
    <row r="39" spans="2:12" x14ac:dyDescent="0.25">
      <c r="B39" s="5"/>
      <c r="C39" s="28" t="s">
        <v>92</v>
      </c>
      <c r="D39" s="35" t="s">
        <v>6</v>
      </c>
      <c r="E39" s="9"/>
      <c r="F39" s="30" t="s">
        <v>18</v>
      </c>
      <c r="G39" s="68" t="s">
        <v>6</v>
      </c>
      <c r="H39" s="10"/>
      <c r="I39" s="70" t="s">
        <v>142</v>
      </c>
      <c r="J39" s="74">
        <v>-2.8E-3</v>
      </c>
      <c r="K39" s="77"/>
      <c r="L39" s="55"/>
    </row>
    <row r="40" spans="2:12" x14ac:dyDescent="0.25">
      <c r="B40" s="5"/>
      <c r="C40" s="28" t="s">
        <v>93</v>
      </c>
      <c r="D40" s="35" t="s">
        <v>94</v>
      </c>
      <c r="E40" s="9"/>
      <c r="F40" s="29" t="s">
        <v>27</v>
      </c>
      <c r="G40" s="35" t="s">
        <v>95</v>
      </c>
      <c r="H40" s="10"/>
      <c r="I40" s="71" t="s">
        <v>140</v>
      </c>
      <c r="J40" s="75">
        <v>-2.2000000000000001E-3</v>
      </c>
      <c r="K40" s="77"/>
      <c r="L40" s="55"/>
    </row>
    <row r="41" spans="2:12" x14ac:dyDescent="0.25">
      <c r="B41" s="5"/>
      <c r="C41" s="28"/>
      <c r="D41" s="35"/>
      <c r="E41" s="9"/>
      <c r="F41" s="29" t="s">
        <v>96</v>
      </c>
      <c r="G41" s="68">
        <v>2</v>
      </c>
      <c r="H41" s="10"/>
      <c r="I41" s="71" t="s">
        <v>99</v>
      </c>
      <c r="J41" s="75">
        <v>-1.31E-3</v>
      </c>
      <c r="K41" s="77"/>
      <c r="L41" s="55"/>
    </row>
    <row r="42" spans="2:12" x14ac:dyDescent="0.25">
      <c r="B42" s="5"/>
      <c r="C42" s="28"/>
      <c r="D42" s="35"/>
      <c r="E42" s="9"/>
      <c r="F42" s="29" t="s">
        <v>21</v>
      </c>
      <c r="G42" s="68" t="s">
        <v>22</v>
      </c>
      <c r="H42" s="10"/>
      <c r="I42" s="71" t="s">
        <v>57</v>
      </c>
      <c r="J42" s="75">
        <v>-1E-4</v>
      </c>
      <c r="K42" s="77"/>
      <c r="L42" s="55"/>
    </row>
    <row r="43" spans="2:12" x14ac:dyDescent="0.25">
      <c r="B43" s="5"/>
      <c r="C43" s="33"/>
      <c r="D43" s="40"/>
      <c r="E43" s="9"/>
      <c r="F43" s="44"/>
      <c r="G43" s="69"/>
      <c r="H43" s="10"/>
      <c r="I43" s="72"/>
      <c r="J43" s="76"/>
      <c r="K43" s="77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143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100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101</v>
      </c>
      <c r="D50" s="10"/>
      <c r="E50" s="10"/>
      <c r="F50" s="49" t="s">
        <v>137</v>
      </c>
      <c r="G50" s="10"/>
      <c r="H50" s="10"/>
      <c r="I50" s="49" t="s">
        <v>138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7" t="s">
        <v>11</v>
      </c>
      <c r="G51" s="77" t="s">
        <v>12</v>
      </c>
      <c r="H51" s="10"/>
      <c r="I51" s="77" t="s">
        <v>11</v>
      </c>
      <c r="J51" s="77" t="s">
        <v>12</v>
      </c>
      <c r="K51" s="77"/>
      <c r="L51" s="55"/>
    </row>
    <row r="52" spans="2:12" x14ac:dyDescent="0.25">
      <c r="B52" s="5"/>
      <c r="C52" s="28" t="s">
        <v>92</v>
      </c>
      <c r="D52" s="35" t="s">
        <v>6</v>
      </c>
      <c r="E52" s="9"/>
      <c r="F52" s="70"/>
      <c r="G52" s="74"/>
      <c r="H52" s="10"/>
      <c r="I52" s="70" t="s">
        <v>105</v>
      </c>
      <c r="J52" s="74">
        <v>-1.2900000000000001E-3</v>
      </c>
      <c r="K52" s="77"/>
      <c r="L52" s="55"/>
    </row>
    <row r="53" spans="2:12" x14ac:dyDescent="0.25">
      <c r="B53" s="5"/>
      <c r="C53" s="28" t="s">
        <v>102</v>
      </c>
      <c r="D53" s="35">
        <v>2</v>
      </c>
      <c r="E53" s="9"/>
      <c r="F53" s="71"/>
      <c r="G53" s="75"/>
      <c r="H53" s="10"/>
      <c r="I53" s="71" t="s">
        <v>106</v>
      </c>
      <c r="J53" s="75">
        <v>-1.2900000000000001E-3</v>
      </c>
      <c r="K53" s="77"/>
      <c r="L53" s="55"/>
    </row>
    <row r="54" spans="2:12" x14ac:dyDescent="0.25">
      <c r="B54" s="5"/>
      <c r="C54" s="28" t="s">
        <v>21</v>
      </c>
      <c r="D54" s="67" t="s">
        <v>22</v>
      </c>
      <c r="E54" s="9"/>
      <c r="F54" s="71"/>
      <c r="G54" s="75"/>
      <c r="H54" s="10"/>
      <c r="I54" s="71" t="s">
        <v>107</v>
      </c>
      <c r="J54" s="75">
        <v>-1.33E-3</v>
      </c>
      <c r="K54" s="77"/>
      <c r="L54" s="55"/>
    </row>
    <row r="55" spans="2:12" x14ac:dyDescent="0.25">
      <c r="B55" s="5"/>
      <c r="C55" s="28" t="s">
        <v>97</v>
      </c>
      <c r="D55" s="35" t="b">
        <v>0</v>
      </c>
      <c r="E55" s="9"/>
      <c r="F55" s="71"/>
      <c r="G55" s="75"/>
      <c r="H55" s="10"/>
      <c r="I55" s="71" t="s">
        <v>108</v>
      </c>
      <c r="J55" s="75">
        <v>-1.3900000000000002E-3</v>
      </c>
      <c r="K55" s="77"/>
      <c r="L55" s="55"/>
    </row>
    <row r="56" spans="2:12" x14ac:dyDescent="0.25">
      <c r="B56" s="5"/>
      <c r="C56" s="28" t="s">
        <v>103</v>
      </c>
      <c r="D56" s="35" t="b">
        <v>1</v>
      </c>
      <c r="E56" s="9"/>
      <c r="F56" s="71"/>
      <c r="G56" s="75"/>
      <c r="H56" s="10"/>
      <c r="I56" s="71" t="s">
        <v>109</v>
      </c>
      <c r="J56" s="75">
        <v>-1.4399999999999999E-3</v>
      </c>
      <c r="K56" s="77"/>
      <c r="L56" s="55"/>
    </row>
    <row r="57" spans="2:12" x14ac:dyDescent="0.25">
      <c r="B57" s="5"/>
      <c r="C57" s="28" t="s">
        <v>104</v>
      </c>
      <c r="D57" s="35">
        <v>2</v>
      </c>
      <c r="E57" s="9"/>
      <c r="F57" s="71"/>
      <c r="G57" s="75"/>
      <c r="H57" s="10"/>
      <c r="I57" s="71" t="s">
        <v>110</v>
      </c>
      <c r="J57" s="75">
        <v>-1.4399999999999999E-3</v>
      </c>
      <c r="K57" s="77"/>
      <c r="L57" s="55"/>
    </row>
    <row r="58" spans="2:12" x14ac:dyDescent="0.25">
      <c r="B58" s="5"/>
      <c r="C58" s="28"/>
      <c r="D58" s="35"/>
      <c r="E58" s="9"/>
      <c r="F58" s="71"/>
      <c r="G58" s="75"/>
      <c r="H58" s="10"/>
      <c r="I58" s="71" t="s">
        <v>111</v>
      </c>
      <c r="J58" s="75">
        <v>-1.4599999999999999E-3</v>
      </c>
      <c r="K58" s="77"/>
      <c r="L58" s="55"/>
    </row>
    <row r="59" spans="2:12" x14ac:dyDescent="0.25">
      <c r="B59" s="5"/>
      <c r="C59" s="28"/>
      <c r="D59" s="35"/>
      <c r="E59" s="9"/>
      <c r="F59" s="71"/>
      <c r="G59" s="75"/>
      <c r="H59" s="10"/>
      <c r="I59" s="71" t="s">
        <v>112</v>
      </c>
      <c r="J59" s="75">
        <v>-1.47E-3</v>
      </c>
      <c r="K59" s="77"/>
      <c r="L59" s="55"/>
    </row>
    <row r="60" spans="2:12" x14ac:dyDescent="0.25">
      <c r="B60" s="5"/>
      <c r="C60" s="28"/>
      <c r="D60" s="35"/>
      <c r="E60" s="9"/>
      <c r="F60" s="71"/>
      <c r="G60" s="75"/>
      <c r="H60" s="10"/>
      <c r="I60" s="71" t="s">
        <v>113</v>
      </c>
      <c r="J60" s="75">
        <v>-1.4599999999999999E-3</v>
      </c>
      <c r="K60" s="77"/>
      <c r="L60" s="55"/>
    </row>
    <row r="61" spans="2:12" x14ac:dyDescent="0.25">
      <c r="B61" s="5"/>
      <c r="C61" s="28"/>
      <c r="D61" s="35"/>
      <c r="E61" s="9"/>
      <c r="F61" s="71"/>
      <c r="G61" s="75"/>
      <c r="H61" s="10"/>
      <c r="I61" s="71" t="s">
        <v>114</v>
      </c>
      <c r="J61" s="75">
        <v>-1.4299999999999998E-3</v>
      </c>
      <c r="K61" s="77"/>
      <c r="L61" s="55"/>
    </row>
    <row r="62" spans="2:12" x14ac:dyDescent="0.25">
      <c r="B62" s="5"/>
      <c r="C62" s="28"/>
      <c r="D62" s="35"/>
      <c r="E62" s="9"/>
      <c r="F62" s="71"/>
      <c r="G62" s="75"/>
      <c r="H62" s="10"/>
      <c r="I62" s="71" t="s">
        <v>115</v>
      </c>
      <c r="J62" s="75">
        <v>-1.4099999999999998E-3</v>
      </c>
      <c r="K62" s="77"/>
      <c r="L62" s="55"/>
    </row>
    <row r="63" spans="2:12" x14ac:dyDescent="0.25">
      <c r="B63" s="5"/>
      <c r="C63" s="28"/>
      <c r="D63" s="35"/>
      <c r="E63" s="9"/>
      <c r="F63" s="71"/>
      <c r="G63" s="75"/>
      <c r="H63" s="10"/>
      <c r="I63" s="71"/>
      <c r="J63" s="75"/>
      <c r="K63" s="77"/>
      <c r="L63" s="55"/>
    </row>
    <row r="64" spans="2:12" x14ac:dyDescent="0.25">
      <c r="B64" s="5"/>
      <c r="C64" s="33"/>
      <c r="D64" s="40"/>
      <c r="E64" s="9"/>
      <c r="F64" s="72"/>
      <c r="G64" s="76"/>
      <c r="H64" s="10"/>
      <c r="I64" s="72"/>
      <c r="J64" s="76"/>
      <c r="K64" s="77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7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116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117</v>
      </c>
      <c r="D71" s="10"/>
      <c r="E71" s="10"/>
      <c r="F71" s="49" t="s">
        <v>119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6" t="s">
        <v>139</v>
      </c>
      <c r="G72" s="96" t="s">
        <v>13</v>
      </c>
      <c r="H72" s="96" t="s">
        <v>14</v>
      </c>
      <c r="I72" s="96" t="s">
        <v>12</v>
      </c>
      <c r="J72" s="96" t="s">
        <v>118</v>
      </c>
      <c r="K72" s="10"/>
      <c r="L72" s="55"/>
    </row>
    <row r="73" spans="2:12" x14ac:dyDescent="0.25">
      <c r="B73" s="5"/>
      <c r="C73" s="28"/>
      <c r="D73" s="35"/>
      <c r="E73" s="9"/>
      <c r="F73" s="78"/>
      <c r="G73" s="79"/>
      <c r="H73" s="79"/>
      <c r="I73" s="80"/>
      <c r="J73" s="81"/>
      <c r="K73" s="10"/>
      <c r="L73" s="55"/>
    </row>
    <row r="74" spans="2:12" x14ac:dyDescent="0.25">
      <c r="B74" s="5"/>
      <c r="C74" s="28"/>
      <c r="D74" s="35"/>
      <c r="E74" s="9"/>
      <c r="F74" s="82"/>
      <c r="G74" s="79"/>
      <c r="H74" s="79"/>
      <c r="I74" s="80"/>
      <c r="J74" s="81"/>
      <c r="K74" s="10"/>
      <c r="L74" s="55"/>
    </row>
    <row r="75" spans="2:12" x14ac:dyDescent="0.25">
      <c r="B75" s="5"/>
      <c r="C75" s="28"/>
      <c r="D75" s="103"/>
      <c r="E75" s="9"/>
      <c r="F75" s="83"/>
      <c r="G75" s="84"/>
      <c r="H75" s="84"/>
      <c r="I75" s="85"/>
      <c r="J75" s="86"/>
      <c r="K75" s="10"/>
      <c r="L75" s="55"/>
    </row>
    <row r="76" spans="2:12" x14ac:dyDescent="0.25">
      <c r="B76" s="5"/>
      <c r="C76" s="28"/>
      <c r="D76" s="73"/>
      <c r="E76" s="9"/>
      <c r="F76" s="83"/>
      <c r="G76" s="84"/>
      <c r="H76" s="84"/>
      <c r="I76" s="85"/>
      <c r="J76" s="86"/>
      <c r="K76" s="10"/>
      <c r="L76" s="55"/>
    </row>
    <row r="77" spans="2:12" x14ac:dyDescent="0.25">
      <c r="B77" s="5"/>
      <c r="C77" s="28"/>
      <c r="D77" s="35"/>
      <c r="E77" s="9"/>
      <c r="F77" s="83"/>
      <c r="G77" s="84"/>
      <c r="H77" s="84"/>
      <c r="I77" s="85"/>
      <c r="J77" s="86"/>
      <c r="K77" s="10"/>
      <c r="L77" s="55"/>
    </row>
    <row r="78" spans="2:12" x14ac:dyDescent="0.25">
      <c r="B78" s="5"/>
      <c r="C78" s="28"/>
      <c r="D78" s="35"/>
      <c r="E78" s="9"/>
      <c r="F78" s="83"/>
      <c r="G78" s="84"/>
      <c r="H78" s="84"/>
      <c r="I78" s="85"/>
      <c r="J78" s="86"/>
      <c r="K78" s="10"/>
      <c r="L78" s="55"/>
    </row>
    <row r="79" spans="2:12" x14ac:dyDescent="0.25">
      <c r="B79" s="5"/>
      <c r="C79" s="28"/>
      <c r="D79" s="35"/>
      <c r="E79" s="9"/>
      <c r="F79" s="83"/>
      <c r="G79" s="84"/>
      <c r="H79" s="84"/>
      <c r="I79" s="85"/>
      <c r="J79" s="86"/>
      <c r="K79" s="10"/>
      <c r="L79" s="55"/>
    </row>
    <row r="80" spans="2:12" x14ac:dyDescent="0.25">
      <c r="B80" s="5"/>
      <c r="C80" s="28"/>
      <c r="D80" s="35"/>
      <c r="E80" s="9"/>
      <c r="F80" s="83"/>
      <c r="G80" s="84"/>
      <c r="H80" s="84"/>
      <c r="I80" s="85"/>
      <c r="J80" s="86"/>
      <c r="K80" s="10"/>
      <c r="L80" s="55"/>
    </row>
    <row r="81" spans="2:12" x14ac:dyDescent="0.25">
      <c r="B81" s="5"/>
      <c r="C81" s="28"/>
      <c r="D81" s="35"/>
      <c r="E81" s="9"/>
      <c r="F81" s="83"/>
      <c r="G81" s="84"/>
      <c r="H81" s="84"/>
      <c r="I81" s="85"/>
      <c r="J81" s="86"/>
      <c r="K81" s="10"/>
      <c r="L81" s="55"/>
    </row>
    <row r="82" spans="2:12" x14ac:dyDescent="0.25">
      <c r="B82" s="5"/>
      <c r="C82" s="28"/>
      <c r="D82" s="35"/>
      <c r="E82" s="9"/>
      <c r="F82" s="87"/>
      <c r="G82" s="84"/>
      <c r="H82" s="84"/>
      <c r="I82" s="88"/>
      <c r="J82" s="86"/>
      <c r="K82" s="10"/>
      <c r="L82" s="55"/>
    </row>
    <row r="83" spans="2:12" x14ac:dyDescent="0.25">
      <c r="B83" s="5"/>
      <c r="C83" s="28"/>
      <c r="D83" s="35"/>
      <c r="E83" s="9"/>
      <c r="F83" s="89"/>
      <c r="G83" s="90"/>
      <c r="H83" s="90"/>
      <c r="I83" s="88"/>
      <c r="J83" s="91"/>
      <c r="K83" s="10"/>
      <c r="L83" s="55"/>
    </row>
    <row r="84" spans="2:12" x14ac:dyDescent="0.25">
      <c r="B84" s="5"/>
      <c r="C84" s="28"/>
      <c r="D84" s="35"/>
      <c r="E84" s="9"/>
      <c r="F84" s="89"/>
      <c r="G84" s="90"/>
      <c r="H84" s="90"/>
      <c r="I84" s="88"/>
      <c r="J84" s="91"/>
      <c r="K84" s="10"/>
      <c r="L84" s="55"/>
    </row>
    <row r="85" spans="2:12" x14ac:dyDescent="0.25">
      <c r="B85" s="5"/>
      <c r="C85" s="33"/>
      <c r="D85" s="40"/>
      <c r="E85" s="9"/>
      <c r="F85" s="92"/>
      <c r="G85" s="93"/>
      <c r="H85" s="93"/>
      <c r="I85" s="94"/>
      <c r="J85" s="95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120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121</v>
      </c>
      <c r="D92" s="10"/>
      <c r="E92" s="10"/>
      <c r="F92" s="49" t="s">
        <v>122</v>
      </c>
      <c r="G92" s="10"/>
      <c r="H92" s="10"/>
      <c r="I92" s="10"/>
      <c r="J92" s="10">
        <f>0.0001</f>
        <v>1E-4</v>
      </c>
      <c r="K92" s="10"/>
      <c r="L92" s="55"/>
    </row>
    <row r="93" spans="2:12" x14ac:dyDescent="0.25">
      <c r="B93" s="5"/>
      <c r="C93" s="101" t="s">
        <v>1</v>
      </c>
      <c r="D93" s="34" t="s">
        <v>2</v>
      </c>
      <c r="E93" s="7"/>
      <c r="F93" s="77" t="s">
        <v>11</v>
      </c>
      <c r="G93" s="77" t="s">
        <v>12</v>
      </c>
      <c r="H93" s="77" t="s">
        <v>8</v>
      </c>
      <c r="I93" s="10"/>
      <c r="J93" s="10"/>
      <c r="K93" s="10"/>
      <c r="L93" s="55"/>
    </row>
    <row r="94" spans="2:12" x14ac:dyDescent="0.25">
      <c r="B94" s="5"/>
      <c r="C94" s="102" t="s">
        <v>92</v>
      </c>
      <c r="D94" s="35" t="s">
        <v>20</v>
      </c>
      <c r="E94" s="9"/>
      <c r="F94" s="100" t="s">
        <v>47</v>
      </c>
      <c r="G94" s="97">
        <v>-1.33E-3</v>
      </c>
      <c r="H94" s="74" t="b">
        <v>1</v>
      </c>
      <c r="I94" s="10"/>
      <c r="J94" s="97">
        <v>-1.33E-3</v>
      </c>
      <c r="K94" s="10"/>
      <c r="L94" s="55"/>
    </row>
    <row r="95" spans="2:12" x14ac:dyDescent="0.25">
      <c r="B95" s="5"/>
      <c r="C95" s="102" t="s">
        <v>123</v>
      </c>
      <c r="D95" s="35" t="s">
        <v>20</v>
      </c>
      <c r="E95" s="9"/>
      <c r="F95" s="24" t="s">
        <v>43</v>
      </c>
      <c r="G95" s="98">
        <f>J95</f>
        <v>-8.699999999999999E-4</v>
      </c>
      <c r="H95" s="75" t="b">
        <v>1</v>
      </c>
      <c r="I95" s="10"/>
      <c r="J95" s="98">
        <v>-8.699999999999999E-4</v>
      </c>
      <c r="K95" s="10"/>
      <c r="L95" s="55"/>
    </row>
    <row r="96" spans="2:12" x14ac:dyDescent="0.25">
      <c r="B96" s="5"/>
      <c r="C96" s="102" t="s">
        <v>124</v>
      </c>
      <c r="D96" s="35" t="s">
        <v>6</v>
      </c>
      <c r="E96" s="9"/>
      <c r="F96" s="24" t="s">
        <v>50</v>
      </c>
      <c r="G96" s="98">
        <v>-8.0000000000000007E-5</v>
      </c>
      <c r="H96" s="75" t="b">
        <v>1</v>
      </c>
      <c r="I96" s="10"/>
      <c r="J96" s="98">
        <v>-8.0000000000000007E-5</v>
      </c>
      <c r="K96" s="10"/>
      <c r="L96" s="55"/>
    </row>
    <row r="97" spans="2:12" x14ac:dyDescent="0.25">
      <c r="B97" s="5"/>
      <c r="C97" s="102" t="s">
        <v>27</v>
      </c>
      <c r="D97" s="35" t="s">
        <v>26</v>
      </c>
      <c r="E97" s="9"/>
      <c r="F97" s="24" t="s">
        <v>52</v>
      </c>
      <c r="G97" s="98">
        <f>J97</f>
        <v>9.2999999999999995E-4</v>
      </c>
      <c r="H97" s="75" t="b">
        <v>1</v>
      </c>
      <c r="I97" s="10"/>
      <c r="J97" s="98">
        <v>9.2999999999999995E-4</v>
      </c>
      <c r="K97" s="10"/>
      <c r="L97" s="55"/>
    </row>
    <row r="98" spans="2:12" x14ac:dyDescent="0.25">
      <c r="B98" s="5"/>
      <c r="C98" s="102" t="s">
        <v>126</v>
      </c>
      <c r="D98" s="35" t="s">
        <v>125</v>
      </c>
      <c r="E98" s="9"/>
      <c r="F98" s="24" t="s">
        <v>54</v>
      </c>
      <c r="G98" s="98">
        <v>2.0200000000000001E-3</v>
      </c>
      <c r="H98" s="75" t="b">
        <v>1</v>
      </c>
      <c r="I98" s="10"/>
      <c r="J98" s="98">
        <v>2.0200000000000001E-3</v>
      </c>
      <c r="K98" s="10"/>
      <c r="L98" s="55"/>
    </row>
    <row r="99" spans="2:12" x14ac:dyDescent="0.25">
      <c r="B99" s="5"/>
      <c r="C99" s="102" t="s">
        <v>127</v>
      </c>
      <c r="D99" s="109" t="s">
        <v>78</v>
      </c>
      <c r="E99" s="9"/>
      <c r="F99" s="24" t="s">
        <v>56</v>
      </c>
      <c r="G99" s="98">
        <v>3.2100000000000002E-3</v>
      </c>
      <c r="H99" s="75" t="b">
        <v>1</v>
      </c>
      <c r="I99" s="10"/>
      <c r="J99" s="98">
        <v>3.2100000000000002E-3</v>
      </c>
      <c r="K99" s="10"/>
      <c r="L99" s="55"/>
    </row>
    <row r="100" spans="2:12" x14ac:dyDescent="0.25">
      <c r="B100" s="5"/>
      <c r="C100" s="102" t="s">
        <v>97</v>
      </c>
      <c r="D100" s="35" t="b">
        <v>0</v>
      </c>
      <c r="E100" s="9"/>
      <c r="F100" s="24" t="s">
        <v>58</v>
      </c>
      <c r="G100" s="98">
        <v>4.4400000000000004E-3</v>
      </c>
      <c r="H100" s="75" t="b">
        <v>1</v>
      </c>
      <c r="I100" s="10"/>
      <c r="J100" s="98">
        <v>4.4400000000000004E-3</v>
      </c>
      <c r="K100" s="10"/>
      <c r="L100" s="55"/>
    </row>
    <row r="101" spans="2:12" x14ac:dyDescent="0.25">
      <c r="B101" s="5"/>
      <c r="C101" s="102" t="s">
        <v>96</v>
      </c>
      <c r="D101" s="35">
        <v>2</v>
      </c>
      <c r="E101" s="9"/>
      <c r="F101" s="24" t="s">
        <v>60</v>
      </c>
      <c r="G101" s="98">
        <v>5.6100000000000004E-3</v>
      </c>
      <c r="H101" s="75" t="b">
        <v>1</v>
      </c>
      <c r="I101" s="10"/>
      <c r="J101" s="98">
        <v>5.6100000000000004E-3</v>
      </c>
      <c r="K101" s="10"/>
      <c r="L101" s="55"/>
    </row>
    <row r="102" spans="2:12" x14ac:dyDescent="0.25">
      <c r="B102" s="5"/>
      <c r="C102" s="102" t="s">
        <v>21</v>
      </c>
      <c r="D102" s="67" t="s">
        <v>22</v>
      </c>
      <c r="E102" s="9"/>
      <c r="F102" s="24" t="s">
        <v>61</v>
      </c>
      <c r="G102" s="98">
        <v>6.6700000000000006E-3</v>
      </c>
      <c r="H102" s="75" t="b">
        <v>1</v>
      </c>
      <c r="I102" s="10"/>
      <c r="J102" s="98">
        <v>6.6700000000000006E-3</v>
      </c>
      <c r="K102" s="10"/>
      <c r="L102" s="55"/>
    </row>
    <row r="103" spans="2:12" x14ac:dyDescent="0.25">
      <c r="B103" s="5"/>
      <c r="C103" s="102" t="s">
        <v>128</v>
      </c>
      <c r="D103" s="35" t="b">
        <v>1</v>
      </c>
      <c r="E103" s="9"/>
      <c r="F103" s="24"/>
      <c r="G103" s="98"/>
      <c r="H103" s="75"/>
      <c r="I103" s="10"/>
      <c r="J103" s="10"/>
      <c r="K103" s="10"/>
      <c r="L103" s="55"/>
    </row>
    <row r="104" spans="2:12" x14ac:dyDescent="0.25">
      <c r="B104" s="5"/>
      <c r="C104" s="102" t="s">
        <v>129</v>
      </c>
      <c r="D104" s="35" t="b">
        <v>1</v>
      </c>
      <c r="E104" s="9"/>
      <c r="F104" s="24"/>
      <c r="G104" s="98"/>
      <c r="H104" s="75"/>
      <c r="I104" s="10"/>
      <c r="J104" s="10"/>
      <c r="K104" s="10"/>
      <c r="L104" s="55"/>
    </row>
    <row r="105" spans="2:12" x14ac:dyDescent="0.25">
      <c r="B105" s="5"/>
      <c r="C105" s="102" t="s">
        <v>130</v>
      </c>
      <c r="D105" s="35" t="s">
        <v>131</v>
      </c>
      <c r="E105" s="9"/>
      <c r="F105" s="24"/>
      <c r="G105" s="98"/>
      <c r="H105" s="75"/>
      <c r="I105" s="10"/>
      <c r="J105" s="10"/>
      <c r="K105" s="10"/>
      <c r="L105" s="55"/>
    </row>
    <row r="106" spans="2:12" x14ac:dyDescent="0.25">
      <c r="B106" s="5"/>
      <c r="C106" s="102" t="s">
        <v>132</v>
      </c>
      <c r="D106" s="38">
        <v>1.0000000000000001E-9</v>
      </c>
      <c r="E106" s="9"/>
      <c r="F106" s="24"/>
      <c r="G106" s="98"/>
      <c r="H106" s="75"/>
      <c r="I106" s="10"/>
      <c r="J106" s="10"/>
      <c r="K106" s="10"/>
      <c r="L106" s="55"/>
    </row>
    <row r="107" spans="2:12" x14ac:dyDescent="0.25">
      <c r="B107" s="5"/>
      <c r="C107" s="102" t="s">
        <v>133</v>
      </c>
      <c r="D107" s="38">
        <v>1.0000000000000001E-15</v>
      </c>
      <c r="E107" s="9"/>
      <c r="F107" s="24"/>
      <c r="G107" s="98"/>
      <c r="H107" s="75"/>
      <c r="I107" s="10"/>
      <c r="J107" s="10"/>
      <c r="K107" s="10"/>
      <c r="L107" s="55"/>
    </row>
    <row r="108" spans="2:12" x14ac:dyDescent="0.25">
      <c r="B108" s="5"/>
      <c r="C108" s="102" t="s">
        <v>134</v>
      </c>
      <c r="D108" s="38">
        <v>1E-10</v>
      </c>
      <c r="E108" s="9"/>
      <c r="F108" s="24"/>
      <c r="G108" s="98"/>
      <c r="H108" s="75"/>
      <c r="I108" s="10"/>
      <c r="J108" s="10"/>
      <c r="K108" s="10"/>
      <c r="L108" s="55"/>
    </row>
    <row r="109" spans="2:12" x14ac:dyDescent="0.25">
      <c r="B109" s="5"/>
      <c r="C109" s="102" t="s">
        <v>135</v>
      </c>
      <c r="D109" s="104">
        <v>1000</v>
      </c>
      <c r="E109" s="9"/>
      <c r="F109" s="24"/>
      <c r="G109" s="98"/>
      <c r="H109" s="75"/>
      <c r="I109" s="10"/>
      <c r="J109" s="10"/>
      <c r="K109" s="10"/>
      <c r="L109" s="55"/>
    </row>
    <row r="110" spans="2:12" x14ac:dyDescent="0.25">
      <c r="B110" s="5"/>
      <c r="C110" s="138" t="s">
        <v>185</v>
      </c>
      <c r="D110" s="137" t="s">
        <v>99</v>
      </c>
      <c r="E110" s="9"/>
      <c r="F110" s="24"/>
      <c r="G110" s="98"/>
      <c r="H110" s="75"/>
      <c r="I110" s="10"/>
      <c r="J110" s="10"/>
      <c r="K110" s="10"/>
      <c r="L110" s="55"/>
    </row>
    <row r="111" spans="2:12" x14ac:dyDescent="0.25">
      <c r="B111" s="5"/>
      <c r="C111" s="138" t="s">
        <v>186</v>
      </c>
      <c r="D111" s="137" t="s">
        <v>187</v>
      </c>
      <c r="E111" s="9"/>
      <c r="F111" s="25"/>
      <c r="G111" s="99"/>
      <c r="H111" s="76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  <row r="116" spans="2:12" x14ac:dyDescent="0.25">
      <c r="C116" s="140" t="s">
        <v>188</v>
      </c>
    </row>
    <row r="117" spans="2:12" x14ac:dyDescent="0.25">
      <c r="C117" s="140" t="s">
        <v>189</v>
      </c>
    </row>
    <row r="118" spans="2:12" x14ac:dyDescent="0.25">
      <c r="C118" s="140" t="s">
        <v>190</v>
      </c>
    </row>
    <row r="119" spans="2:12" x14ac:dyDescent="0.25">
      <c r="C119" s="140" t="s">
        <v>191</v>
      </c>
    </row>
    <row r="120" spans="2:12" x14ac:dyDescent="0.25">
      <c r="C120" s="140" t="s">
        <v>192</v>
      </c>
    </row>
  </sheetData>
  <dataValidations disablePrompts="1" count="2"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Z228"/>
  <sheetViews>
    <sheetView showGridLines="0" tabSelected="1" zoomScaleNormal="100" workbookViewId="0"/>
  </sheetViews>
  <sheetFormatPr defaultRowHeight="15" x14ac:dyDescent="0.25"/>
  <cols>
    <col min="2" max="2" width="39.140625" customWidth="1"/>
    <col min="3" max="5" width="24.42578125" customWidth="1"/>
    <col min="6" max="6" width="11" customWidth="1"/>
    <col min="7" max="7" width="34.42578125" style="135" bestFit="1" customWidth="1"/>
    <col min="8" max="11" width="8.7109375" bestFit="1" customWidth="1"/>
    <col min="12" max="12" width="10.140625" customWidth="1"/>
    <col min="13" max="15" width="8.7109375" bestFit="1" customWidth="1"/>
    <col min="16" max="16" width="34.42578125" bestFit="1" customWidth="1"/>
  </cols>
  <sheetData>
    <row r="2" spans="2:11" ht="19.5" x14ac:dyDescent="0.25">
      <c r="B2" s="136" t="s">
        <v>200</v>
      </c>
    </row>
    <row r="3" spans="2:11" ht="19.5" x14ac:dyDescent="0.25">
      <c r="B3" s="136"/>
    </row>
    <row r="4" spans="2:11" x14ac:dyDescent="0.25">
      <c r="B4" s="130" t="s">
        <v>156</v>
      </c>
    </row>
    <row r="5" spans="2:11" x14ac:dyDescent="0.25">
      <c r="B5" s="154" t="s">
        <v>198</v>
      </c>
      <c r="C5" s="115" t="s">
        <v>204</v>
      </c>
      <c r="D5" s="115" t="s">
        <v>204</v>
      </c>
      <c r="E5" s="115" t="s">
        <v>9</v>
      </c>
      <c r="G5" s="159" t="str">
        <f t="array" aca="1" ref="G5:K171" ca="1">_xll.mirSwapDeltaLadder(B5:E36,C39,B45:B46,C40,C41)</f>
        <v>Pillars</v>
      </c>
      <c r="H5" s="160" t="str">
        <f ca="1"/>
        <v>TRADE_1</v>
      </c>
      <c r="I5" s="160" t="str">
        <f ca="1"/>
        <v>TRADE_2</v>
      </c>
      <c r="J5" s="160" t="str">
        <f ca="1"/>
        <v>TRADE_3</v>
      </c>
      <c r="K5" s="160" t="str">
        <f ca="1"/>
        <v>Total</v>
      </c>
    </row>
    <row r="6" spans="2:11" x14ac:dyDescent="0.25">
      <c r="B6" s="124" t="s">
        <v>202</v>
      </c>
      <c r="C6" s="115" t="s">
        <v>203</v>
      </c>
      <c r="D6" s="115" t="s">
        <v>205</v>
      </c>
      <c r="E6" s="115" t="s">
        <v>206</v>
      </c>
      <c r="G6" s="144" t="str">
        <f ca="1"/>
        <v>EURYC_OIS_OUTRIGHTOISSWAP_ON</v>
      </c>
      <c r="H6" s="153">
        <f ca="1"/>
        <v>8.6044625099748373</v>
      </c>
      <c r="I6" s="153">
        <f ca="1"/>
        <v>12.818468591198325</v>
      </c>
      <c r="J6" s="153">
        <f ca="1"/>
        <v>-21.122103795409203</v>
      </c>
      <c r="K6" s="153">
        <f ca="1"/>
        <v>0.30082730576395988</v>
      </c>
    </row>
    <row r="7" spans="2:11" x14ac:dyDescent="0.25">
      <c r="B7" s="124" t="s">
        <v>151</v>
      </c>
      <c r="C7" s="115">
        <v>100000000</v>
      </c>
      <c r="D7" s="115">
        <v>100000000</v>
      </c>
      <c r="E7" s="115">
        <v>100000000</v>
      </c>
      <c r="G7" s="144" t="str">
        <f ca="1"/>
        <v>EURYC_OIS_CBRate_EUSF1A</v>
      </c>
      <c r="H7" s="153">
        <f ca="1"/>
        <v>4.7110687345266342</v>
      </c>
      <c r="I7" s="153">
        <f ca="1"/>
        <v>6.2697944920510054</v>
      </c>
      <c r="J7" s="153">
        <f ca="1"/>
        <v>-10.658679932355881</v>
      </c>
      <c r="K7" s="153">
        <f ca="1"/>
        <v>0.32218329422175884</v>
      </c>
    </row>
    <row r="8" spans="2:11" x14ac:dyDescent="0.25">
      <c r="B8" s="125" t="s">
        <v>177</v>
      </c>
      <c r="C8" s="116" t="s">
        <v>152</v>
      </c>
      <c r="D8" s="116" t="s">
        <v>152</v>
      </c>
      <c r="E8" s="158" t="s">
        <v>207</v>
      </c>
      <c r="G8" s="144" t="str">
        <f ca="1"/>
        <v>EURYC_OIS_CBRate_EUSF2A</v>
      </c>
      <c r="H8" s="153">
        <f ca="1"/>
        <v>0.90304885245859623</v>
      </c>
      <c r="I8" s="153">
        <f ca="1"/>
        <v>0.9533701129257679</v>
      </c>
      <c r="J8" s="153">
        <f ca="1"/>
        <v>-1.1812397353351116</v>
      </c>
      <c r="K8" s="153">
        <f ca="1"/>
        <v>0.67517923004925251</v>
      </c>
    </row>
    <row r="9" spans="2:11" x14ac:dyDescent="0.25">
      <c r="B9" s="125" t="s">
        <v>178</v>
      </c>
      <c r="C9" s="117">
        <v>42423</v>
      </c>
      <c r="D9" s="117">
        <v>42423</v>
      </c>
      <c r="E9" s="117">
        <v>42423</v>
      </c>
      <c r="G9" s="144" t="str">
        <f ca="1"/>
        <v>EURYC_OIS_CBRate_EUSF3A</v>
      </c>
      <c r="H9" s="153">
        <f ca="1"/>
        <v>0.60817754454910755</v>
      </c>
      <c r="I9" s="153">
        <f ca="1"/>
        <v>0.64948180317878723</v>
      </c>
      <c r="J9" s="153">
        <f ca="1"/>
        <v>-0.96938600018620491</v>
      </c>
      <c r="K9" s="153">
        <f ca="1"/>
        <v>0.28827334754168987</v>
      </c>
    </row>
    <row r="10" spans="2:11" x14ac:dyDescent="0.25">
      <c r="B10" s="125" t="s">
        <v>179</v>
      </c>
      <c r="C10" s="126" t="s">
        <v>47</v>
      </c>
      <c r="D10" s="126" t="s">
        <v>43</v>
      </c>
      <c r="E10" s="126" t="s">
        <v>52</v>
      </c>
      <c r="G10" s="144" t="str">
        <f ca="1"/>
        <v>EURYC_OIS_CBRate_EUSF4A</v>
      </c>
      <c r="H10" s="153">
        <f ca="1"/>
        <v>0</v>
      </c>
      <c r="I10" s="153">
        <f ca="1"/>
        <v>1.9798990339040756E-2</v>
      </c>
      <c r="J10" s="153">
        <f ca="1"/>
        <v>-0.46400928869843483</v>
      </c>
      <c r="K10" s="153">
        <f ca="1"/>
        <v>-0.44421029835939407</v>
      </c>
    </row>
    <row r="11" spans="2:11" x14ac:dyDescent="0.25">
      <c r="B11" s="121" t="s">
        <v>180</v>
      </c>
      <c r="C11" s="113">
        <v>0.05</v>
      </c>
      <c r="D11" s="113">
        <v>0.05</v>
      </c>
      <c r="E11" s="113">
        <v>0.05</v>
      </c>
      <c r="G11" s="144" t="str">
        <f ca="1"/>
        <v>EURYC_OIS_CBRate_EUSF5A</v>
      </c>
      <c r="H11" s="153">
        <f ca="1"/>
        <v>0</v>
      </c>
      <c r="I11" s="153">
        <f ca="1"/>
        <v>1.4225497841835022E-2</v>
      </c>
      <c r="J11" s="153">
        <f ca="1"/>
        <v>-0.33318157121539116</v>
      </c>
      <c r="K11" s="153">
        <f ca="1"/>
        <v>-0.31895607337355614</v>
      </c>
    </row>
    <row r="12" spans="2:11" x14ac:dyDescent="0.25">
      <c r="B12" s="121" t="s">
        <v>157</v>
      </c>
      <c r="C12" s="113" t="s">
        <v>26</v>
      </c>
      <c r="D12" s="113" t="s">
        <v>26</v>
      </c>
      <c r="E12" s="113" t="s">
        <v>26</v>
      </c>
      <c r="G12" s="144" t="str">
        <f ca="1"/>
        <v>EURYC_OIS_OUTRIGHTOISSWAP_12M</v>
      </c>
      <c r="H12" s="153">
        <f ca="1"/>
        <v>521.69080823473632</v>
      </c>
      <c r="I12" s="153">
        <f ca="1"/>
        <v>522.46692714653909</v>
      </c>
      <c r="J12" s="153">
        <f ca="1"/>
        <v>-512.10004520788789</v>
      </c>
      <c r="K12" s="153">
        <f ca="1"/>
        <v>532.05769017338753</v>
      </c>
    </row>
    <row r="13" spans="2:11" x14ac:dyDescent="0.25">
      <c r="B13" s="121" t="s">
        <v>158</v>
      </c>
      <c r="C13" s="114" t="s">
        <v>20</v>
      </c>
      <c r="D13" s="114" t="s">
        <v>20</v>
      </c>
      <c r="E13" s="114" t="s">
        <v>20</v>
      </c>
      <c r="G13" s="144" t="str">
        <f ca="1"/>
        <v>EURYC_OIS_OUTRIGHTOISSWAP_18M</v>
      </c>
      <c r="H13" s="153">
        <f ca="1"/>
        <v>10.839783128350973</v>
      </c>
      <c r="I13" s="153">
        <f ca="1"/>
        <v>10.225986912846565</v>
      </c>
      <c r="J13" s="153">
        <f ca="1"/>
        <v>-23.225407920777798</v>
      </c>
      <c r="K13" s="153">
        <f ca="1"/>
        <v>-2.1596378795802593</v>
      </c>
    </row>
    <row r="14" spans="2:11" x14ac:dyDescent="0.25">
      <c r="B14" s="121" t="s">
        <v>193</v>
      </c>
      <c r="C14" s="113" t="s">
        <v>22</v>
      </c>
      <c r="D14" s="113" t="s">
        <v>22</v>
      </c>
      <c r="E14" s="113" t="s">
        <v>22</v>
      </c>
      <c r="G14" s="144" t="str">
        <f ca="1"/>
        <v>EURYC_OIS_OUTRIGHTOISSWAP_2Y</v>
      </c>
      <c r="H14" s="153">
        <f ca="1"/>
        <v>1036.3310865834355</v>
      </c>
      <c r="I14" s="153">
        <f ca="1"/>
        <v>1041.7777116429061</v>
      </c>
      <c r="J14" s="153">
        <f ca="1"/>
        <v>-983.89994715154171</v>
      </c>
      <c r="K14" s="153">
        <f ca="1"/>
        <v>1094.2088510747999</v>
      </c>
    </row>
    <row r="15" spans="2:11" x14ac:dyDescent="0.25">
      <c r="B15" s="121" t="s">
        <v>159</v>
      </c>
      <c r="C15" s="113" t="s">
        <v>2</v>
      </c>
      <c r="D15" s="113" t="s">
        <v>2</v>
      </c>
      <c r="E15" s="113" t="s">
        <v>2</v>
      </c>
      <c r="G15" s="144" t="str">
        <f ca="1"/>
        <v>EURYC_OIS_BASISRATE_3Y</v>
      </c>
      <c r="H15" s="153">
        <f ca="1"/>
        <v>0</v>
      </c>
      <c r="I15" s="153">
        <f ca="1"/>
        <v>-1538.9510792717338</v>
      </c>
      <c r="J15" s="153">
        <f ca="1"/>
        <v>1583.6393291056156</v>
      </c>
      <c r="K15" s="153">
        <f ca="1"/>
        <v>44.688249833881855</v>
      </c>
    </row>
    <row r="16" spans="2:11" x14ac:dyDescent="0.25">
      <c r="B16" s="121" t="s">
        <v>160</v>
      </c>
      <c r="C16" s="113"/>
      <c r="D16" s="113"/>
      <c r="E16" s="113"/>
      <c r="G16" s="144" t="str">
        <f ca="1"/>
        <v>EURYC_OIS_6MLIBORSWAP_3Y</v>
      </c>
      <c r="H16" s="153">
        <f ca="1"/>
        <v>0</v>
      </c>
      <c r="I16" s="153">
        <f ca="1"/>
        <v>1517.401901351288</v>
      </c>
      <c r="J16" s="153">
        <f ca="1"/>
        <v>-1571.8495225906372</v>
      </c>
      <c r="K16" s="153">
        <f ca="1"/>
        <v>-54.447621239349246</v>
      </c>
    </row>
    <row r="17" spans="2:11" x14ac:dyDescent="0.25">
      <c r="B17" s="121" t="s">
        <v>161</v>
      </c>
      <c r="C17" s="113"/>
      <c r="D17" s="113"/>
      <c r="E17" s="113"/>
      <c r="G17" s="144" t="str">
        <f ca="1"/>
        <v>EURYC_OIS_BASISRATE_4Y</v>
      </c>
      <c r="H17" s="153">
        <f ca="1"/>
        <v>0</v>
      </c>
      <c r="I17" s="153">
        <f ca="1"/>
        <v>0</v>
      </c>
      <c r="J17" s="153">
        <f ca="1"/>
        <v>2007.9394036643207</v>
      </c>
      <c r="K17" s="153">
        <f ca="1"/>
        <v>2007.9394036643207</v>
      </c>
    </row>
    <row r="18" spans="2:11" x14ac:dyDescent="0.25">
      <c r="B18" s="121" t="s">
        <v>162</v>
      </c>
      <c r="C18" s="113">
        <v>23</v>
      </c>
      <c r="D18" s="113">
        <v>23</v>
      </c>
      <c r="E18" s="113">
        <v>23</v>
      </c>
      <c r="G18" s="144" t="str">
        <f ca="1"/>
        <v>EURYC_OIS_6MLIBORSWAP_4Y</v>
      </c>
      <c r="H18" s="153">
        <f ca="1"/>
        <v>0</v>
      </c>
      <c r="I18" s="153">
        <f ca="1"/>
        <v>0</v>
      </c>
      <c r="J18" s="153">
        <f ca="1"/>
        <v>-1993.7007703818381</v>
      </c>
      <c r="K18" s="153">
        <f ca="1"/>
        <v>-1993.7007703818381</v>
      </c>
    </row>
    <row r="19" spans="2:11" x14ac:dyDescent="0.25">
      <c r="B19" s="122" t="s">
        <v>163</v>
      </c>
      <c r="C19" s="114" t="s">
        <v>154</v>
      </c>
      <c r="D19" s="114" t="s">
        <v>154</v>
      </c>
      <c r="E19" s="114" t="s">
        <v>154</v>
      </c>
      <c r="G19" s="144" t="str">
        <f ca="1"/>
        <v>EURYC_OIS_BASISRATE_5Y</v>
      </c>
      <c r="H19" s="153">
        <f ca="1"/>
        <v>0</v>
      </c>
      <c r="I19" s="153">
        <f ca="1"/>
        <v>0</v>
      </c>
      <c r="J19" s="153">
        <f ca="1"/>
        <v>53599.037758987397</v>
      </c>
      <c r="K19" s="153">
        <f ca="1"/>
        <v>53599.037758987397</v>
      </c>
    </row>
    <row r="20" spans="2:11" x14ac:dyDescent="0.25">
      <c r="B20" s="123" t="s">
        <v>164</v>
      </c>
      <c r="C20" s="126" t="s">
        <v>155</v>
      </c>
      <c r="D20" s="126" t="s">
        <v>155</v>
      </c>
      <c r="E20" s="126" t="s">
        <v>155</v>
      </c>
      <c r="G20" s="144" t="str">
        <f ca="1"/>
        <v>EURYC_OIS_6MLIBORSWAP_5Y</v>
      </c>
      <c r="H20" s="153">
        <f ca="1"/>
        <v>0</v>
      </c>
      <c r="I20" s="153">
        <f ca="1"/>
        <v>0</v>
      </c>
      <c r="J20" s="153">
        <f ca="1"/>
        <v>-52808.021593853831</v>
      </c>
      <c r="K20" s="153">
        <f ca="1"/>
        <v>-52808.021593853831</v>
      </c>
    </row>
    <row r="21" spans="2:11" x14ac:dyDescent="0.25">
      <c r="B21" s="118" t="s">
        <v>165</v>
      </c>
      <c r="C21" s="113" t="s">
        <v>125</v>
      </c>
      <c r="D21" s="113" t="s">
        <v>125</v>
      </c>
      <c r="E21" s="113" t="s">
        <v>26</v>
      </c>
      <c r="G21" s="144" t="str">
        <f ca="1"/>
        <v>EURYC_OIS_BASISRATE_6Y</v>
      </c>
      <c r="H21" s="153">
        <f ca="1"/>
        <v>0</v>
      </c>
      <c r="I21" s="153">
        <f ca="1"/>
        <v>0</v>
      </c>
      <c r="J21" s="153">
        <f ca="1"/>
        <v>-6.7055225372314453E-8</v>
      </c>
      <c r="K21" s="153">
        <f ca="1"/>
        <v>-6.7055225372314453E-8</v>
      </c>
    </row>
    <row r="22" spans="2:11" x14ac:dyDescent="0.25">
      <c r="B22" s="118" t="s">
        <v>166</v>
      </c>
      <c r="C22" s="114" t="s">
        <v>153</v>
      </c>
      <c r="D22" s="114" t="s">
        <v>153</v>
      </c>
      <c r="E22" s="114" t="s">
        <v>153</v>
      </c>
      <c r="G22" s="144" t="str">
        <f ca="1"/>
        <v>EURYC_OIS_6MLIBORSWAP_6Y</v>
      </c>
      <c r="H22" s="153">
        <f ca="1"/>
        <v>0</v>
      </c>
      <c r="I22" s="153">
        <f ca="1"/>
        <v>0</v>
      </c>
      <c r="J22" s="153">
        <f ca="1"/>
        <v>4.4703483581542969E-8</v>
      </c>
      <c r="K22" s="153">
        <f ca="1"/>
        <v>4.4703483581542969E-8</v>
      </c>
    </row>
    <row r="23" spans="2:11" x14ac:dyDescent="0.25">
      <c r="B23" s="118" t="s">
        <v>194</v>
      </c>
      <c r="C23" s="114" t="s">
        <v>22</v>
      </c>
      <c r="D23" s="114" t="s">
        <v>22</v>
      </c>
      <c r="E23" s="114" t="s">
        <v>22</v>
      </c>
      <c r="G23" s="144" t="str">
        <f ca="1"/>
        <v>EURYC_OIS_BASISRATE_7Y</v>
      </c>
      <c r="H23" s="153">
        <f ca="1"/>
        <v>0</v>
      </c>
      <c r="I23" s="153">
        <f ca="1"/>
        <v>0</v>
      </c>
      <c r="J23" s="153">
        <f ca="1"/>
        <v>0</v>
      </c>
      <c r="K23" s="153">
        <f ca="1"/>
        <v>0</v>
      </c>
    </row>
    <row r="24" spans="2:11" x14ac:dyDescent="0.25">
      <c r="B24" s="119" t="s">
        <v>168</v>
      </c>
      <c r="C24" s="114" t="s">
        <v>2</v>
      </c>
      <c r="D24" s="114" t="s">
        <v>2</v>
      </c>
      <c r="E24" s="114" t="s">
        <v>2</v>
      </c>
      <c r="G24" s="144" t="str">
        <f ca="1"/>
        <v>EURYC_OIS_6MLIBORSWAP_7Y</v>
      </c>
      <c r="H24" s="153">
        <f ca="1"/>
        <v>0</v>
      </c>
      <c r="I24" s="153">
        <f ca="1"/>
        <v>0</v>
      </c>
      <c r="J24" s="153">
        <f ca="1"/>
        <v>0</v>
      </c>
      <c r="K24" s="153">
        <f ca="1"/>
        <v>0</v>
      </c>
    </row>
    <row r="25" spans="2:11" x14ac:dyDescent="0.25">
      <c r="B25" s="119" t="s">
        <v>167</v>
      </c>
      <c r="C25" s="114"/>
      <c r="D25" s="114"/>
      <c r="E25" s="114"/>
      <c r="G25" s="144" t="str">
        <f ca="1"/>
        <v>EURYC_OIS_BASISRATE_8Y</v>
      </c>
      <c r="H25" s="153">
        <f ca="1"/>
        <v>0</v>
      </c>
      <c r="I25" s="153">
        <f ca="1"/>
        <v>0</v>
      </c>
      <c r="J25" s="153">
        <f ca="1"/>
        <v>0</v>
      </c>
      <c r="K25" s="153">
        <f ca="1"/>
        <v>0</v>
      </c>
    </row>
    <row r="26" spans="2:11" x14ac:dyDescent="0.25">
      <c r="B26" s="119" t="s">
        <v>169</v>
      </c>
      <c r="C26" s="114"/>
      <c r="D26" s="114"/>
      <c r="E26" s="114"/>
      <c r="G26" s="144" t="str">
        <f ca="1"/>
        <v>EURYC_OIS_6MLIBORSWAP_8Y</v>
      </c>
      <c r="H26" s="153">
        <f ca="1"/>
        <v>0</v>
      </c>
      <c r="I26" s="153">
        <f ca="1"/>
        <v>0</v>
      </c>
      <c r="J26" s="153">
        <f ca="1"/>
        <v>0</v>
      </c>
      <c r="K26" s="153">
        <f ca="1"/>
        <v>0</v>
      </c>
    </row>
    <row r="27" spans="2:11" x14ac:dyDescent="0.25">
      <c r="B27" s="119" t="s">
        <v>170</v>
      </c>
      <c r="C27" s="114">
        <v>23</v>
      </c>
      <c r="D27" s="114">
        <v>23</v>
      </c>
      <c r="E27" s="114">
        <v>23</v>
      </c>
      <c r="G27" s="144" t="str">
        <f ca="1"/>
        <v>EURYC_OIS_BASISRATE_9Y</v>
      </c>
      <c r="H27" s="153">
        <f ca="1"/>
        <v>0</v>
      </c>
      <c r="I27" s="153">
        <f ca="1"/>
        <v>0</v>
      </c>
      <c r="J27" s="153">
        <f ca="1"/>
        <v>0</v>
      </c>
      <c r="K27" s="153">
        <f ca="1"/>
        <v>0</v>
      </c>
    </row>
    <row r="28" spans="2:11" x14ac:dyDescent="0.25">
      <c r="B28" s="119" t="s">
        <v>171</v>
      </c>
      <c r="C28" s="114" t="s">
        <v>154</v>
      </c>
      <c r="D28" s="114" t="s">
        <v>154</v>
      </c>
      <c r="E28" s="114" t="s">
        <v>154</v>
      </c>
      <c r="G28" s="144" t="str">
        <f ca="1"/>
        <v>EURYC_OIS_6MLIBORSWAP_9Y</v>
      </c>
      <c r="H28" s="153">
        <f ca="1"/>
        <v>0</v>
      </c>
      <c r="I28" s="153">
        <f ca="1"/>
        <v>0</v>
      </c>
      <c r="J28" s="153">
        <f ca="1"/>
        <v>0</v>
      </c>
      <c r="K28" s="153">
        <f ca="1"/>
        <v>0</v>
      </c>
    </row>
    <row r="29" spans="2:11" x14ac:dyDescent="0.25">
      <c r="B29" s="119" t="s">
        <v>172</v>
      </c>
      <c r="C29" s="114"/>
      <c r="D29" s="114"/>
      <c r="E29" s="114"/>
      <c r="G29" s="144" t="str">
        <f ca="1"/>
        <v>EURYC_OIS_BASISRATE_10Y</v>
      </c>
      <c r="H29" s="153">
        <f ca="1"/>
        <v>0</v>
      </c>
      <c r="I29" s="153">
        <f ca="1"/>
        <v>0</v>
      </c>
      <c r="J29" s="153">
        <f ca="1"/>
        <v>0</v>
      </c>
      <c r="K29" s="153">
        <f ca="1"/>
        <v>0</v>
      </c>
    </row>
    <row r="30" spans="2:11" x14ac:dyDescent="0.25">
      <c r="B30" s="119" t="s">
        <v>173</v>
      </c>
      <c r="C30" s="114"/>
      <c r="D30" s="114"/>
      <c r="E30" s="114"/>
      <c r="G30" s="146" t="str">
        <f ca="1"/>
        <v>EURYC_OIS_6MLIBORSWAP_10Y</v>
      </c>
      <c r="H30" s="165">
        <f ca="1"/>
        <v>0</v>
      </c>
      <c r="I30" s="165">
        <f ca="1"/>
        <v>0</v>
      </c>
      <c r="J30" s="165">
        <f ca="1"/>
        <v>0</v>
      </c>
      <c r="K30" s="165">
        <f ca="1"/>
        <v>0</v>
      </c>
    </row>
    <row r="31" spans="2:11" x14ac:dyDescent="0.25">
      <c r="B31" s="119" t="s">
        <v>174</v>
      </c>
      <c r="C31" s="114" t="s">
        <v>154</v>
      </c>
      <c r="D31" s="114" t="s">
        <v>154</v>
      </c>
      <c r="E31" s="114" t="s">
        <v>154</v>
      </c>
      <c r="G31" s="144" t="str">
        <f ca="1"/>
        <v>EURYC_STD_O_N</v>
      </c>
      <c r="H31" s="153">
        <f ca="1"/>
        <v>-3.7252902984619141E-9</v>
      </c>
      <c r="I31" s="153">
        <f ca="1"/>
        <v>7.4505805969238281E-9</v>
      </c>
      <c r="J31" s="153">
        <f ca="1"/>
        <v>0</v>
      </c>
      <c r="K31" s="153">
        <f ca="1"/>
        <v>3.7252902984619141E-9</v>
      </c>
    </row>
    <row r="32" spans="2:11" x14ac:dyDescent="0.25">
      <c r="B32" s="119" t="s">
        <v>176</v>
      </c>
      <c r="C32" s="114"/>
      <c r="D32" s="114"/>
      <c r="E32" s="114"/>
      <c r="G32" s="144" t="str">
        <f ca="1"/>
        <v>EURYC_STD_T_N</v>
      </c>
      <c r="H32" s="145">
        <f ca="1"/>
        <v>-5.5879354476928711E-9</v>
      </c>
      <c r="I32" s="145">
        <f ca="1"/>
        <v>7.4505805969238281E-9</v>
      </c>
      <c r="J32" s="145">
        <f ca="1"/>
        <v>0</v>
      </c>
      <c r="K32" s="145">
        <f ca="1"/>
        <v>1.862645149230957E-9</v>
      </c>
    </row>
    <row r="33" spans="2:26" x14ac:dyDescent="0.25">
      <c r="B33" s="120" t="s">
        <v>175</v>
      </c>
      <c r="C33" s="126" t="s">
        <v>155</v>
      </c>
      <c r="D33" s="126" t="s">
        <v>155</v>
      </c>
      <c r="E33" s="126" t="s">
        <v>155</v>
      </c>
      <c r="G33" s="144" t="str">
        <f ca="1"/>
        <v>EURYC_STD_LIBOR_1M</v>
      </c>
      <c r="H33" s="145">
        <f ca="1"/>
        <v>0</v>
      </c>
      <c r="I33" s="145">
        <f ca="1"/>
        <v>0</v>
      </c>
      <c r="J33" s="145">
        <f ca="1"/>
        <v>0</v>
      </c>
      <c r="K33" s="145">
        <f ca="1"/>
        <v>0</v>
      </c>
    </row>
    <row r="34" spans="2:26" x14ac:dyDescent="0.25">
      <c r="B34" s="120" t="s">
        <v>209</v>
      </c>
      <c r="C34" s="126"/>
      <c r="D34" s="126"/>
      <c r="E34" s="126" t="s">
        <v>210</v>
      </c>
      <c r="G34" s="144" t="str">
        <f ca="1"/>
        <v>EURYC_STD_LIBOR_3M</v>
      </c>
      <c r="H34" s="145">
        <f ca="1"/>
        <v>0</v>
      </c>
      <c r="I34" s="145">
        <f ca="1"/>
        <v>0</v>
      </c>
      <c r="J34" s="145">
        <f ca="1"/>
        <v>0</v>
      </c>
      <c r="K34" s="145">
        <f ca="1"/>
        <v>0</v>
      </c>
    </row>
    <row r="35" spans="2:26" x14ac:dyDescent="0.25">
      <c r="B35" s="161" t="s">
        <v>145</v>
      </c>
      <c r="C35" s="113" t="s">
        <v>84</v>
      </c>
      <c r="D35" s="113" t="s">
        <v>84</v>
      </c>
      <c r="E35" s="113" t="s">
        <v>9</v>
      </c>
      <c r="G35" s="144" t="str">
        <f ca="1"/>
        <v>EURYC_STD_LIBOR_6M</v>
      </c>
      <c r="H35" s="145">
        <f ca="1"/>
        <v>9.0589560568332672E-4</v>
      </c>
      <c r="I35" s="145">
        <f ca="1"/>
        <v>-6.491541862487793E-4</v>
      </c>
      <c r="J35" s="145">
        <f ca="1"/>
        <v>0</v>
      </c>
      <c r="K35" s="145">
        <f ca="1"/>
        <v>2.5674141943454742E-4</v>
      </c>
      <c r="X35" s="134" t="s">
        <v>183</v>
      </c>
    </row>
    <row r="36" spans="2:26" x14ac:dyDescent="0.25">
      <c r="B36" s="162" t="s">
        <v>147</v>
      </c>
      <c r="C36" s="126" t="s">
        <v>9</v>
      </c>
      <c r="D36" s="126" t="s">
        <v>9</v>
      </c>
      <c r="E36" s="126" t="s">
        <v>9</v>
      </c>
      <c r="G36" s="144" t="str">
        <f ca="1"/>
        <v>EURYC_STD_LIBOR_12M</v>
      </c>
      <c r="H36" s="145">
        <f ca="1"/>
        <v>0</v>
      </c>
      <c r="I36" s="145">
        <f ca="1"/>
        <v>0</v>
      </c>
      <c r="J36" s="145">
        <f ca="1"/>
        <v>0</v>
      </c>
      <c r="K36" s="145">
        <f ca="1"/>
        <v>0</v>
      </c>
      <c r="X36" s="133" t="s">
        <v>181</v>
      </c>
      <c r="Y36" s="133" t="s">
        <v>182</v>
      </c>
      <c r="Z36" s="133" t="s">
        <v>150</v>
      </c>
    </row>
    <row r="37" spans="2:26" x14ac:dyDescent="0.25">
      <c r="D37" s="155"/>
      <c r="E37" s="155"/>
      <c r="G37" s="144" t="str">
        <f ca="1"/>
        <v>EURYC_STD_FRA6M_2X8</v>
      </c>
      <c r="H37" s="145">
        <f ca="1"/>
        <v>0</v>
      </c>
      <c r="I37" s="145">
        <f ca="1"/>
        <v>0</v>
      </c>
      <c r="J37" s="145">
        <f ca="1"/>
        <v>0</v>
      </c>
      <c r="K37" s="145">
        <f ca="1"/>
        <v>0</v>
      </c>
      <c r="X37" s="132">
        <v>5.5730000000000004</v>
      </c>
      <c r="Y37" s="132">
        <v>5.5220000000000002</v>
      </c>
      <c r="Z37" s="132">
        <v>8.2210000000000001</v>
      </c>
    </row>
    <row r="38" spans="2:26" x14ac:dyDescent="0.25">
      <c r="B38" s="112" t="s">
        <v>199</v>
      </c>
      <c r="D38" s="157"/>
      <c r="E38" s="157"/>
      <c r="G38" s="148" t="str">
        <f ca="1"/>
        <v>EURYC_STD_FRA6M_3X9</v>
      </c>
      <c r="H38" s="149">
        <f ca="1"/>
        <v>0</v>
      </c>
      <c r="I38" s="149">
        <f ca="1"/>
        <v>0</v>
      </c>
      <c r="J38" s="149">
        <f ca="1"/>
        <v>0</v>
      </c>
      <c r="K38" s="149">
        <f ca="1"/>
        <v>0</v>
      </c>
    </row>
    <row r="39" spans="2:26" x14ac:dyDescent="0.25">
      <c r="B39" s="127" t="s">
        <v>146</v>
      </c>
      <c r="C39" s="115" t="s">
        <v>73</v>
      </c>
      <c r="D39" s="157"/>
      <c r="E39" s="157"/>
      <c r="G39" s="148" t="str">
        <f ca="1"/>
        <v>EURYC_STD_FRA6M_4X10</v>
      </c>
      <c r="H39" s="149">
        <f ca="1"/>
        <v>0</v>
      </c>
      <c r="I39" s="149">
        <f ca="1"/>
        <v>0</v>
      </c>
      <c r="J39" s="149">
        <f ca="1"/>
        <v>0</v>
      </c>
      <c r="K39" s="149">
        <f ca="1"/>
        <v>0</v>
      </c>
    </row>
    <row r="40" spans="2:26" x14ac:dyDescent="0.25">
      <c r="B40" s="128" t="s">
        <v>148</v>
      </c>
      <c r="C40" s="116">
        <v>1</v>
      </c>
      <c r="D40" s="156"/>
      <c r="E40" s="156"/>
      <c r="G40" s="148" t="str">
        <f ca="1"/>
        <v>EURYC_STD_FRA6M_5X11</v>
      </c>
      <c r="H40" s="149">
        <f ca="1"/>
        <v>0</v>
      </c>
      <c r="I40" s="149">
        <f ca="1"/>
        <v>0</v>
      </c>
      <c r="J40" s="149">
        <f ca="1"/>
        <v>0</v>
      </c>
      <c r="K40" s="149">
        <f ca="1"/>
        <v>0</v>
      </c>
    </row>
    <row r="41" spans="2:26" x14ac:dyDescent="0.25">
      <c r="B41" s="128" t="s">
        <v>149</v>
      </c>
      <c r="C41" s="117" t="s">
        <v>201</v>
      </c>
      <c r="D41" s="157"/>
      <c r="E41" s="157"/>
      <c r="G41" s="148" t="str">
        <f ca="1"/>
        <v>EURYC_STD_FRA6M_6X12</v>
      </c>
      <c r="H41" s="149">
        <f ca="1"/>
        <v>-5.7596713304519653E-5</v>
      </c>
      <c r="I41" s="149">
        <f ca="1"/>
        <v>2.0198952406644821E-3</v>
      </c>
      <c r="J41" s="149">
        <f ca="1"/>
        <v>0</v>
      </c>
      <c r="K41" s="149">
        <f ca="1"/>
        <v>1.9622985273599625E-3</v>
      </c>
      <c r="X41" s="134" t="s">
        <v>184</v>
      </c>
    </row>
    <row r="42" spans="2:26" x14ac:dyDescent="0.25">
      <c r="B42" s="129"/>
      <c r="C42" s="126"/>
      <c r="D42" s="157"/>
      <c r="E42" s="157"/>
      <c r="G42" s="148" t="str">
        <f ca="1"/>
        <v>EURYC_STD_FRA6M_7X13</v>
      </c>
      <c r="H42" s="149">
        <f ca="1"/>
        <v>0</v>
      </c>
      <c r="I42" s="149">
        <f ca="1"/>
        <v>0</v>
      </c>
      <c r="J42" s="149">
        <f ca="1"/>
        <v>0</v>
      </c>
      <c r="K42" s="149">
        <f ca="1"/>
        <v>0</v>
      </c>
      <c r="X42" s="133" t="s">
        <v>181</v>
      </c>
      <c r="Y42" s="133" t="s">
        <v>182</v>
      </c>
      <c r="Z42" s="133" t="s">
        <v>150</v>
      </c>
    </row>
    <row r="43" spans="2:26" x14ac:dyDescent="0.25">
      <c r="G43" s="148" t="str">
        <f ca="1"/>
        <v>EURYC_STD_FRA6M_8X14</v>
      </c>
      <c r="H43" s="149">
        <f ca="1"/>
        <v>0</v>
      </c>
      <c r="I43" s="149">
        <f ca="1"/>
        <v>0</v>
      </c>
      <c r="J43" s="149">
        <f ca="1"/>
        <v>0</v>
      </c>
      <c r="K43" s="149">
        <f ca="1"/>
        <v>0</v>
      </c>
      <c r="X43" s="132">
        <v>0.45500000000000002</v>
      </c>
      <c r="Y43" s="132">
        <v>0.45200000000000001</v>
      </c>
      <c r="Z43" s="132">
        <v>0.69099999999999995</v>
      </c>
    </row>
    <row r="44" spans="2:26" x14ac:dyDescent="0.25">
      <c r="B44" s="112" t="s">
        <v>208</v>
      </c>
      <c r="G44" s="148" t="str">
        <f ca="1"/>
        <v>EURYC_STD_FRA6M_9X15</v>
      </c>
      <c r="H44" s="149">
        <f ca="1"/>
        <v>0</v>
      </c>
      <c r="I44" s="149">
        <f ca="1"/>
        <v>0</v>
      </c>
      <c r="J44" s="149">
        <f ca="1"/>
        <v>0</v>
      </c>
      <c r="K44" s="149">
        <f ca="1"/>
        <v>0</v>
      </c>
    </row>
    <row r="45" spans="2:26" x14ac:dyDescent="0.25">
      <c r="B45" s="163" t="s">
        <v>84</v>
      </c>
      <c r="G45" s="148" t="str">
        <f ca="1"/>
        <v>EURYC_STD_FRA6M_10X16</v>
      </c>
      <c r="H45" s="149">
        <f ca="1"/>
        <v>0</v>
      </c>
      <c r="I45" s="149">
        <f ca="1"/>
        <v>0</v>
      </c>
      <c r="J45" s="149">
        <f ca="1"/>
        <v>0</v>
      </c>
      <c r="K45" s="149">
        <f ca="1"/>
        <v>0</v>
      </c>
    </row>
    <row r="46" spans="2:26" x14ac:dyDescent="0.25">
      <c r="B46" s="164" t="s">
        <v>9</v>
      </c>
      <c r="G46" s="148" t="str">
        <f ca="1"/>
        <v>EURYC_STD_FRA6M_11X17</v>
      </c>
      <c r="H46" s="149">
        <f ca="1"/>
        <v>0</v>
      </c>
      <c r="I46" s="149">
        <f ca="1"/>
        <v>0</v>
      </c>
      <c r="J46" s="149">
        <f ca="1"/>
        <v>0</v>
      </c>
      <c r="K46" s="149">
        <f ca="1"/>
        <v>0</v>
      </c>
    </row>
    <row r="47" spans="2:26" x14ac:dyDescent="0.25">
      <c r="G47" s="148" t="str">
        <f ca="1"/>
        <v>EURYC_STD_FRA6M_12X18</v>
      </c>
      <c r="H47" s="145">
        <f ca="1"/>
        <v>8.78944993019104E-4</v>
      </c>
      <c r="I47" s="145">
        <f ca="1"/>
        <v>1.2071430683135986E-4</v>
      </c>
      <c r="J47" s="145">
        <f ca="1"/>
        <v>0</v>
      </c>
      <c r="K47" s="145">
        <f ca="1"/>
        <v>9.9965929985046387E-4</v>
      </c>
    </row>
    <row r="48" spans="2:26" x14ac:dyDescent="0.25">
      <c r="G48" s="148" t="str">
        <f ca="1"/>
        <v>EURYC_STD_6MLIBORSWAP_2Y</v>
      </c>
      <c r="H48" s="145">
        <f ca="1"/>
        <v>20115.244407430291</v>
      </c>
      <c r="I48" s="145">
        <f ca="1"/>
        <v>-1.0038895532488823E-2</v>
      </c>
      <c r="J48" s="145">
        <f ca="1"/>
        <v>0</v>
      </c>
      <c r="K48" s="145">
        <f ca="1"/>
        <v>20115.234368534759</v>
      </c>
    </row>
    <row r="49" spans="6:11" x14ac:dyDescent="0.25">
      <c r="G49" s="148" t="str">
        <f ca="1"/>
        <v>EURYC_STD_6MLIBORSWAP_3Y</v>
      </c>
      <c r="H49" s="145">
        <f ca="1"/>
        <v>0</v>
      </c>
      <c r="I49" s="145">
        <f ca="1"/>
        <v>30237.588910855353</v>
      </c>
      <c r="J49" s="145">
        <f ca="1"/>
        <v>0</v>
      </c>
      <c r="K49" s="145">
        <f ca="1"/>
        <v>30237.588910855353</v>
      </c>
    </row>
    <row r="50" spans="6:11" x14ac:dyDescent="0.25">
      <c r="G50" s="148" t="str">
        <f ca="1"/>
        <v>EURYC_STD_6MLIBORSWAP_4Y</v>
      </c>
      <c r="H50" s="145">
        <f ca="1"/>
        <v>0</v>
      </c>
      <c r="I50" s="145">
        <f ca="1"/>
        <v>4.9768406897783279E-3</v>
      </c>
      <c r="J50" s="145">
        <f ca="1"/>
        <v>0</v>
      </c>
      <c r="K50" s="145">
        <f ca="1"/>
        <v>4.9768406897783279E-3</v>
      </c>
    </row>
    <row r="51" spans="6:11" x14ac:dyDescent="0.25">
      <c r="G51" s="148" t="str">
        <f ca="1"/>
        <v>EURYC_STD_6MLIBORSWAP_5Y</v>
      </c>
      <c r="H51" s="145">
        <f ca="1"/>
        <v>0</v>
      </c>
      <c r="I51" s="145">
        <f ca="1"/>
        <v>-2.253800630569458E-6</v>
      </c>
      <c r="J51" s="145">
        <f ca="1"/>
        <v>0</v>
      </c>
      <c r="K51" s="145">
        <f ca="1"/>
        <v>-2.253800630569458E-6</v>
      </c>
    </row>
    <row r="52" spans="6:11" x14ac:dyDescent="0.25">
      <c r="G52" s="148" t="str">
        <f ca="1"/>
        <v>EURYC_STD_6MLIBORSWAP_6Y</v>
      </c>
      <c r="H52" s="145">
        <f ca="1"/>
        <v>0</v>
      </c>
      <c r="I52" s="145">
        <f ca="1"/>
        <v>-5.5879354476928711E-9</v>
      </c>
      <c r="J52" s="145">
        <f ca="1"/>
        <v>0</v>
      </c>
      <c r="K52" s="145">
        <f ca="1"/>
        <v>-5.5879354476928711E-9</v>
      </c>
    </row>
    <row r="53" spans="6:11" x14ac:dyDescent="0.25">
      <c r="G53" s="148" t="str">
        <f ca="1"/>
        <v>EURYC_STD_6MLIBORSWAP_7Y</v>
      </c>
      <c r="H53" s="145">
        <f ca="1"/>
        <v>0</v>
      </c>
      <c r="I53" s="145">
        <f ca="1"/>
        <v>0</v>
      </c>
      <c r="J53" s="145">
        <f ca="1"/>
        <v>0</v>
      </c>
      <c r="K53" s="145">
        <f ca="1"/>
        <v>0</v>
      </c>
    </row>
    <row r="54" spans="6:11" x14ac:dyDescent="0.25">
      <c r="G54" s="148" t="str">
        <f ca="1"/>
        <v>EURYC_STD_6MLIBORSWAP_8Y</v>
      </c>
      <c r="H54" s="145">
        <f ca="1"/>
        <v>0</v>
      </c>
      <c r="I54" s="145">
        <f ca="1"/>
        <v>0</v>
      </c>
      <c r="J54" s="145">
        <f ca="1"/>
        <v>0</v>
      </c>
      <c r="K54" s="145">
        <f ca="1"/>
        <v>0</v>
      </c>
    </row>
    <row r="55" spans="6:11" x14ac:dyDescent="0.25">
      <c r="G55" s="148" t="str">
        <f ca="1"/>
        <v>EURYC_STD_6MLIBORSWAP_9Y</v>
      </c>
      <c r="H55" s="145">
        <f ca="1"/>
        <v>0</v>
      </c>
      <c r="I55" s="145">
        <f ca="1"/>
        <v>0</v>
      </c>
      <c r="J55" s="145">
        <f ca="1"/>
        <v>0</v>
      </c>
      <c r="K55" s="145">
        <f ca="1"/>
        <v>0</v>
      </c>
    </row>
    <row r="56" spans="6:11" x14ac:dyDescent="0.25">
      <c r="G56" s="148" t="str">
        <f ca="1"/>
        <v>EURYC_STD_6MLIBORSWAP_10Y</v>
      </c>
      <c r="H56" s="145">
        <f ca="1"/>
        <v>0</v>
      </c>
      <c r="I56" s="145">
        <f ca="1"/>
        <v>0</v>
      </c>
      <c r="J56" s="145">
        <f ca="1"/>
        <v>0</v>
      </c>
      <c r="K56" s="145">
        <f ca="1"/>
        <v>0</v>
      </c>
    </row>
    <row r="57" spans="6:11" x14ac:dyDescent="0.25">
      <c r="G57" s="148" t="e">
        <f ca="1"/>
        <v>#N/A</v>
      </c>
      <c r="H57" s="145" t="e">
        <f ca="1"/>
        <v>#N/A</v>
      </c>
      <c r="I57" s="145" t="e">
        <f ca="1"/>
        <v>#N/A</v>
      </c>
      <c r="J57" s="145" t="e">
        <f ca="1"/>
        <v>#N/A</v>
      </c>
      <c r="K57" s="145" t="e">
        <f ca="1"/>
        <v>#N/A</v>
      </c>
    </row>
    <row r="58" spans="6:11" x14ac:dyDescent="0.25">
      <c r="G58" s="148" t="e">
        <f ca="1"/>
        <v>#N/A</v>
      </c>
      <c r="H58" s="145" t="e">
        <f ca="1"/>
        <v>#N/A</v>
      </c>
      <c r="I58" s="145" t="e">
        <f ca="1"/>
        <v>#N/A</v>
      </c>
      <c r="J58" s="145" t="e">
        <f ca="1"/>
        <v>#N/A</v>
      </c>
      <c r="K58" s="145" t="e">
        <f ca="1"/>
        <v>#N/A</v>
      </c>
    </row>
    <row r="59" spans="6:11" x14ac:dyDescent="0.25">
      <c r="F59" s="139"/>
      <c r="G59" s="148" t="e">
        <f ca="1"/>
        <v>#N/A</v>
      </c>
      <c r="H59" s="145" t="e">
        <f ca="1"/>
        <v>#N/A</v>
      </c>
      <c r="I59" s="145" t="e">
        <f ca="1"/>
        <v>#N/A</v>
      </c>
      <c r="J59" s="145" t="e">
        <f ca="1"/>
        <v>#N/A</v>
      </c>
      <c r="K59" s="145" t="e">
        <f ca="1"/>
        <v>#N/A</v>
      </c>
    </row>
    <row r="60" spans="6:11" x14ac:dyDescent="0.25">
      <c r="F60" s="139"/>
      <c r="G60" s="148" t="e">
        <f ca="1"/>
        <v>#N/A</v>
      </c>
      <c r="H60" s="145" t="e">
        <f ca="1"/>
        <v>#N/A</v>
      </c>
      <c r="I60" s="145" t="e">
        <f ca="1"/>
        <v>#N/A</v>
      </c>
      <c r="J60" s="145" t="e">
        <f ca="1"/>
        <v>#N/A</v>
      </c>
      <c r="K60" s="145" t="e">
        <f ca="1"/>
        <v>#N/A</v>
      </c>
    </row>
    <row r="61" spans="6:11" x14ac:dyDescent="0.25">
      <c r="F61" s="139"/>
      <c r="G61" s="148" t="e">
        <f ca="1"/>
        <v>#N/A</v>
      </c>
      <c r="H61" s="145" t="e">
        <f ca="1"/>
        <v>#N/A</v>
      </c>
      <c r="I61" s="145" t="e">
        <f ca="1"/>
        <v>#N/A</v>
      </c>
      <c r="J61" s="145" t="e">
        <f ca="1"/>
        <v>#N/A</v>
      </c>
      <c r="K61" s="145" t="e">
        <f ca="1"/>
        <v>#N/A</v>
      </c>
    </row>
    <row r="62" spans="6:11" x14ac:dyDescent="0.25">
      <c r="F62" s="139"/>
      <c r="G62" s="148" t="e">
        <f ca="1"/>
        <v>#N/A</v>
      </c>
      <c r="H62" s="145" t="e">
        <f ca="1"/>
        <v>#N/A</v>
      </c>
      <c r="I62" s="145" t="e">
        <f ca="1"/>
        <v>#N/A</v>
      </c>
      <c r="J62" s="145" t="e">
        <f ca="1"/>
        <v>#N/A</v>
      </c>
      <c r="K62" s="145" t="e">
        <f ca="1"/>
        <v>#N/A</v>
      </c>
    </row>
    <row r="63" spans="6:11" x14ac:dyDescent="0.25">
      <c r="F63" s="139"/>
      <c r="G63" s="148" t="e">
        <f ca="1"/>
        <v>#N/A</v>
      </c>
      <c r="H63" s="145" t="e">
        <f ca="1"/>
        <v>#N/A</v>
      </c>
      <c r="I63" s="145" t="e">
        <f ca="1"/>
        <v>#N/A</v>
      </c>
      <c r="J63" s="145" t="e">
        <f ca="1"/>
        <v>#N/A</v>
      </c>
      <c r="K63" s="145" t="e">
        <f ca="1"/>
        <v>#N/A</v>
      </c>
    </row>
    <row r="64" spans="6:11" x14ac:dyDescent="0.25">
      <c r="F64" s="139"/>
      <c r="G64" s="148" t="e">
        <f ca="1"/>
        <v>#N/A</v>
      </c>
      <c r="H64" s="145" t="e">
        <f ca="1"/>
        <v>#N/A</v>
      </c>
      <c r="I64" s="145" t="e">
        <f ca="1"/>
        <v>#N/A</v>
      </c>
      <c r="J64" s="145" t="e">
        <f ca="1"/>
        <v>#N/A</v>
      </c>
      <c r="K64" s="145" t="e">
        <f ca="1"/>
        <v>#N/A</v>
      </c>
    </row>
    <row r="65" spans="6:11" x14ac:dyDescent="0.25">
      <c r="F65" s="139"/>
      <c r="G65" s="148" t="e">
        <f ca="1"/>
        <v>#N/A</v>
      </c>
      <c r="H65" s="145" t="e">
        <f ca="1"/>
        <v>#N/A</v>
      </c>
      <c r="I65" s="145" t="e">
        <f ca="1"/>
        <v>#N/A</v>
      </c>
      <c r="J65" s="145" t="e">
        <f ca="1"/>
        <v>#N/A</v>
      </c>
      <c r="K65" s="145" t="e">
        <f ca="1"/>
        <v>#N/A</v>
      </c>
    </row>
    <row r="66" spans="6:11" x14ac:dyDescent="0.25">
      <c r="F66" s="139"/>
      <c r="G66" s="148" t="e">
        <f ca="1"/>
        <v>#N/A</v>
      </c>
      <c r="H66" s="145" t="e">
        <f ca="1"/>
        <v>#N/A</v>
      </c>
      <c r="I66" s="145" t="e">
        <f ca="1"/>
        <v>#N/A</v>
      </c>
      <c r="J66" s="145" t="e">
        <f ca="1"/>
        <v>#N/A</v>
      </c>
      <c r="K66" s="145" t="e">
        <f ca="1"/>
        <v>#N/A</v>
      </c>
    </row>
    <row r="67" spans="6:11" x14ac:dyDescent="0.25">
      <c r="F67" s="139"/>
      <c r="G67" s="148" t="e">
        <f ca="1"/>
        <v>#N/A</v>
      </c>
      <c r="H67" s="145" t="e">
        <f ca="1"/>
        <v>#N/A</v>
      </c>
      <c r="I67" s="145" t="e">
        <f ca="1"/>
        <v>#N/A</v>
      </c>
      <c r="J67" s="145" t="e">
        <f ca="1"/>
        <v>#N/A</v>
      </c>
      <c r="K67" s="145" t="e">
        <f ca="1"/>
        <v>#N/A</v>
      </c>
    </row>
    <row r="68" spans="6:11" x14ac:dyDescent="0.25">
      <c r="F68" s="139"/>
      <c r="G68" s="148" t="e">
        <f ca="1"/>
        <v>#N/A</v>
      </c>
      <c r="H68" s="145" t="e">
        <f ca="1"/>
        <v>#N/A</v>
      </c>
      <c r="I68" s="145" t="e">
        <f ca="1"/>
        <v>#N/A</v>
      </c>
      <c r="J68" s="145" t="e">
        <f ca="1"/>
        <v>#N/A</v>
      </c>
      <c r="K68" s="145" t="e">
        <f ca="1"/>
        <v>#N/A</v>
      </c>
    </row>
    <row r="69" spans="6:11" x14ac:dyDescent="0.25">
      <c r="F69" s="139"/>
      <c r="G69" s="148" t="e">
        <f ca="1"/>
        <v>#N/A</v>
      </c>
      <c r="H69" s="145" t="e">
        <f ca="1"/>
        <v>#N/A</v>
      </c>
      <c r="I69" s="145" t="e">
        <f ca="1"/>
        <v>#N/A</v>
      </c>
      <c r="J69" s="145" t="e">
        <f ca="1"/>
        <v>#N/A</v>
      </c>
      <c r="K69" s="145" t="e">
        <f ca="1"/>
        <v>#N/A</v>
      </c>
    </row>
    <row r="70" spans="6:11" x14ac:dyDescent="0.25">
      <c r="F70" s="139"/>
      <c r="G70" s="148" t="e">
        <f ca="1"/>
        <v>#N/A</v>
      </c>
      <c r="H70" s="145" t="e">
        <f ca="1"/>
        <v>#N/A</v>
      </c>
      <c r="I70" s="145" t="e">
        <f ca="1"/>
        <v>#N/A</v>
      </c>
      <c r="J70" s="145" t="e">
        <f ca="1"/>
        <v>#N/A</v>
      </c>
      <c r="K70" s="145" t="e">
        <f ca="1"/>
        <v>#N/A</v>
      </c>
    </row>
    <row r="71" spans="6:11" x14ac:dyDescent="0.25">
      <c r="F71" s="152"/>
      <c r="G71" s="148" t="e">
        <f ca="1"/>
        <v>#N/A</v>
      </c>
      <c r="H71" s="145" t="e">
        <f ca="1"/>
        <v>#N/A</v>
      </c>
      <c r="I71" s="145" t="e">
        <f ca="1"/>
        <v>#N/A</v>
      </c>
      <c r="J71" s="145" t="e">
        <f ca="1"/>
        <v>#N/A</v>
      </c>
      <c r="K71" s="145" t="e">
        <f ca="1"/>
        <v>#N/A</v>
      </c>
    </row>
    <row r="72" spans="6:11" x14ac:dyDescent="0.25">
      <c r="F72" s="152"/>
      <c r="G72" s="148" t="e">
        <f ca="1"/>
        <v>#N/A</v>
      </c>
      <c r="H72" s="145" t="e">
        <f ca="1"/>
        <v>#N/A</v>
      </c>
      <c r="I72" s="145" t="e">
        <f ca="1"/>
        <v>#N/A</v>
      </c>
      <c r="J72" s="145" t="e">
        <f ca="1"/>
        <v>#N/A</v>
      </c>
      <c r="K72" s="145" t="e">
        <f ca="1"/>
        <v>#N/A</v>
      </c>
    </row>
    <row r="73" spans="6:11" x14ac:dyDescent="0.25">
      <c r="F73" s="152"/>
      <c r="G73" s="148" t="e">
        <f ca="1"/>
        <v>#N/A</v>
      </c>
      <c r="H73" s="145" t="e">
        <f ca="1"/>
        <v>#N/A</v>
      </c>
      <c r="I73" s="145" t="e">
        <f ca="1"/>
        <v>#N/A</v>
      </c>
      <c r="J73" s="145" t="e">
        <f ca="1"/>
        <v>#N/A</v>
      </c>
      <c r="K73" s="145" t="e">
        <f ca="1"/>
        <v>#N/A</v>
      </c>
    </row>
    <row r="74" spans="6:11" x14ac:dyDescent="0.25">
      <c r="F74" s="152"/>
      <c r="G74" s="148" t="e">
        <f ca="1"/>
        <v>#N/A</v>
      </c>
      <c r="H74" s="145" t="e">
        <f ca="1"/>
        <v>#N/A</v>
      </c>
      <c r="I74" s="145" t="e">
        <f ca="1"/>
        <v>#N/A</v>
      </c>
      <c r="J74" s="145" t="e">
        <f ca="1"/>
        <v>#N/A</v>
      </c>
      <c r="K74" s="145" t="e">
        <f ca="1"/>
        <v>#N/A</v>
      </c>
    </row>
    <row r="75" spans="6:11" x14ac:dyDescent="0.25">
      <c r="F75" s="139"/>
      <c r="G75" s="148" t="e">
        <f ca="1"/>
        <v>#N/A</v>
      </c>
      <c r="H75" s="145" t="e">
        <f ca="1"/>
        <v>#N/A</v>
      </c>
      <c r="I75" s="145" t="e">
        <f ca="1"/>
        <v>#N/A</v>
      </c>
      <c r="J75" s="145" t="e">
        <f ca="1"/>
        <v>#N/A</v>
      </c>
      <c r="K75" s="145" t="e">
        <f ca="1"/>
        <v>#N/A</v>
      </c>
    </row>
    <row r="76" spans="6:11" x14ac:dyDescent="0.25">
      <c r="F76" s="139"/>
      <c r="G76" s="148" t="e">
        <f ca="1"/>
        <v>#N/A</v>
      </c>
      <c r="H76" s="145" t="e">
        <f ca="1"/>
        <v>#N/A</v>
      </c>
      <c r="I76" s="145" t="e">
        <f ca="1"/>
        <v>#N/A</v>
      </c>
      <c r="J76" s="145" t="e">
        <f ca="1"/>
        <v>#N/A</v>
      </c>
      <c r="K76" s="145" t="e">
        <f ca="1"/>
        <v>#N/A</v>
      </c>
    </row>
    <row r="77" spans="6:11" x14ac:dyDescent="0.25">
      <c r="F77" s="139"/>
      <c r="G77" s="148" t="e">
        <f ca="1"/>
        <v>#N/A</v>
      </c>
      <c r="H77" s="145" t="e">
        <f ca="1"/>
        <v>#N/A</v>
      </c>
      <c r="I77" s="145" t="e">
        <f ca="1"/>
        <v>#N/A</v>
      </c>
      <c r="J77" s="145" t="e">
        <f ca="1"/>
        <v>#N/A</v>
      </c>
      <c r="K77" s="145" t="e">
        <f ca="1"/>
        <v>#N/A</v>
      </c>
    </row>
    <row r="78" spans="6:11" x14ac:dyDescent="0.25">
      <c r="F78" s="139"/>
      <c r="G78" s="148" t="e">
        <f ca="1"/>
        <v>#N/A</v>
      </c>
      <c r="H78" s="145" t="e">
        <f ca="1"/>
        <v>#N/A</v>
      </c>
      <c r="I78" s="145" t="e">
        <f ca="1"/>
        <v>#N/A</v>
      </c>
      <c r="J78" s="145" t="e">
        <f ca="1"/>
        <v>#N/A</v>
      </c>
      <c r="K78" s="145" t="e">
        <f ca="1"/>
        <v>#N/A</v>
      </c>
    </row>
    <row r="79" spans="6:11" x14ac:dyDescent="0.25">
      <c r="F79" s="139"/>
      <c r="G79" s="148" t="e">
        <f ca="1"/>
        <v>#N/A</v>
      </c>
      <c r="H79" s="145" t="e">
        <f ca="1"/>
        <v>#N/A</v>
      </c>
      <c r="I79" s="145" t="e">
        <f ca="1"/>
        <v>#N/A</v>
      </c>
      <c r="J79" s="145" t="e">
        <f ca="1"/>
        <v>#N/A</v>
      </c>
      <c r="K79" s="145" t="e">
        <f ca="1"/>
        <v>#N/A</v>
      </c>
    </row>
    <row r="80" spans="6:11" x14ac:dyDescent="0.25">
      <c r="F80" s="139"/>
      <c r="G80" s="148" t="e">
        <f ca="1"/>
        <v>#N/A</v>
      </c>
      <c r="H80" s="145" t="e">
        <f ca="1"/>
        <v>#N/A</v>
      </c>
      <c r="I80" s="145" t="e">
        <f ca="1"/>
        <v>#N/A</v>
      </c>
      <c r="J80" s="145" t="e">
        <f ca="1"/>
        <v>#N/A</v>
      </c>
      <c r="K80" s="145" t="e">
        <f ca="1"/>
        <v>#N/A</v>
      </c>
    </row>
    <row r="81" spans="1:11" x14ac:dyDescent="0.25">
      <c r="F81" s="139"/>
      <c r="G81" s="148" t="e">
        <f ca="1"/>
        <v>#N/A</v>
      </c>
      <c r="H81" s="145" t="e">
        <f ca="1"/>
        <v>#N/A</v>
      </c>
      <c r="I81" s="145" t="e">
        <f ca="1"/>
        <v>#N/A</v>
      </c>
      <c r="J81" s="145" t="e">
        <f ca="1"/>
        <v>#N/A</v>
      </c>
      <c r="K81" s="145" t="e">
        <f ca="1"/>
        <v>#N/A</v>
      </c>
    </row>
    <row r="82" spans="1:11" x14ac:dyDescent="0.25">
      <c r="F82" s="139"/>
      <c r="G82" s="148" t="e">
        <f ca="1"/>
        <v>#N/A</v>
      </c>
      <c r="H82" s="145" t="e">
        <f ca="1"/>
        <v>#N/A</v>
      </c>
      <c r="I82" s="145" t="e">
        <f ca="1"/>
        <v>#N/A</v>
      </c>
      <c r="J82" s="145" t="e">
        <f ca="1"/>
        <v>#N/A</v>
      </c>
      <c r="K82" s="145" t="e">
        <f ca="1"/>
        <v>#N/A</v>
      </c>
    </row>
    <row r="83" spans="1:11" x14ac:dyDescent="0.25">
      <c r="F83" s="139"/>
      <c r="G83" s="148" t="e">
        <f ca="1"/>
        <v>#N/A</v>
      </c>
      <c r="H83" s="145" t="e">
        <f ca="1"/>
        <v>#N/A</v>
      </c>
      <c r="I83" s="145" t="e">
        <f ca="1"/>
        <v>#N/A</v>
      </c>
      <c r="J83" s="145" t="e">
        <f ca="1"/>
        <v>#N/A</v>
      </c>
      <c r="K83" s="145" t="e">
        <f ca="1"/>
        <v>#N/A</v>
      </c>
    </row>
    <row r="84" spans="1:11" x14ac:dyDescent="0.25">
      <c r="F84" s="139"/>
      <c r="G84" s="148" t="e">
        <f ca="1"/>
        <v>#N/A</v>
      </c>
      <c r="H84" s="145" t="e">
        <f ca="1"/>
        <v>#N/A</v>
      </c>
      <c r="I84" s="145" t="e">
        <f ca="1"/>
        <v>#N/A</v>
      </c>
      <c r="J84" s="145" t="e">
        <f ca="1"/>
        <v>#N/A</v>
      </c>
      <c r="K84" s="145" t="e">
        <f ca="1"/>
        <v>#N/A</v>
      </c>
    </row>
    <row r="85" spans="1:11" x14ac:dyDescent="0.25">
      <c r="F85" s="139"/>
      <c r="G85" s="148" t="e">
        <f ca="1"/>
        <v>#N/A</v>
      </c>
      <c r="H85" s="145" t="e">
        <f ca="1"/>
        <v>#N/A</v>
      </c>
      <c r="I85" s="145" t="e">
        <f ca="1"/>
        <v>#N/A</v>
      </c>
      <c r="J85" s="145" t="e">
        <f ca="1"/>
        <v>#N/A</v>
      </c>
      <c r="K85" s="145" t="e">
        <f ca="1"/>
        <v>#N/A</v>
      </c>
    </row>
    <row r="86" spans="1:11" x14ac:dyDescent="0.25">
      <c r="A86" s="135"/>
      <c r="F86" s="139"/>
      <c r="G86" s="148" t="e">
        <f ca="1"/>
        <v>#N/A</v>
      </c>
      <c r="H86" s="145" t="e">
        <f ca="1"/>
        <v>#N/A</v>
      </c>
      <c r="I86" s="145" t="e">
        <f ca="1"/>
        <v>#N/A</v>
      </c>
      <c r="J86" s="145" t="e">
        <f ca="1"/>
        <v>#N/A</v>
      </c>
      <c r="K86" s="145" t="e">
        <f ca="1"/>
        <v>#N/A</v>
      </c>
    </row>
    <row r="87" spans="1:11" x14ac:dyDescent="0.25">
      <c r="A87" s="135"/>
      <c r="F87" s="139"/>
      <c r="G87" s="148" t="e">
        <f ca="1"/>
        <v>#N/A</v>
      </c>
      <c r="H87" s="145" t="e">
        <f ca="1"/>
        <v>#N/A</v>
      </c>
      <c r="I87" s="145" t="e">
        <f ca="1"/>
        <v>#N/A</v>
      </c>
      <c r="J87" s="145" t="e">
        <f ca="1"/>
        <v>#N/A</v>
      </c>
      <c r="K87" s="145" t="e">
        <f ca="1"/>
        <v>#N/A</v>
      </c>
    </row>
    <row r="88" spans="1:11" x14ac:dyDescent="0.25">
      <c r="A88" s="135"/>
      <c r="F88" s="139"/>
      <c r="G88" s="148" t="e">
        <f ca="1"/>
        <v>#N/A</v>
      </c>
      <c r="H88" s="145" t="e">
        <f ca="1"/>
        <v>#N/A</v>
      </c>
      <c r="I88" s="145" t="e">
        <f ca="1"/>
        <v>#N/A</v>
      </c>
      <c r="J88" s="145" t="e">
        <f ca="1"/>
        <v>#N/A</v>
      </c>
      <c r="K88" s="145" t="e">
        <f ca="1"/>
        <v>#N/A</v>
      </c>
    </row>
    <row r="89" spans="1:11" x14ac:dyDescent="0.25">
      <c r="A89" s="135"/>
      <c r="F89" s="139"/>
      <c r="G89" s="148" t="e">
        <f ca="1"/>
        <v>#N/A</v>
      </c>
      <c r="H89" s="145" t="e">
        <f ca="1"/>
        <v>#N/A</v>
      </c>
      <c r="I89" s="145" t="e">
        <f ca="1"/>
        <v>#N/A</v>
      </c>
      <c r="J89" s="145" t="e">
        <f ca="1"/>
        <v>#N/A</v>
      </c>
      <c r="K89" s="145" t="e">
        <f ca="1"/>
        <v>#N/A</v>
      </c>
    </row>
    <row r="90" spans="1:11" x14ac:dyDescent="0.25">
      <c r="A90" s="135"/>
      <c r="F90" s="139"/>
      <c r="G90" s="148" t="e">
        <f ca="1"/>
        <v>#N/A</v>
      </c>
      <c r="H90" s="145" t="e">
        <f ca="1"/>
        <v>#N/A</v>
      </c>
      <c r="I90" s="145" t="e">
        <f ca="1"/>
        <v>#N/A</v>
      </c>
      <c r="J90" s="145" t="e">
        <f ca="1"/>
        <v>#N/A</v>
      </c>
      <c r="K90" s="145" t="e">
        <f ca="1"/>
        <v>#N/A</v>
      </c>
    </row>
    <row r="91" spans="1:11" x14ac:dyDescent="0.25">
      <c r="A91" s="135"/>
      <c r="F91" s="139"/>
      <c r="G91" s="148" t="e">
        <f ca="1"/>
        <v>#N/A</v>
      </c>
      <c r="H91" s="145" t="e">
        <f ca="1"/>
        <v>#N/A</v>
      </c>
      <c r="I91" s="145" t="e">
        <f ca="1"/>
        <v>#N/A</v>
      </c>
      <c r="J91" s="145" t="e">
        <f ca="1"/>
        <v>#N/A</v>
      </c>
      <c r="K91" s="145" t="e">
        <f ca="1"/>
        <v>#N/A</v>
      </c>
    </row>
    <row r="92" spans="1:11" x14ac:dyDescent="0.25">
      <c r="A92" s="135"/>
      <c r="F92" s="139"/>
      <c r="G92" s="148" t="e">
        <f ca="1"/>
        <v>#N/A</v>
      </c>
      <c r="H92" s="145" t="e">
        <f ca="1"/>
        <v>#N/A</v>
      </c>
      <c r="I92" s="145" t="e">
        <f ca="1"/>
        <v>#N/A</v>
      </c>
      <c r="J92" s="145" t="e">
        <f ca="1"/>
        <v>#N/A</v>
      </c>
      <c r="K92" s="145" t="e">
        <f ca="1"/>
        <v>#N/A</v>
      </c>
    </row>
    <row r="93" spans="1:11" x14ac:dyDescent="0.25">
      <c r="A93" s="135"/>
      <c r="F93" s="139"/>
      <c r="G93" s="144" t="e">
        <f ca="1"/>
        <v>#N/A</v>
      </c>
      <c r="H93" s="145" t="e">
        <f ca="1"/>
        <v>#N/A</v>
      </c>
      <c r="I93" s="145" t="e">
        <f ca="1"/>
        <v>#N/A</v>
      </c>
      <c r="J93" s="145" t="e">
        <f ca="1"/>
        <v>#N/A</v>
      </c>
      <c r="K93" s="145" t="e">
        <f ca="1"/>
        <v>#N/A</v>
      </c>
    </row>
    <row r="94" spans="1:11" x14ac:dyDescent="0.25">
      <c r="A94" s="135"/>
      <c r="F94" s="139"/>
      <c r="G94" s="144" t="e">
        <f ca="1"/>
        <v>#N/A</v>
      </c>
      <c r="H94" s="145" t="e">
        <f ca="1"/>
        <v>#N/A</v>
      </c>
      <c r="I94" s="145" t="e">
        <f ca="1"/>
        <v>#N/A</v>
      </c>
      <c r="J94" s="145" t="e">
        <f ca="1"/>
        <v>#N/A</v>
      </c>
      <c r="K94" s="145" t="e">
        <f ca="1"/>
        <v>#N/A</v>
      </c>
    </row>
    <row r="95" spans="1:11" x14ac:dyDescent="0.25">
      <c r="A95" s="151"/>
      <c r="F95" s="150"/>
      <c r="G95" s="144" t="e">
        <f ca="1"/>
        <v>#N/A</v>
      </c>
      <c r="H95" s="145" t="e">
        <f ca="1"/>
        <v>#N/A</v>
      </c>
      <c r="I95" s="145" t="e">
        <f ca="1"/>
        <v>#N/A</v>
      </c>
      <c r="J95" s="145" t="e">
        <f ca="1"/>
        <v>#N/A</v>
      </c>
      <c r="K95" s="145" t="e">
        <f ca="1"/>
        <v>#N/A</v>
      </c>
    </row>
    <row r="96" spans="1:11" x14ac:dyDescent="0.25">
      <c r="A96" s="151"/>
      <c r="F96" s="150"/>
      <c r="G96" s="144" t="e">
        <f ca="1"/>
        <v>#N/A</v>
      </c>
      <c r="H96" s="145" t="e">
        <f ca="1"/>
        <v>#N/A</v>
      </c>
      <c r="I96" s="145" t="e">
        <f ca="1"/>
        <v>#N/A</v>
      </c>
      <c r="J96" s="145" t="e">
        <f ca="1"/>
        <v>#N/A</v>
      </c>
      <c r="K96" s="145" t="e">
        <f ca="1"/>
        <v>#N/A</v>
      </c>
    </row>
    <row r="97" spans="1:11" x14ac:dyDescent="0.25">
      <c r="A97" s="151"/>
      <c r="F97" s="150"/>
      <c r="G97" s="144" t="e">
        <f ca="1"/>
        <v>#N/A</v>
      </c>
      <c r="H97" s="145" t="e">
        <f ca="1"/>
        <v>#N/A</v>
      </c>
      <c r="I97" s="145" t="e">
        <f ca="1"/>
        <v>#N/A</v>
      </c>
      <c r="J97" s="145" t="e">
        <f ca="1"/>
        <v>#N/A</v>
      </c>
      <c r="K97" s="145" t="e">
        <f ca="1"/>
        <v>#N/A</v>
      </c>
    </row>
    <row r="98" spans="1:11" x14ac:dyDescent="0.25">
      <c r="A98" s="151"/>
      <c r="F98" s="150"/>
      <c r="G98" s="144" t="e">
        <f ca="1"/>
        <v>#N/A</v>
      </c>
      <c r="H98" s="145" t="e">
        <f ca="1"/>
        <v>#N/A</v>
      </c>
      <c r="I98" s="145" t="e">
        <f ca="1"/>
        <v>#N/A</v>
      </c>
      <c r="J98" s="145" t="e">
        <f ca="1"/>
        <v>#N/A</v>
      </c>
      <c r="K98" s="145" t="e">
        <f ca="1"/>
        <v>#N/A</v>
      </c>
    </row>
    <row r="99" spans="1:11" x14ac:dyDescent="0.25">
      <c r="A99" s="151"/>
      <c r="F99" s="150"/>
      <c r="G99" s="144" t="e">
        <f ca="1"/>
        <v>#N/A</v>
      </c>
      <c r="H99" s="145" t="e">
        <f ca="1"/>
        <v>#N/A</v>
      </c>
      <c r="I99" s="145" t="e">
        <f ca="1"/>
        <v>#N/A</v>
      </c>
      <c r="J99" s="145" t="e">
        <f ca="1"/>
        <v>#N/A</v>
      </c>
      <c r="K99" s="145" t="e">
        <f ca="1"/>
        <v>#N/A</v>
      </c>
    </row>
    <row r="100" spans="1:11" x14ac:dyDescent="0.25">
      <c r="A100" s="151"/>
      <c r="F100" s="150"/>
      <c r="G100" s="144" t="e">
        <f ca="1"/>
        <v>#N/A</v>
      </c>
      <c r="H100" s="145" t="e">
        <f ca="1"/>
        <v>#N/A</v>
      </c>
      <c r="I100" s="145" t="e">
        <f ca="1"/>
        <v>#N/A</v>
      </c>
      <c r="J100" s="145" t="e">
        <f ca="1"/>
        <v>#N/A</v>
      </c>
      <c r="K100" s="145" t="e">
        <f ca="1"/>
        <v>#N/A</v>
      </c>
    </row>
    <row r="101" spans="1:11" x14ac:dyDescent="0.25">
      <c r="A101" s="151"/>
      <c r="F101" s="150"/>
      <c r="G101" s="144" t="e">
        <f ca="1"/>
        <v>#N/A</v>
      </c>
      <c r="H101" s="145" t="e">
        <f ca="1"/>
        <v>#N/A</v>
      </c>
      <c r="I101" s="145" t="e">
        <f ca="1"/>
        <v>#N/A</v>
      </c>
      <c r="J101" s="145" t="e">
        <f ca="1"/>
        <v>#N/A</v>
      </c>
      <c r="K101" s="145" t="e">
        <f ca="1"/>
        <v>#N/A</v>
      </c>
    </row>
    <row r="102" spans="1:11" x14ac:dyDescent="0.25">
      <c r="A102" s="151"/>
      <c r="F102" s="150"/>
      <c r="G102" s="144" t="e">
        <f ca="1"/>
        <v>#N/A</v>
      </c>
      <c r="H102" s="145" t="e">
        <f ca="1"/>
        <v>#N/A</v>
      </c>
      <c r="I102" s="145" t="e">
        <f ca="1"/>
        <v>#N/A</v>
      </c>
      <c r="J102" s="145" t="e">
        <f ca="1"/>
        <v>#N/A</v>
      </c>
      <c r="K102" s="145" t="e">
        <f ca="1"/>
        <v>#N/A</v>
      </c>
    </row>
    <row r="103" spans="1:11" x14ac:dyDescent="0.25">
      <c r="A103" s="151"/>
      <c r="F103" s="150"/>
      <c r="G103" s="144" t="e">
        <f ca="1"/>
        <v>#N/A</v>
      </c>
      <c r="H103" s="145" t="e">
        <f ca="1"/>
        <v>#N/A</v>
      </c>
      <c r="I103" s="145" t="e">
        <f ca="1"/>
        <v>#N/A</v>
      </c>
      <c r="J103" s="145" t="e">
        <f ca="1"/>
        <v>#N/A</v>
      </c>
      <c r="K103" s="145" t="e">
        <f ca="1"/>
        <v>#N/A</v>
      </c>
    </row>
    <row r="104" spans="1:11" x14ac:dyDescent="0.25">
      <c r="A104" s="151"/>
      <c r="F104" s="150"/>
      <c r="G104" s="144" t="e">
        <f ca="1"/>
        <v>#N/A</v>
      </c>
      <c r="H104" s="145" t="e">
        <f ca="1"/>
        <v>#N/A</v>
      </c>
      <c r="I104" s="145" t="e">
        <f ca="1"/>
        <v>#N/A</v>
      </c>
      <c r="J104" s="145" t="e">
        <f ca="1"/>
        <v>#N/A</v>
      </c>
      <c r="K104" s="145" t="e">
        <f ca="1"/>
        <v>#N/A</v>
      </c>
    </row>
    <row r="105" spans="1:11" x14ac:dyDescent="0.25">
      <c r="A105" s="151"/>
      <c r="F105" s="150"/>
      <c r="G105" s="144" t="e">
        <f ca="1"/>
        <v>#N/A</v>
      </c>
      <c r="H105" s="145" t="e">
        <f ca="1"/>
        <v>#N/A</v>
      </c>
      <c r="I105" s="145" t="e">
        <f ca="1"/>
        <v>#N/A</v>
      </c>
      <c r="J105" s="145" t="e">
        <f ca="1"/>
        <v>#N/A</v>
      </c>
      <c r="K105" s="145" t="e">
        <f ca="1"/>
        <v>#N/A</v>
      </c>
    </row>
    <row r="106" spans="1:11" x14ac:dyDescent="0.25">
      <c r="A106" s="151"/>
      <c r="F106" s="150"/>
      <c r="G106" s="144" t="e">
        <f ca="1"/>
        <v>#N/A</v>
      </c>
      <c r="H106" s="145" t="e">
        <f ca="1"/>
        <v>#N/A</v>
      </c>
      <c r="I106" s="145" t="e">
        <f ca="1"/>
        <v>#N/A</v>
      </c>
      <c r="J106" s="145" t="e">
        <f ca="1"/>
        <v>#N/A</v>
      </c>
      <c r="K106" s="145" t="e">
        <f ca="1"/>
        <v>#N/A</v>
      </c>
    </row>
    <row r="107" spans="1:11" x14ac:dyDescent="0.25">
      <c r="A107" s="151"/>
      <c r="F107" s="150"/>
      <c r="G107" s="144" t="e">
        <f ca="1"/>
        <v>#N/A</v>
      </c>
      <c r="H107" s="145" t="e">
        <f ca="1"/>
        <v>#N/A</v>
      </c>
      <c r="I107" s="145" t="e">
        <f ca="1"/>
        <v>#N/A</v>
      </c>
      <c r="J107" s="145" t="e">
        <f ca="1"/>
        <v>#N/A</v>
      </c>
      <c r="K107" s="145" t="e">
        <f ca="1"/>
        <v>#N/A</v>
      </c>
    </row>
    <row r="108" spans="1:11" x14ac:dyDescent="0.25">
      <c r="A108" s="151"/>
      <c r="F108" s="150"/>
      <c r="G108" s="144" t="e">
        <f ca="1"/>
        <v>#N/A</v>
      </c>
      <c r="H108" s="145" t="e">
        <f ca="1"/>
        <v>#N/A</v>
      </c>
      <c r="I108" s="145" t="e">
        <f ca="1"/>
        <v>#N/A</v>
      </c>
      <c r="J108" s="145" t="e">
        <f ca="1"/>
        <v>#N/A</v>
      </c>
      <c r="K108" s="145" t="e">
        <f ca="1"/>
        <v>#N/A</v>
      </c>
    </row>
    <row r="109" spans="1:11" x14ac:dyDescent="0.25">
      <c r="A109" s="151"/>
      <c r="F109" s="150"/>
      <c r="G109" s="144" t="e">
        <f ca="1"/>
        <v>#N/A</v>
      </c>
      <c r="H109" s="145" t="e">
        <f ca="1"/>
        <v>#N/A</v>
      </c>
      <c r="I109" s="145" t="e">
        <f ca="1"/>
        <v>#N/A</v>
      </c>
      <c r="J109" s="145" t="e">
        <f ca="1"/>
        <v>#N/A</v>
      </c>
      <c r="K109" s="145" t="e">
        <f ca="1"/>
        <v>#N/A</v>
      </c>
    </row>
    <row r="110" spans="1:11" x14ac:dyDescent="0.25">
      <c r="A110" s="151"/>
      <c r="F110" s="150"/>
      <c r="G110" s="144" t="e">
        <f ca="1"/>
        <v>#N/A</v>
      </c>
      <c r="H110" s="145" t="e">
        <f ca="1"/>
        <v>#N/A</v>
      </c>
      <c r="I110" s="145" t="e">
        <f ca="1"/>
        <v>#N/A</v>
      </c>
      <c r="J110" s="145" t="e">
        <f ca="1"/>
        <v>#N/A</v>
      </c>
      <c r="K110" s="145" t="e">
        <f ca="1"/>
        <v>#N/A</v>
      </c>
    </row>
    <row r="111" spans="1:11" x14ac:dyDescent="0.25">
      <c r="A111" s="151"/>
      <c r="F111" s="150"/>
      <c r="G111" s="144" t="e">
        <f ca="1"/>
        <v>#N/A</v>
      </c>
      <c r="H111" s="145" t="e">
        <f ca="1"/>
        <v>#N/A</v>
      </c>
      <c r="I111" s="145" t="e">
        <f ca="1"/>
        <v>#N/A</v>
      </c>
      <c r="J111" s="145" t="e">
        <f ca="1"/>
        <v>#N/A</v>
      </c>
      <c r="K111" s="145" t="e">
        <f ca="1"/>
        <v>#N/A</v>
      </c>
    </row>
    <row r="112" spans="1:11" x14ac:dyDescent="0.25">
      <c r="A112" s="151"/>
      <c r="F112" s="150"/>
      <c r="G112" s="144" t="e">
        <f ca="1"/>
        <v>#N/A</v>
      </c>
      <c r="H112" s="145" t="e">
        <f ca="1"/>
        <v>#N/A</v>
      </c>
      <c r="I112" s="145" t="e">
        <f ca="1"/>
        <v>#N/A</v>
      </c>
      <c r="J112" s="145" t="e">
        <f ca="1"/>
        <v>#N/A</v>
      </c>
      <c r="K112" s="145" t="e">
        <f ca="1"/>
        <v>#N/A</v>
      </c>
    </row>
    <row r="113" spans="1:11" x14ac:dyDescent="0.25">
      <c r="A113" s="151"/>
      <c r="F113" s="150"/>
      <c r="G113" s="144" t="e">
        <f ca="1"/>
        <v>#N/A</v>
      </c>
      <c r="H113" s="145" t="e">
        <f ca="1"/>
        <v>#N/A</v>
      </c>
      <c r="I113" s="145" t="e">
        <f ca="1"/>
        <v>#N/A</v>
      </c>
      <c r="J113" s="145" t="e">
        <f ca="1"/>
        <v>#N/A</v>
      </c>
      <c r="K113" s="145" t="e">
        <f ca="1"/>
        <v>#N/A</v>
      </c>
    </row>
    <row r="114" spans="1:11" x14ac:dyDescent="0.25">
      <c r="A114" s="151"/>
      <c r="F114" s="150"/>
      <c r="G114" s="144" t="e">
        <f ca="1"/>
        <v>#N/A</v>
      </c>
      <c r="H114" s="145" t="e">
        <f ca="1"/>
        <v>#N/A</v>
      </c>
      <c r="I114" s="145" t="e">
        <f ca="1"/>
        <v>#N/A</v>
      </c>
      <c r="J114" s="145" t="e">
        <f ca="1"/>
        <v>#N/A</v>
      </c>
      <c r="K114" s="145" t="e">
        <f ca="1"/>
        <v>#N/A</v>
      </c>
    </row>
    <row r="115" spans="1:11" x14ac:dyDescent="0.25">
      <c r="A115" s="151"/>
      <c r="F115" s="150"/>
      <c r="G115" s="144" t="e">
        <f ca="1"/>
        <v>#N/A</v>
      </c>
      <c r="H115" s="145" t="e">
        <f ca="1"/>
        <v>#N/A</v>
      </c>
      <c r="I115" s="145" t="e">
        <f ca="1"/>
        <v>#N/A</v>
      </c>
      <c r="J115" s="145" t="e">
        <f ca="1"/>
        <v>#N/A</v>
      </c>
      <c r="K115" s="145" t="e">
        <f ca="1"/>
        <v>#N/A</v>
      </c>
    </row>
    <row r="116" spans="1:11" x14ac:dyDescent="0.25">
      <c r="A116" s="151"/>
      <c r="F116" s="150"/>
      <c r="G116" s="144" t="e">
        <f ca="1"/>
        <v>#N/A</v>
      </c>
      <c r="H116" s="145" t="e">
        <f ca="1"/>
        <v>#N/A</v>
      </c>
      <c r="I116" s="145" t="e">
        <f ca="1"/>
        <v>#N/A</v>
      </c>
      <c r="J116" s="145" t="e">
        <f ca="1"/>
        <v>#N/A</v>
      </c>
      <c r="K116" s="145" t="e">
        <f ca="1"/>
        <v>#N/A</v>
      </c>
    </row>
    <row r="117" spans="1:11" x14ac:dyDescent="0.25">
      <c r="A117" s="151"/>
      <c r="F117" s="150"/>
      <c r="G117" s="144" t="e">
        <f ca="1"/>
        <v>#N/A</v>
      </c>
      <c r="H117" s="145" t="e">
        <f ca="1"/>
        <v>#N/A</v>
      </c>
      <c r="I117" s="145" t="e">
        <f ca="1"/>
        <v>#N/A</v>
      </c>
      <c r="J117" s="145" t="e">
        <f ca="1"/>
        <v>#N/A</v>
      </c>
      <c r="K117" s="145" t="e">
        <f ca="1"/>
        <v>#N/A</v>
      </c>
    </row>
    <row r="118" spans="1:11" x14ac:dyDescent="0.25">
      <c r="A118" s="151"/>
      <c r="F118" s="150"/>
      <c r="G118" s="144" t="e">
        <f ca="1"/>
        <v>#N/A</v>
      </c>
      <c r="H118" s="145" t="e">
        <f ca="1"/>
        <v>#N/A</v>
      </c>
      <c r="I118" s="145" t="e">
        <f ca="1"/>
        <v>#N/A</v>
      </c>
      <c r="J118" s="145" t="e">
        <f ca="1"/>
        <v>#N/A</v>
      </c>
      <c r="K118" s="145" t="e">
        <f ca="1"/>
        <v>#N/A</v>
      </c>
    </row>
    <row r="119" spans="1:11" x14ac:dyDescent="0.25">
      <c r="A119" s="135"/>
      <c r="F119" s="139"/>
      <c r="G119" s="144" t="e">
        <f ca="1"/>
        <v>#N/A</v>
      </c>
      <c r="H119" s="145" t="e">
        <f ca="1"/>
        <v>#N/A</v>
      </c>
      <c r="I119" s="145" t="e">
        <f ca="1"/>
        <v>#N/A</v>
      </c>
      <c r="J119" s="145" t="e">
        <f ca="1"/>
        <v>#N/A</v>
      </c>
      <c r="K119" s="145" t="e">
        <f ca="1"/>
        <v>#N/A</v>
      </c>
    </row>
    <row r="120" spans="1:11" x14ac:dyDescent="0.25">
      <c r="A120" s="135"/>
      <c r="F120" s="139"/>
      <c r="G120" s="144" t="e">
        <f ca="1"/>
        <v>#N/A</v>
      </c>
      <c r="H120" s="145" t="e">
        <f ca="1"/>
        <v>#N/A</v>
      </c>
      <c r="I120" s="145" t="e">
        <f ca="1"/>
        <v>#N/A</v>
      </c>
      <c r="J120" s="145" t="e">
        <f ca="1"/>
        <v>#N/A</v>
      </c>
      <c r="K120" s="145" t="e">
        <f ca="1"/>
        <v>#N/A</v>
      </c>
    </row>
    <row r="121" spans="1:11" x14ac:dyDescent="0.25">
      <c r="A121" s="135"/>
      <c r="G121" s="144" t="e">
        <f ca="1"/>
        <v>#N/A</v>
      </c>
      <c r="H121" s="145" t="e">
        <f ca="1"/>
        <v>#N/A</v>
      </c>
      <c r="I121" s="145" t="e">
        <f ca="1"/>
        <v>#N/A</v>
      </c>
      <c r="J121" s="145" t="e">
        <f ca="1"/>
        <v>#N/A</v>
      </c>
      <c r="K121" s="145" t="e">
        <f ca="1"/>
        <v>#N/A</v>
      </c>
    </row>
    <row r="122" spans="1:11" x14ac:dyDescent="0.25">
      <c r="A122" s="135"/>
      <c r="G122" s="144" t="e">
        <f ca="1"/>
        <v>#N/A</v>
      </c>
      <c r="H122" s="145" t="e">
        <f ca="1"/>
        <v>#N/A</v>
      </c>
      <c r="I122" s="149" t="e">
        <f ca="1"/>
        <v>#N/A</v>
      </c>
      <c r="J122" s="149" t="e">
        <f ca="1"/>
        <v>#N/A</v>
      </c>
      <c r="K122" s="149" t="e">
        <f ca="1"/>
        <v>#N/A</v>
      </c>
    </row>
    <row r="123" spans="1:11" x14ac:dyDescent="0.25">
      <c r="A123" s="135"/>
      <c r="G123" s="144" t="e">
        <f ca="1"/>
        <v>#N/A</v>
      </c>
      <c r="H123" s="145" t="e">
        <f ca="1"/>
        <v>#N/A</v>
      </c>
      <c r="I123" s="149" t="e">
        <f ca="1"/>
        <v>#N/A</v>
      </c>
      <c r="J123" s="149" t="e">
        <f ca="1"/>
        <v>#N/A</v>
      </c>
      <c r="K123" s="149" t="e">
        <f ca="1"/>
        <v>#N/A</v>
      </c>
    </row>
    <row r="124" spans="1:11" x14ac:dyDescent="0.25">
      <c r="A124" s="135"/>
      <c r="G124" s="144" t="e">
        <f ca="1"/>
        <v>#N/A</v>
      </c>
      <c r="H124" s="145" t="e">
        <f ca="1"/>
        <v>#N/A</v>
      </c>
      <c r="I124" s="149" t="e">
        <f ca="1"/>
        <v>#N/A</v>
      </c>
      <c r="J124" s="149" t="e">
        <f ca="1"/>
        <v>#N/A</v>
      </c>
      <c r="K124" s="149" t="e">
        <f ca="1"/>
        <v>#N/A</v>
      </c>
    </row>
    <row r="125" spans="1:11" x14ac:dyDescent="0.25">
      <c r="A125" s="135"/>
      <c r="G125" s="144" t="e">
        <f ca="1"/>
        <v>#N/A</v>
      </c>
      <c r="H125" s="145" t="e">
        <f ca="1"/>
        <v>#N/A</v>
      </c>
      <c r="I125" s="149" t="e">
        <f ca="1"/>
        <v>#N/A</v>
      </c>
      <c r="J125" s="149" t="e">
        <f ca="1"/>
        <v>#N/A</v>
      </c>
      <c r="K125" s="149" t="e">
        <f ca="1"/>
        <v>#N/A</v>
      </c>
    </row>
    <row r="126" spans="1:11" x14ac:dyDescent="0.25">
      <c r="A126" s="135"/>
      <c r="G126" s="144" t="e">
        <f ca="1"/>
        <v>#N/A</v>
      </c>
      <c r="H126" s="145" t="e">
        <f ca="1"/>
        <v>#N/A</v>
      </c>
      <c r="I126" s="149" t="e">
        <f ca="1"/>
        <v>#N/A</v>
      </c>
      <c r="J126" s="149" t="e">
        <f ca="1"/>
        <v>#N/A</v>
      </c>
      <c r="K126" s="149" t="e">
        <f ca="1"/>
        <v>#N/A</v>
      </c>
    </row>
    <row r="127" spans="1:11" x14ac:dyDescent="0.25">
      <c r="A127" s="135"/>
      <c r="G127" s="144" t="e">
        <f ca="1"/>
        <v>#N/A</v>
      </c>
      <c r="H127" s="145" t="e">
        <f ca="1"/>
        <v>#N/A</v>
      </c>
      <c r="I127" s="149" t="e">
        <f ca="1"/>
        <v>#N/A</v>
      </c>
      <c r="J127" s="149" t="e">
        <f ca="1"/>
        <v>#N/A</v>
      </c>
      <c r="K127" s="149" t="e">
        <f ca="1"/>
        <v>#N/A</v>
      </c>
    </row>
    <row r="128" spans="1:11" x14ac:dyDescent="0.25">
      <c r="A128" s="135"/>
      <c r="G128" s="144" t="e">
        <f ca="1"/>
        <v>#N/A</v>
      </c>
      <c r="H128" s="145" t="e">
        <f ca="1"/>
        <v>#N/A</v>
      </c>
      <c r="I128" s="149" t="e">
        <f ca="1"/>
        <v>#N/A</v>
      </c>
      <c r="J128" s="149" t="e">
        <f ca="1"/>
        <v>#N/A</v>
      </c>
      <c r="K128" s="149" t="e">
        <f ca="1"/>
        <v>#N/A</v>
      </c>
    </row>
    <row r="129" spans="1:11" x14ac:dyDescent="0.25">
      <c r="A129" s="135"/>
      <c r="G129" s="144" t="e">
        <f ca="1"/>
        <v>#N/A</v>
      </c>
      <c r="H129" s="145" t="e">
        <f ca="1"/>
        <v>#N/A</v>
      </c>
      <c r="I129" s="149" t="e">
        <f ca="1"/>
        <v>#N/A</v>
      </c>
      <c r="J129" s="149" t="e">
        <f ca="1"/>
        <v>#N/A</v>
      </c>
      <c r="K129" s="149" t="e">
        <f ca="1"/>
        <v>#N/A</v>
      </c>
    </row>
    <row r="130" spans="1:11" x14ac:dyDescent="0.25">
      <c r="A130" s="135"/>
      <c r="G130" s="144" t="e">
        <f ca="1"/>
        <v>#N/A</v>
      </c>
      <c r="H130" s="145" t="e">
        <f ca="1"/>
        <v>#N/A</v>
      </c>
      <c r="I130" s="149" t="e">
        <f ca="1"/>
        <v>#N/A</v>
      </c>
      <c r="J130" s="149" t="e">
        <f ca="1"/>
        <v>#N/A</v>
      </c>
      <c r="K130" s="149" t="e">
        <f ca="1"/>
        <v>#N/A</v>
      </c>
    </row>
    <row r="131" spans="1:11" x14ac:dyDescent="0.25">
      <c r="A131" s="135"/>
      <c r="G131" s="144" t="e">
        <f ca="1"/>
        <v>#N/A</v>
      </c>
      <c r="H131" s="145" t="e">
        <f ca="1"/>
        <v>#N/A</v>
      </c>
      <c r="I131" s="145" t="e">
        <f ca="1"/>
        <v>#N/A</v>
      </c>
      <c r="J131" s="145" t="e">
        <f ca="1"/>
        <v>#N/A</v>
      </c>
      <c r="K131" s="145" t="e">
        <f ca="1"/>
        <v>#N/A</v>
      </c>
    </row>
    <row r="132" spans="1:11" x14ac:dyDescent="0.25">
      <c r="A132" s="135"/>
      <c r="G132" s="144" t="e">
        <f ca="1"/>
        <v>#N/A</v>
      </c>
      <c r="H132" s="145" t="e">
        <f ca="1"/>
        <v>#N/A</v>
      </c>
      <c r="I132" s="145" t="e">
        <f ca="1"/>
        <v>#N/A</v>
      </c>
      <c r="J132" s="145" t="e">
        <f ca="1"/>
        <v>#N/A</v>
      </c>
      <c r="K132" s="145" t="e">
        <f ca="1"/>
        <v>#N/A</v>
      </c>
    </row>
    <row r="133" spans="1:11" x14ac:dyDescent="0.25">
      <c r="A133" s="135"/>
      <c r="G133" s="144" t="e">
        <f ca="1"/>
        <v>#N/A</v>
      </c>
      <c r="H133" s="145" t="e">
        <f ca="1"/>
        <v>#N/A</v>
      </c>
      <c r="I133" s="145" t="e">
        <f ca="1"/>
        <v>#N/A</v>
      </c>
      <c r="J133" s="145" t="e">
        <f ca="1"/>
        <v>#N/A</v>
      </c>
      <c r="K133" s="145" t="e">
        <f ca="1"/>
        <v>#N/A</v>
      </c>
    </row>
    <row r="134" spans="1:11" x14ac:dyDescent="0.25">
      <c r="A134" s="135"/>
      <c r="G134" s="144" t="e">
        <f ca="1"/>
        <v>#N/A</v>
      </c>
      <c r="H134" s="145" t="e">
        <f ca="1"/>
        <v>#N/A</v>
      </c>
      <c r="I134" s="145" t="e">
        <f ca="1"/>
        <v>#N/A</v>
      </c>
      <c r="J134" s="145" t="e">
        <f ca="1"/>
        <v>#N/A</v>
      </c>
      <c r="K134" s="145" t="e">
        <f ca="1"/>
        <v>#N/A</v>
      </c>
    </row>
    <row r="135" spans="1:11" x14ac:dyDescent="0.25">
      <c r="A135" s="135"/>
      <c r="G135" s="144" t="e">
        <f ca="1"/>
        <v>#N/A</v>
      </c>
      <c r="H135" s="145" t="e">
        <f ca="1"/>
        <v>#N/A</v>
      </c>
      <c r="I135" s="145" t="e">
        <f ca="1"/>
        <v>#N/A</v>
      </c>
      <c r="J135" s="145" t="e">
        <f ca="1"/>
        <v>#N/A</v>
      </c>
      <c r="K135" s="145" t="e">
        <f ca="1"/>
        <v>#N/A</v>
      </c>
    </row>
    <row r="136" spans="1:11" x14ac:dyDescent="0.25">
      <c r="A136" s="135"/>
      <c r="G136" s="144" t="e">
        <f ca="1"/>
        <v>#N/A</v>
      </c>
      <c r="H136" s="145" t="e">
        <f ca="1"/>
        <v>#N/A</v>
      </c>
      <c r="I136" s="145" t="e">
        <f ca="1"/>
        <v>#N/A</v>
      </c>
      <c r="J136" s="145" t="e">
        <f ca="1"/>
        <v>#N/A</v>
      </c>
      <c r="K136" s="145" t="e">
        <f ca="1"/>
        <v>#N/A</v>
      </c>
    </row>
    <row r="137" spans="1:11" x14ac:dyDescent="0.25">
      <c r="A137" s="135"/>
      <c r="G137" s="144" t="e">
        <f ca="1"/>
        <v>#N/A</v>
      </c>
      <c r="H137" s="145" t="e">
        <f ca="1"/>
        <v>#N/A</v>
      </c>
      <c r="I137" s="145" t="e">
        <f ca="1"/>
        <v>#N/A</v>
      </c>
      <c r="J137" s="145" t="e">
        <f ca="1"/>
        <v>#N/A</v>
      </c>
      <c r="K137" s="145" t="e">
        <f ca="1"/>
        <v>#N/A</v>
      </c>
    </row>
    <row r="138" spans="1:11" x14ac:dyDescent="0.25">
      <c r="A138" s="135"/>
      <c r="G138" s="144" t="e">
        <f ca="1"/>
        <v>#N/A</v>
      </c>
      <c r="H138" s="145" t="e">
        <f ca="1"/>
        <v>#N/A</v>
      </c>
      <c r="I138" s="145" t="e">
        <f ca="1"/>
        <v>#N/A</v>
      </c>
      <c r="J138" s="145" t="e">
        <f ca="1"/>
        <v>#N/A</v>
      </c>
      <c r="K138" s="145" t="e">
        <f ca="1"/>
        <v>#N/A</v>
      </c>
    </row>
    <row r="139" spans="1:11" x14ac:dyDescent="0.25">
      <c r="A139" s="135"/>
      <c r="G139" s="144" t="e">
        <f ca="1"/>
        <v>#N/A</v>
      </c>
      <c r="H139" s="145" t="e">
        <f ca="1"/>
        <v>#N/A</v>
      </c>
      <c r="I139" s="145" t="e">
        <f ca="1"/>
        <v>#N/A</v>
      </c>
      <c r="J139" s="145" t="e">
        <f ca="1"/>
        <v>#N/A</v>
      </c>
      <c r="K139" s="145" t="e">
        <f ca="1"/>
        <v>#N/A</v>
      </c>
    </row>
    <row r="140" spans="1:11" x14ac:dyDescent="0.25">
      <c r="A140" s="135"/>
      <c r="G140" s="144" t="e">
        <f ca="1"/>
        <v>#N/A</v>
      </c>
      <c r="H140" s="145" t="e">
        <f ca="1"/>
        <v>#N/A</v>
      </c>
      <c r="I140" s="145" t="e">
        <f ca="1"/>
        <v>#N/A</v>
      </c>
      <c r="J140" s="145" t="e">
        <f ca="1"/>
        <v>#N/A</v>
      </c>
      <c r="K140" s="145" t="e">
        <f ca="1"/>
        <v>#N/A</v>
      </c>
    </row>
    <row r="141" spans="1:11" x14ac:dyDescent="0.25">
      <c r="A141" s="135"/>
      <c r="G141" s="144" t="e">
        <f ca="1"/>
        <v>#N/A</v>
      </c>
      <c r="H141" s="145" t="e">
        <f ca="1"/>
        <v>#N/A</v>
      </c>
      <c r="I141" s="145" t="e">
        <f ca="1"/>
        <v>#N/A</v>
      </c>
      <c r="J141" s="145" t="e">
        <f ca="1"/>
        <v>#N/A</v>
      </c>
      <c r="K141" s="145" t="e">
        <f ca="1"/>
        <v>#N/A</v>
      </c>
    </row>
    <row r="142" spans="1:11" x14ac:dyDescent="0.25">
      <c r="A142" s="135"/>
      <c r="G142" s="144" t="e">
        <f ca="1"/>
        <v>#N/A</v>
      </c>
      <c r="H142" s="145" t="e">
        <f ca="1"/>
        <v>#N/A</v>
      </c>
      <c r="I142" s="145" t="e">
        <f ca="1"/>
        <v>#N/A</v>
      </c>
      <c r="J142" s="145" t="e">
        <f ca="1"/>
        <v>#N/A</v>
      </c>
      <c r="K142" s="145" t="e">
        <f ca="1"/>
        <v>#N/A</v>
      </c>
    </row>
    <row r="143" spans="1:11" x14ac:dyDescent="0.25">
      <c r="A143" s="135"/>
      <c r="G143" s="144" t="e">
        <f ca="1"/>
        <v>#N/A</v>
      </c>
      <c r="H143" s="145" t="e">
        <f ca="1"/>
        <v>#N/A</v>
      </c>
      <c r="I143" s="145" t="e">
        <f ca="1"/>
        <v>#N/A</v>
      </c>
      <c r="J143" s="145" t="e">
        <f ca="1"/>
        <v>#N/A</v>
      </c>
      <c r="K143" s="145" t="e">
        <f ca="1"/>
        <v>#N/A</v>
      </c>
    </row>
    <row r="144" spans="1:11" x14ac:dyDescent="0.25">
      <c r="A144" s="135"/>
      <c r="G144" s="144" t="e">
        <f ca="1"/>
        <v>#N/A</v>
      </c>
      <c r="H144" s="145" t="e">
        <f ca="1"/>
        <v>#N/A</v>
      </c>
      <c r="I144" s="145" t="e">
        <f ca="1"/>
        <v>#N/A</v>
      </c>
      <c r="J144" s="145" t="e">
        <f ca="1"/>
        <v>#N/A</v>
      </c>
      <c r="K144" s="145" t="e">
        <f ca="1"/>
        <v>#N/A</v>
      </c>
    </row>
    <row r="145" spans="1:11" x14ac:dyDescent="0.25">
      <c r="A145" s="135"/>
      <c r="G145" s="144" t="e">
        <f ca="1"/>
        <v>#N/A</v>
      </c>
      <c r="H145" s="145" t="e">
        <f ca="1"/>
        <v>#N/A</v>
      </c>
      <c r="I145" s="145" t="e">
        <f ca="1"/>
        <v>#N/A</v>
      </c>
      <c r="J145" s="145" t="e">
        <f ca="1"/>
        <v>#N/A</v>
      </c>
      <c r="K145" s="145" t="e">
        <f ca="1"/>
        <v>#N/A</v>
      </c>
    </row>
    <row r="146" spans="1:11" x14ac:dyDescent="0.25">
      <c r="A146" s="135"/>
      <c r="G146" s="144" t="e">
        <f ca="1"/>
        <v>#N/A</v>
      </c>
      <c r="H146" s="145" t="e">
        <f ca="1"/>
        <v>#N/A</v>
      </c>
      <c r="I146" s="145" t="e">
        <f ca="1"/>
        <v>#N/A</v>
      </c>
      <c r="J146" s="145" t="e">
        <f ca="1"/>
        <v>#N/A</v>
      </c>
      <c r="K146" s="145" t="e">
        <f ca="1"/>
        <v>#N/A</v>
      </c>
    </row>
    <row r="147" spans="1:11" x14ac:dyDescent="0.25">
      <c r="A147" s="135"/>
      <c r="G147" s="144" t="e">
        <f ca="1"/>
        <v>#N/A</v>
      </c>
      <c r="H147" s="145" t="e">
        <f ca="1"/>
        <v>#N/A</v>
      </c>
      <c r="I147" s="145" t="e">
        <f ca="1"/>
        <v>#N/A</v>
      </c>
      <c r="J147" s="145" t="e">
        <f ca="1"/>
        <v>#N/A</v>
      </c>
      <c r="K147" s="145" t="e">
        <f ca="1"/>
        <v>#N/A</v>
      </c>
    </row>
    <row r="148" spans="1:11" x14ac:dyDescent="0.25">
      <c r="A148" s="135"/>
      <c r="G148" s="144" t="e">
        <f ca="1"/>
        <v>#N/A</v>
      </c>
      <c r="H148" s="145" t="e">
        <f ca="1"/>
        <v>#N/A</v>
      </c>
      <c r="I148" s="145" t="e">
        <f ca="1"/>
        <v>#N/A</v>
      </c>
      <c r="J148" s="145" t="e">
        <f ca="1"/>
        <v>#N/A</v>
      </c>
      <c r="K148" s="145" t="e">
        <f ca="1"/>
        <v>#N/A</v>
      </c>
    </row>
    <row r="149" spans="1:11" x14ac:dyDescent="0.25">
      <c r="A149" s="135"/>
      <c r="G149" s="144" t="e">
        <f ca="1"/>
        <v>#N/A</v>
      </c>
      <c r="H149" s="145" t="e">
        <f ca="1"/>
        <v>#N/A</v>
      </c>
      <c r="I149" s="145" t="e">
        <f ca="1"/>
        <v>#N/A</v>
      </c>
      <c r="J149" s="145" t="e">
        <f ca="1"/>
        <v>#N/A</v>
      </c>
      <c r="K149" s="145" t="e">
        <f ca="1"/>
        <v>#N/A</v>
      </c>
    </row>
    <row r="150" spans="1:11" x14ac:dyDescent="0.25">
      <c r="A150" s="135"/>
      <c r="G150" s="144" t="e">
        <f ca="1"/>
        <v>#N/A</v>
      </c>
      <c r="H150" s="145" t="e">
        <f ca="1"/>
        <v>#N/A</v>
      </c>
      <c r="I150" s="145" t="e">
        <f ca="1"/>
        <v>#N/A</v>
      </c>
      <c r="J150" s="145" t="e">
        <f ca="1"/>
        <v>#N/A</v>
      </c>
      <c r="K150" s="145" t="e">
        <f ca="1"/>
        <v>#N/A</v>
      </c>
    </row>
    <row r="151" spans="1:11" x14ac:dyDescent="0.25">
      <c r="A151" s="135"/>
      <c r="G151" s="144" t="e">
        <f ca="1"/>
        <v>#N/A</v>
      </c>
      <c r="H151" s="145" t="e">
        <f ca="1"/>
        <v>#N/A</v>
      </c>
      <c r="I151" s="145" t="e">
        <f ca="1"/>
        <v>#N/A</v>
      </c>
      <c r="J151" s="145" t="e">
        <f ca="1"/>
        <v>#N/A</v>
      </c>
      <c r="K151" s="145" t="e">
        <f ca="1"/>
        <v>#N/A</v>
      </c>
    </row>
    <row r="152" spans="1:11" x14ac:dyDescent="0.25">
      <c r="A152" s="135"/>
      <c r="G152" s="144" t="e">
        <f ca="1"/>
        <v>#N/A</v>
      </c>
      <c r="H152" s="145" t="e">
        <f ca="1"/>
        <v>#N/A</v>
      </c>
      <c r="I152" s="145" t="e">
        <f ca="1"/>
        <v>#N/A</v>
      </c>
      <c r="J152" s="145" t="e">
        <f ca="1"/>
        <v>#N/A</v>
      </c>
      <c r="K152" s="145" t="e">
        <f ca="1"/>
        <v>#N/A</v>
      </c>
    </row>
    <row r="153" spans="1:11" x14ac:dyDescent="0.25">
      <c r="A153" s="135"/>
      <c r="G153" s="144" t="e">
        <f ca="1"/>
        <v>#N/A</v>
      </c>
      <c r="H153" s="145" t="e">
        <f ca="1"/>
        <v>#N/A</v>
      </c>
      <c r="I153" s="145" t="e">
        <f ca="1"/>
        <v>#N/A</v>
      </c>
      <c r="J153" s="145" t="e">
        <f ca="1"/>
        <v>#N/A</v>
      </c>
      <c r="K153" s="145" t="e">
        <f ca="1"/>
        <v>#N/A</v>
      </c>
    </row>
    <row r="154" spans="1:11" x14ac:dyDescent="0.25">
      <c r="A154" s="135"/>
      <c r="G154" s="144" t="e">
        <f ca="1"/>
        <v>#N/A</v>
      </c>
      <c r="H154" s="145" t="e">
        <f ca="1"/>
        <v>#N/A</v>
      </c>
      <c r="I154" s="145" t="e">
        <f ca="1"/>
        <v>#N/A</v>
      </c>
      <c r="J154" s="145" t="e">
        <f ca="1"/>
        <v>#N/A</v>
      </c>
      <c r="K154" s="145" t="e">
        <f ca="1"/>
        <v>#N/A</v>
      </c>
    </row>
    <row r="155" spans="1:11" x14ac:dyDescent="0.25">
      <c r="A155" s="135"/>
      <c r="G155" s="144" t="e">
        <f ca="1"/>
        <v>#N/A</v>
      </c>
      <c r="H155" s="145" t="e">
        <f ca="1"/>
        <v>#N/A</v>
      </c>
      <c r="I155" t="e">
        <f ca="1"/>
        <v>#N/A</v>
      </c>
      <c r="J155" t="e">
        <f ca="1"/>
        <v>#N/A</v>
      </c>
      <c r="K155" t="e">
        <f ca="1"/>
        <v>#N/A</v>
      </c>
    </row>
    <row r="156" spans="1:11" x14ac:dyDescent="0.25">
      <c r="A156" s="135"/>
      <c r="G156" s="144" t="e">
        <f ca="1"/>
        <v>#N/A</v>
      </c>
      <c r="H156" s="145" t="e">
        <f ca="1"/>
        <v>#N/A</v>
      </c>
      <c r="I156" t="e">
        <f ca="1"/>
        <v>#N/A</v>
      </c>
      <c r="J156" t="e">
        <f ca="1"/>
        <v>#N/A</v>
      </c>
      <c r="K156" t="e">
        <f ca="1"/>
        <v>#N/A</v>
      </c>
    </row>
    <row r="157" spans="1:11" x14ac:dyDescent="0.25">
      <c r="A157" s="135"/>
      <c r="G157" s="144" t="e">
        <f ca="1"/>
        <v>#N/A</v>
      </c>
      <c r="H157" s="145" t="e">
        <f ca="1"/>
        <v>#N/A</v>
      </c>
      <c r="I157" t="e">
        <f ca="1"/>
        <v>#N/A</v>
      </c>
      <c r="J157" t="e">
        <f ca="1"/>
        <v>#N/A</v>
      </c>
      <c r="K157" t="e">
        <f ca="1"/>
        <v>#N/A</v>
      </c>
    </row>
    <row r="158" spans="1:11" x14ac:dyDescent="0.25">
      <c r="A158" s="135"/>
      <c r="G158" s="144" t="e">
        <f ca="1"/>
        <v>#N/A</v>
      </c>
      <c r="H158" s="145" t="e">
        <f ca="1"/>
        <v>#N/A</v>
      </c>
      <c r="I158" t="e">
        <f ca="1"/>
        <v>#N/A</v>
      </c>
      <c r="J158" t="e">
        <f ca="1"/>
        <v>#N/A</v>
      </c>
      <c r="K158" t="e">
        <f ca="1"/>
        <v>#N/A</v>
      </c>
    </row>
    <row r="159" spans="1:11" x14ac:dyDescent="0.25">
      <c r="A159" s="135"/>
      <c r="G159" s="144" t="e">
        <f ca="1"/>
        <v>#N/A</v>
      </c>
      <c r="H159" s="145" t="e">
        <f ca="1"/>
        <v>#N/A</v>
      </c>
      <c r="I159" t="e">
        <f ca="1"/>
        <v>#N/A</v>
      </c>
      <c r="J159" t="e">
        <f ca="1"/>
        <v>#N/A</v>
      </c>
      <c r="K159" t="e">
        <f ca="1"/>
        <v>#N/A</v>
      </c>
    </row>
    <row r="160" spans="1:11" x14ac:dyDescent="0.25">
      <c r="A160" s="135"/>
      <c r="G160" s="144" t="e">
        <f ca="1"/>
        <v>#N/A</v>
      </c>
      <c r="H160" s="145" t="e">
        <f ca="1"/>
        <v>#N/A</v>
      </c>
      <c r="I160" t="e">
        <f ca="1"/>
        <v>#N/A</v>
      </c>
      <c r="J160" t="e">
        <f ca="1"/>
        <v>#N/A</v>
      </c>
      <c r="K160" t="e">
        <f ca="1"/>
        <v>#N/A</v>
      </c>
    </row>
    <row r="161" spans="1:11" x14ac:dyDescent="0.25">
      <c r="A161" s="135"/>
      <c r="G161" s="144" t="e">
        <f ca="1"/>
        <v>#N/A</v>
      </c>
      <c r="H161" s="145" t="e">
        <f ca="1"/>
        <v>#N/A</v>
      </c>
      <c r="I161" t="e">
        <f ca="1"/>
        <v>#N/A</v>
      </c>
      <c r="J161" t="e">
        <f ca="1"/>
        <v>#N/A</v>
      </c>
      <c r="K161" t="e">
        <f ca="1"/>
        <v>#N/A</v>
      </c>
    </row>
    <row r="162" spans="1:11" x14ac:dyDescent="0.25">
      <c r="A162" s="135"/>
      <c r="G162" s="144" t="e">
        <f ca="1"/>
        <v>#N/A</v>
      </c>
      <c r="H162" s="145" t="e">
        <f ca="1"/>
        <v>#N/A</v>
      </c>
      <c r="I162" t="e">
        <f ca="1"/>
        <v>#N/A</v>
      </c>
      <c r="J162" t="e">
        <f ca="1"/>
        <v>#N/A</v>
      </c>
      <c r="K162" t="e">
        <f ca="1"/>
        <v>#N/A</v>
      </c>
    </row>
    <row r="163" spans="1:11" x14ac:dyDescent="0.25">
      <c r="A163" s="135"/>
      <c r="G163" s="144" t="e">
        <f ca="1"/>
        <v>#N/A</v>
      </c>
      <c r="H163" s="145" t="e">
        <f ca="1"/>
        <v>#N/A</v>
      </c>
      <c r="I163" t="e">
        <f ca="1"/>
        <v>#N/A</v>
      </c>
      <c r="J163" t="e">
        <f ca="1"/>
        <v>#N/A</v>
      </c>
      <c r="K163" t="e">
        <f ca="1"/>
        <v>#N/A</v>
      </c>
    </row>
    <row r="164" spans="1:11" x14ac:dyDescent="0.25">
      <c r="A164" s="135"/>
      <c r="G164" s="144" t="e">
        <f ca="1"/>
        <v>#N/A</v>
      </c>
      <c r="H164" s="145" t="e">
        <f ca="1"/>
        <v>#N/A</v>
      </c>
      <c r="I164" t="e">
        <f ca="1"/>
        <v>#N/A</v>
      </c>
      <c r="J164" t="e">
        <f ca="1"/>
        <v>#N/A</v>
      </c>
      <c r="K164" t="e">
        <f ca="1"/>
        <v>#N/A</v>
      </c>
    </row>
    <row r="165" spans="1:11" x14ac:dyDescent="0.25">
      <c r="A165" s="135"/>
      <c r="G165" s="144" t="e">
        <f ca="1"/>
        <v>#N/A</v>
      </c>
      <c r="H165" s="145" t="e">
        <f ca="1"/>
        <v>#N/A</v>
      </c>
      <c r="I165" t="e">
        <f ca="1"/>
        <v>#N/A</v>
      </c>
      <c r="J165" t="e">
        <f ca="1"/>
        <v>#N/A</v>
      </c>
      <c r="K165" t="e">
        <f ca="1"/>
        <v>#N/A</v>
      </c>
    </row>
    <row r="166" spans="1:11" x14ac:dyDescent="0.25">
      <c r="A166" s="135"/>
      <c r="G166" s="144" t="e">
        <f ca="1"/>
        <v>#N/A</v>
      </c>
      <c r="H166" s="145" t="e">
        <f ca="1"/>
        <v>#N/A</v>
      </c>
      <c r="I166" t="e">
        <f ca="1"/>
        <v>#N/A</v>
      </c>
      <c r="J166" t="e">
        <f ca="1"/>
        <v>#N/A</v>
      </c>
      <c r="K166" t="e">
        <f ca="1"/>
        <v>#N/A</v>
      </c>
    </row>
    <row r="167" spans="1:11" x14ac:dyDescent="0.25">
      <c r="A167" s="135"/>
      <c r="G167" s="144" t="e">
        <f ca="1"/>
        <v>#N/A</v>
      </c>
      <c r="H167" s="145" t="e">
        <f ca="1"/>
        <v>#N/A</v>
      </c>
      <c r="I167" t="e">
        <f ca="1"/>
        <v>#N/A</v>
      </c>
      <c r="J167" t="e">
        <f ca="1"/>
        <v>#N/A</v>
      </c>
      <c r="K167" t="e">
        <f ca="1"/>
        <v>#N/A</v>
      </c>
    </row>
    <row r="168" spans="1:11" x14ac:dyDescent="0.25">
      <c r="A168" s="135"/>
      <c r="G168" s="144" t="e">
        <f ca="1"/>
        <v>#N/A</v>
      </c>
      <c r="H168" s="145" t="e">
        <f ca="1"/>
        <v>#N/A</v>
      </c>
      <c r="I168" t="e">
        <f ca="1"/>
        <v>#N/A</v>
      </c>
      <c r="J168" t="e">
        <f ca="1"/>
        <v>#N/A</v>
      </c>
      <c r="K168" t="e">
        <f ca="1"/>
        <v>#N/A</v>
      </c>
    </row>
    <row r="169" spans="1:11" x14ac:dyDescent="0.25">
      <c r="A169" s="135"/>
      <c r="G169" s="144" t="e">
        <f ca="1"/>
        <v>#N/A</v>
      </c>
      <c r="H169" s="145" t="e">
        <f ca="1"/>
        <v>#N/A</v>
      </c>
      <c r="I169" t="e">
        <f ca="1"/>
        <v>#N/A</v>
      </c>
      <c r="J169" t="e">
        <f ca="1"/>
        <v>#N/A</v>
      </c>
      <c r="K169" t="e">
        <f ca="1"/>
        <v>#N/A</v>
      </c>
    </row>
    <row r="170" spans="1:11" x14ac:dyDescent="0.25">
      <c r="A170" s="135"/>
      <c r="G170" s="144" t="e">
        <f ca="1"/>
        <v>#N/A</v>
      </c>
      <c r="H170" s="145" t="e">
        <f ca="1"/>
        <v>#N/A</v>
      </c>
      <c r="I170" t="e">
        <f ca="1"/>
        <v>#N/A</v>
      </c>
      <c r="J170" t="e">
        <f ca="1"/>
        <v>#N/A</v>
      </c>
      <c r="K170" t="e">
        <f ca="1"/>
        <v>#N/A</v>
      </c>
    </row>
    <row r="171" spans="1:11" x14ac:dyDescent="0.25">
      <c r="A171" s="135"/>
      <c r="G171" s="146" t="e">
        <f ca="1"/>
        <v>#N/A</v>
      </c>
      <c r="H171" s="147" t="e">
        <f ca="1"/>
        <v>#N/A</v>
      </c>
      <c r="I171" t="e">
        <f ca="1"/>
        <v>#N/A</v>
      </c>
      <c r="J171" t="e">
        <f ca="1"/>
        <v>#N/A</v>
      </c>
      <c r="K171" t="e">
        <f ca="1"/>
        <v>#N/A</v>
      </c>
    </row>
    <row r="172" spans="1:11" x14ac:dyDescent="0.25">
      <c r="A172" s="135"/>
      <c r="G172"/>
    </row>
    <row r="173" spans="1:11" x14ac:dyDescent="0.25">
      <c r="A173" s="135"/>
      <c r="G173"/>
    </row>
    <row r="174" spans="1:11" x14ac:dyDescent="0.25">
      <c r="A174" s="135"/>
      <c r="G174"/>
    </row>
    <row r="175" spans="1:11" x14ac:dyDescent="0.25">
      <c r="A175" s="135"/>
      <c r="G175"/>
    </row>
    <row r="176" spans="1:11" x14ac:dyDescent="0.25">
      <c r="A176" s="135"/>
      <c r="G176"/>
    </row>
    <row r="177" spans="1:7" x14ac:dyDescent="0.25">
      <c r="A177" s="135"/>
      <c r="G177"/>
    </row>
    <row r="178" spans="1:7" x14ac:dyDescent="0.25">
      <c r="A178" s="135"/>
      <c r="G178"/>
    </row>
    <row r="179" spans="1:7" x14ac:dyDescent="0.25">
      <c r="A179" s="135"/>
      <c r="G179"/>
    </row>
    <row r="180" spans="1:7" x14ac:dyDescent="0.25">
      <c r="A180" s="135"/>
      <c r="G180"/>
    </row>
    <row r="181" spans="1:7" x14ac:dyDescent="0.25">
      <c r="A181" s="135"/>
      <c r="G181"/>
    </row>
    <row r="182" spans="1:7" x14ac:dyDescent="0.25">
      <c r="A182" s="135"/>
      <c r="G182"/>
    </row>
    <row r="183" spans="1:7" x14ac:dyDescent="0.25">
      <c r="A183" s="135"/>
      <c r="G183"/>
    </row>
    <row r="184" spans="1:7" x14ac:dyDescent="0.25">
      <c r="A184" s="135"/>
      <c r="G184"/>
    </row>
    <row r="185" spans="1:7" x14ac:dyDescent="0.25">
      <c r="A185" s="135"/>
      <c r="G185"/>
    </row>
    <row r="186" spans="1:7" x14ac:dyDescent="0.25">
      <c r="A186" s="135"/>
      <c r="G186"/>
    </row>
    <row r="187" spans="1:7" x14ac:dyDescent="0.25">
      <c r="A187" s="135"/>
      <c r="G187"/>
    </row>
    <row r="188" spans="1:7" x14ac:dyDescent="0.25">
      <c r="A188" s="135"/>
      <c r="G188"/>
    </row>
    <row r="189" spans="1:7" x14ac:dyDescent="0.25">
      <c r="A189" s="135"/>
      <c r="G189"/>
    </row>
    <row r="190" spans="1:7" x14ac:dyDescent="0.25">
      <c r="A190" s="135"/>
      <c r="G190"/>
    </row>
    <row r="191" spans="1:7" x14ac:dyDescent="0.25">
      <c r="A191" s="135"/>
      <c r="G191"/>
    </row>
    <row r="192" spans="1:7" x14ac:dyDescent="0.25">
      <c r="A192" s="135"/>
      <c r="G192"/>
    </row>
    <row r="193" spans="1:7" x14ac:dyDescent="0.25">
      <c r="A193" s="135"/>
      <c r="G193"/>
    </row>
    <row r="194" spans="1:7" x14ac:dyDescent="0.25">
      <c r="A194" s="135"/>
      <c r="G194"/>
    </row>
    <row r="195" spans="1:7" x14ac:dyDescent="0.25">
      <c r="A195" s="135"/>
      <c r="G195"/>
    </row>
    <row r="196" spans="1:7" x14ac:dyDescent="0.25">
      <c r="A196" s="135"/>
      <c r="G196"/>
    </row>
    <row r="197" spans="1:7" x14ac:dyDescent="0.25">
      <c r="A197" s="135"/>
      <c r="G197"/>
    </row>
    <row r="198" spans="1:7" x14ac:dyDescent="0.25">
      <c r="A198" s="135"/>
      <c r="G198"/>
    </row>
    <row r="199" spans="1:7" x14ac:dyDescent="0.25">
      <c r="A199" s="135"/>
      <c r="G199"/>
    </row>
    <row r="200" spans="1:7" x14ac:dyDescent="0.25">
      <c r="A200" s="135"/>
      <c r="G200"/>
    </row>
    <row r="201" spans="1:7" x14ac:dyDescent="0.25">
      <c r="A201" s="135"/>
      <c r="G201"/>
    </row>
    <row r="202" spans="1:7" x14ac:dyDescent="0.25">
      <c r="A202" s="135"/>
      <c r="G202"/>
    </row>
    <row r="203" spans="1:7" x14ac:dyDescent="0.25">
      <c r="A203" s="135"/>
      <c r="G203"/>
    </row>
    <row r="204" spans="1:7" x14ac:dyDescent="0.25">
      <c r="A204" s="135"/>
      <c r="G204"/>
    </row>
    <row r="205" spans="1:7" x14ac:dyDescent="0.25">
      <c r="A205" s="135"/>
      <c r="G205"/>
    </row>
    <row r="206" spans="1:7" x14ac:dyDescent="0.25">
      <c r="A206" s="135"/>
      <c r="G206"/>
    </row>
    <row r="207" spans="1:7" x14ac:dyDescent="0.25">
      <c r="A207" s="135"/>
      <c r="G207"/>
    </row>
    <row r="208" spans="1:7" x14ac:dyDescent="0.25">
      <c r="A208" s="135"/>
      <c r="G208"/>
    </row>
    <row r="209" spans="1:7" x14ac:dyDescent="0.25">
      <c r="A209" s="135"/>
      <c r="G209"/>
    </row>
    <row r="210" spans="1:7" x14ac:dyDescent="0.25">
      <c r="A210" s="135"/>
      <c r="G210"/>
    </row>
    <row r="211" spans="1:7" x14ac:dyDescent="0.25">
      <c r="A211" s="135"/>
      <c r="G211"/>
    </row>
    <row r="212" spans="1:7" x14ac:dyDescent="0.25">
      <c r="A212" s="135"/>
      <c r="G212"/>
    </row>
    <row r="213" spans="1:7" x14ac:dyDescent="0.25">
      <c r="A213" s="135"/>
      <c r="G213"/>
    </row>
    <row r="214" spans="1:7" x14ac:dyDescent="0.25">
      <c r="A214" s="135"/>
      <c r="G214"/>
    </row>
    <row r="215" spans="1:7" x14ac:dyDescent="0.25">
      <c r="A215" s="135"/>
      <c r="G215"/>
    </row>
    <row r="216" spans="1:7" x14ac:dyDescent="0.25">
      <c r="A216" s="135"/>
      <c r="G216"/>
    </row>
    <row r="217" spans="1:7" x14ac:dyDescent="0.25">
      <c r="A217" s="135"/>
      <c r="G217"/>
    </row>
    <row r="218" spans="1:7" x14ac:dyDescent="0.25">
      <c r="A218" s="135"/>
      <c r="G218"/>
    </row>
    <row r="219" spans="1:7" x14ac:dyDescent="0.25">
      <c r="A219" s="135"/>
      <c r="G219"/>
    </row>
    <row r="220" spans="1:7" x14ac:dyDescent="0.25">
      <c r="G220"/>
    </row>
    <row r="221" spans="1:7" x14ac:dyDescent="0.25">
      <c r="G221"/>
    </row>
    <row r="222" spans="1:7" x14ac:dyDescent="0.25">
      <c r="G222"/>
    </row>
    <row r="223" spans="1:7" x14ac:dyDescent="0.25">
      <c r="G223"/>
    </row>
    <row r="224" spans="1:7" x14ac:dyDescent="0.25">
      <c r="G224"/>
    </row>
    <row r="225" spans="7:7" x14ac:dyDescent="0.25">
      <c r="G225"/>
    </row>
    <row r="226" spans="7:7" x14ac:dyDescent="0.25">
      <c r="G226"/>
    </row>
    <row r="227" spans="7:7" x14ac:dyDescent="0.25">
      <c r="G227"/>
    </row>
    <row r="228" spans="7:7" x14ac:dyDescent="0.25">
      <c r="G228"/>
    </row>
  </sheetData>
  <dataValidations count="5">
    <dataValidation type="list" allowBlank="1" showInputMessage="1" showErrorMessage="1" sqref="C8:E8">
      <formula1>"PAYER,RECEIVER"</formula1>
    </dataValidation>
    <dataValidation type="list" allowBlank="1" showInputMessage="1" showErrorMessage="1" sqref="C14:E14 C23:E23">
      <formula1>"MOD_FOLLOWING,FOLLOWING,MOD_PRECEDING,PRECEDING,NO_CHANGE"</formula1>
    </dataValidation>
    <dataValidation type="list" allowBlank="1" showInputMessage="1" showErrorMessage="1" sqref="C20:E20 C33:D34 E33">
      <formula1>"None,ShortStart,ShortEnd,LongStart,LongEnd"</formula1>
    </dataValidation>
    <dataValidation type="list" allowBlank="1" showInputMessage="1" showErrorMessage="1" sqref="C42">
      <formula1>"TRUE,FALSE"</formula1>
    </dataValidation>
    <dataValidation type="list" allowBlank="1" showInputMessage="1" showErrorMessage="1" sqref="C41:E41">
      <formula1>"Up, Down, Central"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26</vt:i4>
      </vt:variant>
    </vt:vector>
  </HeadingPairs>
  <TitlesOfParts>
    <vt:vector size="29" baseType="lpstr">
      <vt:lpstr>OIS Curve</vt:lpstr>
      <vt:lpstr>Swap Curve</vt:lpstr>
      <vt:lpstr>Portfolio</vt:lpstr>
      <vt:lpstr>COB</vt:lpstr>
      <vt:lpstr>Curve.BuildProperties</vt:lpstr>
      <vt:lpstr>Curve.CollectionName</vt:lpstr>
      <vt:lpstr>Curve.MarketDataTable</vt:lpstr>
      <vt:lpstr>Curve.OISIndexName</vt:lpstr>
      <vt:lpstr>FRA.Conventions</vt:lpstr>
      <vt:lpstr>FRA.MarketDataX3</vt:lpstr>
      <vt:lpstr>FRA.MarketDataX6</vt:lpstr>
      <vt:lpstr>Futures.Conventions</vt:lpstr>
      <vt:lpstr>Futures.MarketData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Ye Joseph</cp:lastModifiedBy>
  <dcterms:created xsi:type="dcterms:W3CDTF">2016-03-11T11:47:18Z</dcterms:created>
  <dcterms:modified xsi:type="dcterms:W3CDTF">2016-06-06T13:22:13Z</dcterms:modified>
</cp:coreProperties>
</file>